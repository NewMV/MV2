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</workbook>
</file>

<file path=xl/sharedStrings.xml><?xml version="1.0" encoding="utf-8"?>
<sst xmlns="http://schemas.openxmlformats.org/spreadsheetml/2006/main" count="27245" uniqueCount="14624">
  <si>
    <t>Symbol</t>
  </si>
  <si>
    <t>Stock Name</t>
  </si>
  <si>
    <t>TV</t>
  </si>
  <si>
    <t>Link1</t>
  </si>
  <si>
    <t>Link2</t>
  </si>
  <si>
    <t>ofQQfXOP</t>
  </si>
  <si>
    <t>20MICRONS</t>
  </si>
  <si>
    <t>20 Microns Limited</t>
  </si>
  <si>
    <t>NSE%3A20MICRONS</t>
  </si>
  <si>
    <t>https://in.tradingview.com/chart/ofQQfXOP/?symbol=NSE%3A20MICRONS</t>
  </si>
  <si>
    <t>https://in.tradingview.com/chart/bXJLby4L/?symbol=NSE%3A20MICRONS</t>
  </si>
  <si>
    <t>GOLD360</t>
  </si>
  <si>
    <t>360 ONE Gold ETF</t>
  </si>
  <si>
    <t>NSE%3A21STCENMGM</t>
  </si>
  <si>
    <t>https://in.tradingview.com/chart/ofQQfXOP/?symbol=NSE%3AGOLD360</t>
  </si>
  <si>
    <t>https://in.tradingview.com/chart/bXJLby4L/?symbol=NSE%3AGOLD360</t>
  </si>
  <si>
    <t>SILVER360</t>
  </si>
  <si>
    <t>360 ONE Silver ETF</t>
  </si>
  <si>
    <t>NSE%3A360ONE</t>
  </si>
  <si>
    <t>https://in.tradingview.com/chart/ofQQfXOP/?symbol=NSE%3ASILVER360</t>
  </si>
  <si>
    <t>https://in.tradingview.com/chart/bXJLby4L/?symbol=NSE%3ASILVER360</t>
  </si>
  <si>
    <t>360ONE</t>
  </si>
  <si>
    <t>360 ONE WAM Ltd</t>
  </si>
  <si>
    <t>NSE%3A3IINFOLTD</t>
  </si>
  <si>
    <t>https://in.tradingview.com/chart/ofQQfXOP/?symbol=NSE%3A360ONE</t>
  </si>
  <si>
    <t>https://in.tradingview.com/chart/bXJLby4L/?symbol=NSE%3A360ONE</t>
  </si>
  <si>
    <t>3IINFOLTD</t>
  </si>
  <si>
    <t>3i Infotech Ltd</t>
  </si>
  <si>
    <t>NSE%3A3MINDIA</t>
  </si>
  <si>
    <t>https://in.tradingview.com/chart/ofQQfXOP/?symbol=NSE%3A3IINFOLTD</t>
  </si>
  <si>
    <t>https://in.tradingview.com/chart/bXJLby4L/?symbol=NSE%3A3IINFOLTD</t>
  </si>
  <si>
    <t>3MINDIA</t>
  </si>
  <si>
    <t>3m India Limited</t>
  </si>
  <si>
    <t>NSE%3A3PLAND</t>
  </si>
  <si>
    <t>https://in.tradingview.com/chart/ofQQfXOP/?symbol=NSE%3A3MINDIA</t>
  </si>
  <si>
    <t>https://in.tradingview.com/chart/bXJLby4L/?symbol=NSE%3A3MINDIA</t>
  </si>
  <si>
    <t>3PLAND</t>
  </si>
  <si>
    <t>3P Land Holdings Ltd</t>
  </si>
  <si>
    <t>NSE%3A5PAISA</t>
  </si>
  <si>
    <t>https://in.tradingview.com/chart/ofQQfXOP/?symbol=NSE%3A3PLAND</t>
  </si>
  <si>
    <t>https://in.tradingview.com/chart/bXJLby4L/?symbol=NSE%3A3PLAND</t>
  </si>
  <si>
    <t>5PAISA</t>
  </si>
  <si>
    <t>5Paisa Capital Ltd</t>
  </si>
  <si>
    <t>NSE%3A63MOONS</t>
  </si>
  <si>
    <t>https://in.tradingview.com/chart/ofQQfXOP/?symbol=NSE%3A5PAISA</t>
  </si>
  <si>
    <t>https://in.tradingview.com/chart/bXJLby4L/?symbol=NSE%3A5PAISA</t>
  </si>
  <si>
    <t>63MOONS</t>
  </si>
  <si>
    <t>63 Moons Technologies</t>
  </si>
  <si>
    <t>NSE%3AA2ZINFRA</t>
  </si>
  <si>
    <t>https://in.tradingview.com/chart/ofQQfXOP/?symbol=NSE%3A63MOONS</t>
  </si>
  <si>
    <t>https://in.tradingview.com/chart/bXJLby4L/?symbol=NSE%3A63MOONS</t>
  </si>
  <si>
    <t>ABINFRA</t>
  </si>
  <si>
    <t>A B Infrabuild Ltd</t>
  </si>
  <si>
    <t>NSE%3AAAATECH</t>
  </si>
  <si>
    <t>https://in.tradingview.com/chart/ofQQfXOP/?symbol=NSE%3AABINFRA</t>
  </si>
  <si>
    <t>https://in.tradingview.com/chart/bXJLby4L/?symbol=NSE%3AABINFRA</t>
  </si>
  <si>
    <t>ABMINTLLTD</t>
  </si>
  <si>
    <t>A B M International Ltd</t>
  </si>
  <si>
    <t>NSE%3AAADHARHFC</t>
  </si>
  <si>
    <t>https://in.tradingview.com/chart/ofQQfXOP/?symbol=NSE%3AABMINTLLTD</t>
  </si>
  <si>
    <t>https://in.tradingview.com/chart/bXJLby4L/?symbol=NSE%3AABMINTLLTD</t>
  </si>
  <si>
    <t>A2ZINFRA</t>
  </si>
  <si>
    <t>A2z Infra Engineering Limited</t>
  </si>
  <si>
    <t>NSE%3AAAKASH</t>
  </si>
  <si>
    <t>https://in.tradingview.com/chart/ofQQfXOP/?symbol=NSE%3AA2ZINFRA</t>
  </si>
  <si>
    <t>https://in.tradingview.com/chart/bXJLby4L/?symbol=NSE%3AA2ZINFRA</t>
  </si>
  <si>
    <t>AAATECH</t>
  </si>
  <si>
    <t>AAA Technologies Ltd</t>
  </si>
  <si>
    <t>NSE%3AAAREYDRUGS</t>
  </si>
  <si>
    <t>https://in.tradingview.com/chart/ofQQfXOP/?symbol=NSE%3AAAATECH</t>
  </si>
  <si>
    <t>https://in.tradingview.com/chart/bXJLby4L/?symbol=NSE%3AAAATECH</t>
  </si>
  <si>
    <t>AADHARHFC</t>
  </si>
  <si>
    <t>Aadhar Housing Finance Ltd</t>
  </si>
  <si>
    <t>NSE%3AAARON</t>
  </si>
  <si>
    <t>https://in.tradingview.com/chart/ofQQfXOP/?symbol=NSE%3AAADHARHFC</t>
  </si>
  <si>
    <t>https://in.tradingview.com/chart/bXJLby4L/?symbol=NSE%3AAADHARHFC</t>
  </si>
  <si>
    <t>AAKASH</t>
  </si>
  <si>
    <t>Aakash Exploration Services Ltd</t>
  </si>
  <si>
    <t>NSE%3AAARTECH</t>
  </si>
  <si>
    <t>https://in.tradingview.com/chart/ofQQfXOP/?symbol=NSE%3AAAKASH</t>
  </si>
  <si>
    <t>https://in.tradingview.com/chart/bXJLby4L/?symbol=NSE%3AAAKASH</t>
  </si>
  <si>
    <t>AAREYDRUGS</t>
  </si>
  <si>
    <t>Aarey Drugs &amp; Pharmaceuticals Ltd</t>
  </si>
  <si>
    <t>NSE%3AAARTIDRUGS</t>
  </si>
  <si>
    <t>https://in.tradingview.com/chart/ofQQfXOP/?symbol=NSE%3AAAREYDRUGS</t>
  </si>
  <si>
    <t>https://in.tradingview.com/chart/bXJLby4L/?symbol=NSE%3AAAREYDRUGS</t>
  </si>
  <si>
    <t>AARON</t>
  </si>
  <si>
    <t>Aaron Industries Ltd</t>
  </si>
  <si>
    <t>NSE%3AAARTIIND</t>
  </si>
  <si>
    <t>https://in.tradingview.com/chart/ofQQfXOP/?symbol=NSE%3AAARON</t>
  </si>
  <si>
    <t>https://in.tradingview.com/chart/bXJLby4L/?symbol=NSE%3AAARON</t>
  </si>
  <si>
    <t>AARTECH</t>
  </si>
  <si>
    <t>Aartech Solonics Ltd</t>
  </si>
  <si>
    <t>NSE%3AAARTIPHARM</t>
  </si>
  <si>
    <t>https://in.tradingview.com/chart/ofQQfXOP/?symbol=NSE%3AAARTECH</t>
  </si>
  <si>
    <t>https://in.tradingview.com/chart/bXJLby4L/?symbol=NSE%3AAARTECH</t>
  </si>
  <si>
    <t>AARTIDRUGS</t>
  </si>
  <si>
    <t>Aarti Drugs Limited</t>
  </si>
  <si>
    <t>NSE%3AAARTISURF</t>
  </si>
  <si>
    <t>https://in.tradingview.com/chart/ofQQfXOP/?symbol=NSE%3AAARTIDRUGS</t>
  </si>
  <si>
    <t>https://in.tradingview.com/chart/bXJLby4L/?symbol=NSE%3AAARTIDRUGS</t>
  </si>
  <si>
    <t>AARTIIND</t>
  </si>
  <si>
    <t>Aarti Industries Limited</t>
  </si>
  <si>
    <t>NSE%3AVGL</t>
  </si>
  <si>
    <t>https://in.tradingview.com/chart/ofQQfXOP/?symbol=NSE%3AAARTIIND</t>
  </si>
  <si>
    <t>https://in.tradingview.com/chart/bXJLby4L/?symbol=NSE%3AAARTIIND</t>
  </si>
  <si>
    <t>AARTIPHARM</t>
  </si>
  <si>
    <t>Aarti Pharmalabs Ltd</t>
  </si>
  <si>
    <t>NSE%3AAARVI</t>
  </si>
  <si>
    <t>https://in.tradingview.com/chart/ofQQfXOP/?symbol=NSE%3AAARTIPHARM</t>
  </si>
  <si>
    <t>https://in.tradingview.com/chart/bXJLby4L/?symbol=NSE%3AAARTIPHARM</t>
  </si>
  <si>
    <t>AARTISURF</t>
  </si>
  <si>
    <t>Aarti Surfactants Ltd</t>
  </si>
  <si>
    <t>NSE%3AAAVAS</t>
  </si>
  <si>
    <t>https://in.tradingview.com/chart/ofQQfXOP/?symbol=NSE%3AAARTISURF</t>
  </si>
  <si>
    <t>https://in.tradingview.com/chart/bXJLby4L/?symbol=NSE%3AAARTISURF</t>
  </si>
  <si>
    <t>AARVI</t>
  </si>
  <si>
    <t>Aarvi Encon Ltd</t>
  </si>
  <si>
    <t>NSE%3AABAN</t>
  </si>
  <si>
    <t>https://in.tradingview.com/chart/ofQQfXOP/?symbol=NSE%3AAARVI</t>
  </si>
  <si>
    <t>https://in.tradingview.com/chart/bXJLby4L/?symbol=NSE%3AAARVI</t>
  </si>
  <si>
    <t>AAVAS</t>
  </si>
  <si>
    <t>AAVAS Financiers Ltd</t>
  </si>
  <si>
    <t>NSE%3AABB</t>
  </si>
  <si>
    <t>https://in.tradingview.com/chart/ofQQfXOP/?symbol=NSE%3AAAVAS</t>
  </si>
  <si>
    <t>https://in.tradingview.com/chart/bXJLby4L/?symbol=NSE%3AAAVAS</t>
  </si>
  <si>
    <t>ABCOTS</t>
  </si>
  <si>
    <t>AB Cotspin India Ltd</t>
  </si>
  <si>
    <t>NSE%3AABBOTINDIA</t>
  </si>
  <si>
    <t>https://in.tradingview.com/chart/ofQQfXOP/?symbol=NSE%3AABCOTS</t>
  </si>
  <si>
    <t>https://in.tradingview.com/chart/bXJLby4L/?symbol=NSE%3AABCOTS</t>
  </si>
  <si>
    <t>ABAN</t>
  </si>
  <si>
    <t>Aban Offshore Limited</t>
  </si>
  <si>
    <t>NSE%3AABCAPITAL</t>
  </si>
  <si>
    <t>https://in.tradingview.com/chart/ofQQfXOP/?symbol=NSE%3AABAN</t>
  </si>
  <si>
    <t>https://in.tradingview.com/chart/bXJLby4L/?symbol=NSE%3AABAN</t>
  </si>
  <si>
    <t>AFSL</t>
  </si>
  <si>
    <t>Abans Financial Services Ltd</t>
  </si>
  <si>
    <t>NSE%3AABDL</t>
  </si>
  <si>
    <t>https://in.tradingview.com/chart/ofQQfXOP/?symbol=NSE%3AAFSL</t>
  </si>
  <si>
    <t>https://in.tradingview.com/chart/bXJLby4L/?symbol=NSE%3AAFSL</t>
  </si>
  <si>
    <t>ABB</t>
  </si>
  <si>
    <t>Abb India Limited</t>
  </si>
  <si>
    <t>NSE%3AABFRL</t>
  </si>
  <si>
    <t>https://in.tradingview.com/chart/ofQQfXOP/?symbol=NSE%3AABB</t>
  </si>
  <si>
    <t>https://in.tradingview.com/chart/bXJLby4L/?symbol=NSE%3AABB</t>
  </si>
  <si>
    <t>ABBOTINDIA</t>
  </si>
  <si>
    <t>Abbott India Limited</t>
  </si>
  <si>
    <t>NSE%3AABINFRA</t>
  </si>
  <si>
    <t>https://in.tradingview.com/chart/ofQQfXOP/?symbol=NSE%3AABBOTINDIA</t>
  </si>
  <si>
    <t>https://in.tradingview.com/chart/bXJLby4L/?symbol=NSE%3AABBOTINDIA</t>
  </si>
  <si>
    <t>ACC</t>
  </si>
  <si>
    <t>Acc Limited</t>
  </si>
  <si>
    <t>NSE%3AABMINTLLTD</t>
  </si>
  <si>
    <t>https://in.tradingview.com/chart/ofQQfXOP/?symbol=NSE%3AACC</t>
  </si>
  <si>
    <t>https://in.tradingview.com/chart/bXJLby4L/?symbol=NSE%3AACC</t>
  </si>
  <si>
    <t>ACCELYA</t>
  </si>
  <si>
    <t>Accelya Kale Solutions Limited</t>
  </si>
  <si>
    <t>NSE%3AABREL</t>
  </si>
  <si>
    <t>https://in.tradingview.com/chart/ofQQfXOP/?symbol=NSE%3AACCELYA</t>
  </si>
  <si>
    <t>https://in.tradingview.com/chart/bXJLby4L/?symbol=NSE%3AACCELYA</t>
  </si>
  <si>
    <t>ACCURACY</t>
  </si>
  <si>
    <t>Accuracy Shipping Ltd</t>
  </si>
  <si>
    <t>NSE%3AABSLAMC</t>
  </si>
  <si>
    <t>https://in.tradingview.com/chart/ofQQfXOP/?symbol=NSE%3AACCURACY</t>
  </si>
  <si>
    <t>https://in.tradingview.com/chart/bXJLby4L/?symbol=NSE%3AACCURACY</t>
  </si>
  <si>
    <t>ACEINTEG</t>
  </si>
  <si>
    <t>Ace Integrated Solutions Ltd</t>
  </si>
  <si>
    <t>NSE%3AABSLBANETF</t>
  </si>
  <si>
    <t>https://in.tradingview.com/chart/ofQQfXOP/?symbol=NSE%3AACEINTEG</t>
  </si>
  <si>
    <t>https://in.tradingview.com/chart/bXJLby4L/?symbol=NSE%3AACEINTEG</t>
  </si>
  <si>
    <t>ACMESOLAR</t>
  </si>
  <si>
    <t>ACME Solar Holdings Ltd</t>
  </si>
  <si>
    <t>NSE%3AABSLLIQUID</t>
  </si>
  <si>
    <t>https://in.tradingview.com/chart/ofQQfXOP/?symbol=NSE%3AACMESOLAR</t>
  </si>
  <si>
    <t>https://in.tradingview.com/chart/bXJLby4L/?symbol=NSE%3AACMESOLAR</t>
  </si>
  <si>
    <t>ACE</t>
  </si>
  <si>
    <t>Action Construction Equipment Limited</t>
  </si>
  <si>
    <t>NSE%3AABSLNN50ET</t>
  </si>
  <si>
    <t>https://in.tradingview.com/chart/ofQQfXOP/?symbol=NSE%3AACE</t>
  </si>
  <si>
    <t>https://in.tradingview.com/chart/bXJLby4L/?symbol=NSE%3AACE</t>
  </si>
  <si>
    <t>ACUTAAS</t>
  </si>
  <si>
    <t>Acutaas Chemicals Ltd</t>
  </si>
  <si>
    <t>NSE%3AABSLPSE</t>
  </si>
  <si>
    <t>https://in.tradingview.com/chart/ofQQfXOP/?symbol=NSE%3AACUTAAS</t>
  </si>
  <si>
    <t>https://in.tradingview.com/chart/bXJLby4L/?symbol=NSE%3AACUTAAS</t>
  </si>
  <si>
    <t>ADANIENSOL</t>
  </si>
  <si>
    <t>Adani Energy Solutions Ltd</t>
  </si>
  <si>
    <t>NSE%3AACC</t>
  </si>
  <si>
    <t>https://in.tradingview.com/chart/ofQQfXOP/?symbol=NSE%3AADANIENSOL</t>
  </si>
  <si>
    <t>https://in.tradingview.com/chart/bXJLby4L/?symbol=NSE%3AADANIENSOL</t>
  </si>
  <si>
    <t>ADANIENT</t>
  </si>
  <si>
    <t>Adani Enterprises Limited</t>
  </si>
  <si>
    <t>NSE%3AACCELYA</t>
  </si>
  <si>
    <t>https://in.tradingview.com/chart/ofQQfXOP/?symbol=NSE%3AADANIENT</t>
  </si>
  <si>
    <t>https://in.tradingview.com/chart/bXJLby4L/?symbol=NSE%3AADANIENT</t>
  </si>
  <si>
    <t>ADANIGREEN</t>
  </si>
  <si>
    <t>Adani Green Energy Ltd</t>
  </si>
  <si>
    <t>NSE%3AACCURACY</t>
  </si>
  <si>
    <t>https://in.tradingview.com/chart/ofQQfXOP/?symbol=NSE%3AADANIGREEN</t>
  </si>
  <si>
    <t>https://in.tradingview.com/chart/bXJLby4L/?symbol=NSE%3AADANIGREEN</t>
  </si>
  <si>
    <t>ADANIPORTS</t>
  </si>
  <si>
    <t>Adani Ports And Special Economic Zone Limited</t>
  </si>
  <si>
    <t>NSE%3AACE</t>
  </si>
  <si>
    <t>https://in.tradingview.com/chart/ofQQfXOP/?symbol=NSE%3AADANIPORTS</t>
  </si>
  <si>
    <t>https://in.tradingview.com/chart/bXJLby4L/?symbol=NSE%3AADANIPORTS</t>
  </si>
  <si>
    <t>ADANIPOWER</t>
  </si>
  <si>
    <t>Adani Power Limited</t>
  </si>
  <si>
    <t>NSE%3AACEINTEG</t>
  </si>
  <si>
    <t>https://in.tradingview.com/chart/ofQQfXOP/?symbol=NSE%3AADANIPOWER</t>
  </si>
  <si>
    <t>https://in.tradingview.com/chart/bXJLby4L/?symbol=NSE%3AADANIPOWER</t>
  </si>
  <si>
    <t>ATGL</t>
  </si>
  <si>
    <t>Adani Total Gas Ltd</t>
  </si>
  <si>
    <t>NSE%3AACI</t>
  </si>
  <si>
    <t>https://in.tradingview.com/chart/ofQQfXOP/?symbol=NSE%3AATGL</t>
  </si>
  <si>
    <t>https://in.tradingview.com/chart/bXJLby4L/?symbol=NSE%3AATGL</t>
  </si>
  <si>
    <t>AWL</t>
  </si>
  <si>
    <t>Adani Wilmar Ltd</t>
  </si>
  <si>
    <t>NSE%3AACL</t>
  </si>
  <si>
    <t>https://in.tradingview.com/chart/ofQQfXOP/?symbol=NSE%3AAWL</t>
  </si>
  <si>
    <t>https://in.tradingview.com/chart/bXJLby4L/?symbol=NSE%3AAWL</t>
  </si>
  <si>
    <t>ADFFOODS</t>
  </si>
  <si>
    <t>Adf Foods Limited</t>
  </si>
  <si>
    <t>NSE%3AACLGATI</t>
  </si>
  <si>
    <t>https://in.tradingview.com/chart/ofQQfXOP/?symbol=NSE%3AADFFOODS</t>
  </si>
  <si>
    <t>https://in.tradingview.com/chart/bXJLby4L/?symbol=NSE%3AADFFOODS</t>
  </si>
  <si>
    <t>ABCAPITAL</t>
  </si>
  <si>
    <t>Aditya Birla Capital Ltd</t>
  </si>
  <si>
    <t>NSE%3AACMESOLAR</t>
  </si>
  <si>
    <t>https://in.tradingview.com/chart/ofQQfXOP/?symbol=NSE%3AABCAPITAL</t>
  </si>
  <si>
    <t>https://in.tradingview.com/chart/bXJLby4L/?symbol=NSE%3AABCAPITAL</t>
  </si>
  <si>
    <t>ABFRL</t>
  </si>
  <si>
    <t>Aditya Birla Fashion And Retail Limited</t>
  </si>
  <si>
    <t>NSE%3AADANIENSOL</t>
  </si>
  <si>
    <t>https://in.tradingview.com/chart/ofQQfXOP/?symbol=NSE%3AABFRL</t>
  </si>
  <si>
    <t>https://in.tradingview.com/chart/bXJLby4L/?symbol=NSE%3AABFRL</t>
  </si>
  <si>
    <t>ABLBL</t>
  </si>
  <si>
    <t>Aditya Birla Lifestyle Brands Ltd</t>
  </si>
  <si>
    <t>NSE%3AADANIENT</t>
  </si>
  <si>
    <t>https://in.tradingview.com/chart/ofQQfXOP/?symbol=NSE%3AABLBL</t>
  </si>
  <si>
    <t>https://in.tradingview.com/chart/bXJLby4L/?symbol=NSE%3AABLBL</t>
  </si>
  <si>
    <t>BIRLAMONEY</t>
  </si>
  <si>
    <t>Aditya Birla Money Limited</t>
  </si>
  <si>
    <t>NSE%3AADANIGREEN</t>
  </si>
  <si>
    <t>https://in.tradingview.com/chart/ofQQfXOP/?symbol=NSE%3ABIRLAMONEY</t>
  </si>
  <si>
    <t>https://in.tradingview.com/chart/bXJLby4L/?symbol=NSE%3ABIRLAMONEY</t>
  </si>
  <si>
    <t>ABREL</t>
  </si>
  <si>
    <t>Aditya Birla Real Estate Ltd</t>
  </si>
  <si>
    <t>NSE%3AADANIPORTS</t>
  </si>
  <si>
    <t>https://in.tradingview.com/chart/ofQQfXOP/?symbol=NSE%3AABREL</t>
  </si>
  <si>
    <t>https://in.tradingview.com/chart/bXJLby4L/?symbol=NSE%3AABREL</t>
  </si>
  <si>
    <t>ABSLLIQUID</t>
  </si>
  <si>
    <t>Aditya Birla SL Crisil Overnight Fund AI Index ETF</t>
  </si>
  <si>
    <t>NSE%3AADANIPOWER</t>
  </si>
  <si>
    <t>https://in.tradingview.com/chart/ofQQfXOP/?symbol=NSE%3AABSLLIQUID</t>
  </si>
  <si>
    <t>https://in.tradingview.com/chart/bXJLby4L/?symbol=NSE%3AABSLLIQUID</t>
  </si>
  <si>
    <t>ABSLAMC</t>
  </si>
  <si>
    <t>Aditya Birla Sun Life AMC Ltd</t>
  </si>
  <si>
    <t>NSE%3AADFFOODS</t>
  </si>
  <si>
    <t>https://in.tradingview.com/chart/ofQQfXOP/?symbol=NSE%3AABSLAMC</t>
  </si>
  <si>
    <t>https://in.tradingview.com/chart/bXJLby4L/?symbol=NSE%3AABSLAMC</t>
  </si>
  <si>
    <t>ABSLBANETF</t>
  </si>
  <si>
    <t>Aditya Birla Sun Life Banking ETF</t>
  </si>
  <si>
    <t>NSE%3AADL</t>
  </si>
  <si>
    <t>https://in.tradingview.com/chart/ofQQfXOP/?symbol=NSE%3AABSLBANETF</t>
  </si>
  <si>
    <t>https://in.tradingview.com/chart/bXJLby4L/?symbol=NSE%3AABSLBANETF</t>
  </si>
  <si>
    <t>GSEC10ABSL</t>
  </si>
  <si>
    <t>Aditya Birla Sun Life Crisil 10 Year Gilt ETF</t>
  </si>
  <si>
    <t>NSE%3AADROITINFO</t>
  </si>
  <si>
    <t>https://in.tradingview.com/chart/ofQQfXOP/?symbol=NSE%3AGSEC10ABSL</t>
  </si>
  <si>
    <t>https://in.tradingview.com/chart/bXJLby4L/?symbol=NSE%3AGSEC10ABSL</t>
  </si>
  <si>
    <t>ABGSEC</t>
  </si>
  <si>
    <t>Aditya Birla Sun Life CRISIL Broad Based Gilt ETF</t>
  </si>
  <si>
    <t>NSE%3AADSL</t>
  </si>
  <si>
    <t>https://in.tradingview.com/chart/ofQQfXOP/?symbol=NSE%3AABGSEC</t>
  </si>
  <si>
    <t>https://in.tradingview.com/chart/bXJLby4L/?symbol=NSE%3AABGSEC</t>
  </si>
  <si>
    <t>BSLGOLDETF</t>
  </si>
  <si>
    <t>Aditya Birla Sun Life Gold ETF</t>
  </si>
  <si>
    <t>NSE%3AADVANIHOTR</t>
  </si>
  <si>
    <t>https://in.tradingview.com/chart/ofQQfXOP/?symbol=NSE%3ABSLGOLDETF</t>
  </si>
  <si>
    <t>https://in.tradingview.com/chart/bXJLby4L/?symbol=NSE%3ABSLGOLDETF</t>
  </si>
  <si>
    <t>MOMENTUM</t>
  </si>
  <si>
    <t>Aditya Birla Sun Life Nifty 200 Momentum 30 ETF</t>
  </si>
  <si>
    <t>NSE%3AADVENZYMES</t>
  </si>
  <si>
    <t>https://in.tradingview.com/chart/ofQQfXOP/?symbol=NSE%3AMOMENTUM</t>
  </si>
  <si>
    <t>https://in.tradingview.com/chart/bXJLby4L/?symbol=NSE%3AMOMENTUM</t>
  </si>
  <si>
    <t>NIFTYQLITY</t>
  </si>
  <si>
    <t>Aditya Birla Sun Life Nifty 200 Quality 30 ETF</t>
  </si>
  <si>
    <t>NSE%3AAEGISLOG</t>
  </si>
  <si>
    <t>https://in.tradingview.com/chart/ofQQfXOP/?symbol=NSE%3ANIFTYQLITY</t>
  </si>
  <si>
    <t>https://in.tradingview.com/chart/bXJLby4L/?symbol=NSE%3ANIFTYQLITY</t>
  </si>
  <si>
    <t>BSLNIFTY</t>
  </si>
  <si>
    <t>Aditya Birla Sun Life Nifty 50 ETF</t>
  </si>
  <si>
    <t>NSE%3AAEROFLEX</t>
  </si>
  <si>
    <t>https://in.tradingview.com/chart/ofQQfXOP/?symbol=NSE%3ABSLNIFTY</t>
  </si>
  <si>
    <t>https://in.tradingview.com/chart/bXJLby4L/?symbol=NSE%3ABSLNIFTY</t>
  </si>
  <si>
    <t>HEALTHY</t>
  </si>
  <si>
    <t>Aditya Birla Sun Life NIFTY Healthcare ETF</t>
  </si>
  <si>
    <t>NSE%3AAETHER</t>
  </si>
  <si>
    <t>https://in.tradingview.com/chart/ofQQfXOP/?symbol=NSE%3AHEALTHY</t>
  </si>
  <si>
    <t>https://in.tradingview.com/chart/bXJLby4L/?symbol=NSE%3AHEALTHY</t>
  </si>
  <si>
    <t>TECH</t>
  </si>
  <si>
    <t>Aditya Birla Sun Life Nifty IT ETF</t>
  </si>
  <si>
    <t>NSE%3AAFCONS</t>
  </si>
  <si>
    <t>https://in.tradingview.com/chart/ofQQfXOP/?symbol=NSE%3ATECH</t>
  </si>
  <si>
    <t>https://in.tradingview.com/chart/bXJLby4L/?symbol=NSE%3ATECH</t>
  </si>
  <si>
    <t>ABSLNN50ET</t>
  </si>
  <si>
    <t>Aditya Birla Sun Life Nifty Next 50 ETF</t>
  </si>
  <si>
    <t>NSE%3AAFFLE</t>
  </si>
  <si>
    <t>https://in.tradingview.com/chart/ofQQfXOP/?symbol=NSE%3AABSLNN50ET</t>
  </si>
  <si>
    <t>https://in.tradingview.com/chart/bXJLby4L/?symbol=NSE%3AABSLNN50ET</t>
  </si>
  <si>
    <t>ABSLPSE</t>
  </si>
  <si>
    <t>Aditya Birla Sun Life Nifty PSE ETF</t>
  </si>
  <si>
    <t>NSE%3AAFFORDABLE</t>
  </si>
  <si>
    <t>https://in.tradingview.com/chart/ofQQfXOP/?symbol=NSE%3AABSLPSE</t>
  </si>
  <si>
    <t>https://in.tradingview.com/chart/bXJLby4L/?symbol=NSE%3AABSLPSE</t>
  </si>
  <si>
    <t>SILVER</t>
  </si>
  <si>
    <t>Aditya Birla Sun Life Silver ETF</t>
  </si>
  <si>
    <t>NSE%3AAFIL</t>
  </si>
  <si>
    <t>https://in.tradingview.com/chart/ofQQfXOP/?symbol=NSE%3ASILVER</t>
  </si>
  <si>
    <t>https://in.tradingview.com/chart/bXJLby4L/?symbol=NSE%3ASILVER</t>
  </si>
  <si>
    <t>CPPLUS</t>
  </si>
  <si>
    <t>Aditya Infotech Ltd</t>
  </si>
  <si>
    <t>NSE%3AAGARIND</t>
  </si>
  <si>
    <t>https://in.tradingview.com/chart/ofQQfXOP/?symbol=NSE%3ACPPLUS</t>
  </si>
  <si>
    <t>https://in.tradingview.com/chart/bXJLby4L/?symbol=NSE%3ACPPLUS</t>
  </si>
  <si>
    <t>AVL</t>
  </si>
  <si>
    <t>Aditya Vision Ltd</t>
  </si>
  <si>
    <t>NSE%3AAGARWALEYE</t>
  </si>
  <si>
    <t>https://in.tradingview.com/chart/ofQQfXOP/?symbol=NSE%3AAVL</t>
  </si>
  <si>
    <t>https://in.tradingview.com/chart/bXJLby4L/?symbol=NSE%3AAVL</t>
  </si>
  <si>
    <t>ADOR</t>
  </si>
  <si>
    <t>Ador Welding Ltd</t>
  </si>
  <si>
    <t>NSE%3AAGI</t>
  </si>
  <si>
    <t>https://in.tradingview.com/chart/ofQQfXOP/?symbol=NSE%3AADOR</t>
  </si>
  <si>
    <t>https://in.tradingview.com/chart/bXJLby4L/?symbol=NSE%3AADOR</t>
  </si>
  <si>
    <t>ADROITINFO</t>
  </si>
  <si>
    <t>Adroit Infotech Ltd</t>
  </si>
  <si>
    <t>NSE%3AAGIIL</t>
  </si>
  <si>
    <t>https://in.tradingview.com/chart/ofQQfXOP/?symbol=NSE%3AADROITINFO</t>
  </si>
  <si>
    <t>https://in.tradingview.com/chart/bXJLby4L/?symbol=NSE%3AADROITINFO</t>
  </si>
  <si>
    <t>ADVANCE</t>
  </si>
  <si>
    <t>Advance Agrolife Ltd</t>
  </si>
  <si>
    <t>NSE%3AAGRITECH</t>
  </si>
  <si>
    <t>https://in.tradingview.com/chart/ofQQfXOP/?symbol=NSE%3AADVANCE</t>
  </si>
  <si>
    <t>https://in.tradingview.com/chart/bXJLby4L/?symbol=NSE%3AADVANCE</t>
  </si>
  <si>
    <t>ADVENZYMES</t>
  </si>
  <si>
    <t>Advanced Enzyme Technologies Limited</t>
  </si>
  <si>
    <t>NSE%3AAGROPHOS</t>
  </si>
  <si>
    <t>https://in.tradingview.com/chart/ofQQfXOP/?symbol=NSE%3AADVENZYMES</t>
  </si>
  <si>
    <t>https://in.tradingview.com/chart/bXJLby4L/?symbol=NSE%3AADVENZYMES</t>
  </si>
  <si>
    <t>ADVANIHOTR</t>
  </si>
  <si>
    <t>Advani Hotels &amp; Resorts (india) Limited</t>
  </si>
  <si>
    <t>NSE%3AAGSTRA</t>
  </si>
  <si>
    <t>https://in.tradingview.com/chart/ofQQfXOP/?symbol=NSE%3AADVANIHOTR</t>
  </si>
  <si>
    <t>https://in.tradingview.com/chart/bXJLby4L/?symbol=NSE%3AADVANIHOTR</t>
  </si>
  <si>
    <t>ADVENTHTL</t>
  </si>
  <si>
    <t>Advent Hotels International Ltd</t>
  </si>
  <si>
    <t>NSE%3AAHLADA</t>
  </si>
  <si>
    <t>https://in.tradingview.com/chart/ofQQfXOP/?symbol=NSE%3AADVENTHTL</t>
  </si>
  <si>
    <t>https://in.tradingview.com/chart/bXJLby4L/?symbol=NSE%3AADVENTHTL</t>
  </si>
  <si>
    <t>AEGISLOG</t>
  </si>
  <si>
    <t>Aegis Logistics Ltd</t>
  </si>
  <si>
    <t>NSE%3AAHLEAST</t>
  </si>
  <si>
    <t>https://in.tradingview.com/chart/ofQQfXOP/?symbol=NSE%3AAEGISLOG</t>
  </si>
  <si>
    <t>https://in.tradingview.com/chart/bXJLby4L/?symbol=NSE%3AAEGISLOG</t>
  </si>
  <si>
    <t>AEGISVOPAK</t>
  </si>
  <si>
    <t>Aegis Vopak Terminals Ltd</t>
  </si>
  <si>
    <t>NSE%3AAHLUCONT</t>
  </si>
  <si>
    <t>https://in.tradingview.com/chart/ofQQfXOP/?symbol=NSE%3AAEGISVOPAK</t>
  </si>
  <si>
    <t>https://in.tradingview.com/chart/bXJLby4L/?symbol=NSE%3AAEGISVOPAK</t>
  </si>
  <si>
    <t>AEROENTER</t>
  </si>
  <si>
    <t>Aeroflex Enterprises Ltd</t>
  </si>
  <si>
    <t>NSE%3AAIAENG</t>
  </si>
  <si>
    <t>https://in.tradingview.com/chart/ofQQfXOP/?symbol=NSE%3AAEROENTER</t>
  </si>
  <si>
    <t>https://in.tradingview.com/chart/bXJLby4L/?symbol=NSE%3AAEROENTER</t>
  </si>
  <si>
    <t>AEROFLEX</t>
  </si>
  <si>
    <t>Aeroflex Industries Ltd</t>
  </si>
  <si>
    <t>NSE%3AAIIL</t>
  </si>
  <si>
    <t>https://in.tradingview.com/chart/ofQQfXOP/?symbol=NSE%3AAEROFLEX</t>
  </si>
  <si>
    <t>https://in.tradingview.com/chart/bXJLby4L/?symbol=NSE%3AAEROFLEX</t>
  </si>
  <si>
    <t>AERONEU</t>
  </si>
  <si>
    <t>Aeroflex Neu Ltd</t>
  </si>
  <si>
    <t>NSE%3AAIRAN</t>
  </si>
  <si>
    <t>https://in.tradingview.com/chart/ofQQfXOP/?symbol=NSE%3AAERONEU</t>
  </si>
  <si>
    <t>https://in.tradingview.com/chart/bXJLby4L/?symbol=NSE%3AAERONEU</t>
  </si>
  <si>
    <t>AETHER</t>
  </si>
  <si>
    <t>Aether Industries Ltd</t>
  </si>
  <si>
    <t>NSE%3AAIROLAM</t>
  </si>
  <si>
    <t>https://in.tradingview.com/chart/ofQQfXOP/?symbol=NSE%3AAETHER</t>
  </si>
  <si>
    <t>https://in.tradingview.com/chart/bXJLby4L/?symbol=NSE%3AAETHER</t>
  </si>
  <si>
    <t>AFCONS</t>
  </si>
  <si>
    <t>Afcons Infrastructure Ltd</t>
  </si>
  <si>
    <t>NSE%3AAJANTPHARM</t>
  </si>
  <si>
    <t>https://in.tradingview.com/chart/ofQQfXOP/?symbol=NSE%3AAFCONS</t>
  </si>
  <si>
    <t>https://in.tradingview.com/chart/bXJLby4L/?symbol=NSE%3AAFCONS</t>
  </si>
  <si>
    <t>AFFLE</t>
  </si>
  <si>
    <t>Affle India Ltd</t>
  </si>
  <si>
    <t>NSE%3AAJAXENGG</t>
  </si>
  <si>
    <t>https://in.tradingview.com/chart/ofQQfXOP/?symbol=NSE%3AAFFLE</t>
  </si>
  <si>
    <t>https://in.tradingview.com/chart/bXJLby4L/?symbol=NSE%3AAFFLE</t>
  </si>
  <si>
    <t>AFFORDABLE</t>
  </si>
  <si>
    <t>Affordable Robotic &amp; Automation Ltd</t>
  </si>
  <si>
    <t>NSE%3AAJMERA</t>
  </si>
  <si>
    <t>https://in.tradingview.com/chart/ofQQfXOP/?symbol=NSE%3AAFFORDABLE</t>
  </si>
  <si>
    <t>https://in.tradingview.com/chart/bXJLby4L/?symbol=NSE%3AAFFORDABLE</t>
  </si>
  <si>
    <t>AGARIND</t>
  </si>
  <si>
    <t>Agarwal Industrial Corporation Limited</t>
  </si>
  <si>
    <t>NSE%3AAJOONI</t>
  </si>
  <si>
    <t>https://in.tradingview.com/chart/ofQQfXOP/?symbol=NSE%3AAGARIND</t>
  </si>
  <si>
    <t>https://in.tradingview.com/chart/bXJLby4L/?symbol=NSE%3AAGARIND</t>
  </si>
  <si>
    <t>AGI</t>
  </si>
  <si>
    <t>AGI Greenpac Ltd</t>
  </si>
  <si>
    <t>NSE%3AAKASH</t>
  </si>
  <si>
    <t>https://in.tradingview.com/chart/ofQQfXOP/?symbol=NSE%3AAGI</t>
  </si>
  <si>
    <t>https://in.tradingview.com/chart/bXJLby4L/?symbol=NSE%3AAGI</t>
  </si>
  <si>
    <t>AGIIL</t>
  </si>
  <si>
    <t>AGI Infra Ltd</t>
  </si>
  <si>
    <t>NSE%3AAKG</t>
  </si>
  <si>
    <t>https://in.tradingview.com/chart/ofQQfXOP/?symbol=NSE%3AAGIIL</t>
  </si>
  <si>
    <t>https://in.tradingview.com/chart/bXJLby4L/?symbol=NSE%3AAGIIL</t>
  </si>
  <si>
    <t>AGRITECH</t>
  </si>
  <si>
    <t>Agri-tech (india) Limited</t>
  </si>
  <si>
    <t>NSE%3AAKI</t>
  </si>
  <si>
    <t>https://in.tradingview.com/chart/ofQQfXOP/?symbol=NSE%3AAGRITECH</t>
  </si>
  <si>
    <t>https://in.tradingview.com/chart/bXJLby4L/?symbol=NSE%3AAGRITECH</t>
  </si>
  <si>
    <t>AGROPHOS</t>
  </si>
  <si>
    <t>Agro Phos India Ltd</t>
  </si>
  <si>
    <t>NSE%3AAKSHAR</t>
  </si>
  <si>
    <t>https://in.tradingview.com/chart/ofQQfXOP/?symbol=NSE%3AAGROPHOS</t>
  </si>
  <si>
    <t>https://in.tradingview.com/chart/bXJLby4L/?symbol=NSE%3AAGROPHOS</t>
  </si>
  <si>
    <t>AHLADA</t>
  </si>
  <si>
    <t>Ahlada Engineers Ltd</t>
  </si>
  <si>
    <t>NSE%3AAKSHARCHEM</t>
  </si>
  <si>
    <t>https://in.tradingview.com/chart/ofQQfXOP/?symbol=NSE%3AAHLADA</t>
  </si>
  <si>
    <t>https://in.tradingview.com/chart/bXJLby4L/?symbol=NSE%3AAHLADA</t>
  </si>
  <si>
    <t>AHLUCONT</t>
  </si>
  <si>
    <t>Ahluwalia Contracts (india) Limited</t>
  </si>
  <si>
    <t>NSE%3AAKSHOPTFBR</t>
  </si>
  <si>
    <t>https://in.tradingview.com/chart/ofQQfXOP/?symbol=NSE%3AAHLUCONT</t>
  </si>
  <si>
    <t>https://in.tradingview.com/chart/bXJLby4L/?symbol=NSE%3AAHLUCONT</t>
  </si>
  <si>
    <t>AIAENG</t>
  </si>
  <si>
    <t>Aia Engineering Limited</t>
  </si>
  <si>
    <t>NSE%3AAKUMS</t>
  </si>
  <si>
    <t>https://in.tradingview.com/chart/ofQQfXOP/?symbol=NSE%3AAIAENG</t>
  </si>
  <si>
    <t>https://in.tradingview.com/chart/bXJLby4L/?symbol=NSE%3AAIAENG</t>
  </si>
  <si>
    <t>AIRAN</t>
  </si>
  <si>
    <t>Airan Ltd</t>
  </si>
  <si>
    <t>NSE%3AAKZOINDIA</t>
  </si>
  <si>
    <t>https://in.tradingview.com/chart/ofQQfXOP/?symbol=NSE%3AAIRAN</t>
  </si>
  <si>
    <t>https://in.tradingview.com/chart/bXJLby4L/?symbol=NSE%3AAIRAN</t>
  </si>
  <si>
    <t>AIROLAM</t>
  </si>
  <si>
    <t>Airo Lam Ltd</t>
  </si>
  <si>
    <t>NSE%3AALANKIT</t>
  </si>
  <si>
    <t>https://in.tradingview.com/chart/ofQQfXOP/?symbol=NSE%3AAIROLAM</t>
  </si>
  <si>
    <t>https://in.tradingview.com/chart/bXJLby4L/?symbol=NSE%3AAIROLAM</t>
  </si>
  <si>
    <t>AJANTPHARM</t>
  </si>
  <si>
    <t>Ajanta Pharma Limited</t>
  </si>
  <si>
    <t>NSE%3AALBERTDAVD</t>
  </si>
  <si>
    <t>https://in.tradingview.com/chart/ofQQfXOP/?symbol=NSE%3AAJANTPHARM</t>
  </si>
  <si>
    <t>https://in.tradingview.com/chart/bXJLby4L/?symbol=NSE%3AAJANTPHARM</t>
  </si>
  <si>
    <t>AJAXENGG</t>
  </si>
  <si>
    <t>Ajax Engineering Ltd</t>
  </si>
  <si>
    <t>NSE%3AALEMBICLTD</t>
  </si>
  <si>
    <t>https://in.tradingview.com/chart/ofQQfXOP/?symbol=NSE%3AAJAXENGG</t>
  </si>
  <si>
    <t>https://in.tradingview.com/chart/bXJLby4L/?symbol=NSE%3AAJAXENGG</t>
  </si>
  <si>
    <t>AJMERA</t>
  </si>
  <si>
    <t>Ajmera Realty &amp; Infra India Limited</t>
  </si>
  <si>
    <t>NSE%3AALICON</t>
  </si>
  <si>
    <t>https://in.tradingview.com/chart/ofQQfXOP/?symbol=NSE%3AAJMERA</t>
  </si>
  <si>
    <t>https://in.tradingview.com/chart/bXJLby4L/?symbol=NSE%3AAJMERA</t>
  </si>
  <si>
    <t>AKASH</t>
  </si>
  <si>
    <t>Akash Infraprojects Ltd</t>
  </si>
  <si>
    <t>NSE%3AALIVUS</t>
  </si>
  <si>
    <t>https://in.tradingview.com/chart/ofQQfXOP/?symbol=NSE%3AAKASH</t>
  </si>
  <si>
    <t>https://in.tradingview.com/chart/bXJLby4L/?symbol=NSE%3AAKASH</t>
  </si>
  <si>
    <t>AKG</t>
  </si>
  <si>
    <t>AKG Exim Ltd</t>
  </si>
  <si>
    <t>NSE%3AALKALI</t>
  </si>
  <si>
    <t>https://in.tradingview.com/chart/ofQQfXOP/?symbol=NSE%3AAKG</t>
  </si>
  <si>
    <t>https://in.tradingview.com/chart/bXJLby4L/?symbol=NSE%3AAKG</t>
  </si>
  <si>
    <t>AKI</t>
  </si>
  <si>
    <t>AKI India Ltd</t>
  </si>
  <si>
    <t>NSE%3AALKEM</t>
  </si>
  <si>
    <t>https://in.tradingview.com/chart/ofQQfXOP/?symbol=NSE%3AAKI</t>
  </si>
  <si>
    <t>https://in.tradingview.com/chart/bXJLby4L/?symbol=NSE%3AAKI</t>
  </si>
  <si>
    <t>AFIL</t>
  </si>
  <si>
    <t>Akme Fintrade (India) Ltd</t>
  </si>
  <si>
    <t>NSE%3AALKYLAMINE</t>
  </si>
  <si>
    <t>https://in.tradingview.com/chart/ofQQfXOP/?symbol=NSE%3AAFIL</t>
  </si>
  <si>
    <t>https://in.tradingview.com/chart/bXJLby4L/?symbol=NSE%3AAFIL</t>
  </si>
  <si>
    <t>AKSHOPTFBR</t>
  </si>
  <si>
    <t>Aksh Optifibre Limited</t>
  </si>
  <si>
    <t>NSE%3AALLCARGO</t>
  </si>
  <si>
    <t>https://in.tradingview.com/chart/ofQQfXOP/?symbol=NSE%3AAKSHOPTFBR</t>
  </si>
  <si>
    <t>https://in.tradingview.com/chart/bXJLby4L/?symbol=NSE%3AAKSHOPTFBR</t>
  </si>
  <si>
    <t>AKSHARCHEM</t>
  </si>
  <si>
    <t>AksharChem (India) Ltd</t>
  </si>
  <si>
    <t>NSE%3AALLDIGI</t>
  </si>
  <si>
    <t>https://in.tradingview.com/chart/ofQQfXOP/?symbol=NSE%3AAKSHARCHEM</t>
  </si>
  <si>
    <t>https://in.tradingview.com/chart/bXJLby4L/?symbol=NSE%3AAKSHARCHEM</t>
  </si>
  <si>
    <t>AKUMS</t>
  </si>
  <si>
    <t>Akums Drugs &amp; Pharmaceuticals Ltd</t>
  </si>
  <si>
    <t>NSE%3AALMONDZ</t>
  </si>
  <si>
    <t>https://in.tradingview.com/chart/ofQQfXOP/?symbol=NSE%3AAKUMS</t>
  </si>
  <si>
    <t>https://in.tradingview.com/chart/bXJLby4L/?symbol=NSE%3AAKUMS</t>
  </si>
  <si>
    <t>AKZOINDIA</t>
  </si>
  <si>
    <t>Akzo Nobel India Limited</t>
  </si>
  <si>
    <t>NSE%3AALOKINDS</t>
  </si>
  <si>
    <t>https://in.tradingview.com/chart/ofQQfXOP/?symbol=NSE%3AAKZOINDIA</t>
  </si>
  <si>
    <t>https://in.tradingview.com/chart/bXJLby4L/?symbol=NSE%3AAKZOINDIA</t>
  </si>
  <si>
    <t>ALANKIT</t>
  </si>
  <si>
    <t>Alankit Limited</t>
  </si>
  <si>
    <t>NSE%3AALPA</t>
  </si>
  <si>
    <t>https://in.tradingview.com/chart/ofQQfXOP/?symbol=NSE%3AALANKIT</t>
  </si>
  <si>
    <t>https://in.tradingview.com/chart/bXJLby4L/?symbol=NSE%3AALANKIT</t>
  </si>
  <si>
    <t>ALBERTDAVD</t>
  </si>
  <si>
    <t>Albert David Limited</t>
  </si>
  <si>
    <t>NSE%3AALPHA</t>
  </si>
  <si>
    <t>https://in.tradingview.com/chart/ofQQfXOP/?symbol=NSE%3AALBERTDAVD</t>
  </si>
  <si>
    <t>https://in.tradingview.com/chart/bXJLby4L/?symbol=NSE%3AALBERTDAVD</t>
  </si>
  <si>
    <t>ALEMBICLTD</t>
  </si>
  <si>
    <t>Alembic Limited</t>
  </si>
  <si>
    <t>NSE%3AALPHAETF</t>
  </si>
  <si>
    <t>https://in.tradingview.com/chart/ofQQfXOP/?symbol=NSE%3AALEMBICLTD</t>
  </si>
  <si>
    <t>https://in.tradingview.com/chart/bXJLby4L/?symbol=NSE%3AALEMBICLTD</t>
  </si>
  <si>
    <t>APLLTD</t>
  </si>
  <si>
    <t>Alembic Pharmaceuticals Limited</t>
  </si>
  <si>
    <t>NSE%3AALPHAGEO</t>
  </si>
  <si>
    <t>https://in.tradingview.com/chart/ofQQfXOP/?symbol=NSE%3AAPLLTD</t>
  </si>
  <si>
    <t>https://in.tradingview.com/chart/bXJLby4L/?symbol=NSE%3AAPLLTD</t>
  </si>
  <si>
    <t>ALICON</t>
  </si>
  <si>
    <t>Alicon Castalloy Limited</t>
  </si>
  <si>
    <t>NSE%3AALPL30IETF</t>
  </si>
  <si>
    <t>https://in.tradingview.com/chart/ofQQfXOP/?symbol=NSE%3AALICON</t>
  </si>
  <si>
    <t>https://in.tradingview.com/chart/bXJLby4L/?symbol=NSE%3AALICON</t>
  </si>
  <si>
    <t>ALIVUS</t>
  </si>
  <si>
    <t>Alivus Life Sciences Ltd</t>
  </si>
  <si>
    <t>NSE%3AALPSINDUS</t>
  </si>
  <si>
    <t>https://in.tradingview.com/chart/ofQQfXOP/?symbol=NSE%3AALIVUS</t>
  </si>
  <si>
    <t>https://in.tradingview.com/chart/bXJLby4L/?symbol=NSE%3AALIVUS</t>
  </si>
  <si>
    <t>ALKALI</t>
  </si>
  <si>
    <t>Alkali Metals Limited</t>
  </si>
  <si>
    <t>NSE%3AAMBER</t>
  </si>
  <si>
    <t>https://in.tradingview.com/chart/ofQQfXOP/?symbol=NSE%3AALKALI</t>
  </si>
  <si>
    <t>https://in.tradingview.com/chart/bXJLby4L/?symbol=NSE%3AALKALI</t>
  </si>
  <si>
    <t>ALKEM</t>
  </si>
  <si>
    <t>Alkem Laboratories Limited</t>
  </si>
  <si>
    <t>NSE%3AAMBICAAGAR</t>
  </si>
  <si>
    <t>https://in.tradingview.com/chart/ofQQfXOP/?symbol=NSE%3AALKEM</t>
  </si>
  <si>
    <t>https://in.tradingview.com/chart/bXJLby4L/?symbol=NSE%3AALKEM</t>
  </si>
  <si>
    <t>ALKYLAMINE</t>
  </si>
  <si>
    <t>Alkyl Amines Chemicals Limited</t>
  </si>
  <si>
    <t>NSE%3AAMBIKCO</t>
  </si>
  <si>
    <t>https://in.tradingview.com/chart/ofQQfXOP/?symbol=NSE%3AALKYLAMINE</t>
  </si>
  <si>
    <t>https://in.tradingview.com/chart/bXJLby4L/?symbol=NSE%3AALKYLAMINE</t>
  </si>
  <si>
    <t>ALLTIME</t>
  </si>
  <si>
    <t>All Time Plastics Ltd</t>
  </si>
  <si>
    <t>NSE%3AAMBUJACEM</t>
  </si>
  <si>
    <t>https://in.tradingview.com/chart/ofQQfXOP/?symbol=NSE%3AALLTIME</t>
  </si>
  <si>
    <t>https://in.tradingview.com/chart/bXJLby4L/?symbol=NSE%3AALLTIME</t>
  </si>
  <si>
    <t>ALLCARGO</t>
  </si>
  <si>
    <t>Allcargo Logistics Limited</t>
  </si>
  <si>
    <t>NSE%3AAMDIND</t>
  </si>
  <si>
    <t>https://in.tradingview.com/chart/ofQQfXOP/?symbol=NSE%3AALLCARGO</t>
  </si>
  <si>
    <t>https://in.tradingview.com/chart/bXJLby4L/?symbol=NSE%3AALLCARGO</t>
  </si>
  <si>
    <t>ATL</t>
  </si>
  <si>
    <t>Allcargo Terminals Ltd</t>
  </si>
  <si>
    <t>NSE%3AACUTAAS</t>
  </si>
  <si>
    <t>https://in.tradingview.com/chart/ofQQfXOP/?symbol=NSE%3AATL</t>
  </si>
  <si>
    <t>https://in.tradingview.com/chart/bXJLby4L/?symbol=NSE%3AATL</t>
  </si>
  <si>
    <t>ALLDIGI</t>
  </si>
  <si>
    <t>Alldigi Tech Ltd</t>
  </si>
  <si>
    <t>NSE%3AAMJLAND</t>
  </si>
  <si>
    <t>https://in.tradingview.com/chart/ofQQfXOP/?symbol=NSE%3AALLDIGI</t>
  </si>
  <si>
    <t>https://in.tradingview.com/chart/bXJLby4L/?symbol=NSE%3AALLDIGI</t>
  </si>
  <si>
    <t>ABDL</t>
  </si>
  <si>
    <t>Allied Blenders &amp; Distillers Ltd</t>
  </si>
  <si>
    <t>NSE%3AAMNPLST</t>
  </si>
  <si>
    <t>https://in.tradingview.com/chart/ofQQfXOP/?symbol=NSE%3AABDL</t>
  </si>
  <si>
    <t>https://in.tradingview.com/chart/bXJLby4L/?symbol=NSE%3AABDL</t>
  </si>
  <si>
    <t>ADSL</t>
  </si>
  <si>
    <t>Allied Digital Services Limited</t>
  </si>
  <si>
    <t>NSE%3AAMRUTANJAN</t>
  </si>
  <si>
    <t>https://in.tradingview.com/chart/ofQQfXOP/?symbol=NSE%3AADSL</t>
  </si>
  <si>
    <t>https://in.tradingview.com/chart/bXJLby4L/?symbol=NSE%3AADSL</t>
  </si>
  <si>
    <t>ALMONDZ</t>
  </si>
  <si>
    <t>Almondz Global Securities Limited</t>
  </si>
  <si>
    <t>NSE%3AANANDRATHI</t>
  </si>
  <si>
    <t>https://in.tradingview.com/chart/ofQQfXOP/?symbol=NSE%3AALMONDZ</t>
  </si>
  <si>
    <t>https://in.tradingview.com/chart/bXJLby4L/?symbol=NSE%3AALMONDZ</t>
  </si>
  <si>
    <t>ALOKINDS</t>
  </si>
  <si>
    <t>Alok Industries Ltd</t>
  </si>
  <si>
    <t>NSE%3AANANTRAJ</t>
  </si>
  <si>
    <t>https://in.tradingview.com/chart/ofQQfXOP/?symbol=NSE%3AALOKINDS</t>
  </si>
  <si>
    <t>https://in.tradingview.com/chart/bXJLby4L/?symbol=NSE%3AALOKINDS</t>
  </si>
  <si>
    <t>ALPA</t>
  </si>
  <si>
    <t>Alpa Laboratories Limited</t>
  </si>
  <si>
    <t>NSE%3AANDHRAPAP</t>
  </si>
  <si>
    <t>https://in.tradingview.com/chart/ofQQfXOP/?symbol=NSE%3AALPA</t>
  </si>
  <si>
    <t>https://in.tradingview.com/chart/bXJLby4L/?symbol=NSE%3AALPA</t>
  </si>
  <si>
    <t>ALPHAGEO</t>
  </si>
  <si>
    <t>Alphageo (india) Limited</t>
  </si>
  <si>
    <t>NSE%3AANDHRSUGAR</t>
  </si>
  <si>
    <t>https://in.tradingview.com/chart/ofQQfXOP/?symbol=NSE%3AALPHAGEO</t>
  </si>
  <si>
    <t>https://in.tradingview.com/chart/bXJLby4L/?symbol=NSE%3AALPHAGEO</t>
  </si>
  <si>
    <t>AMANTA</t>
  </si>
  <si>
    <t>Amanta Healthcare Ltd</t>
  </si>
  <si>
    <t>NSE%3AANGELONE</t>
  </si>
  <si>
    <t>https://in.tradingview.com/chart/ofQQfXOP/?symbol=NSE%3AAMANTA</t>
  </si>
  <si>
    <t>https://in.tradingview.com/chart/bXJLby4L/?symbol=NSE%3AAMANTA</t>
  </si>
  <si>
    <t>ARE&amp;M</t>
  </si>
  <si>
    <t>Amara Raja Energy &amp; Mobility Ltd</t>
  </si>
  <si>
    <t>NSE%3AANIKINDS</t>
  </si>
  <si>
    <t>https://in.tradingview.com/chart/ofQQfXOP/?symbol=NSE%3AARE&amp;M</t>
  </si>
  <si>
    <t>https://in.tradingview.com/chart/bXJLby4L/?symbol=NSE%3AARE&amp;M</t>
  </si>
  <si>
    <t>AMBER</t>
  </si>
  <si>
    <t>Amber Enterprises India Ltd</t>
  </si>
  <si>
    <t>NSE%3AANMOL</t>
  </si>
  <si>
    <t>https://in.tradingview.com/chart/ofQQfXOP/?symbol=NSE%3AAMBER</t>
  </si>
  <si>
    <t>https://in.tradingview.com/chart/bXJLby4L/?symbol=NSE%3AAMBER</t>
  </si>
  <si>
    <t>AMBICAAGAR</t>
  </si>
  <si>
    <t>Ambica Agarbathies Aroma &amp; Industries Ltd</t>
  </si>
  <si>
    <t>NSE%3AANSALAPI</t>
  </si>
  <si>
    <t>https://in.tradingview.com/chart/ofQQfXOP/?symbol=NSE%3AAMBICAAGAR</t>
  </si>
  <si>
    <t>https://in.tradingview.com/chart/bXJLby4L/?symbol=NSE%3AAMBICAAGAR</t>
  </si>
  <si>
    <t>AMBIKCO</t>
  </si>
  <si>
    <t>Ambika Cotton Mills Limited</t>
  </si>
  <si>
    <t>NSE%3AANTGRAPHIC</t>
  </si>
  <si>
    <t>https://in.tradingview.com/chart/ofQQfXOP/?symbol=NSE%3AAMBIKCO</t>
  </si>
  <si>
    <t>https://in.tradingview.com/chart/bXJLby4L/?symbol=NSE%3AAMBIKCO</t>
  </si>
  <si>
    <t>AMBUJACEM</t>
  </si>
  <si>
    <t>Ambuja Cements Limited</t>
  </si>
  <si>
    <t>NSE%3AANUHPHR</t>
  </si>
  <si>
    <t>https://in.tradingview.com/chart/ofQQfXOP/?symbol=NSE%3AAMBUJACEM</t>
  </si>
  <si>
    <t>https://in.tradingview.com/chart/bXJLby4L/?symbol=NSE%3AAMBUJACEM</t>
  </si>
  <si>
    <t>AMDIND</t>
  </si>
  <si>
    <t>Amd Industries Limited</t>
  </si>
  <si>
    <t>NSE%3AANUP</t>
  </si>
  <si>
    <t>https://in.tradingview.com/chart/ofQQfXOP/?symbol=NSE%3AAMDIND</t>
  </si>
  <si>
    <t>https://in.tradingview.com/chart/bXJLby4L/?symbol=NSE%3AAMDIND</t>
  </si>
  <si>
    <t>AMNPLST</t>
  </si>
  <si>
    <t>Amines &amp; Plasticizers Ltd</t>
  </si>
  <si>
    <t>NSE%3AANURAS</t>
  </si>
  <si>
    <t>https://in.tradingview.com/chart/ofQQfXOP/?symbol=NSE%3AAMNPLST</t>
  </si>
  <si>
    <t>https://in.tradingview.com/chart/bXJLby4L/?symbol=NSE%3AAMNPLST</t>
  </si>
  <si>
    <t>AMJLAND</t>
  </si>
  <si>
    <t>AMJ Land Holdings Ltd</t>
  </si>
  <si>
    <t>NSE%3AAONETOTAL</t>
  </si>
  <si>
    <t>https://in.tradingview.com/chart/ofQQfXOP/?symbol=NSE%3AAMJLAND</t>
  </si>
  <si>
    <t>https://in.tradingview.com/chart/bXJLby4L/?symbol=NSE%3AAMJLAND</t>
  </si>
  <si>
    <t>AMRUTANJAN</t>
  </si>
  <si>
    <t>Amrutanjan Health Care Limited</t>
  </si>
  <si>
    <t>NSE%3AAPARINDS</t>
  </si>
  <si>
    <t>https://in.tradingview.com/chart/ofQQfXOP/?symbol=NSE%3AAMRUTANJAN</t>
  </si>
  <si>
    <t>https://in.tradingview.com/chart/bXJLby4L/?symbol=NSE%3AAMRUTANJAN</t>
  </si>
  <si>
    <t>ARSSBL</t>
  </si>
  <si>
    <t>Anand Rathi Share &amp; Stock Brokers Ltd</t>
  </si>
  <si>
    <t>NSE%3AAPCL</t>
  </si>
  <si>
    <t>https://in.tradingview.com/chart/ofQQfXOP/?symbol=NSE%3AARSSBL</t>
  </si>
  <si>
    <t>https://in.tradingview.com/chart/bXJLby4L/?symbol=NSE%3AARSSBL</t>
  </si>
  <si>
    <t>ANANDRATHI</t>
  </si>
  <si>
    <t>Anand Rathi Wealth Ltd</t>
  </si>
  <si>
    <t>NSE%3AAPCOTEXIND</t>
  </si>
  <si>
    <t>https://in.tradingview.com/chart/ofQQfXOP/?symbol=NSE%3AANANDRATHI</t>
  </si>
  <si>
    <t>https://in.tradingview.com/chart/bXJLby4L/?symbol=NSE%3AANANDRATHI</t>
  </si>
  <si>
    <t>TARC</t>
  </si>
  <si>
    <t>Anant Raj Global Ltd</t>
  </si>
  <si>
    <t>NSE%3AAPEX</t>
  </si>
  <si>
    <t>https://in.tradingview.com/chart/ofQQfXOP/?symbol=NSE%3ATARC</t>
  </si>
  <si>
    <t>https://in.tradingview.com/chart/bXJLby4L/?symbol=NSE%3ATARC</t>
  </si>
  <si>
    <t>ANANTRAJ</t>
  </si>
  <si>
    <t>Anant Raj Limited</t>
  </si>
  <si>
    <t>NSE%3AAPLAPOLLO</t>
  </si>
  <si>
    <t>https://in.tradingview.com/chart/ofQQfXOP/?symbol=NSE%3AANANTRAJ</t>
  </si>
  <si>
    <t>https://in.tradingview.com/chart/bXJLby4L/?symbol=NSE%3AANANTRAJ</t>
  </si>
  <si>
    <t>ACL</t>
  </si>
  <si>
    <t>Andhra Cements Ltd</t>
  </si>
  <si>
    <t>NSE%3AAPLLTD</t>
  </si>
  <si>
    <t>https://in.tradingview.com/chart/ofQQfXOP/?symbol=NSE%3AACL</t>
  </si>
  <si>
    <t>https://in.tradingview.com/chart/bXJLby4L/?symbol=NSE%3AACL</t>
  </si>
  <si>
    <t>ANDHRAPAP</t>
  </si>
  <si>
    <t>Andhra Paper Ltd</t>
  </si>
  <si>
    <t>NSE%3AAPOLLO</t>
  </si>
  <si>
    <t>https://in.tradingview.com/chart/ofQQfXOP/?symbol=NSE%3AANDHRAPAP</t>
  </si>
  <si>
    <t>https://in.tradingview.com/chart/bXJLby4L/?symbol=NSE%3AANDHRAPAP</t>
  </si>
  <si>
    <t>AONEGOLD</t>
  </si>
  <si>
    <t>Angel One Gold ETF</t>
  </si>
  <si>
    <t>NSE%3AAPOLLOHOSP</t>
  </si>
  <si>
    <t>https://in.tradingview.com/chart/ofQQfXOP/?symbol=NSE%3AAONEGOLD</t>
  </si>
  <si>
    <t>https://in.tradingview.com/chart/bXJLby4L/?symbol=NSE%3AAONEGOLD</t>
  </si>
  <si>
    <t>ANGELONE</t>
  </si>
  <si>
    <t>Angel One Ltd</t>
  </si>
  <si>
    <t>NSE%3AAPOLLOPIPE</t>
  </si>
  <si>
    <t>https://in.tradingview.com/chart/ofQQfXOP/?symbol=NSE%3AANGELONE</t>
  </si>
  <si>
    <t>https://in.tradingview.com/chart/bXJLby4L/?symbol=NSE%3AANGELONE</t>
  </si>
  <si>
    <t>AONELIQUID</t>
  </si>
  <si>
    <t>Angel One Nifty 1D Rate Liquid ETF - Growth</t>
  </si>
  <si>
    <t>NSE%3AAPOLLOTYRE</t>
  </si>
  <si>
    <t>https://in.tradingview.com/chart/ofQQfXOP/?symbol=NSE%3AAONELIQUID</t>
  </si>
  <si>
    <t>https://in.tradingview.com/chart/bXJLby4L/?symbol=NSE%3AAONELIQUID</t>
  </si>
  <si>
    <t>AONETOTAL</t>
  </si>
  <si>
    <t>Angel One Nifty Total Market ETF</t>
  </si>
  <si>
    <t>NSE%3AAPOLSINHOT</t>
  </si>
  <si>
    <t>https://in.tradingview.com/chart/ofQQfXOP/?symbol=NSE%3AAONETOTAL</t>
  </si>
  <si>
    <t>https://in.tradingview.com/chart/bXJLby4L/?symbol=NSE%3AAONETOTAL</t>
  </si>
  <si>
    <t>AONETMMQ50</t>
  </si>
  <si>
    <t>Angel One Nifty Total Market Momentum Qual. 50 ETF</t>
  </si>
  <si>
    <t>NSE%3AAPTECHT</t>
  </si>
  <si>
    <t>https://in.tradingview.com/chart/ofQQfXOP/?symbol=NSE%3AAONETMMQ50</t>
  </si>
  <si>
    <t>https://in.tradingview.com/chart/bXJLby4L/?symbol=NSE%3AAONETMMQ50</t>
  </si>
  <si>
    <t>ANIKINDS</t>
  </si>
  <si>
    <t>Anik Industries Limited</t>
  </si>
  <si>
    <t>NSE%3AAPTUS</t>
  </si>
  <si>
    <t>https://in.tradingview.com/chart/ofQQfXOP/?symbol=NSE%3AANIKINDS</t>
  </si>
  <si>
    <t>https://in.tradingview.com/chart/bXJLby4L/?symbol=NSE%3AANIKINDS</t>
  </si>
  <si>
    <t>APCL</t>
  </si>
  <si>
    <t>Anjani Portland Cement Ltd.-$</t>
  </si>
  <si>
    <t>NSE%3AARCHIDPLY</t>
  </si>
  <si>
    <t>https://in.tradingview.com/chart/ofQQfXOP/?symbol=NSE%3AAPCL</t>
  </si>
  <si>
    <t>https://in.tradingview.com/chart/bXJLby4L/?symbol=NSE%3AAPCL</t>
  </si>
  <si>
    <t>AHCL</t>
  </si>
  <si>
    <t>Anlon Healthcare Ltd</t>
  </si>
  <si>
    <t>NSE%3AARCHIES</t>
  </si>
  <si>
    <t>https://in.tradingview.com/chart/ofQQfXOP/?symbol=NSE%3AAHCL</t>
  </si>
  <si>
    <t>https://in.tradingview.com/chart/bXJLby4L/?symbol=NSE%3AAHCL</t>
  </si>
  <si>
    <t>ANMOL</t>
  </si>
  <si>
    <t>Anmol India Ltd</t>
  </si>
  <si>
    <t>NSE%3AARE_M</t>
  </si>
  <si>
    <t>https://in.tradingview.com/chart/ofQQfXOP/?symbol=NSE%3AANMOL</t>
  </si>
  <si>
    <t>https://in.tradingview.com/chart/bXJLby4L/?symbol=NSE%3AANMOL</t>
  </si>
  <si>
    <t>ANTELOPUS</t>
  </si>
  <si>
    <t>Antelopus Selan Energy Ltd</t>
  </si>
  <si>
    <t>NSE%3AARENTERP</t>
  </si>
  <si>
    <t>https://in.tradingview.com/chart/ofQQfXOP/?symbol=NSE%3AANTELOPUS</t>
  </si>
  <si>
    <t>https://in.tradingview.com/chart/bXJLby4L/?symbol=NSE%3AANTELOPUS</t>
  </si>
  <si>
    <t>ANTHEM</t>
  </si>
  <si>
    <t>Anthem Biosciences Ltd</t>
  </si>
  <si>
    <t>NSE%3AARIES</t>
  </si>
  <si>
    <t>https://in.tradingview.com/chart/ofQQfXOP/?symbol=NSE%3AANTHEM</t>
  </si>
  <si>
    <t>https://in.tradingview.com/chart/bXJLby4L/?symbol=NSE%3AANTHEM</t>
  </si>
  <si>
    <t>AWHCL</t>
  </si>
  <si>
    <t>Antony Waste Handling Cell Ltd</t>
  </si>
  <si>
    <t>NSE%3AARIHANTCAP</t>
  </si>
  <si>
    <t>https://in.tradingview.com/chart/ofQQfXOP/?symbol=NSE%3AAWHCL</t>
  </si>
  <si>
    <t>https://in.tradingview.com/chart/bXJLby4L/?symbol=NSE%3AAWHCL</t>
  </si>
  <si>
    <t>ANUHPHR</t>
  </si>
  <si>
    <t>Anuh Pharma Ltd</t>
  </si>
  <si>
    <t>NSE%3AARIHANTSUP</t>
  </si>
  <si>
    <t>https://in.tradingview.com/chart/ofQQfXOP/?symbol=NSE%3AANUHPHR</t>
  </si>
  <si>
    <t>https://in.tradingview.com/chart/bXJLby4L/?symbol=NSE%3AANUHPHR</t>
  </si>
  <si>
    <t>ANURAS</t>
  </si>
  <si>
    <t>Anupam Rasayan India Ltd</t>
  </si>
  <si>
    <t>NSE%3AARKADE</t>
  </si>
  <si>
    <t>https://in.tradingview.com/chart/ofQQfXOP/?symbol=NSE%3AANURAS</t>
  </si>
  <si>
    <t>https://in.tradingview.com/chart/bXJLby4L/?symbol=NSE%3AANURAS</t>
  </si>
  <si>
    <t>AONENIFTY</t>
  </si>
  <si>
    <t>NSE%3AARMANFIN</t>
  </si>
  <si>
    <t>https://in.tradingview.com/chart/ofQQfXOP/?symbol=NSE%3AAONENIFTY</t>
  </si>
  <si>
    <t>https://in.tradingview.com/chart/bXJLby4L/?symbol=NSE%3AAONENIFTY</t>
  </si>
  <si>
    <t>APARINDS</t>
  </si>
  <si>
    <t>Apar Industries Limited</t>
  </si>
  <si>
    <t>NSE%3AAROGRANITE</t>
  </si>
  <si>
    <t>https://in.tradingview.com/chart/ofQQfXOP/?symbol=NSE%3AAPARINDS</t>
  </si>
  <si>
    <t>https://in.tradingview.com/chart/bXJLby4L/?symbol=NSE%3AAPARINDS</t>
  </si>
  <si>
    <t>APCOTEXIND</t>
  </si>
  <si>
    <t>Apcotex Industries Limited</t>
  </si>
  <si>
    <t>NSE%3AARROWGREEN</t>
  </si>
  <si>
    <t>https://in.tradingview.com/chart/ofQQfXOP/?symbol=NSE%3AAPCOTEXIND</t>
  </si>
  <si>
    <t>https://in.tradingview.com/chart/bXJLby4L/?symbol=NSE%3AAPCOTEXIND</t>
  </si>
  <si>
    <t>PARKHOTELS</t>
  </si>
  <si>
    <t>Apeejay Surrendra Park Hotels Ltd</t>
  </si>
  <si>
    <t>NSE%3AARTEMISMED</t>
  </si>
  <si>
    <t>https://in.tradingview.com/chart/ofQQfXOP/?symbol=NSE%3APARKHOTELS</t>
  </si>
  <si>
    <t>https://in.tradingview.com/chart/bXJLby4L/?symbol=NSE%3APARKHOTELS</t>
  </si>
  <si>
    <t>APEX</t>
  </si>
  <si>
    <t>Apex Frozen Foods</t>
  </si>
  <si>
    <t>NSE%3AARTNIRMAN</t>
  </si>
  <si>
    <t>https://in.tradingview.com/chart/ofQQfXOP/?symbol=NSE%3AAPEX</t>
  </si>
  <si>
    <t>https://in.tradingview.com/chart/bXJLby4L/?symbol=NSE%3AAPEX</t>
  </si>
  <si>
    <t>APLAPOLLO</t>
  </si>
  <si>
    <t>Apl Apollo Tubes Limited</t>
  </si>
  <si>
    <t>NSE%3AARVEE</t>
  </si>
  <si>
    <t>https://in.tradingview.com/chart/ofQQfXOP/?symbol=NSE%3AAPLAPOLLO</t>
  </si>
  <si>
    <t>https://in.tradingview.com/chart/bXJLby4L/?symbol=NSE%3AAPLAPOLLO</t>
  </si>
  <si>
    <t>APOLLOHOSP</t>
  </si>
  <si>
    <t>Apollo Hospitals Enterprise Limited</t>
  </si>
  <si>
    <t>NSE%3AARVIND</t>
  </si>
  <si>
    <t>https://in.tradingview.com/chart/ofQQfXOP/?symbol=NSE%3AAPOLLOHOSP</t>
  </si>
  <si>
    <t>https://in.tradingview.com/chart/bXJLby4L/?symbol=NSE%3AAPOLLOHOSP</t>
  </si>
  <si>
    <t>APOLLO</t>
  </si>
  <si>
    <t>Apollo Micro Systems Ltd</t>
  </si>
  <si>
    <t>NSE%3AARVINDFASN</t>
  </si>
  <si>
    <t>https://in.tradingview.com/chart/ofQQfXOP/?symbol=NSE%3AAPOLLO</t>
  </si>
  <si>
    <t>https://in.tradingview.com/chart/bXJLby4L/?symbol=NSE%3AAPOLLO</t>
  </si>
  <si>
    <t>APOLLOPIPE</t>
  </si>
  <si>
    <t>Apollo Pipes Ltd</t>
  </si>
  <si>
    <t>NSE%3AARVSMART</t>
  </si>
  <si>
    <t>https://in.tradingview.com/chart/ofQQfXOP/?symbol=NSE%3AAPOLLOPIPE</t>
  </si>
  <si>
    <t>https://in.tradingview.com/chart/bXJLby4L/?symbol=NSE%3AAPOLLOPIPE</t>
  </si>
  <si>
    <t>APOLSINHOT</t>
  </si>
  <si>
    <t>Apollo Sindoori Hotels Limited</t>
  </si>
  <si>
    <t>NSE%3AASAHIINDIA</t>
  </si>
  <si>
    <t>https://in.tradingview.com/chart/ofQQfXOP/?symbol=NSE%3AAPOLSINHOT</t>
  </si>
  <si>
    <t>https://in.tradingview.com/chart/bXJLby4L/?symbol=NSE%3AAPOLSINHOT</t>
  </si>
  <si>
    <t>APOLLOTYRE</t>
  </si>
  <si>
    <t>Apollo Tyres Limited</t>
  </si>
  <si>
    <t>NSE%3AASAHISONG</t>
  </si>
  <si>
    <t>https://in.tradingview.com/chart/ofQQfXOP/?symbol=NSE%3AAPOLLOTYRE</t>
  </si>
  <si>
    <t>https://in.tradingview.com/chart/bXJLby4L/?symbol=NSE%3AAPOLLOTYRE</t>
  </si>
  <si>
    <t>APTECHT</t>
  </si>
  <si>
    <t>Aptech Limited</t>
  </si>
  <si>
    <t>NSE%3AASAL</t>
  </si>
  <si>
    <t>https://in.tradingview.com/chart/ofQQfXOP/?symbol=NSE%3AAPTECHT</t>
  </si>
  <si>
    <t>https://in.tradingview.com/chart/bXJLby4L/?symbol=NSE%3AAPTECHT</t>
  </si>
  <si>
    <t>APTUS</t>
  </si>
  <si>
    <t>Aptus Value Housing Finance India Ltd</t>
  </si>
  <si>
    <t>NSE%3AASALCBR</t>
  </si>
  <si>
    <t>https://in.tradingview.com/chart/ofQQfXOP/?symbol=NSE%3AAPTUS</t>
  </si>
  <si>
    <t>https://in.tradingview.com/chart/bXJLby4L/?symbol=NSE%3AAPTUS</t>
  </si>
  <si>
    <t>ACI</t>
  </si>
  <si>
    <t>Archean Chemical Industries Ltd</t>
  </si>
  <si>
    <t>NSE%3AASHAPURMIN</t>
  </si>
  <si>
    <t>https://in.tradingview.com/chart/ofQQfXOP/?symbol=NSE%3AACI</t>
  </si>
  <si>
    <t>https://in.tradingview.com/chart/bXJLby4L/?symbol=NSE%3AACI</t>
  </si>
  <si>
    <t>ADL</t>
  </si>
  <si>
    <t>Archidply Decor Ltd</t>
  </si>
  <si>
    <t>NSE%3AASHIANA</t>
  </si>
  <si>
    <t>https://in.tradingview.com/chart/ofQQfXOP/?symbol=NSE%3AADL</t>
  </si>
  <si>
    <t>https://in.tradingview.com/chart/bXJLby4L/?symbol=NSE%3AADL</t>
  </si>
  <si>
    <t>ARCHIDPLY</t>
  </si>
  <si>
    <t>Archidply Industries Limited</t>
  </si>
  <si>
    <t>NSE%3AASHIMASYN</t>
  </si>
  <si>
    <t>https://in.tradingview.com/chart/ofQQfXOP/?symbol=NSE%3AARCHIDPLY</t>
  </si>
  <si>
    <t>https://in.tradingview.com/chart/bXJLby4L/?symbol=NSE%3AARCHIDPLY</t>
  </si>
  <si>
    <t>ARCHIES</t>
  </si>
  <si>
    <t>Archies Limited</t>
  </si>
  <si>
    <t>NSE%3AASHOKA</t>
  </si>
  <si>
    <t>https://in.tradingview.com/chart/ofQQfXOP/?symbol=NSE%3AARCHIES</t>
  </si>
  <si>
    <t>https://in.tradingview.com/chart/bXJLby4L/?symbol=NSE%3AARCHIES</t>
  </si>
  <si>
    <t>ARFIN</t>
  </si>
  <si>
    <t>Arfin India Ltd</t>
  </si>
  <si>
    <t>NSE%3AASHOKAMET</t>
  </si>
  <si>
    <t>https://in.tradingview.com/chart/ofQQfXOP/?symbol=NSE%3AARFIN</t>
  </si>
  <si>
    <t>https://in.tradingview.com/chart/bXJLby4L/?symbol=NSE%3AARFIN</t>
  </si>
  <si>
    <t>ARIES</t>
  </si>
  <si>
    <t>Aries Agro Limited</t>
  </si>
  <si>
    <t>NSE%3AASHOKLEY</t>
  </si>
  <si>
    <t>https://in.tradingview.com/chart/ofQQfXOP/?symbol=NSE%3AARIES</t>
  </si>
  <si>
    <t>https://in.tradingview.com/chart/bXJLby4L/?symbol=NSE%3AARIES</t>
  </si>
  <si>
    <t>ARIHANTCAP</t>
  </si>
  <si>
    <t>Arihant Capital Markets Ltd</t>
  </si>
  <si>
    <t>NSE%3AASIANENE</t>
  </si>
  <si>
    <t>https://in.tradingview.com/chart/ofQQfXOP/?symbol=NSE%3AARIHANTCAP</t>
  </si>
  <si>
    <t>https://in.tradingview.com/chart/bXJLby4L/?symbol=NSE%3AARIHANTCAP</t>
  </si>
  <si>
    <t>ARIHANTSUP</t>
  </si>
  <si>
    <t>Arihant Superstructures Ltd</t>
  </si>
  <si>
    <t>NSE%3AASIANHOTNR</t>
  </si>
  <si>
    <t>https://in.tradingview.com/chart/ofQQfXOP/?symbol=NSE%3AARIHANTSUP</t>
  </si>
  <si>
    <t>https://in.tradingview.com/chart/bXJLby4L/?symbol=NSE%3AARIHANTSUP</t>
  </si>
  <si>
    <t>ARISINFRA</t>
  </si>
  <si>
    <t>Arisinfra Solutions Ltd</t>
  </si>
  <si>
    <t>NSE%3AASIANPAINT</t>
  </si>
  <si>
    <t>https://in.tradingview.com/chart/ofQQfXOP/?symbol=NSE%3AARISINFRA</t>
  </si>
  <si>
    <t>https://in.tradingview.com/chart/bXJLby4L/?symbol=NSE%3AARISINFRA</t>
  </si>
  <si>
    <t>ARKADE</t>
  </si>
  <si>
    <t>Arkade Developers Ltd</t>
  </si>
  <si>
    <t>NSE%3AASIANTILES</t>
  </si>
  <si>
    <t>https://in.tradingview.com/chart/ofQQfXOP/?symbol=NSE%3AARKADE</t>
  </si>
  <si>
    <t>https://in.tradingview.com/chart/bXJLby4L/?symbol=NSE%3AARKADE</t>
  </si>
  <si>
    <t>ARMANFIN</t>
  </si>
  <si>
    <t>Arman Financial Services Limited</t>
  </si>
  <si>
    <t>NSE%3AASKAUTOLTD</t>
  </si>
  <si>
    <t>https://in.tradingview.com/chart/ofQQfXOP/?symbol=NSE%3AARMANFIN</t>
  </si>
  <si>
    <t>https://in.tradingview.com/chart/bXJLby4L/?symbol=NSE%3AARMANFIN</t>
  </si>
  <si>
    <t>AROGRANITE</t>
  </si>
  <si>
    <t>Aro Granite Industries Limited</t>
  </si>
  <si>
    <t>NSE%3AASMS</t>
  </si>
  <si>
    <t>https://in.tradingview.com/chart/ofQQfXOP/?symbol=NSE%3AAROGRANITE</t>
  </si>
  <si>
    <t>https://in.tradingview.com/chart/bXJLby4L/?symbol=NSE%3AAROGRANITE</t>
  </si>
  <si>
    <t>ARROWGREEN</t>
  </si>
  <si>
    <t>Arrow Greentech Limited</t>
  </si>
  <si>
    <t>NSE%3AASPINWALL</t>
  </si>
  <si>
    <t>https://in.tradingview.com/chart/ofQQfXOP/?symbol=NSE%3AARROWGREEN</t>
  </si>
  <si>
    <t>https://in.tradingview.com/chart/bXJLby4L/?symbol=NSE%3AARROWGREEN</t>
  </si>
  <si>
    <t>ARTNIRMAN</t>
  </si>
  <si>
    <t>Art Nirman Ltd</t>
  </si>
  <si>
    <t>NSE%3AASTEC</t>
  </si>
  <si>
    <t>https://in.tradingview.com/chart/ofQQfXOP/?symbol=NSE%3AARTNIRMAN</t>
  </si>
  <si>
    <t>https://in.tradingview.com/chart/bXJLby4L/?symbol=NSE%3AARTNIRMAN</t>
  </si>
  <si>
    <t>ARTEMISMED</t>
  </si>
  <si>
    <t>Artemis Medicare Services Ltd</t>
  </si>
  <si>
    <t>NSE%3AASTERDM</t>
  </si>
  <si>
    <t>https://in.tradingview.com/chart/ofQQfXOP/?symbol=NSE%3AARTEMISMED</t>
  </si>
  <si>
    <t>https://in.tradingview.com/chart/bXJLby4L/?symbol=NSE%3AARTEMISMED</t>
  </si>
  <si>
    <t>ARVEE</t>
  </si>
  <si>
    <t>Arvee Laboratories (India) Ltd</t>
  </si>
  <si>
    <t>NSE%3AASTRAL</t>
  </si>
  <si>
    <t>https://in.tradingview.com/chart/ofQQfXOP/?symbol=NSE%3AARVEE</t>
  </si>
  <si>
    <t>https://in.tradingview.com/chart/bXJLby4L/?symbol=NSE%3AARVEE</t>
  </si>
  <si>
    <t>ARVINDFASN</t>
  </si>
  <si>
    <t>Arvind Fashions Ltd</t>
  </si>
  <si>
    <t>NSE%3AASTRAMICRO</t>
  </si>
  <si>
    <t>https://in.tradingview.com/chart/ofQQfXOP/?symbol=NSE%3AARVINDFASN</t>
  </si>
  <si>
    <t>https://in.tradingview.com/chart/bXJLby4L/?symbol=NSE%3AARVINDFASN</t>
  </si>
  <si>
    <t>ARVIND</t>
  </si>
  <si>
    <t>Arvind Limited</t>
  </si>
  <si>
    <t>NSE%3AASTRAZEN</t>
  </si>
  <si>
    <t>https://in.tradingview.com/chart/ofQQfXOP/?symbol=NSE%3AARVIND</t>
  </si>
  <si>
    <t>https://in.tradingview.com/chart/bXJLby4L/?symbol=NSE%3AARVIND</t>
  </si>
  <si>
    <t>ARVSMART</t>
  </si>
  <si>
    <t>Arvind Smartspaces Limited</t>
  </si>
  <si>
    <t>NSE%3AASTRON</t>
  </si>
  <si>
    <t>https://in.tradingview.com/chart/ofQQfXOP/?symbol=NSE%3AARVSMART</t>
  </si>
  <si>
    <t>https://in.tradingview.com/chart/bXJLby4L/?symbol=NSE%3AARVSMART</t>
  </si>
  <si>
    <t>ASAHIINDIA</t>
  </si>
  <si>
    <t>Asahi India Glass Limited</t>
  </si>
  <si>
    <t>NSE%3AATALREAL</t>
  </si>
  <si>
    <t>https://in.tradingview.com/chart/ofQQfXOP/?symbol=NSE%3AASAHIINDIA</t>
  </si>
  <si>
    <t>https://in.tradingview.com/chart/bXJLby4L/?symbol=NSE%3AASAHIINDIA</t>
  </si>
  <si>
    <t>ASAHISONG</t>
  </si>
  <si>
    <t>Asahi Songwon Colors Limited</t>
  </si>
  <si>
    <t>NSE%3AATAM</t>
  </si>
  <si>
    <t>https://in.tradingview.com/chart/ofQQfXOP/?symbol=NSE%3AASAHISONG</t>
  </si>
  <si>
    <t>https://in.tradingview.com/chart/bXJLby4L/?symbol=NSE%3AASAHISONG</t>
  </si>
  <si>
    <t>ASHAPURMIN</t>
  </si>
  <si>
    <t>Ashapura Minechem Limited</t>
  </si>
  <si>
    <t>NSE%3AATGL</t>
  </si>
  <si>
    <t>https://in.tradingview.com/chart/ofQQfXOP/?symbol=NSE%3AASHAPURMIN</t>
  </si>
  <si>
    <t>https://in.tradingview.com/chart/bXJLby4L/?symbol=NSE%3AASHAPURMIN</t>
  </si>
  <si>
    <t>ASHIANA</t>
  </si>
  <si>
    <t>Ashiana Housing Limited</t>
  </si>
  <si>
    <t>NSE%3AATL</t>
  </si>
  <si>
    <t>https://in.tradingview.com/chart/ofQQfXOP/?symbol=NSE%3AASHIANA</t>
  </si>
  <si>
    <t>https://in.tradingview.com/chart/bXJLby4L/?symbol=NSE%3AASHIANA</t>
  </si>
  <si>
    <t>ASHIMASYN</t>
  </si>
  <si>
    <t>Ashima Limited</t>
  </si>
  <si>
    <t>NSE%3AATUL</t>
  </si>
  <si>
    <t>https://in.tradingview.com/chart/ofQQfXOP/?symbol=NSE%3AASHIMASYN</t>
  </si>
  <si>
    <t>https://in.tradingview.com/chart/bXJLby4L/?symbol=NSE%3AASHIMASYN</t>
  </si>
  <si>
    <t>ASHOKLEY</t>
  </si>
  <si>
    <t>Ashok Leyland Limited</t>
  </si>
  <si>
    <t>NSE%3AATULAUTO</t>
  </si>
  <si>
    <t>https://in.tradingview.com/chart/ofQQfXOP/?symbol=NSE%3AASHOKLEY</t>
  </si>
  <si>
    <t>https://in.tradingview.com/chart/bXJLby4L/?symbol=NSE%3AASHOKLEY</t>
  </si>
  <si>
    <t>ASHOKA</t>
  </si>
  <si>
    <t>Ashoka Buildcon Limited</t>
  </si>
  <si>
    <t>NSE%3AAUBANK</t>
  </si>
  <si>
    <t>https://in.tradingview.com/chart/ofQQfXOP/?symbol=NSE%3AASHOKA</t>
  </si>
  <si>
    <t>https://in.tradingview.com/chart/bXJLby4L/?symbol=NSE%3AASHOKA</t>
  </si>
  <si>
    <t>ASHOKAMET</t>
  </si>
  <si>
    <t>Ashoka Metcast Ltd</t>
  </si>
  <si>
    <t>NSE%3AAURIONPRO</t>
  </si>
  <si>
    <t>https://in.tradingview.com/chart/ofQQfXOP/?symbol=NSE%3AASHOKAMET</t>
  </si>
  <si>
    <t>https://in.tradingview.com/chart/bXJLby4L/?symbol=NSE%3AASHOKAMET</t>
  </si>
  <si>
    <t>ASIANENE</t>
  </si>
  <si>
    <t>Asian Energy Services Ltd</t>
  </si>
  <si>
    <t>NSE%3AAUROPHARMA</t>
  </si>
  <si>
    <t>https://in.tradingview.com/chart/ofQQfXOP/?symbol=NSE%3AASIANENE</t>
  </si>
  <si>
    <t>https://in.tradingview.com/chart/bXJLby4L/?symbol=NSE%3AASIANENE</t>
  </si>
  <si>
    <t>ASIANTILES</t>
  </si>
  <si>
    <t>Asian Granito India Limited</t>
  </si>
  <si>
    <t>NSE%3AAURUM</t>
  </si>
  <si>
    <t>https://in.tradingview.com/chart/ofQQfXOP/?symbol=NSE%3AASIANTILES</t>
  </si>
  <si>
    <t>https://in.tradingview.com/chart/bXJLby4L/?symbol=NSE%3AASIANTILES</t>
  </si>
  <si>
    <t>AHLEAST</t>
  </si>
  <si>
    <t>Asian Hotels (east) Limited</t>
  </si>
  <si>
    <t>NSE%3AAUSOMENT</t>
  </si>
  <si>
    <t>https://in.tradingview.com/chart/ofQQfXOP/?symbol=NSE%3AAHLEAST</t>
  </si>
  <si>
    <t>https://in.tradingview.com/chart/bXJLby4L/?symbol=NSE%3AAHLEAST</t>
  </si>
  <si>
    <t>ASIANHOTNR</t>
  </si>
  <si>
    <t>Asian Hotels (north) Limited</t>
  </si>
  <si>
    <t>NSE%3AAUTOAXLES</t>
  </si>
  <si>
    <t>https://in.tradingview.com/chart/ofQQfXOP/?symbol=NSE%3AASIANHOTNR</t>
  </si>
  <si>
    <t>https://in.tradingview.com/chart/bXJLby4L/?symbol=NSE%3AASIANHOTNR</t>
  </si>
  <si>
    <t>ASIANPAINT</t>
  </si>
  <si>
    <t>Asian Paints Limited</t>
  </si>
  <si>
    <t>NSE%3AAUTOBEES</t>
  </si>
  <si>
    <t>https://in.tradingview.com/chart/ofQQfXOP/?symbol=NSE%3AASIANPAINT</t>
  </si>
  <si>
    <t>https://in.tradingview.com/chart/bXJLby4L/?symbol=NSE%3AASIANPAINT</t>
  </si>
  <si>
    <t>ASKAUTOLTD</t>
  </si>
  <si>
    <t>ASK Automotive Ltd</t>
  </si>
  <si>
    <t>NSE%3AAUTOIETF</t>
  </si>
  <si>
    <t>https://in.tradingview.com/chart/ofQQfXOP/?symbol=NSE%3AASKAUTOLTD</t>
  </si>
  <si>
    <t>https://in.tradingview.com/chart/bXJLby4L/?symbol=NSE%3AASKAUTOLTD</t>
  </si>
  <si>
    <t>ASPINWALL</t>
  </si>
  <si>
    <t>Aspinwall And Company Limited</t>
  </si>
  <si>
    <t>NSE%3AAUTOIND</t>
  </si>
  <si>
    <t>https://in.tradingview.com/chart/ofQQfXOP/?symbol=NSE%3AASPINWALL</t>
  </si>
  <si>
    <t>https://in.tradingview.com/chart/bXJLby4L/?symbol=NSE%3AASPINWALL</t>
  </si>
  <si>
    <t>ASALCBR</t>
  </si>
  <si>
    <t>Associated Alcohols &amp; Breweries Ltd</t>
  </si>
  <si>
    <t>NSE%3AAVADHSUGAR</t>
  </si>
  <si>
    <t>https://in.tradingview.com/chart/ofQQfXOP/?symbol=NSE%3AASALCBR</t>
  </si>
  <si>
    <t>https://in.tradingview.com/chart/bXJLby4L/?symbol=NSE%3AASALCBR</t>
  </si>
  <si>
    <t>ASTEC</t>
  </si>
  <si>
    <t>Astec Lifesciences Limited</t>
  </si>
  <si>
    <t>NSE%3AAVALON</t>
  </si>
  <si>
    <t>https://in.tradingview.com/chart/ofQQfXOP/?symbol=NSE%3AASTEC</t>
  </si>
  <si>
    <t>https://in.tradingview.com/chart/bXJLby4L/?symbol=NSE%3AASTEC</t>
  </si>
  <si>
    <t>ASTERDM</t>
  </si>
  <si>
    <t>Aster DM Healthcare Ltd</t>
  </si>
  <si>
    <t>NSE%3AAVANTEL</t>
  </si>
  <si>
    <t>https://in.tradingview.com/chart/ofQQfXOP/?symbol=NSE%3AASTERDM</t>
  </si>
  <si>
    <t>https://in.tradingview.com/chart/bXJLby4L/?symbol=NSE%3AASTERDM</t>
  </si>
  <si>
    <t>ASTRAMICRO</t>
  </si>
  <si>
    <t>Astra Microwave Products Limited</t>
  </si>
  <si>
    <t>NSE%3AAVANTIFEED</t>
  </si>
  <si>
    <t>https://in.tradingview.com/chart/ofQQfXOP/?symbol=NSE%3AASTRAMICRO</t>
  </si>
  <si>
    <t>https://in.tradingview.com/chart/bXJLby4L/?symbol=NSE%3AASTRAMICRO</t>
  </si>
  <si>
    <t>ASTRAL</t>
  </si>
  <si>
    <t>Astral Poly Technik Limited</t>
  </si>
  <si>
    <t>NSE%3AAVL</t>
  </si>
  <si>
    <t>https://in.tradingview.com/chart/ofQQfXOP/?symbol=NSE%3AASTRAL</t>
  </si>
  <si>
    <t>https://in.tradingview.com/chart/bXJLby4L/?symbol=NSE%3AASTRAL</t>
  </si>
  <si>
    <t>ASTRAZEN</t>
  </si>
  <si>
    <t>Astrazeneca Pharma India Limited</t>
  </si>
  <si>
    <t>NSE%3AAVONMORE</t>
  </si>
  <si>
    <t>https://in.tradingview.com/chart/ofQQfXOP/?symbol=NSE%3AASTRAZEN</t>
  </si>
  <si>
    <t>https://in.tradingview.com/chart/bXJLby4L/?symbol=NSE%3AASTRAZEN</t>
  </si>
  <si>
    <t>ASTRON</t>
  </si>
  <si>
    <t>Astron Paper &amp; Board Mill Ltd</t>
  </si>
  <si>
    <t>NSE%3AAVROIND</t>
  </si>
  <si>
    <t>https://in.tradingview.com/chart/ofQQfXOP/?symbol=NSE%3AASTRON</t>
  </si>
  <si>
    <t>https://in.tradingview.com/chart/bXJLby4L/?symbol=NSE%3AASTRON</t>
  </si>
  <si>
    <t>ATALREAL</t>
  </si>
  <si>
    <t>Atal Realtech Ltd</t>
  </si>
  <si>
    <t>NSE%3AAVTNPL</t>
  </si>
  <si>
    <t>https://in.tradingview.com/chart/ofQQfXOP/?symbol=NSE%3AATALREAL</t>
  </si>
  <si>
    <t>https://in.tradingview.com/chart/bXJLby4L/?symbol=NSE%3AATALREAL</t>
  </si>
  <si>
    <t>ATAM</t>
  </si>
  <si>
    <t>Atam Valves Ltd</t>
  </si>
  <si>
    <t>NSE%3AAWFIS</t>
  </si>
  <si>
    <t>https://in.tradingview.com/chart/ofQQfXOP/?symbol=NSE%3AATAM</t>
  </si>
  <si>
    <t>https://in.tradingview.com/chart/bXJLby4L/?symbol=NSE%3AATAM</t>
  </si>
  <si>
    <t>ATHERENERG</t>
  </si>
  <si>
    <t>Ather Energy Ltd</t>
  </si>
  <si>
    <t>NSE%3AAWHCL</t>
  </si>
  <si>
    <t>https://in.tradingview.com/chart/ofQQfXOP/?symbol=NSE%3AATHERENERG</t>
  </si>
  <si>
    <t>https://in.tradingview.com/chart/bXJLby4L/?symbol=NSE%3AATHERENERG</t>
  </si>
  <si>
    <t>ATLANTAELE</t>
  </si>
  <si>
    <t>Atlanta Electricals Ltd</t>
  </si>
  <si>
    <t>NSE%3AAWL</t>
  </si>
  <si>
    <t>https://in.tradingview.com/chart/ofQQfXOP/?symbol=NSE%3AATLANTAELE</t>
  </si>
  <si>
    <t>https://in.tradingview.com/chart/bXJLby4L/?symbol=NSE%3AATLANTAELE</t>
  </si>
  <si>
    <t>ATLANTAA</t>
  </si>
  <si>
    <t>Atlantaa Ltd</t>
  </si>
  <si>
    <t>NSE%3AAXISBANK</t>
  </si>
  <si>
    <t>https://in.tradingview.com/chart/ofQQfXOP/?symbol=NSE%3AATLANTAA</t>
  </si>
  <si>
    <t>https://in.tradingview.com/chart/bXJLby4L/?symbol=NSE%3AATLANTAA</t>
  </si>
  <si>
    <t>ATLASCYCLE</t>
  </si>
  <si>
    <t>Atlas Cycles (haryana) Limited</t>
  </si>
  <si>
    <t>NSE%3AAXISBNKETF</t>
  </si>
  <si>
    <t>https://in.tradingview.com/chart/ofQQfXOP/?symbol=NSE%3AATLASCYCLE</t>
  </si>
  <si>
    <t>https://in.tradingview.com/chart/bXJLby4L/?symbol=NSE%3AATLASCYCLE</t>
  </si>
  <si>
    <t>ATULAUTO</t>
  </si>
  <si>
    <t>Atul Auto Limited</t>
  </si>
  <si>
    <t>NSE%3AAXISBPSETF</t>
  </si>
  <si>
    <t>https://in.tradingview.com/chart/ofQQfXOP/?symbol=NSE%3AATULAUTO</t>
  </si>
  <si>
    <t>https://in.tradingview.com/chart/bXJLby4L/?symbol=NSE%3AATULAUTO</t>
  </si>
  <si>
    <t>ATUL</t>
  </si>
  <si>
    <t>Atul Limited</t>
  </si>
  <si>
    <t>NSE%3AAXISCADES</t>
  </si>
  <si>
    <t>https://in.tradingview.com/chart/ofQQfXOP/?symbol=NSE%3AATUL</t>
  </si>
  <si>
    <t>https://in.tradingview.com/chart/bXJLby4L/?symbol=NSE%3AATUL</t>
  </si>
  <si>
    <t>AUBANK</t>
  </si>
  <si>
    <t>AU Small Finance Bank</t>
  </si>
  <si>
    <t>NSE%3AAXISCETF</t>
  </si>
  <si>
    <t>https://in.tradingview.com/chart/ofQQfXOP/?symbol=NSE%3AAUBANK</t>
  </si>
  <si>
    <t>https://in.tradingview.com/chart/bXJLby4L/?symbol=NSE%3AAUBANK</t>
  </si>
  <si>
    <t>AURIONPRO</t>
  </si>
  <si>
    <t>Aurionpro Solutions Limited</t>
  </si>
  <si>
    <t>NSE%3AAXISGOLD</t>
  </si>
  <si>
    <t>https://in.tradingview.com/chart/ofQQfXOP/?symbol=NSE%3AAURIONPRO</t>
  </si>
  <si>
    <t>https://in.tradingview.com/chart/bXJLby4L/?symbol=NSE%3AAURIONPRO</t>
  </si>
  <si>
    <t>AUROPHARMA</t>
  </si>
  <si>
    <t>Aurobindo Pharma Limited</t>
  </si>
  <si>
    <t>NSE%3AAXISHCETF</t>
  </si>
  <si>
    <t>https://in.tradingview.com/chart/ofQQfXOP/?symbol=NSE%3AAUROPHARMA</t>
  </si>
  <si>
    <t>https://in.tradingview.com/chart/bXJLby4L/?symbol=NSE%3AAUROPHARMA</t>
  </si>
  <si>
    <t>AURUM</t>
  </si>
  <si>
    <t>Aurum Proptech Ltd</t>
  </si>
  <si>
    <t>NSE%3AAXISILVER</t>
  </si>
  <si>
    <t>https://in.tradingview.com/chart/ofQQfXOP/?symbol=NSE%3AAURUM</t>
  </si>
  <si>
    <t>https://in.tradingview.com/chart/bXJLby4L/?symbol=NSE%3AAURUM</t>
  </si>
  <si>
    <t>AUSOMENT</t>
  </si>
  <si>
    <t>Ausom Enterprise Limited</t>
  </si>
  <si>
    <t>NSE%3AAXISNIFTY</t>
  </si>
  <si>
    <t>https://in.tradingview.com/chart/ofQQfXOP/?symbol=NSE%3AAUSOMENT</t>
  </si>
  <si>
    <t>https://in.tradingview.com/chart/bXJLby4L/?symbol=NSE%3AAUSOMENT</t>
  </si>
  <si>
    <t>AIIL</t>
  </si>
  <si>
    <t>Authum Investment &amp; Infrastructure Ltd</t>
  </si>
  <si>
    <t>NSE%3AAXISTECETF</t>
  </si>
  <si>
    <t>https://in.tradingview.com/chart/ofQQfXOP/?symbol=NSE%3AAIIL</t>
  </si>
  <si>
    <t>https://in.tradingview.com/chart/bXJLby4L/?symbol=NSE%3AAIIL</t>
  </si>
  <si>
    <t>AUTOIND</t>
  </si>
  <si>
    <t>Autoline Industries Limited</t>
  </si>
  <si>
    <t>NSE%3AAXITA</t>
  </si>
  <si>
    <t>https://in.tradingview.com/chart/ofQQfXOP/?symbol=NSE%3AAUTOIND</t>
  </si>
  <si>
    <t>https://in.tradingview.com/chart/bXJLby4L/?symbol=NSE%3AAUTOIND</t>
  </si>
  <si>
    <t>AUTOAXLES</t>
  </si>
  <si>
    <t>Automotive Axles Limited</t>
  </si>
  <si>
    <t>NSE%3AAXSENSEX</t>
  </si>
  <si>
    <t>https://in.tradingview.com/chart/ofQQfXOP/?symbol=NSE%3AAUTOAXLES</t>
  </si>
  <si>
    <t>https://in.tradingview.com/chart/bXJLby4L/?symbol=NSE%3AAUTOAXLES</t>
  </si>
  <si>
    <t>ASAL</t>
  </si>
  <si>
    <t>Automotive Stampings And Assemblies Limited</t>
  </si>
  <si>
    <t>NSE%3AAYMSYNTEX</t>
  </si>
  <si>
    <t>https://in.tradingview.com/chart/ofQQfXOP/?symbol=NSE%3AASAL</t>
  </si>
  <si>
    <t>https://in.tradingview.com/chart/bXJLby4L/?symbol=NSE%3AASAL</t>
  </si>
  <si>
    <t>AVADHSUGAR</t>
  </si>
  <si>
    <t>Avadh Sugar &amp; Energy</t>
  </si>
  <si>
    <t>NSE%3AAZAD</t>
  </si>
  <si>
    <t>https://in.tradingview.com/chart/ofQQfXOP/?symbol=NSE%3AAVADHSUGAR</t>
  </si>
  <si>
    <t>https://in.tradingview.com/chart/bXJLby4L/?symbol=NSE%3AAVADHSUGAR</t>
  </si>
  <si>
    <t>AVALON</t>
  </si>
  <si>
    <t>Avalon Technologies Ltd</t>
  </si>
  <si>
    <t>NSE%3ABAFNAPH</t>
  </si>
  <si>
    <t>https://in.tradingview.com/chart/ofQQfXOP/?symbol=NSE%3AAVALON</t>
  </si>
  <si>
    <t>https://in.tradingview.com/chart/bXJLby4L/?symbol=NSE%3AAVALON</t>
  </si>
  <si>
    <t>AVANTEL</t>
  </si>
  <si>
    <t>Avantel Ltd</t>
  </si>
  <si>
    <t>NSE%3ABAGFILMS</t>
  </si>
  <si>
    <t>https://in.tradingview.com/chart/ofQQfXOP/?symbol=NSE%3AAVANTEL</t>
  </si>
  <si>
    <t>https://in.tradingview.com/chart/bXJLby4L/?symbol=NSE%3AAVANTEL</t>
  </si>
  <si>
    <t>AVANTIFEED</t>
  </si>
  <si>
    <t>Avanti Feeds Limited</t>
  </si>
  <si>
    <t>NSE%3ABAIDFIN</t>
  </si>
  <si>
    <t>https://in.tradingview.com/chart/ofQQfXOP/?symbol=NSE%3AAVANTIFEED</t>
  </si>
  <si>
    <t>https://in.tradingview.com/chart/bXJLby4L/?symbol=NSE%3AAVANTIFEED</t>
  </si>
  <si>
    <t>DMART</t>
  </si>
  <si>
    <t>Avenue Supermarts</t>
  </si>
  <si>
    <t>NSE%3ABAJAJ_AUTO</t>
  </si>
  <si>
    <t>https://in.tradingview.com/chart/ofQQfXOP/?symbol=NSE%3ADMART</t>
  </si>
  <si>
    <t>https://in.tradingview.com/chart/bXJLby4L/?symbol=NSE%3ADMART</t>
  </si>
  <si>
    <t>AVG</t>
  </si>
  <si>
    <t>AVG Logistics Ltd</t>
  </si>
  <si>
    <t>NSE%3ABAJAJCON</t>
  </si>
  <si>
    <t>https://in.tradingview.com/chart/ofQQfXOP/?symbol=NSE%3AAVG</t>
  </si>
  <si>
    <t>https://in.tradingview.com/chart/bXJLby4L/?symbol=NSE%3AAVG</t>
  </si>
  <si>
    <t>AVONMORE</t>
  </si>
  <si>
    <t>Avonmore Capital &amp; Management Services Ltd</t>
  </si>
  <si>
    <t>NSE%3ABAJAJELEC</t>
  </si>
  <si>
    <t>https://in.tradingview.com/chart/ofQQfXOP/?symbol=NSE%3AAVONMORE</t>
  </si>
  <si>
    <t>https://in.tradingview.com/chart/bXJLby4L/?symbol=NSE%3AAVONMORE</t>
  </si>
  <si>
    <t>AVROIND</t>
  </si>
  <si>
    <t>Avro India Ltd</t>
  </si>
  <si>
    <t>NSE%3ABAJAJFINSV</t>
  </si>
  <si>
    <t>https://in.tradingview.com/chart/ofQQfXOP/?symbol=NSE%3AAVROIND</t>
  </si>
  <si>
    <t>https://in.tradingview.com/chart/bXJLby4L/?symbol=NSE%3AAVROIND</t>
  </si>
  <si>
    <t>AVTNPL</t>
  </si>
  <si>
    <t>Avt Natural Products Limited</t>
  </si>
  <si>
    <t>NSE%3ABAJAJHCARE</t>
  </si>
  <si>
    <t>https://in.tradingview.com/chart/ofQQfXOP/?symbol=NSE%3AAVTNPL</t>
  </si>
  <si>
    <t>https://in.tradingview.com/chart/bXJLby4L/?symbol=NSE%3AAVTNPL</t>
  </si>
  <si>
    <t>AWFIS</t>
  </si>
  <si>
    <t>AWFIS Space Solutions Ltd</t>
  </si>
  <si>
    <t>NSE%3ABAJAJHFL</t>
  </si>
  <si>
    <t>https://in.tradingview.com/chart/ofQQfXOP/?symbol=NSE%3AAWFIS</t>
  </si>
  <si>
    <t>https://in.tradingview.com/chart/bXJLby4L/?symbol=NSE%3AAWFIS</t>
  </si>
  <si>
    <t>AXISBPSETF</t>
  </si>
  <si>
    <t>Axis AAA Bond Plus SDL ETF-2026 Matur. Reg. Growth</t>
  </si>
  <si>
    <t>NSE%3ABAJAJHIND</t>
  </si>
  <si>
    <t>https://in.tradingview.com/chart/ofQQfXOP/?symbol=NSE%3AAXISBPSETF</t>
  </si>
  <si>
    <t>https://in.tradingview.com/chart/bXJLby4L/?symbol=NSE%3AAXISBPSETF</t>
  </si>
  <si>
    <t>AXISBANK</t>
  </si>
  <si>
    <t>Axis Bank Limited</t>
  </si>
  <si>
    <t>NSE%3ABAJAJHLDNG</t>
  </si>
  <si>
    <t>https://in.tradingview.com/chart/ofQQfXOP/?symbol=NSE%3AAXISBANK</t>
  </si>
  <si>
    <t>https://in.tradingview.com/chart/bXJLby4L/?symbol=NSE%3AAXISBANK</t>
  </si>
  <si>
    <t>AXISBNKETF</t>
  </si>
  <si>
    <t>Axis Banking ETF</t>
  </si>
  <si>
    <t>NSE%3ABAJAJINDEF</t>
  </si>
  <si>
    <t>https://in.tradingview.com/chart/ofQQfXOP/?symbol=NSE%3AAXISBNKETF</t>
  </si>
  <si>
    <t>https://in.tradingview.com/chart/bXJLby4L/?symbol=NSE%3AAXISBNKETF</t>
  </si>
  <si>
    <t>AXISCETF</t>
  </si>
  <si>
    <t>Axis Consumption ETF</t>
  </si>
  <si>
    <t>NSE%3ABAJEL</t>
  </si>
  <si>
    <t>https://in.tradingview.com/chart/ofQQfXOP/?symbol=NSE%3AAXISCETF</t>
  </si>
  <si>
    <t>https://in.tradingview.com/chart/bXJLby4L/?symbol=NSE%3AAXISCETF</t>
  </si>
  <si>
    <t>AXISGOLD</t>
  </si>
  <si>
    <t>Axis Gold ETF</t>
  </si>
  <si>
    <t>NSE%3ABAJFINANCE</t>
  </si>
  <si>
    <t>https://in.tradingview.com/chart/ofQQfXOP/?symbol=NSE%3AAXISGOLD</t>
  </si>
  <si>
    <t>https://in.tradingview.com/chart/bXJLby4L/?symbol=NSE%3AAXISGOLD</t>
  </si>
  <si>
    <t>AXISHCETF</t>
  </si>
  <si>
    <t>Axis Healthcare ETF</t>
  </si>
  <si>
    <t>NSE%3ABALAJEE</t>
  </si>
  <si>
    <t>https://in.tradingview.com/chart/ofQQfXOP/?symbol=NSE%3AAXISHCETF</t>
  </si>
  <si>
    <t>https://in.tradingview.com/chart/bXJLby4L/?symbol=NSE%3AAXISHCETF</t>
  </si>
  <si>
    <t>AXISNIFTY</t>
  </si>
  <si>
    <t>Axis Nifty ETF</t>
  </si>
  <si>
    <t>NSE%3ABALAJITELE</t>
  </si>
  <si>
    <t>https://in.tradingview.com/chart/ofQQfXOP/?symbol=NSE%3AAXISNIFTY</t>
  </si>
  <si>
    <t>https://in.tradingview.com/chart/bXJLby4L/?symbol=NSE%3AAXISNIFTY</t>
  </si>
  <si>
    <t>AXISVALUE</t>
  </si>
  <si>
    <t>Axis Nifty500 Value 50 ETF</t>
  </si>
  <si>
    <t>NSE%3ABALAMINES</t>
  </si>
  <si>
    <t>https://in.tradingview.com/chart/ofQQfXOP/?symbol=NSE%3AAXISVALUE</t>
  </si>
  <si>
    <t>https://in.tradingview.com/chart/bXJLby4L/?symbol=NSE%3AAXISVALUE</t>
  </si>
  <si>
    <t>AXSENSEX</t>
  </si>
  <si>
    <t>Axis S&amp;P BSE Sensex ETF</t>
  </si>
  <si>
    <t>NSE%3ABALAXI</t>
  </si>
  <si>
    <t>https://in.tradingview.com/chart/ofQQfXOP/?symbol=NSE%3AAXSENSEX</t>
  </si>
  <si>
    <t>https://in.tradingview.com/chart/bXJLby4L/?symbol=NSE%3AAXSENSEX</t>
  </si>
  <si>
    <t>AXISILVER</t>
  </si>
  <si>
    <t>Axis Silver ETF</t>
  </si>
  <si>
    <t>NSE%3ABALKRISHNA</t>
  </si>
  <si>
    <t>https://in.tradingview.com/chart/ofQQfXOP/?symbol=NSE%3AAXISILVER</t>
  </si>
  <si>
    <t>https://in.tradingview.com/chart/bXJLby4L/?symbol=NSE%3AAXISILVER</t>
  </si>
  <si>
    <t>AXISTECETF</t>
  </si>
  <si>
    <t>Axis Technology ETF Regular Growth</t>
  </si>
  <si>
    <t>NSE%3ABALKRISIND</t>
  </si>
  <si>
    <t>https://in.tradingview.com/chart/ofQQfXOP/?symbol=NSE%3AAXISTECETF</t>
  </si>
  <si>
    <t>https://in.tradingview.com/chart/bXJLby4L/?symbol=NSE%3AAXISTECETF</t>
  </si>
  <si>
    <t>AXISCADES</t>
  </si>
  <si>
    <t>Axiscades Engineering Technologies Limited</t>
  </si>
  <si>
    <t>NSE%3ABALMLAWRIE</t>
  </si>
  <si>
    <t>https://in.tradingview.com/chart/ofQQfXOP/?symbol=NSE%3AAXISCADES</t>
  </si>
  <si>
    <t>https://in.tradingview.com/chart/bXJLby4L/?symbol=NSE%3AAXISCADES</t>
  </si>
  <si>
    <t>AXITA</t>
  </si>
  <si>
    <t>Axita Cotton Ltd</t>
  </si>
  <si>
    <t>NSE%3ABALPHARMA</t>
  </si>
  <si>
    <t>https://in.tradingview.com/chart/ofQQfXOP/?symbol=NSE%3AAXITA</t>
  </si>
  <si>
    <t>https://in.tradingview.com/chart/bXJLby4L/?symbol=NSE%3AAXITA</t>
  </si>
  <si>
    <t>AYMSYNTEX</t>
  </si>
  <si>
    <t>Aym Syntex Limited</t>
  </si>
  <si>
    <t>NSE%3ABALRAMCHIN</t>
  </si>
  <si>
    <t>https://in.tradingview.com/chart/ofQQfXOP/?symbol=NSE%3AAYMSYNTEX</t>
  </si>
  <si>
    <t>https://in.tradingview.com/chart/bXJLby4L/?symbol=NSE%3AAYMSYNTEX</t>
  </si>
  <si>
    <t>AZAD</t>
  </si>
  <si>
    <t>Azad Engineering Ltd</t>
  </si>
  <si>
    <t>NSE%3ABALUFORGE</t>
  </si>
  <si>
    <t>https://in.tradingview.com/chart/ofQQfXOP/?symbol=NSE%3AAZAD</t>
  </si>
  <si>
    <t>https://in.tradingview.com/chart/bXJLby4L/?symbol=NSE%3AAZAD</t>
  </si>
  <si>
    <t>BLKASHYAP</t>
  </si>
  <si>
    <t>B. L. Kashyap And Sons Limited</t>
  </si>
  <si>
    <t>NSE%3ABANARBEADS</t>
  </si>
  <si>
    <t>https://in.tradingview.com/chart/ofQQfXOP/?symbol=NSE%3ABLKASHYAP</t>
  </si>
  <si>
    <t>https://in.tradingview.com/chart/bXJLby4L/?symbol=NSE%3ABLKASHYAP</t>
  </si>
  <si>
    <t>BAGFILMS</t>
  </si>
  <si>
    <t>B.a.g Films And Media Limited</t>
  </si>
  <si>
    <t>NSE%3ABANARISUG</t>
  </si>
  <si>
    <t>https://in.tradingview.com/chart/ofQQfXOP/?symbol=NSE%3ABAGFILMS</t>
  </si>
  <si>
    <t>https://in.tradingview.com/chart/bXJLby4L/?symbol=NSE%3ABAGFILMS</t>
  </si>
  <si>
    <t>BBTCL</t>
  </si>
  <si>
    <t>B&amp;B Triplewall Containers Ltd</t>
  </si>
  <si>
    <t>NSE%3ABANCOINDIA</t>
  </si>
  <si>
    <t>https://in.tradingview.com/chart/ofQQfXOP/?symbol=NSE%3ABBTCL</t>
  </si>
  <si>
    <t>https://in.tradingview.com/chart/bXJLby4L/?symbol=NSE%3ABBTCL</t>
  </si>
  <si>
    <t>STYLEBAAZA</t>
  </si>
  <si>
    <t>Baazar Style Retail Ltd</t>
  </si>
  <si>
    <t>NSE%3ABANDHANBNK</t>
  </si>
  <si>
    <t>https://in.tradingview.com/chart/ofQQfXOP/?symbol=NSE%3ASTYLEBAAZA</t>
  </si>
  <si>
    <t>https://in.tradingview.com/chart/bXJLby4L/?symbol=NSE%3ASTYLEBAAZA</t>
  </si>
  <si>
    <t>BAFNAPH</t>
  </si>
  <si>
    <t>Bafna Pharmaceuticals Ltd</t>
  </si>
  <si>
    <t>NSE%3ABANG</t>
  </si>
  <si>
    <t>https://in.tradingview.com/chart/ofQQfXOP/?symbol=NSE%3ABAFNAPH</t>
  </si>
  <si>
    <t>https://in.tradingview.com/chart/bXJLby4L/?symbol=NSE%3ABAFNAPH</t>
  </si>
  <si>
    <t>BAIDFIN</t>
  </si>
  <si>
    <t>Baid Finserv Ltd</t>
  </si>
  <si>
    <t>NSE%3ABANKA</t>
  </si>
  <si>
    <t>https://in.tradingview.com/chart/ofQQfXOP/?symbol=NSE%3ABAIDFIN</t>
  </si>
  <si>
    <t>https://in.tradingview.com/chart/bXJLby4L/?symbol=NSE%3ABAIDFIN</t>
  </si>
  <si>
    <t>BAJAJ-AUTO</t>
  </si>
  <si>
    <t>Bajaj Auto Limited</t>
  </si>
  <si>
    <t>NSE%3ABANKBARODA</t>
  </si>
  <si>
    <t>https://in.tradingview.com/chart/ofQQfXOP/?symbol=NSE%3ABAJAJ-AUTO</t>
  </si>
  <si>
    <t>https://in.tradingview.com/chart/bXJLby4L/?symbol=NSE%3ABAJAJ-AUTO</t>
  </si>
  <si>
    <t>BAJAJCON</t>
  </si>
  <si>
    <t>Bajaj Consumer Care Ltd</t>
  </si>
  <si>
    <t>NSE%3ABANKBEES</t>
  </si>
  <si>
    <t>https://in.tradingview.com/chart/ofQQfXOP/?symbol=NSE%3ABAJAJCON</t>
  </si>
  <si>
    <t>https://in.tradingview.com/chart/bXJLby4L/?symbol=NSE%3ABAJAJCON</t>
  </si>
  <si>
    <t>BAJAJELEC</t>
  </si>
  <si>
    <t>Bajaj Electricals Limited</t>
  </si>
  <si>
    <t>NSE%3ABANKBETF</t>
  </si>
  <si>
    <t>https://in.tradingview.com/chart/ofQQfXOP/?symbol=NSE%3ABAJAJELEC</t>
  </si>
  <si>
    <t>https://in.tradingview.com/chart/bXJLby4L/?symbol=NSE%3ABAJAJELEC</t>
  </si>
  <si>
    <t>BAJFINANCE</t>
  </si>
  <si>
    <t>Bajaj Finance Limited</t>
  </si>
  <si>
    <t>NSE%3ABANKETF</t>
  </si>
  <si>
    <t>https://in.tradingview.com/chart/ofQQfXOP/?symbol=NSE%3ABAJFINANCE</t>
  </si>
  <si>
    <t>https://in.tradingview.com/chart/bXJLby4L/?symbol=NSE%3ABAJFINANCE</t>
  </si>
  <si>
    <t>BAJAJFINSV</t>
  </si>
  <si>
    <t>Bajaj Finserv Limited</t>
  </si>
  <si>
    <t>NSE%3ABANKETFADD</t>
  </si>
  <si>
    <t>https://in.tradingview.com/chart/ofQQfXOP/?symbol=NSE%3ABAJAJFINSV</t>
  </si>
  <si>
    <t>https://in.tradingview.com/chart/bXJLby4L/?symbol=NSE%3ABAJAJFINSV</t>
  </si>
  <si>
    <t>LIQUIDBETF</t>
  </si>
  <si>
    <t>Bajaj Finserv Nifty 1D Rate Liquid ETF</t>
  </si>
  <si>
    <t>NSE%3ABANKIETF</t>
  </si>
  <si>
    <t>https://in.tradingview.com/chart/ofQQfXOP/?symbol=NSE%3ALIQUIDBETF</t>
  </si>
  <si>
    <t>https://in.tradingview.com/chart/bXJLby4L/?symbol=NSE%3ALIQUIDBETF</t>
  </si>
  <si>
    <t>NIFTYBETF</t>
  </si>
  <si>
    <t>Bajaj Finserv Nifty 50 ETF</t>
  </si>
  <si>
    <t>NSE%3ABANKINDIA</t>
  </si>
  <si>
    <t>https://in.tradingview.com/chart/ofQQfXOP/?symbol=NSE%3ANIFTYBETF</t>
  </si>
  <si>
    <t>https://in.tradingview.com/chart/bXJLby4L/?symbol=NSE%3ANIFTYBETF</t>
  </si>
  <si>
    <t>BANKBETF</t>
  </si>
  <si>
    <t>Bajaj Finserv Nifty Bank ETF</t>
  </si>
  <si>
    <t>NSE%3ABANKNIFTY1</t>
  </si>
  <si>
    <t>https://in.tradingview.com/chart/ofQQfXOP/?symbol=NSE%3ABANKBETF</t>
  </si>
  <si>
    <t>https://in.tradingview.com/chart/bXJLby4L/?symbol=NSE%3ABANKBETF</t>
  </si>
  <si>
    <t>BAJAJHCARE</t>
  </si>
  <si>
    <t>Bajaj Healthcare Ltd</t>
  </si>
  <si>
    <t>NSE%3ABANKPSU</t>
  </si>
  <si>
    <t>https://in.tradingview.com/chart/ofQQfXOP/?symbol=NSE%3ABAJAJHCARE</t>
  </si>
  <si>
    <t>https://in.tradingview.com/chart/bXJLby4L/?symbol=NSE%3ABAJAJHCARE</t>
  </si>
  <si>
    <t>BAJAJHIND</t>
  </si>
  <si>
    <t>Bajaj Hindusthan Sugar Limited</t>
  </si>
  <si>
    <t>NSE%3ABANSALWIRE</t>
  </si>
  <si>
    <t>https://in.tradingview.com/chart/ofQQfXOP/?symbol=NSE%3ABAJAJHIND</t>
  </si>
  <si>
    <t>https://in.tradingview.com/chart/bXJLby4L/?symbol=NSE%3ABAJAJHIND</t>
  </si>
  <si>
    <t>BAJAJHLDNG</t>
  </si>
  <si>
    <t>Bajaj Holdings &amp; Investment Limited</t>
  </si>
  <si>
    <t>NSE%3ABANSWRAS</t>
  </si>
  <si>
    <t>https://in.tradingview.com/chart/ofQQfXOP/?symbol=NSE%3ABAJAJHLDNG</t>
  </si>
  <si>
    <t>https://in.tradingview.com/chart/bXJLby4L/?symbol=NSE%3ABAJAJHLDNG</t>
  </si>
  <si>
    <t>BAJAJHFL</t>
  </si>
  <si>
    <t>Bajaj Housing Finance Ltd</t>
  </si>
  <si>
    <t>NSE%3AUFBL</t>
  </si>
  <si>
    <t>https://in.tradingview.com/chart/ofQQfXOP/?symbol=NSE%3ABAJAJHFL</t>
  </si>
  <si>
    <t>https://in.tradingview.com/chart/bXJLby4L/?symbol=NSE%3ABAJAJHFL</t>
  </si>
  <si>
    <t>BAJEL</t>
  </si>
  <si>
    <t>Bajel Projects Ltd</t>
  </si>
  <si>
    <t>NSE%3ABASF</t>
  </si>
  <si>
    <t>https://in.tradingview.com/chart/ofQQfXOP/?symbol=NSE%3ABAJEL</t>
  </si>
  <si>
    <t>https://in.tradingview.com/chart/bXJLby4L/?symbol=NSE%3ABAJEL</t>
  </si>
  <si>
    <t>BALPHARMA</t>
  </si>
  <si>
    <t>Bal Pharma Limited</t>
  </si>
  <si>
    <t>NSE%3ABASML</t>
  </si>
  <si>
    <t>https://in.tradingview.com/chart/ofQQfXOP/?symbol=NSE%3ABALPHARMA</t>
  </si>
  <si>
    <t>https://in.tradingview.com/chart/bXJLby4L/?symbol=NSE%3ABALPHARMA</t>
  </si>
  <si>
    <t>BALAMINES</t>
  </si>
  <si>
    <t>Balaji Amines Limited</t>
  </si>
  <si>
    <t>NSE%3ABATAINDIA</t>
  </si>
  <si>
    <t>https://in.tradingview.com/chart/ofQQfXOP/?symbol=NSE%3ABALAMINES</t>
  </si>
  <si>
    <t>https://in.tradingview.com/chart/bXJLby4L/?symbol=NSE%3ABALAMINES</t>
  </si>
  <si>
    <t>BALAJITELE</t>
  </si>
  <si>
    <t>Balaji Telefilms Limited</t>
  </si>
  <si>
    <t>NSE%3ABAYERCROP</t>
  </si>
  <si>
    <t>https://in.tradingview.com/chart/ofQQfXOP/?symbol=NSE%3ABALAJITELE</t>
  </si>
  <si>
    <t>https://in.tradingview.com/chart/bXJLby4L/?symbol=NSE%3ABALAJITELE</t>
  </si>
  <si>
    <t>BALAXI</t>
  </si>
  <si>
    <t>Balaxi Pharmaceuticals Ltd</t>
  </si>
  <si>
    <t>NSE%3ABBETF0432</t>
  </si>
  <si>
    <t>https://in.tradingview.com/chart/ofQQfXOP/?symbol=NSE%3ABALAXI</t>
  </si>
  <si>
    <t>https://in.tradingview.com/chart/bXJLby4L/?symbol=NSE%3ABALAXI</t>
  </si>
  <si>
    <t>BALKRISIND</t>
  </si>
  <si>
    <t>Balkrishna Industries Limited</t>
  </si>
  <si>
    <t>NSE%3ABBL</t>
  </si>
  <si>
    <t>https://in.tradingview.com/chart/ofQQfXOP/?symbol=NSE%3ABALKRISIND</t>
  </si>
  <si>
    <t>https://in.tradingview.com/chart/bXJLby4L/?symbol=NSE%3ABALKRISIND</t>
  </si>
  <si>
    <t>BALKRISHNA</t>
  </si>
  <si>
    <t>Balkrishna Paper Mills Limited</t>
  </si>
  <si>
    <t>NSE%3ABBNPNBETF</t>
  </si>
  <si>
    <t>https://in.tradingview.com/chart/ofQQfXOP/?symbol=NSE%3ABALKRISHNA</t>
  </si>
  <si>
    <t>https://in.tradingview.com/chart/bXJLby4L/?symbol=NSE%3ABALKRISHNA</t>
  </si>
  <si>
    <t>BALMLAWRIE</t>
  </si>
  <si>
    <t>Balmer Lawrie &amp; Company Limited</t>
  </si>
  <si>
    <t>NSE%3ABBNPPGOLD</t>
  </si>
  <si>
    <t>https://in.tradingview.com/chart/ofQQfXOP/?symbol=NSE%3ABALMLAWRIE</t>
  </si>
  <si>
    <t>https://in.tradingview.com/chart/bXJLby4L/?symbol=NSE%3ABALMLAWRIE</t>
  </si>
  <si>
    <t>BALRAMCHIN</t>
  </si>
  <si>
    <t>Balrampur Chini Mills Limited</t>
  </si>
  <si>
    <t>NSE%3ABBOX</t>
  </si>
  <si>
    <t>https://in.tradingview.com/chart/ofQQfXOP/?symbol=NSE%3ABALRAMCHIN</t>
  </si>
  <si>
    <t>https://in.tradingview.com/chart/bXJLby4L/?symbol=NSE%3ABALRAMCHIN</t>
  </si>
  <si>
    <t>BALUFORGE</t>
  </si>
  <si>
    <t>Balu Forge Industries Ltd</t>
  </si>
  <si>
    <t>NSE%3ABBTC</t>
  </si>
  <si>
    <t>https://in.tradingview.com/chart/ofQQfXOP/?symbol=NSE%3ABALUFORGE</t>
  </si>
  <si>
    <t>https://in.tradingview.com/chart/bXJLby4L/?symbol=NSE%3ABALUFORGE</t>
  </si>
  <si>
    <t>BANARBEADS</t>
  </si>
  <si>
    <t>Banaras Beads Limited</t>
  </si>
  <si>
    <t>NSE%3ABBTCL</t>
  </si>
  <si>
    <t>https://in.tradingview.com/chart/ofQQfXOP/?symbol=NSE%3ABANARBEADS</t>
  </si>
  <si>
    <t>https://in.tradingview.com/chart/bXJLby4L/?symbol=NSE%3ABANARBEADS</t>
  </si>
  <si>
    <t>BANCOINDIA</t>
  </si>
  <si>
    <t>Banco Products (i) Limited</t>
  </si>
  <si>
    <t>NSE%3ABCLIND</t>
  </si>
  <si>
    <t>https://in.tradingview.com/chart/ofQQfXOP/?symbol=NSE%3ABANCOINDIA</t>
  </si>
  <si>
    <t>https://in.tradingview.com/chart/bXJLby4L/?symbol=NSE%3ABANCOINDIA</t>
  </si>
  <si>
    <t>BANDHANBNK</t>
  </si>
  <si>
    <t>Bandhan Bank Ltd</t>
  </si>
  <si>
    <t>NSE%3ABCONCEPTS</t>
  </si>
  <si>
    <t>https://in.tradingview.com/chart/ofQQfXOP/?symbol=NSE%3ABANDHANBNK</t>
  </si>
  <si>
    <t>https://in.tradingview.com/chart/bXJLby4L/?symbol=NSE%3ABANDHANBNK</t>
  </si>
  <si>
    <t>IDFNIFTYET</t>
  </si>
  <si>
    <t>Bandhan Nifty 50 ETF</t>
  </si>
  <si>
    <t>NSE%3ABDL</t>
  </si>
  <si>
    <t>https://in.tradingview.com/chart/ofQQfXOP/?symbol=NSE%3AIDFNIFTYET</t>
  </si>
  <si>
    <t>https://in.tradingview.com/chart/bXJLby4L/?symbol=NSE%3AIDFNIFTYET</t>
  </si>
  <si>
    <t>BANG</t>
  </si>
  <si>
    <t>Bang Overseas Limited</t>
  </si>
  <si>
    <t>NSE%3ABEARDSELL</t>
  </si>
  <si>
    <t>https://in.tradingview.com/chart/ofQQfXOP/?symbol=NSE%3ABANG</t>
  </si>
  <si>
    <t>https://in.tradingview.com/chart/bXJLby4L/?symbol=NSE%3ABANG</t>
  </si>
  <si>
    <t>BANKBARODA</t>
  </si>
  <si>
    <t>Bank Of Baroda</t>
  </si>
  <si>
    <t>NSE%3ABECTORFOOD</t>
  </si>
  <si>
    <t>https://in.tradingview.com/chart/ofQQfXOP/?symbol=NSE%3ABANKBARODA</t>
  </si>
  <si>
    <t>https://in.tradingview.com/chart/bXJLby4L/?symbol=NSE%3ABANKBARODA</t>
  </si>
  <si>
    <t>BANKINDIA</t>
  </si>
  <si>
    <t>Bank Of India</t>
  </si>
  <si>
    <t>NSE%3ABEDMUTHA</t>
  </si>
  <si>
    <t>https://in.tradingview.com/chart/ofQQfXOP/?symbol=NSE%3ABANKINDIA</t>
  </si>
  <si>
    <t>https://in.tradingview.com/chart/bXJLby4L/?symbol=NSE%3ABANKINDIA</t>
  </si>
  <si>
    <t>MAHABANK</t>
  </si>
  <si>
    <t>Bank Of Maharashtra</t>
  </si>
  <si>
    <t>NSE%3ABEL</t>
  </si>
  <si>
    <t>https://in.tradingview.com/chart/ofQQfXOP/?symbol=NSE%3AMAHABANK</t>
  </si>
  <si>
    <t>https://in.tradingview.com/chart/bXJLby4L/?symbol=NSE%3AMAHABANK</t>
  </si>
  <si>
    <t>BANKA</t>
  </si>
  <si>
    <t>Banka Bioloo Ltd</t>
  </si>
  <si>
    <t>NSE%3ABEML</t>
  </si>
  <si>
    <t>https://in.tradingview.com/chart/ofQQfXOP/?symbol=NSE%3ABANKA</t>
  </si>
  <si>
    <t>https://in.tradingview.com/chart/bXJLby4L/?symbol=NSE%3ABANKA</t>
  </si>
  <si>
    <t>BANKNIFTY</t>
  </si>
  <si>
    <t>NSE%3ABEPL</t>
  </si>
  <si>
    <t>https://in.tradingview.com/chart/ofQQfXOP/?symbol=NSE%3ABANKNIFTY</t>
  </si>
  <si>
    <t>https://in.tradingview.com/chart/bXJLby4L/?symbol=NSE%3ABANKNIFTY</t>
  </si>
  <si>
    <t>BANKNIFTY1</t>
  </si>
  <si>
    <t>NSE%3ABERGEPAINT</t>
  </si>
  <si>
    <t>https://in.tradingview.com/chart/ofQQfXOP/?symbol=NSE%3ABANKNIFTY1</t>
  </si>
  <si>
    <t>https://in.tradingview.com/chart/bXJLby4L/?symbol=NSE%3ABANKNIFTY1</t>
  </si>
  <si>
    <t>BASML</t>
  </si>
  <si>
    <t>Bannari Amman Spinning Mills Limited</t>
  </si>
  <si>
    <t>NSE%3ABFINVEST</t>
  </si>
  <si>
    <t>https://in.tradingview.com/chart/ofQQfXOP/?symbol=NSE%3ABASML</t>
  </si>
  <si>
    <t>https://in.tradingview.com/chart/bXJLby4L/?symbol=NSE%3ABASML</t>
  </si>
  <si>
    <t>BANARISUG</t>
  </si>
  <si>
    <t>Bannari Amman Sugars Limited</t>
  </si>
  <si>
    <t>NSE%3ABFSI</t>
  </si>
  <si>
    <t>https://in.tradingview.com/chart/ofQQfXOP/?symbol=NSE%3ABANARISUG</t>
  </si>
  <si>
    <t>https://in.tradingview.com/chart/bXJLby4L/?symbol=NSE%3ABANARISUG</t>
  </si>
  <si>
    <t>BANSALWIRE</t>
  </si>
  <si>
    <t>Bansal Wire Industries Ltd</t>
  </si>
  <si>
    <t>NSE%3ABFUTILITIE</t>
  </si>
  <si>
    <t>https://in.tradingview.com/chart/ofQQfXOP/?symbol=NSE%3ABANSALWIRE</t>
  </si>
  <si>
    <t>https://in.tradingview.com/chart/bXJLby4L/?symbol=NSE%3ABANSALWIRE</t>
  </si>
  <si>
    <t>BANSWRAS</t>
  </si>
  <si>
    <t>Banswara Syntex Limited</t>
  </si>
  <si>
    <t>NSE%3ABHAGCHEM</t>
  </si>
  <si>
    <t>https://in.tradingview.com/chart/ofQQfXOP/?symbol=NSE%3ABANSWRAS</t>
  </si>
  <si>
    <t>https://in.tradingview.com/chart/bXJLby4L/?symbol=NSE%3ABANSWRAS</t>
  </si>
  <si>
    <t>BVCL</t>
  </si>
  <si>
    <t>Barak Valley Cements Limited</t>
  </si>
  <si>
    <t>NSE%3ABHAGERIA</t>
  </si>
  <si>
    <t>https://in.tradingview.com/chart/ofQQfXOP/?symbol=NSE%3ABVCL</t>
  </si>
  <si>
    <t>https://in.tradingview.com/chart/bXJLby4L/?symbol=NSE%3ABVCL</t>
  </si>
  <si>
    <t>BBNPPGOLD</t>
  </si>
  <si>
    <t>Baroda BNP Paribas Gold ETF</t>
  </si>
  <si>
    <t>NSE%3ABHAGYANGR</t>
  </si>
  <si>
    <t>https://in.tradingview.com/chart/ofQQfXOP/?symbol=NSE%3ABBNPPGOLD</t>
  </si>
  <si>
    <t>https://in.tradingview.com/chart/bXJLby4L/?symbol=NSE%3ABBNPPGOLD</t>
  </si>
  <si>
    <t>BBNPNBETF</t>
  </si>
  <si>
    <t>Baroda BNP Paribas Nifty Bank ETF</t>
  </si>
  <si>
    <t>NSE%3ABHANDARI</t>
  </si>
  <si>
    <t>https://in.tradingview.com/chart/ofQQfXOP/?symbol=NSE%3ABBNPNBETF</t>
  </si>
  <si>
    <t>https://in.tradingview.com/chart/bXJLby4L/?symbol=NSE%3ABBNPNBETF</t>
  </si>
  <si>
    <t>ASMS</t>
  </si>
  <si>
    <t>Bartronics India Ltd</t>
  </si>
  <si>
    <t>NSE%3ABHARATFORG</t>
  </si>
  <si>
    <t>https://in.tradingview.com/chart/ofQQfXOP/?symbol=NSE%3AASMS</t>
  </si>
  <si>
    <t>https://in.tradingview.com/chart/bXJLby4L/?symbol=NSE%3AASMS</t>
  </si>
  <si>
    <t>BASF</t>
  </si>
  <si>
    <t>Basf India Limited</t>
  </si>
  <si>
    <t>NSE%3ABHARATGEAR</t>
  </si>
  <si>
    <t>https://in.tradingview.com/chart/ofQQfXOP/?symbol=NSE%3ABASF</t>
  </si>
  <si>
    <t>https://in.tradingview.com/chart/bXJLby4L/?symbol=NSE%3ABASF</t>
  </si>
  <si>
    <t>BATAINDIA</t>
  </si>
  <si>
    <t>Bata India Limited</t>
  </si>
  <si>
    <t>NSE%3ABHARATRAS</t>
  </si>
  <si>
    <t>https://in.tradingview.com/chart/ofQQfXOP/?symbol=NSE%3ABATAINDIA</t>
  </si>
  <si>
    <t>https://in.tradingview.com/chart/bXJLby4L/?symbol=NSE%3ABATAINDIA</t>
  </si>
  <si>
    <t>BAYERCROP</t>
  </si>
  <si>
    <t>Bayer Cropscience Limited</t>
  </si>
  <si>
    <t>NSE%3ABHARATWIRE</t>
  </si>
  <si>
    <t>https://in.tradingview.com/chart/ofQQfXOP/?symbol=NSE%3ABAYERCROP</t>
  </si>
  <si>
    <t>https://in.tradingview.com/chart/bXJLby4L/?symbol=NSE%3ABAYERCROP</t>
  </si>
  <si>
    <t>BCLIND</t>
  </si>
  <si>
    <t>BCL Industries Ltd</t>
  </si>
  <si>
    <t>NSE%3ABHARTIARTL</t>
  </si>
  <si>
    <t>https://in.tradingview.com/chart/ofQQfXOP/?symbol=NSE%3ABCLIND</t>
  </si>
  <si>
    <t>https://in.tradingview.com/chart/bXJLby4L/?symbol=NSE%3ABCLIND</t>
  </si>
  <si>
    <t>BEARDSELL</t>
  </si>
  <si>
    <t>Beardsell Limited</t>
  </si>
  <si>
    <t>NSE%3ABHARTIHEXA</t>
  </si>
  <si>
    <t>https://in.tradingview.com/chart/ofQQfXOP/?symbol=NSE%3ABEARDSELL</t>
  </si>
  <si>
    <t>https://in.tradingview.com/chart/bXJLby4L/?symbol=NSE%3ABEARDSELL</t>
  </si>
  <si>
    <t>BEDMUTHA</t>
  </si>
  <si>
    <t>Bedmutha Industries Limited</t>
  </si>
  <si>
    <t>NSE%3ABHEL</t>
  </si>
  <si>
    <t>https://in.tradingview.com/chart/ofQQfXOP/?symbol=NSE%3ABEDMUTHA</t>
  </si>
  <si>
    <t>https://in.tradingview.com/chart/bXJLby4L/?symbol=NSE%3ABEDMUTHA</t>
  </si>
  <si>
    <t>BELLACASA</t>
  </si>
  <si>
    <t>Bella Casa Fashion &amp; Retail Ltd</t>
  </si>
  <si>
    <t>NSE%3ABIGBLOC</t>
  </si>
  <si>
    <t>https://in.tradingview.com/chart/ofQQfXOP/?symbol=NSE%3ABELLACASA</t>
  </si>
  <si>
    <t>https://in.tradingview.com/chart/bXJLby4L/?symbol=NSE%3ABELLACASA</t>
  </si>
  <si>
    <t>BELRISE</t>
  </si>
  <si>
    <t>NSE%3ABIKAJI</t>
  </si>
  <si>
    <t>https://in.tradingview.com/chart/ofQQfXOP/?symbol=NSE%3ABELRISE</t>
  </si>
  <si>
    <t>https://in.tradingview.com/chart/bXJLby4L/?symbol=NSE%3ABELRISE</t>
  </si>
  <si>
    <t>BLAL</t>
  </si>
  <si>
    <t>BEML Land Assets Ltd</t>
  </si>
  <si>
    <t>NSE%3ABIOCON</t>
  </si>
  <si>
    <t>https://in.tradingview.com/chart/ofQQfXOP/?symbol=NSE%3ABLAL</t>
  </si>
  <si>
    <t>https://in.tradingview.com/chart/bXJLby4L/?symbol=NSE%3ABLAL</t>
  </si>
  <si>
    <t>BEML</t>
  </si>
  <si>
    <t>Beml Limited</t>
  </si>
  <si>
    <t>NSE%3ABIOFILCHEM</t>
  </si>
  <si>
    <t>https://in.tradingview.com/chart/ofQQfXOP/?symbol=NSE%3ABEML</t>
  </si>
  <si>
    <t>https://in.tradingview.com/chart/bXJLby4L/?symbol=NSE%3ABEML</t>
  </si>
  <si>
    <t>BERGEPAINT</t>
  </si>
  <si>
    <t>Berger Paints (i) Limited</t>
  </si>
  <si>
    <t>NSE%3ABIRLACABLE</t>
  </si>
  <si>
    <t>https://in.tradingview.com/chart/ofQQfXOP/?symbol=NSE%3ABERGEPAINT</t>
  </si>
  <si>
    <t>https://in.tradingview.com/chart/bXJLby4L/?symbol=NSE%3ABERGEPAINT</t>
  </si>
  <si>
    <t>BESTAGRO</t>
  </si>
  <si>
    <t>Best Agrolife Ltd</t>
  </si>
  <si>
    <t>NSE%3ABIRLACORPN</t>
  </si>
  <si>
    <t>https://in.tradingview.com/chart/ofQQfXOP/?symbol=NSE%3ABESTAGRO</t>
  </si>
  <si>
    <t>https://in.tradingview.com/chart/bXJLby4L/?symbol=NSE%3ABESTAGRO</t>
  </si>
  <si>
    <t>BETA</t>
  </si>
  <si>
    <t>Beta Drugs Ltd</t>
  </si>
  <si>
    <t>NSE%3ABLACKBUCK</t>
  </si>
  <si>
    <t>https://in.tradingview.com/chart/ofQQfXOP/?symbol=NSE%3ABETA</t>
  </si>
  <si>
    <t>https://in.tradingview.com/chart/bXJLby4L/?symbol=NSE%3ABETA</t>
  </si>
  <si>
    <t>BFINVEST</t>
  </si>
  <si>
    <t>Bf Investment Limited</t>
  </si>
  <si>
    <t>NSE%3ABLAL</t>
  </si>
  <si>
    <t>https://in.tradingview.com/chart/ofQQfXOP/?symbol=NSE%3ABFINVEST</t>
  </si>
  <si>
    <t>https://in.tradingview.com/chart/bXJLby4L/?symbol=NSE%3ABFINVEST</t>
  </si>
  <si>
    <t>BFUTILITIE</t>
  </si>
  <si>
    <t>Bf Utilities Limited</t>
  </si>
  <si>
    <t>NSE%3ABLBLIMITED</t>
  </si>
  <si>
    <t>https://in.tradingview.com/chart/ofQQfXOP/?symbol=NSE%3ABFUTILITIE</t>
  </si>
  <si>
    <t>https://in.tradingview.com/chart/bXJLby4L/?symbol=NSE%3ABFUTILITIE</t>
  </si>
  <si>
    <t>BGRENERGY</t>
  </si>
  <si>
    <t>Bgr Energy Systems Limited</t>
  </si>
  <si>
    <t>NSE%3ABLISSGVS</t>
  </si>
  <si>
    <t>https://in.tradingview.com/chart/ofQQfXOP/?symbol=NSE%3ABGRENERGY</t>
  </si>
  <si>
    <t>https://in.tradingview.com/chart/bXJLby4L/?symbol=NSE%3ABGRENERGY</t>
  </si>
  <si>
    <t>BHAGERIA</t>
  </si>
  <si>
    <t>Bhageria Industries Limited</t>
  </si>
  <si>
    <t>NSE%3ABLKASHYAP</t>
  </si>
  <si>
    <t>https://in.tradingview.com/chart/ofQQfXOP/?symbol=NSE%3ABHAGERIA</t>
  </si>
  <si>
    <t>https://in.tradingview.com/chart/bXJLby4L/?symbol=NSE%3ABHAGERIA</t>
  </si>
  <si>
    <t>BHAGCHEM</t>
  </si>
  <si>
    <t>Bhagiradha Chemicals &amp; Industries Ltd</t>
  </si>
  <si>
    <t>NSE%3ABLS</t>
  </si>
  <si>
    <t>https://in.tradingview.com/chart/ofQQfXOP/?symbol=NSE%3ABHAGCHEM</t>
  </si>
  <si>
    <t>https://in.tradingview.com/chart/bXJLby4L/?symbol=NSE%3ABHAGCHEM</t>
  </si>
  <si>
    <t>BHAGYANGR</t>
  </si>
  <si>
    <t>Bhagyanagar India</t>
  </si>
  <si>
    <t>NSE%3ABLSE</t>
  </si>
  <si>
    <t>https://in.tradingview.com/chart/ofQQfXOP/?symbol=NSE%3ABHAGYANGR</t>
  </si>
  <si>
    <t>https://in.tradingview.com/chart/bXJLby4L/?symbol=NSE%3ABHAGYANGR</t>
  </si>
  <si>
    <t>BEPL</t>
  </si>
  <si>
    <t>Bhansali Engineering Polymers Limited</t>
  </si>
  <si>
    <t>NSE%3ABLUECHIP</t>
  </si>
  <si>
    <t>https://in.tradingview.com/chart/ofQQfXOP/?symbol=NSE%3ABEPL</t>
  </si>
  <si>
    <t>https://in.tradingview.com/chart/bXJLby4L/?symbol=NSE%3ABEPL</t>
  </si>
  <si>
    <t>ICICIB22</t>
  </si>
  <si>
    <t>Bharat 22 ETF</t>
  </si>
  <si>
    <t>NSE%3ABLUEDART</t>
  </si>
  <si>
    <t>https://in.tradingview.com/chart/ofQQfXOP/?symbol=NSE%3AICICIB22</t>
  </si>
  <si>
    <t>https://in.tradingview.com/chart/bXJLby4L/?symbol=NSE%3AICICIB22</t>
  </si>
  <si>
    <t>BBL</t>
  </si>
  <si>
    <t>Bharat Bijlee Limited</t>
  </si>
  <si>
    <t>NSE%3ABLUEJET</t>
  </si>
  <si>
    <t>https://in.tradingview.com/chart/ofQQfXOP/?symbol=NSE%3ABBL</t>
  </si>
  <si>
    <t>https://in.tradingview.com/chart/bXJLby4L/?symbol=NSE%3ABBL</t>
  </si>
  <si>
    <t>EBBETF0430</t>
  </si>
  <si>
    <t>Bharat Bond ETF - April 2030</t>
  </si>
  <si>
    <t>NSE%3ABLUESTARCO</t>
  </si>
  <si>
    <t>https://in.tradingview.com/chart/ofQQfXOP/?symbol=NSE%3AEBBETF0430</t>
  </si>
  <si>
    <t>https://in.tradingview.com/chart/bXJLby4L/?symbol=NSE%3AEBBETF0430</t>
  </si>
  <si>
    <t>EBBETF0431</t>
  </si>
  <si>
    <t>Bharat Bond ETF - April 2031</t>
  </si>
  <si>
    <t>NSE%3ABODALCHEM</t>
  </si>
  <si>
    <t>https://in.tradingview.com/chart/ofQQfXOP/?symbol=NSE%3AEBBETF0431</t>
  </si>
  <si>
    <t>https://in.tradingview.com/chart/bXJLby4L/?symbol=NSE%3AEBBETF0431</t>
  </si>
  <si>
    <t>BBETF0432</t>
  </si>
  <si>
    <t>Bharat Bond ETF - April 2032</t>
  </si>
  <si>
    <t>NSE%3ABOMDYEING</t>
  </si>
  <si>
    <t>https://in.tradingview.com/chart/ofQQfXOP/?symbol=NSE%3ABBETF0432</t>
  </si>
  <si>
    <t>https://in.tradingview.com/chart/bXJLby4L/?symbol=NSE%3ABBETF0432</t>
  </si>
  <si>
    <t>EBBETF0433</t>
  </si>
  <si>
    <t>Bharat Bond ETF - April 2033</t>
  </si>
  <si>
    <t>NSE%3ABOROLTD</t>
  </si>
  <si>
    <t>https://in.tradingview.com/chart/ofQQfXOP/?symbol=NSE%3AEBBETF0433</t>
  </si>
  <si>
    <t>https://in.tradingview.com/chart/bXJLby4L/?symbol=NSE%3AEBBETF0433</t>
  </si>
  <si>
    <t>BDL</t>
  </si>
  <si>
    <t>Bharat Dynamics Ltd</t>
  </si>
  <si>
    <t>NSE%3ABORORENEW</t>
  </si>
  <si>
    <t>https://in.tradingview.com/chart/ofQQfXOP/?symbol=NSE%3ABDL</t>
  </si>
  <si>
    <t>https://in.tradingview.com/chart/bXJLby4L/?symbol=NSE%3ABDL</t>
  </si>
  <si>
    <t>BEL</t>
  </si>
  <si>
    <t>Bharat Electronics Limited</t>
  </si>
  <si>
    <t>NSE%3ABOROSCI</t>
  </si>
  <si>
    <t>https://in.tradingview.com/chart/ofQQfXOP/?symbol=NSE%3ABEL</t>
  </si>
  <si>
    <t>https://in.tradingview.com/chart/bXJLby4L/?symbol=NSE%3ABEL</t>
  </si>
  <si>
    <t>BHARATFORG</t>
  </si>
  <si>
    <t>Bharat Forge Limited</t>
  </si>
  <si>
    <t>NSE%3ABOSCHLTD</t>
  </si>
  <si>
    <t>https://in.tradingview.com/chart/ofQQfXOP/?symbol=NSE%3ABHARATFORG</t>
  </si>
  <si>
    <t>https://in.tradingview.com/chart/bXJLby4L/?symbol=NSE%3ABHARATFORG</t>
  </si>
  <si>
    <t>BHARATGEAR</t>
  </si>
  <si>
    <t>Bharat Gears Limited</t>
  </si>
  <si>
    <t>NSE%3ABPCL</t>
  </si>
  <si>
    <t>https://in.tradingview.com/chart/ofQQfXOP/?symbol=NSE%3ABHARATGEAR</t>
  </si>
  <si>
    <t>https://in.tradingview.com/chart/bXJLby4L/?symbol=NSE%3ABHARATGEAR</t>
  </si>
  <si>
    <t>BHEL</t>
  </si>
  <si>
    <t>Bharat Heavy Electricals Limited</t>
  </si>
  <si>
    <t>NSE%3ABPL</t>
  </si>
  <si>
    <t>https://in.tradingview.com/chart/ofQQfXOP/?symbol=NSE%3ABHEL</t>
  </si>
  <si>
    <t>https://in.tradingview.com/chart/bXJLby4L/?symbol=NSE%3ABHEL</t>
  </si>
  <si>
    <t>BPCL</t>
  </si>
  <si>
    <t>Bharat Petroleum Corporation Limited</t>
  </si>
  <si>
    <t>NSE%3ABRIGADE</t>
  </si>
  <si>
    <t>https://in.tradingview.com/chart/ofQQfXOP/?symbol=NSE%3ABPCL</t>
  </si>
  <si>
    <t>https://in.tradingview.com/chart/bXJLby4L/?symbol=NSE%3ABPCL</t>
  </si>
  <si>
    <t>BHARATRAS</t>
  </si>
  <si>
    <t>Bharat Rasayan Limited</t>
  </si>
  <si>
    <t>NSE%3ABRITANNIA</t>
  </si>
  <si>
    <t>https://in.tradingview.com/chart/ofQQfXOP/?symbol=NSE%3ABHARATRAS</t>
  </si>
  <si>
    <t>https://in.tradingview.com/chart/bXJLby4L/?symbol=NSE%3ABHARATRAS</t>
  </si>
  <si>
    <t>BRNL</t>
  </si>
  <si>
    <t>Bharat Road Network</t>
  </si>
  <si>
    <t>NSE%3ABRNL</t>
  </si>
  <si>
    <t>https://in.tradingview.com/chart/ofQQfXOP/?symbol=NSE%3ABRNL</t>
  </si>
  <si>
    <t>https://in.tradingview.com/chart/bXJLby4L/?symbol=NSE%3ABRNL</t>
  </si>
  <si>
    <t>BHARATSE</t>
  </si>
  <si>
    <t>Bharat Seats Ltd</t>
  </si>
  <si>
    <t>NSE%3ABROOKS</t>
  </si>
  <si>
    <t>https://in.tradingview.com/chart/ofQQfXOP/?symbol=NSE%3ABHARATSE</t>
  </si>
  <si>
    <t>https://in.tradingview.com/chart/bXJLby4L/?symbol=NSE%3ABHARATSE</t>
  </si>
  <si>
    <t>BHARATWIRE</t>
  </si>
  <si>
    <t>Bharat Wire Ropes Limited</t>
  </si>
  <si>
    <t>NSE%3ABSE</t>
  </si>
  <si>
    <t>https://in.tradingview.com/chart/ofQQfXOP/?symbol=NSE%3ABHARATWIRE</t>
  </si>
  <si>
    <t>https://in.tradingview.com/chart/bXJLby4L/?symbol=NSE%3ABHARATWIRE</t>
  </si>
  <si>
    <t>BHARATBOND-APR30</t>
  </si>
  <si>
    <t>NSE%3ABSE500IETF</t>
  </si>
  <si>
    <t>https://in.tradingview.com/chart/ofQQfXOP/?symbol=NSE%3ABHARATBOND-APR30</t>
  </si>
  <si>
    <t>https://in.tradingview.com/chart/bXJLby4L/?symbol=NSE%3ABHARATBOND-APR30</t>
  </si>
  <si>
    <t>BHARATBOND-APR31</t>
  </si>
  <si>
    <t>NSE%3ABSHSL</t>
  </si>
  <si>
    <t>https://in.tradingview.com/chart/ofQQfXOP/?symbol=NSE%3ABHARATBOND-APR31</t>
  </si>
  <si>
    <t>https://in.tradingview.com/chart/bXJLby4L/?symbol=NSE%3ABHARATBOND-APR31</t>
  </si>
  <si>
    <t>BHARATBOND-APR32</t>
  </si>
  <si>
    <t>NSE%3ABSL</t>
  </si>
  <si>
    <t>https://in.tradingview.com/chart/ofQQfXOP/?symbol=NSE%3ABHARATBOND-APR32</t>
  </si>
  <si>
    <t>https://in.tradingview.com/chart/bXJLby4L/?symbol=NSE%3ABHARATBOND-APR32</t>
  </si>
  <si>
    <t>BHARATBOND-APR33</t>
  </si>
  <si>
    <t>NSE%3ABSLGOLDETF</t>
  </si>
  <si>
    <t>https://in.tradingview.com/chart/ofQQfXOP/?symbol=NSE%3ABHARATBOND-APR33</t>
  </si>
  <si>
    <t>https://in.tradingview.com/chart/bXJLby4L/?symbol=NSE%3ABHARATBOND-APR33</t>
  </si>
  <si>
    <t>BHARTIARTL</t>
  </si>
  <si>
    <t>Bharti Airtel Limited</t>
  </si>
  <si>
    <t>NSE%3ABSLNIFTY</t>
  </si>
  <si>
    <t>https://in.tradingview.com/chart/ofQQfXOP/?symbol=NSE%3ABHARTIARTL</t>
  </si>
  <si>
    <t>https://in.tradingview.com/chart/bXJLby4L/?symbol=NSE%3ABHARTIARTL</t>
  </si>
  <si>
    <t>BHARTIHEXA</t>
  </si>
  <si>
    <t>Bharti Hexacom Ltd</t>
  </si>
  <si>
    <t>NSE%3ABSLSENETFG</t>
  </si>
  <si>
    <t>https://in.tradingview.com/chart/ofQQfXOP/?symbol=NSE%3ABHARTIHEXA</t>
  </si>
  <si>
    <t>https://in.tradingview.com/chart/bXJLby4L/?symbol=NSE%3ABHARTIHEXA</t>
  </si>
  <si>
    <t>BIL</t>
  </si>
  <si>
    <t>Bhartiya International Limited</t>
  </si>
  <si>
    <t>NSE%3ABSOFT</t>
  </si>
  <si>
    <t>https://in.tradingview.com/chart/ofQQfXOP/?symbol=NSE%3ABIL</t>
  </si>
  <si>
    <t>https://in.tradingview.com/chart/bXJLby4L/?symbol=NSE%3ABIL</t>
  </si>
  <si>
    <t>BIGBLOC</t>
  </si>
  <si>
    <t>Bigbloc Construction Limited</t>
  </si>
  <si>
    <t>NSE%3ABTML</t>
  </si>
  <si>
    <t>https://in.tradingview.com/chart/ofQQfXOP/?symbol=NSE%3ABIGBLOC</t>
  </si>
  <si>
    <t>https://in.tradingview.com/chart/bXJLby4L/?symbol=NSE%3ABIGBLOC</t>
  </si>
  <si>
    <t>BIKAJI</t>
  </si>
  <si>
    <t>Bikaji Foods International Ltd</t>
  </si>
  <si>
    <t>NSE%3ABUTTERFLY</t>
  </si>
  <si>
    <t>https://in.tradingview.com/chart/ofQQfXOP/?symbol=NSE%3ABIKAJI</t>
  </si>
  <si>
    <t>https://in.tradingview.com/chart/bXJLby4L/?symbol=NSE%3ABIKAJI</t>
  </si>
  <si>
    <t>BILVYAPAR</t>
  </si>
  <si>
    <t>BIL Vyapar Ltd</t>
  </si>
  <si>
    <t>NSE%3ABVCL</t>
  </si>
  <si>
    <t>https://in.tradingview.com/chart/ofQQfXOP/?symbol=NSE%3ABILVYAPAR</t>
  </si>
  <si>
    <t>https://in.tradingview.com/chart/bXJLby4L/?symbol=NSE%3ABILVYAPAR</t>
  </si>
  <si>
    <t>BIOCON</t>
  </si>
  <si>
    <t>Biocon Limited</t>
  </si>
  <si>
    <t>NSE%3ABYKE</t>
  </si>
  <si>
    <t>https://in.tradingview.com/chart/ofQQfXOP/?symbol=NSE%3ABIOCON</t>
  </si>
  <si>
    <t>https://in.tradingview.com/chart/bXJLby4L/?symbol=NSE%3ABIOCON</t>
  </si>
  <si>
    <t>BIOFILCHEM</t>
  </si>
  <si>
    <t>Biofil Chemicals &amp; Pharmaceuticals Ltd</t>
  </si>
  <si>
    <t>NSE%3ACALSOFT</t>
  </si>
  <si>
    <t>https://in.tradingview.com/chart/ofQQfXOP/?symbol=NSE%3ABIOFILCHEM</t>
  </si>
  <si>
    <t>https://in.tradingview.com/chart/bXJLby4L/?symbol=NSE%3ABIOFILCHEM</t>
  </si>
  <si>
    <t>BIRLACABLE</t>
  </si>
  <si>
    <t>Birla Cable Limited</t>
  </si>
  <si>
    <t>NSE%3ACAMLINFINE</t>
  </si>
  <si>
    <t>https://in.tradingview.com/chart/ofQQfXOP/?symbol=NSE%3ABIRLACABLE</t>
  </si>
  <si>
    <t>https://in.tradingview.com/chart/bXJLby4L/?symbol=NSE%3ABIRLACABLE</t>
  </si>
  <si>
    <t>BIRLACORPN</t>
  </si>
  <si>
    <t>Birla Corporation Limited</t>
  </si>
  <si>
    <t>NSE%3ACAMPUS</t>
  </si>
  <si>
    <t>https://in.tradingview.com/chart/ofQQfXOP/?symbol=NSE%3ABIRLACORPN</t>
  </si>
  <si>
    <t>https://in.tradingview.com/chart/bXJLby4L/?symbol=NSE%3ABIRLACORPN</t>
  </si>
  <si>
    <t>BSLSENETFG</t>
  </si>
  <si>
    <t>Birla Sun Life Sensex ETF</t>
  </si>
  <si>
    <t>NSE%3ACAMS</t>
  </si>
  <si>
    <t>https://in.tradingview.com/chart/ofQQfXOP/?symbol=NSE%3ABSLSENETFG</t>
  </si>
  <si>
    <t>https://in.tradingview.com/chart/bXJLby4L/?symbol=NSE%3ABSLSENETFG</t>
  </si>
  <si>
    <t>BIRLANU</t>
  </si>
  <si>
    <t>BirlaNu Ltd</t>
  </si>
  <si>
    <t>NSE%3ACANBK</t>
  </si>
  <si>
    <t>https://in.tradingview.com/chart/ofQQfXOP/?symbol=NSE%3ABIRLANU</t>
  </si>
  <si>
    <t>https://in.tradingview.com/chart/bXJLby4L/?symbol=NSE%3ABIRLANU</t>
  </si>
  <si>
    <t>BSOFT</t>
  </si>
  <si>
    <t>Birlasoft Ltd</t>
  </si>
  <si>
    <t>NSE%3ACANFINHOME</t>
  </si>
  <si>
    <t>https://in.tradingview.com/chart/ofQQfXOP/?symbol=NSE%3ABSOFT</t>
  </si>
  <si>
    <t>https://in.tradingview.com/chart/bXJLby4L/?symbol=NSE%3ABSOFT</t>
  </si>
  <si>
    <t>BBOX</t>
  </si>
  <si>
    <t>Black Box Ltd</t>
  </si>
  <si>
    <t>NSE%3ACANTABIL</t>
  </si>
  <si>
    <t>https://in.tradingview.com/chart/ofQQfXOP/?symbol=NSE%3ABBOX</t>
  </si>
  <si>
    <t>https://in.tradingview.com/chart/bXJLby4L/?symbol=NSE%3ABBOX</t>
  </si>
  <si>
    <t>BLBLIMITED</t>
  </si>
  <si>
    <t>Blb Limited</t>
  </si>
  <si>
    <t>NSE%3ACAPACITE</t>
  </si>
  <si>
    <t>https://in.tradingview.com/chart/ofQQfXOP/?symbol=NSE%3ABLBLIMITED</t>
  </si>
  <si>
    <t>https://in.tradingview.com/chart/bXJLby4L/?symbol=NSE%3ABLBLIMITED</t>
  </si>
  <si>
    <t>BLISSGVS</t>
  </si>
  <si>
    <t>Bliss Gvs Pharma Limited</t>
  </si>
  <si>
    <t>NSE%3ACAPITALSFB</t>
  </si>
  <si>
    <t>https://in.tradingview.com/chart/ofQQfXOP/?symbol=NSE%3ABLISSGVS</t>
  </si>
  <si>
    <t>https://in.tradingview.com/chart/bXJLby4L/?symbol=NSE%3ABLISSGVS</t>
  </si>
  <si>
    <t>BLSE</t>
  </si>
  <si>
    <t>BLS E-Services Ltd</t>
  </si>
  <si>
    <t>NSE%3ACAPLIPOINT</t>
  </si>
  <si>
    <t>https://in.tradingview.com/chart/ofQQfXOP/?symbol=NSE%3ABLSE</t>
  </si>
  <si>
    <t>https://in.tradingview.com/chart/bXJLby4L/?symbol=NSE%3ABLSE</t>
  </si>
  <si>
    <t>BLS</t>
  </si>
  <si>
    <t>Bls International Services Limited</t>
  </si>
  <si>
    <t>NSE%3ACAPTRUST</t>
  </si>
  <si>
    <t>https://in.tradingview.com/chart/ofQQfXOP/?symbol=NSE%3ABLS</t>
  </si>
  <si>
    <t>https://in.tradingview.com/chart/bXJLby4L/?symbol=NSE%3ABLS</t>
  </si>
  <si>
    <t>BLUECOAST</t>
  </si>
  <si>
    <t>Blue Coast Hotels Limited</t>
  </si>
  <si>
    <t>NSE%3ACARBORUNIV</t>
  </si>
  <si>
    <t>https://in.tradingview.com/chart/ofQQfXOP/?symbol=NSE%3ABLUECOAST</t>
  </si>
  <si>
    <t>https://in.tradingview.com/chart/bXJLby4L/?symbol=NSE%3ABLUECOAST</t>
  </si>
  <si>
    <t>BLUEDART</t>
  </si>
  <si>
    <t>Blue Dart Express Limited</t>
  </si>
  <si>
    <t>NSE%3ACARERATING</t>
  </si>
  <si>
    <t>https://in.tradingview.com/chart/ofQQfXOP/?symbol=NSE%3ABLUEDART</t>
  </si>
  <si>
    <t>https://in.tradingview.com/chart/bXJLby4L/?symbol=NSE%3ABLUEDART</t>
  </si>
  <si>
    <t>BLUEJET</t>
  </si>
  <si>
    <t>Blue Jet Healthcare Ltd</t>
  </si>
  <si>
    <t>NSE%3ACARRARO</t>
  </si>
  <si>
    <t>https://in.tradingview.com/chart/ofQQfXOP/?symbol=NSE%3ABLUEJET</t>
  </si>
  <si>
    <t>https://in.tradingview.com/chart/bXJLby4L/?symbol=NSE%3ABLUEJET</t>
  </si>
  <si>
    <t>BLUESTARCO</t>
  </si>
  <si>
    <t>Blue Star Limited</t>
  </si>
  <si>
    <t>NSE%3ACARTRADE</t>
  </si>
  <si>
    <t>https://in.tradingview.com/chart/ofQQfXOP/?symbol=NSE%3ABLUESTARCO</t>
  </si>
  <si>
    <t>https://in.tradingview.com/chart/bXJLby4L/?symbol=NSE%3ABLUESTARCO</t>
  </si>
  <si>
    <t>BLUESTONE</t>
  </si>
  <si>
    <t>NSE%3ACARYSIL</t>
  </si>
  <si>
    <t>https://in.tradingview.com/chart/ofQQfXOP/?symbol=NSE%3ABLUESTONE</t>
  </si>
  <si>
    <t>https://in.tradingview.com/chart/bXJLby4L/?symbol=NSE%3ABLUESTONE</t>
  </si>
  <si>
    <t>BLUSPRING</t>
  </si>
  <si>
    <t>Bluspring Enterprises Ltd</t>
  </si>
  <si>
    <t>NSE%3ACASTROLIND</t>
  </si>
  <si>
    <t>https://in.tradingview.com/chart/ofQQfXOP/?symbol=NSE%3ABLUSPRING</t>
  </si>
  <si>
    <t>https://in.tradingview.com/chart/bXJLby4L/?symbol=NSE%3ABLUSPRING</t>
  </si>
  <si>
    <t>BMWVENTLTD</t>
  </si>
  <si>
    <t>BMW Ventures Ltd</t>
  </si>
  <si>
    <t>NSE%3ACCHHL</t>
  </si>
  <si>
    <t>https://in.tradingview.com/chart/ofQQfXOP/?symbol=NSE%3ABMWVENTLTD</t>
  </si>
  <si>
    <t>https://in.tradingview.com/chart/bXJLby4L/?symbol=NSE%3ABMWVENTLTD</t>
  </si>
  <si>
    <t>BODALCHEM</t>
  </si>
  <si>
    <t>Bodal Chemicals Limited</t>
  </si>
  <si>
    <t>NSE%3ACCL</t>
  </si>
  <si>
    <t>https://in.tradingview.com/chart/ofQQfXOP/?symbol=NSE%3ABODALCHEM</t>
  </si>
  <si>
    <t>https://in.tradingview.com/chart/bXJLby4L/?symbol=NSE%3ABODALCHEM</t>
  </si>
  <si>
    <t>BTML</t>
  </si>
  <si>
    <t>Bodhi Tree Multimedia Ltd</t>
  </si>
  <si>
    <t>NSE%3ACDSL</t>
  </si>
  <si>
    <t>https://in.tradingview.com/chart/ofQQfXOP/?symbol=NSE%3ABTML</t>
  </si>
  <si>
    <t>https://in.tradingview.com/chart/bXJLby4L/?symbol=NSE%3ABTML</t>
  </si>
  <si>
    <t>BOHRAIND</t>
  </si>
  <si>
    <t>Bohra Industries Ltd</t>
  </si>
  <si>
    <t>NSE%3ACEATLTD</t>
  </si>
  <si>
    <t>https://in.tradingview.com/chart/ofQQfXOP/?symbol=NSE%3ABOHRAIND</t>
  </si>
  <si>
    <t>https://in.tradingview.com/chart/bXJLby4L/?symbol=NSE%3ABOHRAIND</t>
  </si>
  <si>
    <t>BBTC</t>
  </si>
  <si>
    <t>Bombay Burmah Trading Corporation Limited</t>
  </si>
  <si>
    <t>NSE%3ACEIGALL</t>
  </si>
  <si>
    <t>https://in.tradingview.com/chart/ofQQfXOP/?symbol=NSE%3ABBTC</t>
  </si>
  <si>
    <t>https://in.tradingview.com/chart/bXJLby4L/?symbol=NSE%3ABBTC</t>
  </si>
  <si>
    <t>BOMDYEING</t>
  </si>
  <si>
    <t>Bombay Dyeing &amp; Mfg Company Limited</t>
  </si>
  <si>
    <t>NSE%3ACELEBRITY</t>
  </si>
  <si>
    <t>https://in.tradingview.com/chart/ofQQfXOP/?symbol=NSE%3ABOMDYEING</t>
  </si>
  <si>
    <t>https://in.tradingview.com/chart/bXJLby4L/?symbol=NSE%3ABOMDYEING</t>
  </si>
  <si>
    <t>BSHSL</t>
  </si>
  <si>
    <t>Bombay Super Hybrid Seeds Ltd</t>
  </si>
  <si>
    <t>NSE%3ACELLO</t>
  </si>
  <si>
    <t>https://in.tradingview.com/chart/ofQQfXOP/?symbol=NSE%3ABSHSL</t>
  </si>
  <si>
    <t>https://in.tradingview.com/chart/bXJLby4L/?symbol=NSE%3ABSHSL</t>
  </si>
  <si>
    <t>BORANA</t>
  </si>
  <si>
    <t>NSE%3ACENTENKA</t>
  </si>
  <si>
    <t>https://in.tradingview.com/chart/ofQQfXOP/?symbol=NSE%3ABORANA</t>
  </si>
  <si>
    <t>https://in.tradingview.com/chart/bXJLby4L/?symbol=NSE%3ABORANA</t>
  </si>
  <si>
    <t>BOROLTD</t>
  </si>
  <si>
    <t>Borosil Ltd</t>
  </si>
  <si>
    <t>NSE%3ACENTEXT</t>
  </si>
  <si>
    <t>https://in.tradingview.com/chart/ofQQfXOP/?symbol=NSE%3ABOROLTD</t>
  </si>
  <si>
    <t>https://in.tradingview.com/chart/bXJLby4L/?symbol=NSE%3ABOROLTD</t>
  </si>
  <si>
    <t>BORORENEW</t>
  </si>
  <si>
    <t>Borosil Renewables Ltd</t>
  </si>
  <si>
    <t>NSE%3ACENTRALBK</t>
  </si>
  <si>
    <t>https://in.tradingview.com/chart/ofQQfXOP/?symbol=NSE%3ABORORENEW</t>
  </si>
  <si>
    <t>https://in.tradingview.com/chart/bXJLby4L/?symbol=NSE%3ABORORENEW</t>
  </si>
  <si>
    <t>BOROSCI</t>
  </si>
  <si>
    <t>Borosil Scientific Ltd</t>
  </si>
  <si>
    <t>NSE%3ACENTRUM</t>
  </si>
  <si>
    <t>https://in.tradingview.com/chart/ofQQfXOP/?symbol=NSE%3ABOROSCI</t>
  </si>
  <si>
    <t>https://in.tradingview.com/chart/bXJLby4L/?symbol=NSE%3ABOROSCI</t>
  </si>
  <si>
    <t>BOSCHLTD</t>
  </si>
  <si>
    <t>Bosch Limited</t>
  </si>
  <si>
    <t>NSE%3ACENTUM</t>
  </si>
  <si>
    <t>https://in.tradingview.com/chart/ofQQfXOP/?symbol=NSE%3ABOSCHLTD</t>
  </si>
  <si>
    <t>https://in.tradingview.com/chart/bXJLby4L/?symbol=NSE%3ABOSCHLTD</t>
  </si>
  <si>
    <t>BPL</t>
  </si>
  <si>
    <t>Bpl Limited</t>
  </si>
  <si>
    <t>NSE%3ACENTURYPLY</t>
  </si>
  <si>
    <t>https://in.tradingview.com/chart/ofQQfXOP/?symbol=NSE%3ABPL</t>
  </si>
  <si>
    <t>https://in.tradingview.com/chart/bXJLby4L/?symbol=NSE%3ABPL</t>
  </si>
  <si>
    <t>FIRSTCRY</t>
  </si>
  <si>
    <t>Brainbees Solutions Ltd</t>
  </si>
  <si>
    <t>NSE%3ACERA</t>
  </si>
  <si>
    <t>https://in.tradingview.com/chart/ofQQfXOP/?symbol=NSE%3AFIRSTCRY</t>
  </si>
  <si>
    <t>https://in.tradingview.com/chart/bXJLby4L/?symbol=NSE%3AFIRSTCRY</t>
  </si>
  <si>
    <t>BCONCEPTS</t>
  </si>
  <si>
    <t>Brand Concepts Ltd</t>
  </si>
  <si>
    <t>NSE%3ACEREBRAINT</t>
  </si>
  <si>
    <t>https://in.tradingview.com/chart/ofQQfXOP/?symbol=NSE%3ABCONCEPTS</t>
  </si>
  <si>
    <t>https://in.tradingview.com/chart/bXJLby4L/?symbol=NSE%3ABCONCEPTS</t>
  </si>
  <si>
    <t>BRIGADE</t>
  </si>
  <si>
    <t>Brigade Enterprises Limited</t>
  </si>
  <si>
    <t>NSE%3ACESC</t>
  </si>
  <si>
    <t>https://in.tradingview.com/chart/ofQQfXOP/?symbol=NSE%3ABRIGADE</t>
  </si>
  <si>
    <t>https://in.tradingview.com/chart/bXJLby4L/?symbol=NSE%3ABRIGADE</t>
  </si>
  <si>
    <t>BRIGHOTEL</t>
  </si>
  <si>
    <t>Brigade Hotel Ventures Ltd</t>
  </si>
  <si>
    <t>NSE%3ACEWATER</t>
  </si>
  <si>
    <t>https://in.tradingview.com/chart/ofQQfXOP/?symbol=NSE%3ABRIGHOTEL</t>
  </si>
  <si>
    <t>https://in.tradingview.com/chart/bXJLby4L/?symbol=NSE%3ABRIGHOTEL</t>
  </si>
  <si>
    <t>BCG</t>
  </si>
  <si>
    <t>Brightcom Group Ltd</t>
  </si>
  <si>
    <t>NSE%3ACGCL</t>
  </si>
  <si>
    <t>https://in.tradingview.com/chart/ofQQfXOP/?symbol=NSE%3ABCG</t>
  </si>
  <si>
    <t>https://in.tradingview.com/chart/bXJLby4L/?symbol=NSE%3ABCG</t>
  </si>
  <si>
    <t>BRITANNIA</t>
  </si>
  <si>
    <t>Britannia Industries Limited</t>
  </si>
  <si>
    <t>NSE%3ACGPOWER</t>
  </si>
  <si>
    <t>https://in.tradingview.com/chart/ofQQfXOP/?symbol=NSE%3ABRITANNIA</t>
  </si>
  <si>
    <t>https://in.tradingview.com/chart/bXJLby4L/?symbol=NSE%3ABRITANNIA</t>
  </si>
  <si>
    <t>BROOKS</t>
  </si>
  <si>
    <t>Brooks Laboratories Limited</t>
  </si>
  <si>
    <t>NSE%3ACHALET</t>
  </si>
  <si>
    <t>https://in.tradingview.com/chart/ofQQfXOP/?symbol=NSE%3ABROOKS</t>
  </si>
  <si>
    <t>https://in.tradingview.com/chart/bXJLby4L/?symbol=NSE%3ABROOKS</t>
  </si>
  <si>
    <t>BSE</t>
  </si>
  <si>
    <t>BSE (Bombay stock exchange)</t>
  </si>
  <si>
    <t>NSE%3ACHAMBLFERT</t>
  </si>
  <si>
    <t>https://in.tradingview.com/chart/ofQQfXOP/?symbol=NSE%3ABSE</t>
  </si>
  <si>
    <t>https://in.tradingview.com/chart/bXJLby4L/?symbol=NSE%3ABSE</t>
  </si>
  <si>
    <t>BSL</t>
  </si>
  <si>
    <t>Bsl Limited</t>
  </si>
  <si>
    <t>NSE%3ACHEMBOND</t>
  </si>
  <si>
    <t>https://in.tradingview.com/chart/ofQQfXOP/?symbol=NSE%3ABSL</t>
  </si>
  <si>
    <t>https://in.tradingview.com/chart/bXJLby4L/?symbol=NSE%3ABSL</t>
  </si>
  <si>
    <t>BUTTERFLY</t>
  </si>
  <si>
    <t>Butterfly Gandhimathi Appliances Limited</t>
  </si>
  <si>
    <t>NSE%3ACHEMCON</t>
  </si>
  <si>
    <t>https://in.tradingview.com/chart/ofQQfXOP/?symbol=NSE%3ABUTTERFLY</t>
  </si>
  <si>
    <t>https://in.tradingview.com/chart/bXJLby4L/?symbol=NSE%3ABUTTERFLY</t>
  </si>
  <si>
    <t>MAPMYINDIA</t>
  </si>
  <si>
    <t>C.E. Info Systems Ltd</t>
  </si>
  <si>
    <t>NSE%3ACHEMFAB</t>
  </si>
  <si>
    <t>https://in.tradingview.com/chart/ofQQfXOP/?symbol=NSE%3AMAPMYINDIA</t>
  </si>
  <si>
    <t>https://in.tradingview.com/chart/bXJLby4L/?symbol=NSE%3AMAPMYINDIA</t>
  </si>
  <si>
    <t>CALSOFT</t>
  </si>
  <si>
    <t>California Software Company Limited</t>
  </si>
  <si>
    <t>NSE%3ACHEMPLASTS</t>
  </si>
  <si>
    <t>https://in.tradingview.com/chart/ofQQfXOP/?symbol=NSE%3ACALSOFT</t>
  </si>
  <si>
    <t>https://in.tradingview.com/chart/bXJLby4L/?symbol=NSE%3ACALSOFT</t>
  </si>
  <si>
    <t>CTE</t>
  </si>
  <si>
    <t>Cambridge Technology Enterprises Limited</t>
  </si>
  <si>
    <t>NSE%3ACHENNPETRO</t>
  </si>
  <si>
    <t>https://in.tradingview.com/chart/ofQQfXOP/?symbol=NSE%3ACTE</t>
  </si>
  <si>
    <t>https://in.tradingview.com/chart/bXJLby4L/?symbol=NSE%3ACTE</t>
  </si>
  <si>
    <t>CAMLINFINE</t>
  </si>
  <si>
    <t>Camlin Fine Sciences Limited</t>
  </si>
  <si>
    <t>NSE%3ACHEVIOT</t>
  </si>
  <si>
    <t>https://in.tradingview.com/chart/ofQQfXOP/?symbol=NSE%3ACAMLINFINE</t>
  </si>
  <si>
    <t>https://in.tradingview.com/chart/bXJLby4L/?symbol=NSE%3ACAMLINFINE</t>
  </si>
  <si>
    <t>CAMPUS</t>
  </si>
  <si>
    <t>Campus Activewear Ltd</t>
  </si>
  <si>
    <t>NSE%3ACHOICEIN</t>
  </si>
  <si>
    <t>https://in.tradingview.com/chart/ofQQfXOP/?symbol=NSE%3ACAMPUS</t>
  </si>
  <si>
    <t>https://in.tradingview.com/chart/bXJLby4L/?symbol=NSE%3ACAMPUS</t>
  </si>
  <si>
    <t>CANFINHOME</t>
  </si>
  <si>
    <t>Can Fin Homes Limited</t>
  </si>
  <si>
    <t>NSE%3ACHOLAFIN</t>
  </si>
  <si>
    <t>https://in.tradingview.com/chart/ofQQfXOP/?symbol=NSE%3ACANFINHOME</t>
  </si>
  <si>
    <t>https://in.tradingview.com/chart/bXJLby4L/?symbol=NSE%3ACANFINHOME</t>
  </si>
  <si>
    <t>CANBK</t>
  </si>
  <si>
    <t>Canara Bank</t>
  </si>
  <si>
    <t>NSE%3ACHOLAHLDNG</t>
  </si>
  <si>
    <t>https://in.tradingview.com/chart/ofQQfXOP/?symbol=NSE%3ACANBK</t>
  </si>
  <si>
    <t>https://in.tradingview.com/chart/bXJLby4L/?symbol=NSE%3ACANBK</t>
  </si>
  <si>
    <t>CANHLIFE</t>
  </si>
  <si>
    <t>Canara HSBC Life Insurance Company Ltd</t>
  </si>
  <si>
    <t>NSE%3ACIEINDIA</t>
  </si>
  <si>
    <t>https://in.tradingview.com/chart/ofQQfXOP/?symbol=NSE%3ACANHLIFE</t>
  </si>
  <si>
    <t>https://in.tradingview.com/chart/bXJLby4L/?symbol=NSE%3ACANHLIFE</t>
  </si>
  <si>
    <t>CRAMC</t>
  </si>
  <si>
    <t>Canara Robeco Asset Management Company Ltd</t>
  </si>
  <si>
    <t>NSE%3ACIGNITITEC</t>
  </si>
  <si>
    <t>https://in.tradingview.com/chart/ofQQfXOP/?symbol=NSE%3ACRAMC</t>
  </si>
  <si>
    <t>https://in.tradingview.com/chart/bXJLby4L/?symbol=NSE%3ACRAMC</t>
  </si>
  <si>
    <t>CANTABIL</t>
  </si>
  <si>
    <t>Cantabil Retail India Limited</t>
  </si>
  <si>
    <t>NSE%3ACINELINE</t>
  </si>
  <si>
    <t>https://in.tradingview.com/chart/ofQQfXOP/?symbol=NSE%3ACANTABIL</t>
  </si>
  <si>
    <t>https://in.tradingview.com/chart/bXJLby4L/?symbol=NSE%3ACANTABIL</t>
  </si>
  <si>
    <t>CAPACITE</t>
  </si>
  <si>
    <t>Capacite Infraprojects Ltd</t>
  </si>
  <si>
    <t>NSE%3ACINEVISTA</t>
  </si>
  <si>
    <t>https://in.tradingview.com/chart/ofQQfXOP/?symbol=NSE%3ACAPACITE</t>
  </si>
  <si>
    <t>https://in.tradingview.com/chart/bXJLby4L/?symbol=NSE%3ACAPACITE</t>
  </si>
  <si>
    <t>CAPILLARY</t>
  </si>
  <si>
    <t>Capillary Technologies India Ltd</t>
  </si>
  <si>
    <t>NSE%3ACIPLA</t>
  </si>
  <si>
    <t>https://in.tradingview.com/chart/ofQQfXOP/?symbol=NSE%3ACAPILLARY</t>
  </si>
  <si>
    <t>https://in.tradingview.com/chart/bXJLby4L/?symbol=NSE%3ACAPILLARY</t>
  </si>
  <si>
    <t>CIFL</t>
  </si>
  <si>
    <t>Capital India Finance Ltd</t>
  </si>
  <si>
    <t>NSE%3ACLEAN</t>
  </si>
  <si>
    <t>https://in.tradingview.com/chart/ofQQfXOP/?symbol=NSE%3ACIFL</t>
  </si>
  <si>
    <t>https://in.tradingview.com/chart/bXJLby4L/?symbol=NSE%3ACIFL</t>
  </si>
  <si>
    <t>CAPITALSFB</t>
  </si>
  <si>
    <t>Capital Small Finance Bank Ltd</t>
  </si>
  <si>
    <t>NSE%3ACLEDUCATE</t>
  </si>
  <si>
    <t>https://in.tradingview.com/chart/ofQQfXOP/?symbol=NSE%3ACAPITALSFB</t>
  </si>
  <si>
    <t>https://in.tradingview.com/chart/bXJLby4L/?symbol=NSE%3ACAPITALSFB</t>
  </si>
  <si>
    <t>CAPTRUST</t>
  </si>
  <si>
    <t>Capital Trust Ltd.</t>
  </si>
  <si>
    <t>NSE%3ACLSEL</t>
  </si>
  <si>
    <t>https://in.tradingview.com/chart/ofQQfXOP/?symbol=NSE%3ACAPTRUST</t>
  </si>
  <si>
    <t>https://in.tradingview.com/chart/bXJLby4L/?symbol=NSE%3ACAPTRUST</t>
  </si>
  <si>
    <t>CAPLIPOINT</t>
  </si>
  <si>
    <t>Caplin Point Laboratories Limited</t>
  </si>
  <si>
    <t>NSE%3ACMSINFO</t>
  </si>
  <si>
    <t>https://in.tradingview.com/chart/ofQQfXOP/?symbol=NSE%3ACAPLIPOINT</t>
  </si>
  <si>
    <t>https://in.tradingview.com/chart/bXJLby4L/?symbol=NSE%3ACAPLIPOINT</t>
  </si>
  <si>
    <t>CGCL</t>
  </si>
  <si>
    <t>Capri Global Capital Limited</t>
  </si>
  <si>
    <t>NSE%3ACOALINDIA</t>
  </si>
  <si>
    <t>https://in.tradingview.com/chart/ofQQfXOP/?symbol=NSE%3ACGCL</t>
  </si>
  <si>
    <t>https://in.tradingview.com/chart/bXJLby4L/?symbol=NSE%3ACGCL</t>
  </si>
  <si>
    <t>CARBORUNIV</t>
  </si>
  <si>
    <t>Carborundum Universal Limited</t>
  </si>
  <si>
    <t>NSE%3ACOASTCORP</t>
  </si>
  <si>
    <t>https://in.tradingview.com/chart/ofQQfXOP/?symbol=NSE%3ACARBORUNIV</t>
  </si>
  <si>
    <t>https://in.tradingview.com/chart/bXJLby4L/?symbol=NSE%3ACARBORUNIV</t>
  </si>
  <si>
    <t>CPEDU</t>
  </si>
  <si>
    <t>Career Point Edutech Ltd</t>
  </si>
  <si>
    <t>NSE%3ACOCHINSHIP</t>
  </si>
  <si>
    <t>https://in.tradingview.com/chart/ofQQfXOP/?symbol=NSE%3ACPEDU</t>
  </si>
  <si>
    <t>https://in.tradingview.com/chart/bXJLby4L/?symbol=NSE%3ACPEDU</t>
  </si>
  <si>
    <t>CARRARO</t>
  </si>
  <si>
    <t>NSE%3ACOFORGE</t>
  </si>
  <si>
    <t>https://in.tradingview.com/chart/ofQQfXOP/?symbol=NSE%3ACARRARO</t>
  </si>
  <si>
    <t>https://in.tradingview.com/chart/bXJLby4L/?symbol=NSE%3ACARRARO</t>
  </si>
  <si>
    <t>CARTRADE</t>
  </si>
  <si>
    <t>Cartrade Tech Ltd</t>
  </si>
  <si>
    <t>NSE%3ACOLPAL</t>
  </si>
  <si>
    <t>https://in.tradingview.com/chart/ofQQfXOP/?symbol=NSE%3ACARTRADE</t>
  </si>
  <si>
    <t>https://in.tradingview.com/chart/bXJLby4L/?symbol=NSE%3ACARTRADE</t>
  </si>
  <si>
    <t>CARYSIL</t>
  </si>
  <si>
    <t>Carysil Ltd</t>
  </si>
  <si>
    <t>NSE%3ACOMMOIETF</t>
  </si>
  <si>
    <t>https://in.tradingview.com/chart/ofQQfXOP/?symbol=NSE%3ACARYSIL</t>
  </si>
  <si>
    <t>https://in.tradingview.com/chart/bXJLby4L/?symbol=NSE%3ACARYSIL</t>
  </si>
  <si>
    <t>CASTROLIND</t>
  </si>
  <si>
    <t>Castrol India Limited</t>
  </si>
  <si>
    <t>NSE%3ACOMPINFO</t>
  </si>
  <si>
    <t>https://in.tradingview.com/chart/ofQQfXOP/?symbol=NSE%3ACASTROLIND</t>
  </si>
  <si>
    <t>https://in.tradingview.com/chart/bXJLby4L/?symbol=NSE%3ACASTROLIND</t>
  </si>
  <si>
    <t>CCL</t>
  </si>
  <si>
    <t>Ccl Products (india) Limited</t>
  </si>
  <si>
    <t>NSE%3ACOMPUSOFT</t>
  </si>
  <si>
    <t>https://in.tradingview.com/chart/ofQQfXOP/?symbol=NSE%3ACCL</t>
  </si>
  <si>
    <t>https://in.tradingview.com/chart/bXJLby4L/?symbol=NSE%3ACCL</t>
  </si>
  <si>
    <t>CEATLTD</t>
  </si>
  <si>
    <t>Ceat Limited</t>
  </si>
  <si>
    <t>NSE%3ACONCOR</t>
  </si>
  <si>
    <t>https://in.tradingview.com/chart/ofQQfXOP/?symbol=NSE%3ACEATLTD</t>
  </si>
  <si>
    <t>https://in.tradingview.com/chart/bXJLby4L/?symbol=NSE%3ACEATLTD</t>
  </si>
  <si>
    <t>CEIGALL</t>
  </si>
  <si>
    <t>Ceigall India Ltd</t>
  </si>
  <si>
    <t>NSE%3ACONCORDBIO</t>
  </si>
  <si>
    <t>https://in.tradingview.com/chart/ofQQfXOP/?symbol=NSE%3ACEIGALL</t>
  </si>
  <si>
    <t>https://in.tradingview.com/chart/bXJLby4L/?symbol=NSE%3ACEIGALL</t>
  </si>
  <si>
    <t>CELEBRITY</t>
  </si>
  <si>
    <t>Celebrity Fashions Limited</t>
  </si>
  <si>
    <t>NSE%3ACONFIPET</t>
  </si>
  <si>
    <t>https://in.tradingview.com/chart/ofQQfXOP/?symbol=NSE%3ACELEBRITY</t>
  </si>
  <si>
    <t>https://in.tradingview.com/chart/bXJLby4L/?symbol=NSE%3ACELEBRITY</t>
  </si>
  <si>
    <t>CELLO</t>
  </si>
  <si>
    <t>Cello World Ltd</t>
  </si>
  <si>
    <t>NSE%3ACONS</t>
  </si>
  <si>
    <t>https://in.tradingview.com/chart/ofQQfXOP/?symbol=NSE%3ACELLO</t>
  </si>
  <si>
    <t>https://in.tradingview.com/chart/bXJLby4L/?symbol=NSE%3ACELLO</t>
  </si>
  <si>
    <t>CEMPRO</t>
  </si>
  <si>
    <t>Cemindia Projects Ltd</t>
  </si>
  <si>
    <t>NSE%3ACONSOFINVT</t>
  </si>
  <si>
    <t>https://in.tradingview.com/chart/ofQQfXOP/?symbol=NSE%3ACEMPRO</t>
  </si>
  <si>
    <t>https://in.tradingview.com/chart/bXJLby4L/?symbol=NSE%3ACEMPRO</t>
  </si>
  <si>
    <t>CENTRALBK</t>
  </si>
  <si>
    <t>Central Bank Of India</t>
  </si>
  <si>
    <t>NSE%3ACONSUMBEES</t>
  </si>
  <si>
    <t>https://in.tradingview.com/chart/ofQQfXOP/?symbol=NSE%3ACENTRALBK</t>
  </si>
  <si>
    <t>https://in.tradingview.com/chart/bXJLby4L/?symbol=NSE%3ACENTRALBK</t>
  </si>
  <si>
    <t>CDSL</t>
  </si>
  <si>
    <t>Central Depository Services Ltd</t>
  </si>
  <si>
    <t>NSE%3ACONSUMER</t>
  </si>
  <si>
    <t>https://in.tradingview.com/chart/ofQQfXOP/?symbol=NSE%3ACDSL</t>
  </si>
  <si>
    <t>https://in.tradingview.com/chart/bXJLby4L/?symbol=NSE%3ACDSL</t>
  </si>
  <si>
    <t>CENTRUM</t>
  </si>
  <si>
    <t>Centrum Capital Ltd</t>
  </si>
  <si>
    <t>NSE%3ACONSUMIETF</t>
  </si>
  <si>
    <t>https://in.tradingview.com/chart/ofQQfXOP/?symbol=NSE%3ACENTRUM</t>
  </si>
  <si>
    <t>https://in.tradingview.com/chart/bXJLby4L/?symbol=NSE%3ACENTRUM</t>
  </si>
  <si>
    <t>CENTUM</t>
  </si>
  <si>
    <t>Centum Electronics Limited</t>
  </si>
  <si>
    <t>NSE%3ACONTROLPR</t>
  </si>
  <si>
    <t>https://in.tradingview.com/chart/ofQQfXOP/?symbol=NSE%3ACENTUM</t>
  </si>
  <si>
    <t>https://in.tradingview.com/chart/bXJLby4L/?symbol=NSE%3ACENTUM</t>
  </si>
  <si>
    <t>CENTENKA</t>
  </si>
  <si>
    <t>Century Enka Limited</t>
  </si>
  <si>
    <t>NSE%3ACORALFINAC</t>
  </si>
  <si>
    <t>https://in.tradingview.com/chart/ofQQfXOP/?symbol=NSE%3ACENTENKA</t>
  </si>
  <si>
    <t>https://in.tradingview.com/chart/bXJLby4L/?symbol=NSE%3ACENTENKA</t>
  </si>
  <si>
    <t>CENTEXT</t>
  </si>
  <si>
    <t>Century Extrusions Limited</t>
  </si>
  <si>
    <t>NSE%3ACORDSCABLE</t>
  </si>
  <si>
    <t>https://in.tradingview.com/chart/ofQQfXOP/?symbol=NSE%3ACENTEXT</t>
  </si>
  <si>
    <t>https://in.tradingview.com/chart/bXJLby4L/?symbol=NSE%3ACENTEXT</t>
  </si>
  <si>
    <t>CENTURYPLY</t>
  </si>
  <si>
    <t>Century Plyboards (india) Limited</t>
  </si>
  <si>
    <t>NSE%3ACOROMANDEL</t>
  </si>
  <si>
    <t>https://in.tradingview.com/chart/ofQQfXOP/?symbol=NSE%3ACENTURYPLY</t>
  </si>
  <si>
    <t>https://in.tradingview.com/chart/bXJLby4L/?symbol=NSE%3ACENTURYPLY</t>
  </si>
  <si>
    <t>CERA</t>
  </si>
  <si>
    <t>Cera Sanitaryware Limited</t>
  </si>
  <si>
    <t>NSE%3ACOSMOFIRST</t>
  </si>
  <si>
    <t>https://in.tradingview.com/chart/ofQQfXOP/?symbol=NSE%3ACERA</t>
  </si>
  <si>
    <t>https://in.tradingview.com/chart/bXJLby4L/?symbol=NSE%3ACERA</t>
  </si>
  <si>
    <t>CEREBRAINT</t>
  </si>
  <si>
    <t>Cerebra Integrated Technologies Limited</t>
  </si>
  <si>
    <t>NSE%3ACOUNCODOS</t>
  </si>
  <si>
    <t>https://in.tradingview.com/chart/ofQQfXOP/?symbol=NSE%3ACEREBRAINT</t>
  </si>
  <si>
    <t>https://in.tradingview.com/chart/bXJLby4L/?symbol=NSE%3ACEREBRAINT</t>
  </si>
  <si>
    <t>CESC</t>
  </si>
  <si>
    <t>Cesc Limited</t>
  </si>
  <si>
    <t>NSE%3ACPSEETF</t>
  </si>
  <si>
    <t>https://in.tradingview.com/chart/ofQQfXOP/?symbol=NSE%3ACESC</t>
  </si>
  <si>
    <t>https://in.tradingview.com/chart/bXJLby4L/?symbol=NSE%3ACESC</t>
  </si>
  <si>
    <t>CGPOWER</t>
  </si>
  <si>
    <t>CG Power and Industrial Solutions Ltd</t>
  </si>
  <si>
    <t>NSE%3ACRAFTSMAN</t>
  </si>
  <si>
    <t>https://in.tradingview.com/chart/ofQQfXOP/?symbol=NSE%3ACGPOWER</t>
  </si>
  <si>
    <t>https://in.tradingview.com/chart/bXJLby4L/?symbol=NSE%3ACGPOWER</t>
  </si>
  <si>
    <t>CHALET</t>
  </si>
  <si>
    <t>Chalet Hotels Ltd</t>
  </si>
  <si>
    <t>NSE%3ACREATIVE</t>
  </si>
  <si>
    <t>https://in.tradingview.com/chart/ofQQfXOP/?symbol=NSE%3ACHALET</t>
  </si>
  <si>
    <t>https://in.tradingview.com/chart/bXJLby4L/?symbol=NSE%3ACHALET</t>
  </si>
  <si>
    <t>CLSEL</t>
  </si>
  <si>
    <t>Chamanlal Setia Exports Ltd</t>
  </si>
  <si>
    <t>NSE%3ACREATIVEYE</t>
  </si>
  <si>
    <t>https://in.tradingview.com/chart/ofQQfXOP/?symbol=NSE%3ACLSEL</t>
  </si>
  <si>
    <t>https://in.tradingview.com/chart/bXJLby4L/?symbol=NSE%3ACLSEL</t>
  </si>
  <si>
    <t>CHAMBLFERT</t>
  </si>
  <si>
    <t>Chambal Fertilizers &amp; Chemicals Limited</t>
  </si>
  <si>
    <t>NSE%3ACREDITACC</t>
  </si>
  <si>
    <t>https://in.tradingview.com/chart/ofQQfXOP/?symbol=NSE%3ACHAMBLFERT</t>
  </si>
  <si>
    <t>https://in.tradingview.com/chart/bXJLby4L/?symbol=NSE%3ACHAMBLFERT</t>
  </si>
  <si>
    <t>CHEMBONDCH</t>
  </si>
  <si>
    <t>Chembond Chemicals Ltd</t>
  </si>
  <si>
    <t>NSE%3ACREST</t>
  </si>
  <si>
    <t>https://in.tradingview.com/chart/ofQQfXOP/?symbol=NSE%3ACHEMBONDCH</t>
  </si>
  <si>
    <t>https://in.tradingview.com/chart/bXJLby4L/?symbol=NSE%3ACHEMBONDCH</t>
  </si>
  <si>
    <t>CHEMBOND</t>
  </si>
  <si>
    <t>Chembond Material Technologies Ltd</t>
  </si>
  <si>
    <t>NSE%3ACRISIL</t>
  </si>
  <si>
    <t>https://in.tradingview.com/chart/ofQQfXOP/?symbol=NSE%3ACHEMBOND</t>
  </si>
  <si>
    <t>https://in.tradingview.com/chart/bXJLby4L/?symbol=NSE%3ACHEMBOND</t>
  </si>
  <si>
    <t>CHEMCON</t>
  </si>
  <si>
    <t>Chemcon Speciality Chemicals Ltd</t>
  </si>
  <si>
    <t>NSE%3ACROMPTON</t>
  </si>
  <si>
    <t>https://in.tradingview.com/chart/ofQQfXOP/?symbol=NSE%3ACHEMCON</t>
  </si>
  <si>
    <t>https://in.tradingview.com/chart/bXJLby4L/?symbol=NSE%3ACHEMCON</t>
  </si>
  <si>
    <t>CHEMFAB</t>
  </si>
  <si>
    <t>Chemfab Alkalis Ltd</t>
  </si>
  <si>
    <t>NSE%3ACROWN</t>
  </si>
  <si>
    <t>https://in.tradingview.com/chart/ofQQfXOP/?symbol=NSE%3ACHEMFAB</t>
  </si>
  <si>
    <t>https://in.tradingview.com/chart/bXJLby4L/?symbol=NSE%3ACHEMFAB</t>
  </si>
  <si>
    <t>CHEMPLASTS</t>
  </si>
  <si>
    <t>Chemplast Sanmar Ltd</t>
  </si>
  <si>
    <t>NSE%3ACSBBANK</t>
  </si>
  <si>
    <t>https://in.tradingview.com/chart/ofQQfXOP/?symbol=NSE%3ACHEMPLASTS</t>
  </si>
  <si>
    <t>https://in.tradingview.com/chart/bXJLby4L/?symbol=NSE%3ACHEMPLASTS</t>
  </si>
  <si>
    <t>CHENNPETRO</t>
  </si>
  <si>
    <t>Chennai Petroleum Corporation Limited</t>
  </si>
  <si>
    <t>NSE%3ACSLFINANCE</t>
  </si>
  <si>
    <t>https://in.tradingview.com/chart/ofQQfXOP/?symbol=NSE%3ACHENNPETRO</t>
  </si>
  <si>
    <t>https://in.tradingview.com/chart/bXJLby4L/?symbol=NSE%3ACHENNPETRO</t>
  </si>
  <si>
    <t>CHEVIOT</t>
  </si>
  <si>
    <t>Cheviot Company Ltd</t>
  </si>
  <si>
    <t>NSE%3ACTE</t>
  </si>
  <si>
    <t>https://in.tradingview.com/chart/ofQQfXOP/?symbol=NSE%3ACHEVIOT</t>
  </si>
  <si>
    <t>https://in.tradingview.com/chart/bXJLby4L/?symbol=NSE%3ACHEVIOT</t>
  </si>
  <si>
    <t>CHOICEGOLD</t>
  </si>
  <si>
    <t>Choice Gold ETF</t>
  </si>
  <si>
    <t>NSE%3ACUB</t>
  </si>
  <si>
    <t>https://in.tradingview.com/chart/ofQQfXOP/?symbol=NSE%3ACHOICEGOLD</t>
  </si>
  <si>
    <t>https://in.tradingview.com/chart/bXJLby4L/?symbol=NSE%3ACHOICEGOLD</t>
  </si>
  <si>
    <t>CHOICEIN</t>
  </si>
  <si>
    <t>Choice International Ltd</t>
  </si>
  <si>
    <t>NSE%3ACUBEXTUB</t>
  </si>
  <si>
    <t>https://in.tradingview.com/chart/ofQQfXOP/?symbol=NSE%3ACHOICEIN</t>
  </si>
  <si>
    <t>https://in.tradingview.com/chart/bXJLby4L/?symbol=NSE%3ACHOICEIN</t>
  </si>
  <si>
    <t>CHOLAHLDNG</t>
  </si>
  <si>
    <t>Cholamandalam Financial Holdings Ltd</t>
  </si>
  <si>
    <t>NSE%3ACUMMINSIND</t>
  </si>
  <si>
    <t>https://in.tradingview.com/chart/ofQQfXOP/?symbol=NSE%3ACHOLAHLDNG</t>
  </si>
  <si>
    <t>https://in.tradingview.com/chart/bXJLby4L/?symbol=NSE%3ACHOLAHLDNG</t>
  </si>
  <si>
    <t>CHOLAFIN</t>
  </si>
  <si>
    <t>Cholamandalam Investment And Finance Company Limited</t>
  </si>
  <si>
    <t>NSE%3ACUPID</t>
  </si>
  <si>
    <t>https://in.tradingview.com/chart/ofQQfXOP/?symbol=NSE%3ACHOLAFIN</t>
  </si>
  <si>
    <t>https://in.tradingview.com/chart/bXJLby4L/?symbol=NSE%3ACHOLAFIN</t>
  </si>
  <si>
    <t>CIEINDIA</t>
  </si>
  <si>
    <t>CIE Automotive India Ltd</t>
  </si>
  <si>
    <t>NSE%3ACYBERMEDIA</t>
  </si>
  <si>
    <t>https://in.tradingview.com/chart/ofQQfXOP/?symbol=NSE%3ACIEINDIA</t>
  </si>
  <si>
    <t>https://in.tradingview.com/chart/bXJLby4L/?symbol=NSE%3ACIEINDIA</t>
  </si>
  <si>
    <t>CIGNITITEC</t>
  </si>
  <si>
    <t>Cigniti Technologies Limited</t>
  </si>
  <si>
    <t>NSE%3ACYBERTECH</t>
  </si>
  <si>
    <t>https://in.tradingview.com/chart/ofQQfXOP/?symbol=NSE%3ACIGNITITEC</t>
  </si>
  <si>
    <t>https://in.tradingview.com/chart/bXJLby4L/?symbol=NSE%3ACIGNITITEC</t>
  </si>
  <si>
    <t>CINELINE</t>
  </si>
  <si>
    <t>Cineline India Limited</t>
  </si>
  <si>
    <t>NSE%3ACYIENT</t>
  </si>
  <si>
    <t>https://in.tradingview.com/chart/ofQQfXOP/?symbol=NSE%3ACINELINE</t>
  </si>
  <si>
    <t>https://in.tradingview.com/chart/bXJLby4L/?symbol=NSE%3ACINELINE</t>
  </si>
  <si>
    <t>CINEVISTA</t>
  </si>
  <si>
    <t>Cinevista Limited</t>
  </si>
  <si>
    <t>NSE%3ACYIENTDLM</t>
  </si>
  <si>
    <t>https://in.tradingview.com/chart/ofQQfXOP/?symbol=NSE%3ACINEVISTA</t>
  </si>
  <si>
    <t>https://in.tradingview.com/chart/bXJLby4L/?symbol=NSE%3ACINEVISTA</t>
  </si>
  <si>
    <t>CIPLA</t>
  </si>
  <si>
    <t>Cipla Limited</t>
  </si>
  <si>
    <t>NSE%3ADABUR</t>
  </si>
  <si>
    <t>https://in.tradingview.com/chart/ofQQfXOP/?symbol=NSE%3ACIPLA</t>
  </si>
  <si>
    <t>https://in.tradingview.com/chart/bXJLby4L/?symbol=NSE%3ACIPLA</t>
  </si>
  <si>
    <t>CUB</t>
  </si>
  <si>
    <t>City Union Bank Limited</t>
  </si>
  <si>
    <t>NSE%3ADALBHARAT</t>
  </si>
  <si>
    <t>https://in.tradingview.com/chart/ofQQfXOP/?symbol=NSE%3ACUB</t>
  </si>
  <si>
    <t>https://in.tradingview.com/chart/bXJLby4L/?symbol=NSE%3ACUB</t>
  </si>
  <si>
    <t>CLEDUCATE</t>
  </si>
  <si>
    <t>CL Educate</t>
  </si>
  <si>
    <t>NSE%3ADALMIASUG</t>
  </si>
  <si>
    <t>https://in.tradingview.com/chart/ofQQfXOP/?symbol=NSE%3ACLEDUCATE</t>
  </si>
  <si>
    <t>https://in.tradingview.com/chart/bXJLby4L/?symbol=NSE%3ACLEDUCATE</t>
  </si>
  <si>
    <t>CLEAN</t>
  </si>
  <si>
    <t>Clean Science &amp; Technology Ltd</t>
  </si>
  <si>
    <t>NSE%3ADAMCAPITAL</t>
  </si>
  <si>
    <t>https://in.tradingview.com/chart/ofQQfXOP/?symbol=NSE%3ACLEAN</t>
  </si>
  <si>
    <t>https://in.tradingview.com/chart/bXJLby4L/?symbol=NSE%3ACLEAN</t>
  </si>
  <si>
    <t>CMSINFO</t>
  </si>
  <si>
    <t>CMS Info Systems Ltd</t>
  </si>
  <si>
    <t>NSE%3ADAMODARIND</t>
  </si>
  <si>
    <t>https://in.tradingview.com/chart/ofQQfXOP/?symbol=NSE%3ACMSINFO</t>
  </si>
  <si>
    <t>https://in.tradingview.com/chart/bXJLby4L/?symbol=NSE%3ACMSINFO</t>
  </si>
  <si>
    <t>CNXENERGY</t>
  </si>
  <si>
    <t>NSE%3ADANGEE</t>
  </si>
  <si>
    <t>https://in.tradingview.com/chart/ofQQfXOP/?symbol=NSE%3ACNXENERGY</t>
  </si>
  <si>
    <t>https://in.tradingview.com/chart/bXJLby4L/?symbol=NSE%3ACNXENERGY</t>
  </si>
  <si>
    <t>CNXINFRA</t>
  </si>
  <si>
    <t>NSE%3ADATAMATICS</t>
  </si>
  <si>
    <t>https://in.tradingview.com/chart/ofQQfXOP/?symbol=NSE%3ACNXINFRA</t>
  </si>
  <si>
    <t>https://in.tradingview.com/chart/bXJLby4L/?symbol=NSE%3ACNXINFRA</t>
  </si>
  <si>
    <t>CNXMIDCAP</t>
  </si>
  <si>
    <t>NSE%3ADATAPATTNS</t>
  </si>
  <si>
    <t>https://in.tradingview.com/chart/ofQQfXOP/?symbol=NSE%3ACNXMIDCAP</t>
  </si>
  <si>
    <t>https://in.tradingview.com/chart/bXJLby4L/?symbol=NSE%3ACNXMIDCAP</t>
  </si>
  <si>
    <t>CNXMNC</t>
  </si>
  <si>
    <t>NSE%3ADAVANGERE</t>
  </si>
  <si>
    <t>https://in.tradingview.com/chart/ofQQfXOP/?symbol=NSE%3ACNXMNC</t>
  </si>
  <si>
    <t>https://in.tradingview.com/chart/bXJLby4L/?symbol=NSE%3ACNXMNC</t>
  </si>
  <si>
    <t>CNXNIFTYJUNIOR</t>
  </si>
  <si>
    <t>NSE%3ADBCORP</t>
  </si>
  <si>
    <t>https://in.tradingview.com/chart/ofQQfXOP/?symbol=NSE%3ACNXNIFTYJUNIOR</t>
  </si>
  <si>
    <t>https://in.tradingview.com/chart/bXJLby4L/?symbol=NSE%3ACNXNIFTYJUNIOR</t>
  </si>
  <si>
    <t>CNXPHARMA</t>
  </si>
  <si>
    <t>NSE%3ADBEIL</t>
  </si>
  <si>
    <t>https://in.tradingview.com/chart/ofQQfXOP/?symbol=NSE%3ACNXPHARMA</t>
  </si>
  <si>
    <t>https://in.tradingview.com/chart/bXJLby4L/?symbol=NSE%3ACNXPHARMA</t>
  </si>
  <si>
    <t>CNXPSE</t>
  </si>
  <si>
    <t>NSE%3ADBL</t>
  </si>
  <si>
    <t>https://in.tradingview.com/chart/ofQQfXOP/?symbol=NSE%3ACNXPSE</t>
  </si>
  <si>
    <t>https://in.tradingview.com/chart/bXJLby4L/?symbol=NSE%3ACNXPSE</t>
  </si>
  <si>
    <t>CNXREALTY</t>
  </si>
  <si>
    <t>NSE%3ADBREALTY</t>
  </si>
  <si>
    <t>https://in.tradingview.com/chart/ofQQfXOP/?symbol=NSE%3ACNXREALTY</t>
  </si>
  <si>
    <t>https://in.tradingview.com/chart/bXJLby4L/?symbol=NSE%3ACNXREALTY</t>
  </si>
  <si>
    <t>CNXSMALLCAP</t>
  </si>
  <si>
    <t>NSE%3ADBSTOCKBRO</t>
  </si>
  <si>
    <t>https://in.tradingview.com/chart/ofQQfXOP/?symbol=NSE%3ACNXSMALLCAP</t>
  </si>
  <si>
    <t>https://in.tradingview.com/chart/bXJLby4L/?symbol=NSE%3ACNXSMALLCAP</t>
  </si>
  <si>
    <t>COALINDIA</t>
  </si>
  <si>
    <t>Coal India Limited</t>
  </si>
  <si>
    <t>NSE%3ADCAL</t>
  </si>
  <si>
    <t>https://in.tradingview.com/chart/ofQQfXOP/?symbol=NSE%3ACOALINDIA</t>
  </si>
  <si>
    <t>https://in.tradingview.com/chart/bXJLby4L/?symbol=NSE%3ACOALINDIA</t>
  </si>
  <si>
    <t>COASTCORP</t>
  </si>
  <si>
    <t>Coastal Corporation Ltd</t>
  </si>
  <si>
    <t>NSE%3ADCBBANK</t>
  </si>
  <si>
    <t>https://in.tradingview.com/chart/ofQQfXOP/?symbol=NSE%3ACOASTCORP</t>
  </si>
  <si>
    <t>https://in.tradingview.com/chart/bXJLby4L/?symbol=NSE%3ACOASTCORP</t>
  </si>
  <si>
    <t>COCHINSHIP</t>
  </si>
  <si>
    <t>Cochin Shipyard</t>
  </si>
  <si>
    <t>NSE%3ADCI</t>
  </si>
  <si>
    <t>https://in.tradingview.com/chart/ofQQfXOP/?symbol=NSE%3ACOCHINSHIP</t>
  </si>
  <si>
    <t>https://in.tradingview.com/chart/bXJLby4L/?symbol=NSE%3ACOCHINSHIP</t>
  </si>
  <si>
    <t>COFFEEDAY</t>
  </si>
  <si>
    <t>Coffee Day Enterprises Limited</t>
  </si>
  <si>
    <t>NSE%3ADCM</t>
  </si>
  <si>
    <t>https://in.tradingview.com/chart/ofQQfXOP/?symbol=NSE%3ACOFFEEDAY</t>
  </si>
  <si>
    <t>https://in.tradingview.com/chart/bXJLby4L/?symbol=NSE%3ACOFFEEDAY</t>
  </si>
  <si>
    <t>COFORGE</t>
  </si>
  <si>
    <t>Coforge (Niit Tech)</t>
  </si>
  <si>
    <t>NSE%3ADCMFINSERV</t>
  </si>
  <si>
    <t>https://in.tradingview.com/chart/ofQQfXOP/?symbol=NSE%3ACOFORGE</t>
  </si>
  <si>
    <t>https://in.tradingview.com/chart/bXJLby4L/?symbol=NSE%3ACOFORGE</t>
  </si>
  <si>
    <t>COHANCE</t>
  </si>
  <si>
    <t>Cohance Lifesciences Ltd</t>
  </si>
  <si>
    <t>NSE%3ADCMNVL</t>
  </si>
  <si>
    <t>https://in.tradingview.com/chart/ofQQfXOP/?symbol=NSE%3ACOHANCE</t>
  </si>
  <si>
    <t>https://in.tradingview.com/chart/bXJLby4L/?symbol=NSE%3ACOHANCE</t>
  </si>
  <si>
    <t>COLPAL</t>
  </si>
  <si>
    <t>Colgate Palmolive (india) Limited</t>
  </si>
  <si>
    <t>NSE%3ADCMSHRIRAM</t>
  </si>
  <si>
    <t>https://in.tradingview.com/chart/ofQQfXOP/?symbol=NSE%3ACOLPAL</t>
  </si>
  <si>
    <t>https://in.tradingview.com/chart/bXJLby4L/?symbol=NSE%3ACOLPAL</t>
  </si>
  <si>
    <t>COMSYN</t>
  </si>
  <si>
    <t>Commercial Syn Bags Ltd</t>
  </si>
  <si>
    <t>NSE%3ADCMSRIND</t>
  </si>
  <si>
    <t>https://in.tradingview.com/chart/ofQQfXOP/?symbol=NSE%3ACOMSYN</t>
  </si>
  <si>
    <t>https://in.tradingview.com/chart/bXJLby4L/?symbol=NSE%3ACOMSYN</t>
  </si>
  <si>
    <t>COMPUSOFT</t>
  </si>
  <si>
    <t>Compucom Software Limited</t>
  </si>
  <si>
    <t>NSE%3ADCW</t>
  </si>
  <si>
    <t>https://in.tradingview.com/chart/ofQQfXOP/?symbol=NSE%3ACOMPUSOFT</t>
  </si>
  <si>
    <t>https://in.tradingview.com/chart/bXJLby4L/?symbol=NSE%3ACOMPUSOFT</t>
  </si>
  <si>
    <t>CAMS</t>
  </si>
  <si>
    <t>Computer Age Management Services Ltd</t>
  </si>
  <si>
    <t>NSE%3ADCXINDIA</t>
  </si>
  <si>
    <t>https://in.tradingview.com/chart/ofQQfXOP/?symbol=NSE%3ACAMS</t>
  </si>
  <si>
    <t>https://in.tradingview.com/chart/bXJLby4L/?symbol=NSE%3ACAMS</t>
  </si>
  <si>
    <t>CONCORDBIO</t>
  </si>
  <si>
    <t>Concord Biotech Ltd</t>
  </si>
  <si>
    <t>NSE%3ADDEVPLSTIK</t>
  </si>
  <si>
    <t>https://in.tradingview.com/chart/ofQQfXOP/?symbol=NSE%3ACONCORDBIO</t>
  </si>
  <si>
    <t>https://in.tradingview.com/chart/bXJLby4L/?symbol=NSE%3ACONCORDBIO</t>
  </si>
  <si>
    <t>CEWATER</t>
  </si>
  <si>
    <t>Concord Enviro Systems Ltd</t>
  </si>
  <si>
    <t>NSE%3ADECCANCE</t>
  </si>
  <si>
    <t>https://in.tradingview.com/chart/ofQQfXOP/?symbol=NSE%3ACEWATER</t>
  </si>
  <si>
    <t>https://in.tradingview.com/chart/bXJLby4L/?symbol=NSE%3ACEWATER</t>
  </si>
  <si>
    <t>CONFIPET</t>
  </si>
  <si>
    <t>Confidence Petroleum India Ltd</t>
  </si>
  <si>
    <t>NSE%3ADEEDEV</t>
  </si>
  <si>
    <t>https://in.tradingview.com/chart/ofQQfXOP/?symbol=NSE%3ACONFIPET</t>
  </si>
  <si>
    <t>https://in.tradingview.com/chart/bXJLby4L/?symbol=NSE%3ACONFIPET</t>
  </si>
  <si>
    <t>CCCL</t>
  </si>
  <si>
    <t>Consolidated Construction Consortium Limited</t>
  </si>
  <si>
    <t>NSE%3ADEEPAKFERT</t>
  </si>
  <si>
    <t>https://in.tradingview.com/chart/ofQQfXOP/?symbol=NSE%3ACCCL</t>
  </si>
  <si>
    <t>https://in.tradingview.com/chart/bXJLby4L/?symbol=NSE%3ACCCL</t>
  </si>
  <si>
    <t>CONSOFINVT</t>
  </si>
  <si>
    <t>Consolidated Finvest &amp; Holdings Limited</t>
  </si>
  <si>
    <t>NSE%3ADEEPAKNTR</t>
  </si>
  <si>
    <t>https://in.tradingview.com/chart/ofQQfXOP/?symbol=NSE%3ACONSOFINVT</t>
  </si>
  <si>
    <t>https://in.tradingview.com/chart/bXJLby4L/?symbol=NSE%3ACONSOFINVT</t>
  </si>
  <si>
    <t>CONCOR</t>
  </si>
  <si>
    <t>Container Corporation Of India Limited</t>
  </si>
  <si>
    <t>NSE%3ADEEPINDS</t>
  </si>
  <si>
    <t>https://in.tradingview.com/chart/ofQQfXOP/?symbol=NSE%3ACONCOR</t>
  </si>
  <si>
    <t>https://in.tradingview.com/chart/bXJLby4L/?symbol=NSE%3ACONCOR</t>
  </si>
  <si>
    <t>CONTROLPR</t>
  </si>
  <si>
    <t>Control Print Limited</t>
  </si>
  <si>
    <t>NSE%3ADELHIVERY</t>
  </si>
  <si>
    <t>https://in.tradingview.com/chart/ofQQfXOP/?symbol=NSE%3ACONTROLPR</t>
  </si>
  <si>
    <t>https://in.tradingview.com/chart/bXJLby4L/?symbol=NSE%3ACONTROLPR</t>
  </si>
  <si>
    <t>CORALFINAC</t>
  </si>
  <si>
    <t>Coral India Finance &amp; Housing Ltd</t>
  </si>
  <si>
    <t>NSE%3ADELPHIFX</t>
  </si>
  <si>
    <t>https://in.tradingview.com/chart/ofQQfXOP/?symbol=NSE%3ACORALFINAC</t>
  </si>
  <si>
    <t>https://in.tradingview.com/chart/bXJLby4L/?symbol=NSE%3ACORALFINAC</t>
  </si>
  <si>
    <t>CORDSCABLE</t>
  </si>
  <si>
    <t>Cords Cable Industries Limited</t>
  </si>
  <si>
    <t>NSE%3ADELTACORP</t>
  </si>
  <si>
    <t>https://in.tradingview.com/chart/ofQQfXOP/?symbol=NSE%3ACORDSCABLE</t>
  </si>
  <si>
    <t>https://in.tradingview.com/chart/bXJLby4L/?symbol=NSE%3ACORDSCABLE</t>
  </si>
  <si>
    <t>COROMANDEL</t>
  </si>
  <si>
    <t>Coromandel International Limited</t>
  </si>
  <si>
    <t>NSE%3ADELTAMAGNT</t>
  </si>
  <si>
    <t>https://in.tradingview.com/chart/ofQQfXOP/?symbol=NSE%3ACOROMANDEL</t>
  </si>
  <si>
    <t>https://in.tradingview.com/chart/bXJLby4L/?symbol=NSE%3ACOROMANDEL</t>
  </si>
  <si>
    <t>COSMOFIRST</t>
  </si>
  <si>
    <t>Cosmo Films Ltd</t>
  </si>
  <si>
    <t>NSE%3ADEN</t>
  </si>
  <si>
    <t>https://in.tradingview.com/chart/ofQQfXOP/?symbol=NSE%3ACOSMOFIRST</t>
  </si>
  <si>
    <t>https://in.tradingview.com/chart/bXJLby4L/?symbol=NSE%3ACOSMOFIRST</t>
  </si>
  <si>
    <t>CCHHL</t>
  </si>
  <si>
    <t>Country Club Hospitality &amp; Holidays Limited</t>
  </si>
  <si>
    <t>NSE%3ADENORA</t>
  </si>
  <si>
    <t>https://in.tradingview.com/chart/ofQQfXOP/?symbol=NSE%3ACCHHL</t>
  </si>
  <si>
    <t>https://in.tradingview.com/chart/bXJLby4L/?symbol=NSE%3ACCHHL</t>
  </si>
  <si>
    <t>COUNCODOS</t>
  </si>
  <si>
    <t>Country Condo's Limited</t>
  </si>
  <si>
    <t>NSE%3ADENTA</t>
  </si>
  <si>
    <t>https://in.tradingview.com/chart/ofQQfXOP/?symbol=NSE%3ACOUNCODOS</t>
  </si>
  <si>
    <t>https://in.tradingview.com/chart/bXJLby4L/?symbol=NSE%3ACOUNCODOS</t>
  </si>
  <si>
    <t>CPCAP</t>
  </si>
  <si>
    <t>CP Capital Limited</t>
  </si>
  <si>
    <t>NSE%3ADEVIT</t>
  </si>
  <si>
    <t>https://in.tradingview.com/chart/ofQQfXOP/?symbol=NSE%3ACPCAP</t>
  </si>
  <si>
    <t>https://in.tradingview.com/chart/bXJLby4L/?symbol=NSE%3ACPCAP</t>
  </si>
  <si>
    <t>CPSEETF</t>
  </si>
  <si>
    <t>CPSE ETF*</t>
  </si>
  <si>
    <t>NSE%3ADEVYANI</t>
  </si>
  <si>
    <t>https://in.tradingview.com/chart/ofQQfXOP/?symbol=NSE%3ACPSEETF</t>
  </si>
  <si>
    <t>https://in.tradingview.com/chart/bXJLby4L/?symbol=NSE%3ACPSEETF</t>
  </si>
  <si>
    <t>CRAFTSMAN</t>
  </si>
  <si>
    <t>Craftsman Automation Ltd</t>
  </si>
  <si>
    <t>NSE%3ADHAMPURSUG</t>
  </si>
  <si>
    <t>https://in.tradingview.com/chart/ofQQfXOP/?symbol=NSE%3ACRAFTSMAN</t>
  </si>
  <si>
    <t>https://in.tradingview.com/chart/bXJLby4L/?symbol=NSE%3ACRAFTSMAN</t>
  </si>
  <si>
    <t>CREATIVEYE</t>
  </si>
  <si>
    <t>Creative Eye Limited</t>
  </si>
  <si>
    <t>NSE%3ADHANBANK</t>
  </si>
  <si>
    <t>https://in.tradingview.com/chart/ofQQfXOP/?symbol=NSE%3ACREATIVEYE</t>
  </si>
  <si>
    <t>https://in.tradingview.com/chart/bXJLby4L/?symbol=NSE%3ACREATIVEYE</t>
  </si>
  <si>
    <t>CARERATING</t>
  </si>
  <si>
    <t>Credit Analysis And Research Limited</t>
  </si>
  <si>
    <t>NSE%3ADHANI</t>
  </si>
  <si>
    <t>https://in.tradingview.com/chart/ofQQfXOP/?symbol=NSE%3ACARERATING</t>
  </si>
  <si>
    <t>https://in.tradingview.com/chart/bXJLby4L/?symbol=NSE%3ACARERATING</t>
  </si>
  <si>
    <t>CREDITACC</t>
  </si>
  <si>
    <t>CreditAccess Grameen Ltd</t>
  </si>
  <si>
    <t>NSE%3ADHANUKA</t>
  </si>
  <si>
    <t>https://in.tradingview.com/chart/ofQQfXOP/?symbol=NSE%3ACREDITACC</t>
  </si>
  <si>
    <t>https://in.tradingview.com/chart/bXJLby4L/?symbol=NSE%3ACREDITACC</t>
  </si>
  <si>
    <t>MUFTI</t>
  </si>
  <si>
    <t>Credo Brands Marketing Ltd</t>
  </si>
  <si>
    <t>NSE%3ADHARMAJ</t>
  </si>
  <si>
    <t>https://in.tradingview.com/chart/ofQQfXOP/?symbol=NSE%3AMUFTI</t>
  </si>
  <si>
    <t>https://in.tradingview.com/chart/bXJLby4L/?symbol=NSE%3AMUFTI</t>
  </si>
  <si>
    <t>CREST</t>
  </si>
  <si>
    <t>Crest Ventures Limited</t>
  </si>
  <si>
    <t>NSE%3ADHRUV</t>
  </si>
  <si>
    <t>https://in.tradingview.com/chart/ofQQfXOP/?symbol=NSE%3ACREST</t>
  </si>
  <si>
    <t>https://in.tradingview.com/chart/bXJLby4L/?symbol=NSE%3ACREST</t>
  </si>
  <si>
    <t>CRISIL</t>
  </si>
  <si>
    <t>Crisil Limited</t>
  </si>
  <si>
    <t>NSE%3ADHUNINV</t>
  </si>
  <si>
    <t>https://in.tradingview.com/chart/ofQQfXOP/?symbol=NSE%3ACRISIL</t>
  </si>
  <si>
    <t>https://in.tradingview.com/chart/bXJLby4L/?symbol=NSE%3ACRISIL</t>
  </si>
  <si>
    <t>CRIZAC</t>
  </si>
  <si>
    <t>Crizac Ltd</t>
  </si>
  <si>
    <t>NSE%3ADIACABS</t>
  </si>
  <si>
    <t>https://in.tradingview.com/chart/ofQQfXOP/?symbol=NSE%3ACRIZAC</t>
  </si>
  <si>
    <t>https://in.tradingview.com/chart/bXJLby4L/?symbol=NSE%3ACRIZAC</t>
  </si>
  <si>
    <t>CROMPTON</t>
  </si>
  <si>
    <t>Crompton Greaves Consumer Electricals Limited</t>
  </si>
  <si>
    <t>NSE%3ADIAMINESQ</t>
  </si>
  <si>
    <t>https://in.tradingview.com/chart/ofQQfXOP/?symbol=NSE%3ACROMPTON</t>
  </si>
  <si>
    <t>https://in.tradingview.com/chart/bXJLby4L/?symbol=NSE%3ACROMPTON</t>
  </si>
  <si>
    <t>CROWN</t>
  </si>
  <si>
    <t>Crown Lifters Ltd</t>
  </si>
  <si>
    <t>NSE%3ADIAMONDYD</t>
  </si>
  <si>
    <t>https://in.tradingview.com/chart/ofQQfXOP/?symbol=NSE%3ACROWN</t>
  </si>
  <si>
    <t>https://in.tradingview.com/chart/bXJLby4L/?symbol=NSE%3ACROWN</t>
  </si>
  <si>
    <t>CSBBANK</t>
  </si>
  <si>
    <t>CSB Bank Ltd</t>
  </si>
  <si>
    <t>NSE%3ADICIND</t>
  </si>
  <si>
    <t>https://in.tradingview.com/chart/ofQQfXOP/?symbol=NSE%3ACSBBANK</t>
  </si>
  <si>
    <t>https://in.tradingview.com/chart/bXJLby4L/?symbol=NSE%3ACSBBANK</t>
  </si>
  <si>
    <t>CSLFINANCE</t>
  </si>
  <si>
    <t>CSL Finance Ltd</t>
  </si>
  <si>
    <t>NSE%3ADIGIDRIVE</t>
  </si>
  <si>
    <t>https://in.tradingview.com/chart/ofQQfXOP/?symbol=NSE%3ACSLFINANCE</t>
  </si>
  <si>
    <t>https://in.tradingview.com/chart/bXJLby4L/?symbol=NSE%3ACSLFINANCE</t>
  </si>
  <si>
    <t>CUBEXTUB</t>
  </si>
  <si>
    <t>Cubex Tubings Limited</t>
  </si>
  <si>
    <t>NSE%3ADIGISPICE</t>
  </si>
  <si>
    <t>https://in.tradingview.com/chart/ofQQfXOP/?symbol=NSE%3ACUBEXTUB</t>
  </si>
  <si>
    <t>https://in.tradingview.com/chart/bXJLby4L/?symbol=NSE%3ACUBEXTUB</t>
  </si>
  <si>
    <t>CUMMINSIND</t>
  </si>
  <si>
    <t>Cummins India Limited</t>
  </si>
  <si>
    <t>NSE%3ADIGJAMLMTD</t>
  </si>
  <si>
    <t>https://in.tradingview.com/chart/ofQQfXOP/?symbol=NSE%3ACUMMINSIND</t>
  </si>
  <si>
    <t>https://in.tradingview.com/chart/bXJLby4L/?symbol=NSE%3ACUMMINSIND</t>
  </si>
  <si>
    <t>CUPID</t>
  </si>
  <si>
    <t>Cupid Limited</t>
  </si>
  <si>
    <t>NSE%3ADIL</t>
  </si>
  <si>
    <t>https://in.tradingview.com/chart/ofQQfXOP/?symbol=NSE%3ACUPID</t>
  </si>
  <si>
    <t>https://in.tradingview.com/chart/bXJLby4L/?symbol=NSE%3ACUPID</t>
  </si>
  <si>
    <t>CURAA</t>
  </si>
  <si>
    <t>Cura Technologies Ltd</t>
  </si>
  <si>
    <t>NSE%3ADISHTV</t>
  </si>
  <si>
    <t>https://in.tradingview.com/chart/ofQQfXOP/?symbol=NSE%3ACURAA</t>
  </si>
  <si>
    <t>https://in.tradingview.com/chart/bXJLby4L/?symbol=NSE%3ACURAA</t>
  </si>
  <si>
    <t>CYBERMEDIA</t>
  </si>
  <si>
    <t>Cyber Media (india) Limited</t>
  </si>
  <si>
    <t>NSE%3ADIVGIITTS</t>
  </si>
  <si>
    <t>https://in.tradingview.com/chart/ofQQfXOP/?symbol=NSE%3ACYBERMEDIA</t>
  </si>
  <si>
    <t>https://in.tradingview.com/chart/bXJLby4L/?symbol=NSE%3ACYBERMEDIA</t>
  </si>
  <si>
    <t>CYBERTECH</t>
  </si>
  <si>
    <t>Cybertech Systems And Software Limited</t>
  </si>
  <si>
    <t>NSE%3ADIVISLAB</t>
  </si>
  <si>
    <t>https://in.tradingview.com/chart/ofQQfXOP/?symbol=NSE%3ACYBERTECH</t>
  </si>
  <si>
    <t>https://in.tradingview.com/chart/bXJLby4L/?symbol=NSE%3ACYBERTECH</t>
  </si>
  <si>
    <t>CYIENTDLM</t>
  </si>
  <si>
    <t>Cyient DLM Ltd</t>
  </si>
  <si>
    <t>NSE%3ADIVOPPBEES</t>
  </si>
  <si>
    <t>https://in.tradingview.com/chart/ofQQfXOP/?symbol=NSE%3ACYIENTDLM</t>
  </si>
  <si>
    <t>https://in.tradingview.com/chart/bXJLby4L/?symbol=NSE%3ACYIENTDLM</t>
  </si>
  <si>
    <t>CYIENT</t>
  </si>
  <si>
    <t>Cyient Limited</t>
  </si>
  <si>
    <t>NSE%3ADIXON</t>
  </si>
  <si>
    <t>https://in.tradingview.com/chart/ofQQfXOP/?symbol=NSE%3ACYIENT</t>
  </si>
  <si>
    <t>https://in.tradingview.com/chart/bXJLby4L/?symbol=NSE%3ACYIENT</t>
  </si>
  <si>
    <t>DBREALTY</t>
  </si>
  <si>
    <t>D B Realty Limited</t>
  </si>
  <si>
    <t>NSE%3ADLF</t>
  </si>
  <si>
    <t>https://in.tradingview.com/chart/ofQQfXOP/?symbol=NSE%3ADBREALTY</t>
  </si>
  <si>
    <t>https://in.tradingview.com/chart/bXJLby4L/?symbol=NSE%3ADBREALTY</t>
  </si>
  <si>
    <t>DPWIRES</t>
  </si>
  <si>
    <t>D P Wires Ltd</t>
  </si>
  <si>
    <t>NSE%3ADLINKINDIA</t>
  </si>
  <si>
    <t>https://in.tradingview.com/chart/ofQQfXOP/?symbol=NSE%3ADPWIRES</t>
  </si>
  <si>
    <t>https://in.tradingview.com/chart/bXJLby4L/?symbol=NSE%3ADPWIRES</t>
  </si>
  <si>
    <t>DLINKINDIA</t>
  </si>
  <si>
    <t>D-link (india) Limited</t>
  </si>
  <si>
    <t>NSE%3ADMART</t>
  </si>
  <si>
    <t>https://in.tradingview.com/chart/ofQQfXOP/?symbol=NSE%3ADLINKINDIA</t>
  </si>
  <si>
    <t>https://in.tradingview.com/chart/bXJLby4L/?symbol=NSE%3ADLINKINDIA</t>
  </si>
  <si>
    <t>DBCORP</t>
  </si>
  <si>
    <t>D.b.corp Limited</t>
  </si>
  <si>
    <t>NSE%3ADMCC</t>
  </si>
  <si>
    <t>https://in.tradingview.com/chart/ofQQfXOP/?symbol=NSE%3ADBCORP</t>
  </si>
  <si>
    <t>https://in.tradingview.com/chart/bXJLby4L/?symbol=NSE%3ADBCORP</t>
  </si>
  <si>
    <t>DPABHUSHAN</t>
  </si>
  <si>
    <t>D.P. Abhushan Ltd</t>
  </si>
  <si>
    <t>NSE%3ADNAMEDIA</t>
  </si>
  <si>
    <t>https://in.tradingview.com/chart/ofQQfXOP/?symbol=NSE%3ADPABHUSHAN</t>
  </si>
  <si>
    <t>https://in.tradingview.com/chart/bXJLby4L/?symbol=NSE%3ADPABHUSHAN</t>
  </si>
  <si>
    <t>DABUR</t>
  </si>
  <si>
    <t>Dabur India Limited</t>
  </si>
  <si>
    <t>NSE%3ADODLA</t>
  </si>
  <si>
    <t>https://in.tradingview.com/chart/ofQQfXOP/?symbol=NSE%3ADABUR</t>
  </si>
  <si>
    <t>https://in.tradingview.com/chart/bXJLby4L/?symbol=NSE%3ADABUR</t>
  </si>
  <si>
    <t>DALBHARAT</t>
  </si>
  <si>
    <t>Dalmia Bharat Limited</t>
  </si>
  <si>
    <t>NSE%3ADOLATALGO</t>
  </si>
  <si>
    <t>https://in.tradingview.com/chart/ofQQfXOP/?symbol=NSE%3ADALBHARAT</t>
  </si>
  <si>
    <t>https://in.tradingview.com/chart/bXJLby4L/?symbol=NSE%3ADALBHARAT</t>
  </si>
  <si>
    <t>DALMIASUG</t>
  </si>
  <si>
    <t>Dalmia Bharat Sugar And Industries Limited</t>
  </si>
  <si>
    <t>NSE%3ADOLLAR</t>
  </si>
  <si>
    <t>https://in.tradingview.com/chart/ofQQfXOP/?symbol=NSE%3ADALMIASUG</t>
  </si>
  <si>
    <t>https://in.tradingview.com/chart/bXJLby4L/?symbol=NSE%3ADALMIASUG</t>
  </si>
  <si>
    <t>DAMCAPITAL</t>
  </si>
  <si>
    <t>Dam Capital Advisors Ltd</t>
  </si>
  <si>
    <t>NSE%3ADOMS</t>
  </si>
  <si>
    <t>https://in.tradingview.com/chart/ofQQfXOP/?symbol=NSE%3ADAMCAPITAL</t>
  </si>
  <si>
    <t>https://in.tradingview.com/chart/bXJLby4L/?symbol=NSE%3ADAMCAPITAL</t>
  </si>
  <si>
    <t>DAMODARIND</t>
  </si>
  <si>
    <t>Damodar Industries Limited</t>
  </si>
  <si>
    <t>NSE%3ADONEAR</t>
  </si>
  <si>
    <t>https://in.tradingview.com/chart/ofQQfXOP/?symbol=NSE%3ADAMODARIND</t>
  </si>
  <si>
    <t>https://in.tradingview.com/chart/bXJLby4L/?symbol=NSE%3ADAMODARIND</t>
  </si>
  <si>
    <t>DATAPATTNS</t>
  </si>
  <si>
    <t>Data Patterns (India) Ltd</t>
  </si>
  <si>
    <t>NSE%3ADPABHUSHAN</t>
  </si>
  <si>
    <t>https://in.tradingview.com/chart/ofQQfXOP/?symbol=NSE%3ADATAPATTNS</t>
  </si>
  <si>
    <t>https://in.tradingview.com/chart/bXJLby4L/?symbol=NSE%3ADATAPATTNS</t>
  </si>
  <si>
    <t>DATAMATICS</t>
  </si>
  <si>
    <t>Datamatics Global Services Limited</t>
  </si>
  <si>
    <t>NSE%3ADPSCLTD</t>
  </si>
  <si>
    <t>https://in.tradingview.com/chart/ofQQfXOP/?symbol=NSE%3ADATAMATICS</t>
  </si>
  <si>
    <t>https://in.tradingview.com/chart/bXJLby4L/?symbol=NSE%3ADATAMATICS</t>
  </si>
  <si>
    <t>DBSTOCKBRO</t>
  </si>
  <si>
    <t>Db (international) Stock Brokers Limited</t>
  </si>
  <si>
    <t>NSE%3ADPWIRES</t>
  </si>
  <si>
    <t>https://in.tradingview.com/chart/ofQQfXOP/?symbol=NSE%3ADBSTOCKBRO</t>
  </si>
  <si>
    <t>https://in.tradingview.com/chart/bXJLby4L/?symbol=NSE%3ADBSTOCKBRO</t>
  </si>
  <si>
    <t>DCI</t>
  </si>
  <si>
    <t>DC Infotech &amp; Communication Ltd</t>
  </si>
  <si>
    <t>NSE%3ADRCSYSTEMS</t>
  </si>
  <si>
    <t>https://in.tradingview.com/chart/ofQQfXOP/?symbol=NSE%3ADCI</t>
  </si>
  <si>
    <t>https://in.tradingview.com/chart/bXJLby4L/?symbol=NSE%3ADCI</t>
  </si>
  <si>
    <t>DCBBANK</t>
  </si>
  <si>
    <t>Dcb Bank Limited</t>
  </si>
  <si>
    <t>NSE%3ADREAMFOLKS</t>
  </si>
  <si>
    <t>https://in.tradingview.com/chart/ofQQfXOP/?symbol=NSE%3ADCBBANK</t>
  </si>
  <si>
    <t>https://in.tradingview.com/chart/bXJLby4L/?symbol=NSE%3ADCBBANK</t>
  </si>
  <si>
    <t>DCM</t>
  </si>
  <si>
    <t>Dcm  Limited</t>
  </si>
  <si>
    <t>NSE%3ADREDGECORP</t>
  </si>
  <si>
    <t>https://in.tradingview.com/chart/ofQQfXOP/?symbol=NSE%3ADCM</t>
  </si>
  <si>
    <t>https://in.tradingview.com/chart/bXJLby4L/?symbol=NSE%3ADCM</t>
  </si>
  <si>
    <t>DCMNVL</t>
  </si>
  <si>
    <t>DCM Nouvelle Ltd</t>
  </si>
  <si>
    <t>NSE%3ADRREDDY</t>
  </si>
  <si>
    <t>https://in.tradingview.com/chart/ofQQfXOP/?symbol=NSE%3ADCMNVL</t>
  </si>
  <si>
    <t>https://in.tradingview.com/chart/bXJLby4L/?symbol=NSE%3ADCMNVL</t>
  </si>
  <si>
    <t>DCMSRIND</t>
  </si>
  <si>
    <t>DCM Shriram Industries Ltd</t>
  </si>
  <si>
    <t>NSE%3ADSSL</t>
  </si>
  <si>
    <t>https://in.tradingview.com/chart/ofQQfXOP/?symbol=NSE%3ADCMSRIND</t>
  </si>
  <si>
    <t>https://in.tradingview.com/chart/bXJLby4L/?symbol=NSE%3ADCMSRIND</t>
  </si>
  <si>
    <t>DCMSHRIRAM</t>
  </si>
  <si>
    <t>Dcm Shriram Limited</t>
  </si>
  <si>
    <t>NSE%3ADTIL</t>
  </si>
  <si>
    <t>https://in.tradingview.com/chart/ofQQfXOP/?symbol=NSE%3ADCMSHRIRAM</t>
  </si>
  <si>
    <t>https://in.tradingview.com/chart/bXJLby4L/?symbol=NSE%3ADCMSHRIRAM</t>
  </si>
  <si>
    <t>DCW</t>
  </si>
  <si>
    <t>Dcw Limited</t>
  </si>
  <si>
    <t>NSE%3ADUCON</t>
  </si>
  <si>
    <t>https://in.tradingview.com/chart/ofQQfXOP/?symbol=NSE%3ADCW</t>
  </si>
  <si>
    <t>https://in.tradingview.com/chart/bXJLby4L/?symbol=NSE%3ADCW</t>
  </si>
  <si>
    <t>DCXINDIA</t>
  </si>
  <si>
    <t>DCX Systems Ltd</t>
  </si>
  <si>
    <t>NSE%3ADVL</t>
  </si>
  <si>
    <t>https://in.tradingview.com/chart/ofQQfXOP/?symbol=NSE%3ADCXINDIA</t>
  </si>
  <si>
    <t>https://in.tradingview.com/chart/bXJLby4L/?symbol=NSE%3ADCXINDIA</t>
  </si>
  <si>
    <t>DDEVPLSTIK</t>
  </si>
  <si>
    <t>DDev Plastiks Industries Ltd</t>
  </si>
  <si>
    <t>NSE%3ADWARKESH</t>
  </si>
  <si>
    <t>https://in.tradingview.com/chart/ofQQfXOP/?symbol=NSE%3ADDEVPLSTIK</t>
  </si>
  <si>
    <t>https://in.tradingview.com/chart/bXJLby4L/?symbol=NSE%3ADDEVPLSTIK</t>
  </si>
  <si>
    <t>DENORA</t>
  </si>
  <si>
    <t>De Nora India Limited</t>
  </si>
  <si>
    <t>NSE%3ADYCL</t>
  </si>
  <si>
    <t>https://in.tradingview.com/chart/ofQQfXOP/?symbol=NSE%3ADENORA</t>
  </si>
  <si>
    <t>https://in.tradingview.com/chart/bXJLby4L/?symbol=NSE%3ADENORA</t>
  </si>
  <si>
    <t>DECCANCE</t>
  </si>
  <si>
    <t>Deccan Cements Limited</t>
  </si>
  <si>
    <t>NSE%3ADYNAMATECH</t>
  </si>
  <si>
    <t>https://in.tradingview.com/chart/ofQQfXOP/?symbol=NSE%3ADECCANCE</t>
  </si>
  <si>
    <t>https://in.tradingview.com/chart/bXJLby4L/?symbol=NSE%3ADECCANCE</t>
  </si>
  <si>
    <t>DEEDEV</t>
  </si>
  <si>
    <t>DEE Development Engineers Ltd</t>
  </si>
  <si>
    <t>NSE%3ADYNPRO</t>
  </si>
  <si>
    <t>https://in.tradingview.com/chart/ofQQfXOP/?symbol=NSE%3ADEEDEV</t>
  </si>
  <si>
    <t>https://in.tradingview.com/chart/bXJLby4L/?symbol=NSE%3ADEEDEV</t>
  </si>
  <si>
    <t>DEEPINDS</t>
  </si>
  <si>
    <t>Deep Industries Ltd</t>
  </si>
  <si>
    <t>NSE%3AE2E</t>
  </si>
  <si>
    <t>https://in.tradingview.com/chart/ofQQfXOP/?symbol=NSE%3ADEEPINDS</t>
  </si>
  <si>
    <t>https://in.tradingview.com/chart/bXJLby4L/?symbol=NSE%3ADEEPINDS</t>
  </si>
  <si>
    <t>DBEIL</t>
  </si>
  <si>
    <t>Deepak Builders &amp; Engineers India Ltd</t>
  </si>
  <si>
    <t>NSE%3AEASEMYTRIP</t>
  </si>
  <si>
    <t>https://in.tradingview.com/chart/ofQQfXOP/?symbol=NSE%3ADBEIL</t>
  </si>
  <si>
    <t>https://in.tradingview.com/chart/bXJLby4L/?symbol=NSE%3ADBEIL</t>
  </si>
  <si>
    <t>DEEPAKFERT</t>
  </si>
  <si>
    <t>Deepak Fertilizers And Petrochemicals Corporation Limited</t>
  </si>
  <si>
    <t>NSE%3AEBANKNIFTY</t>
  </si>
  <si>
    <t>https://in.tradingview.com/chart/ofQQfXOP/?symbol=NSE%3ADEEPAKFERT</t>
  </si>
  <si>
    <t>https://in.tradingview.com/chart/bXJLby4L/?symbol=NSE%3ADEEPAKFERT</t>
  </si>
  <si>
    <t>DEEPAKNTR</t>
  </si>
  <si>
    <t>Deepak Nitrite Limited</t>
  </si>
  <si>
    <t>NSE%3AEBBETF0430</t>
  </si>
  <si>
    <t>https://in.tradingview.com/chart/ofQQfXOP/?symbol=NSE%3ADEEPAKNTR</t>
  </si>
  <si>
    <t>https://in.tradingview.com/chart/bXJLby4L/?symbol=NSE%3ADEEPAKNTR</t>
  </si>
  <si>
    <t>DELHIVERY</t>
  </si>
  <si>
    <t>Delhivery Ltd</t>
  </si>
  <si>
    <t>NSE%3AEBBETF0431</t>
  </si>
  <si>
    <t>https://in.tradingview.com/chart/ofQQfXOP/?symbol=NSE%3ADELHIVERY</t>
  </si>
  <si>
    <t>https://in.tradingview.com/chart/bXJLby4L/?symbol=NSE%3ADELHIVERY</t>
  </si>
  <si>
    <t>DELPHIFX</t>
  </si>
  <si>
    <t>Delphi World Money Ltd</t>
  </si>
  <si>
    <t>NSE%3AEBBETF0433</t>
  </si>
  <si>
    <t>https://in.tradingview.com/chart/ofQQfXOP/?symbol=NSE%3ADELPHIFX</t>
  </si>
  <si>
    <t>https://in.tradingview.com/chart/bXJLby4L/?symbol=NSE%3ADELPHIFX</t>
  </si>
  <si>
    <t>DELTACORP</t>
  </si>
  <si>
    <t>Delta Corp Limited</t>
  </si>
  <si>
    <t>NSE%3AECAPINSURE</t>
  </si>
  <si>
    <t>https://in.tradingview.com/chart/ofQQfXOP/?symbol=NSE%3ADELTACORP</t>
  </si>
  <si>
    <t>https://in.tradingview.com/chart/bXJLby4L/?symbol=NSE%3ADELTACORP</t>
  </si>
  <si>
    <t>DELTAMAGNT</t>
  </si>
  <si>
    <t>Delta Magnets Limited</t>
  </si>
  <si>
    <t>NSE%3AECLERX</t>
  </si>
  <si>
    <t>https://in.tradingview.com/chart/ofQQfXOP/?symbol=NSE%3ADELTAMAGNT</t>
  </si>
  <si>
    <t>https://in.tradingview.com/chart/bXJLby4L/?symbol=NSE%3ADELTAMAGNT</t>
  </si>
  <si>
    <t>DEN</t>
  </si>
  <si>
    <t>Den Networks Limited</t>
  </si>
  <si>
    <t>NSE%3AECOSMOBLTY</t>
  </si>
  <si>
    <t>https://in.tradingview.com/chart/ofQQfXOP/?symbol=NSE%3ADEN</t>
  </si>
  <si>
    <t>https://in.tradingview.com/chart/bXJLby4L/?symbol=NSE%3ADEN</t>
  </si>
  <si>
    <t>DENTA</t>
  </si>
  <si>
    <t>Denta Water &amp; Infra Solutions Ltd</t>
  </si>
  <si>
    <t>NSE%3AEDELWEISS</t>
  </si>
  <si>
    <t>https://in.tradingview.com/chart/ofQQfXOP/?symbol=NSE%3ADENTA</t>
  </si>
  <si>
    <t>https://in.tradingview.com/chart/bXJLby4L/?symbol=NSE%3ADENTA</t>
  </si>
  <si>
    <t>DEVX</t>
  </si>
  <si>
    <t>Dev Accelerator Ltd</t>
  </si>
  <si>
    <t>NSE%3AEGOLD</t>
  </si>
  <si>
    <t>https://in.tradingview.com/chart/ofQQfXOP/?symbol=NSE%3ADEVX</t>
  </si>
  <si>
    <t>https://in.tradingview.com/chart/bXJLby4L/?symbol=NSE%3ADEVX</t>
  </si>
  <si>
    <t>DEVIT</t>
  </si>
  <si>
    <t>Dev Information Technology Ltd</t>
  </si>
  <si>
    <t>NSE%3AEICHERMOT</t>
  </si>
  <si>
    <t>https://in.tradingview.com/chart/ofQQfXOP/?symbol=NSE%3ADEVIT</t>
  </si>
  <si>
    <t>https://in.tradingview.com/chart/bXJLby4L/?symbol=NSE%3ADEVIT</t>
  </si>
  <si>
    <t>DEVYANI</t>
  </si>
  <si>
    <t>Devyani International Ltd</t>
  </si>
  <si>
    <t>NSE%3AEIDPARRY</t>
  </si>
  <si>
    <t>https://in.tradingview.com/chart/ofQQfXOP/?symbol=NSE%3ADEVYANI</t>
  </si>
  <si>
    <t>https://in.tradingview.com/chart/bXJLby4L/?symbol=NSE%3ADEVYANI</t>
  </si>
  <si>
    <t>DBOL</t>
  </si>
  <si>
    <t>Dhampur Bio Organics Ltd</t>
  </si>
  <si>
    <t>NSE%3AEIEL</t>
  </si>
  <si>
    <t>https://in.tradingview.com/chart/ofQQfXOP/?symbol=NSE%3ADBOL</t>
  </si>
  <si>
    <t>https://in.tradingview.com/chart/bXJLby4L/?symbol=NSE%3ADBOL</t>
  </si>
  <si>
    <t>DHAMPURSUG</t>
  </si>
  <si>
    <t>Dhampur Sugar Mills Limited</t>
  </si>
  <si>
    <t>NSE%3AEIFFL</t>
  </si>
  <si>
    <t>https://in.tradingview.com/chart/ofQQfXOP/?symbol=NSE%3ADHAMPURSUG</t>
  </si>
  <si>
    <t>https://in.tradingview.com/chart/bXJLby4L/?symbol=NSE%3ADHAMPURSUG</t>
  </si>
  <si>
    <t>DHANBANK</t>
  </si>
  <si>
    <t>Dhanlaxmi Bank Limited</t>
  </si>
  <si>
    <t>NSE%3AEIHAHOTELS</t>
  </si>
  <si>
    <t>https://in.tradingview.com/chart/ofQQfXOP/?symbol=NSE%3ADHANBANK</t>
  </si>
  <si>
    <t>https://in.tradingview.com/chart/bXJLby4L/?symbol=NSE%3ADHANBANK</t>
  </si>
  <si>
    <t>DHANUKA</t>
  </si>
  <si>
    <t>Dhanuka Agritech Limited</t>
  </si>
  <si>
    <t>NSE%3AEIHOTEL</t>
  </si>
  <si>
    <t>https://in.tradingview.com/chart/ofQQfXOP/?symbol=NSE%3ADHANUKA</t>
  </si>
  <si>
    <t>https://in.tradingview.com/chart/bXJLby4L/?symbol=NSE%3ADHANUKA</t>
  </si>
  <si>
    <t>DHARMAJ</t>
  </si>
  <si>
    <t>Dharmaj Crop Guard Ltd</t>
  </si>
  <si>
    <t>NSE%3AEIMCOELECO</t>
  </si>
  <si>
    <t>https://in.tradingview.com/chart/ofQQfXOP/?symbol=NSE%3ADHARMAJ</t>
  </si>
  <si>
    <t>https://in.tradingview.com/chart/bXJLby4L/?symbol=NSE%3ADHARMAJ</t>
  </si>
  <si>
    <t>DHRUV</t>
  </si>
  <si>
    <t>Dhruv Consultancy Services Ltd</t>
  </si>
  <si>
    <t>NSE%3AEKC</t>
  </si>
  <si>
    <t>https://in.tradingview.com/chart/ofQQfXOP/?symbol=NSE%3ADHRUV</t>
  </si>
  <si>
    <t>https://in.tradingview.com/chart/bXJLby4L/?symbol=NSE%3ADHRUV</t>
  </si>
  <si>
    <t>DHUNINV</t>
  </si>
  <si>
    <t>Dhunseri Investments Limited</t>
  </si>
  <si>
    <t>NSE%3AELDEHSG</t>
  </si>
  <si>
    <t>https://in.tradingview.com/chart/ofQQfXOP/?symbol=NSE%3ADHUNINV</t>
  </si>
  <si>
    <t>https://in.tradingview.com/chart/bXJLby4L/?symbol=NSE%3ADHUNINV</t>
  </si>
  <si>
    <t>DTIL</t>
  </si>
  <si>
    <t>Dhunseri Tea &amp; Industries Limited</t>
  </si>
  <si>
    <t>NSE%3AELECON</t>
  </si>
  <si>
    <t>https://in.tradingview.com/chart/ofQQfXOP/?symbol=NSE%3ADTIL</t>
  </si>
  <si>
    <t>https://in.tradingview.com/chart/bXJLby4L/?symbol=NSE%3ADTIL</t>
  </si>
  <si>
    <t>DVL</t>
  </si>
  <si>
    <t>Dhunseri Ventures Ltd</t>
  </si>
  <si>
    <t>NSE%3AELECTCAST</t>
  </si>
  <si>
    <t>https://in.tradingview.com/chart/ofQQfXOP/?symbol=NSE%3ADVL</t>
  </si>
  <si>
    <t>https://in.tradingview.com/chart/bXJLby4L/?symbol=NSE%3ADVL</t>
  </si>
  <si>
    <t>DIAMINESQ</t>
  </si>
  <si>
    <t>Diamines &amp; Chemicals Ltd</t>
  </si>
  <si>
    <t>NSE%3AELGIEQUIP</t>
  </si>
  <si>
    <t>https://in.tradingview.com/chart/ofQQfXOP/?symbol=NSE%3ADIAMINESQ</t>
  </si>
  <si>
    <t>https://in.tradingview.com/chart/bXJLby4L/?symbol=NSE%3ADIAMINESQ</t>
  </si>
  <si>
    <t>DIACABS</t>
  </si>
  <si>
    <t>Diamond Power Infrastructure Ltd</t>
  </si>
  <si>
    <t>NSE%3AELGIRUBCO</t>
  </si>
  <si>
    <t>https://in.tradingview.com/chart/ofQQfXOP/?symbol=NSE%3ADIACABS</t>
  </si>
  <si>
    <t>https://in.tradingview.com/chart/bXJLby4L/?symbol=NSE%3ADIACABS</t>
  </si>
  <si>
    <t>DICIND</t>
  </si>
  <si>
    <t>Dic India Limited</t>
  </si>
  <si>
    <t>NSE%3AELIN</t>
  </si>
  <si>
    <t>https://in.tradingview.com/chart/ofQQfXOP/?symbol=NSE%3ADICIND</t>
  </si>
  <si>
    <t>https://in.tradingview.com/chart/bXJLby4L/?symbol=NSE%3ADICIND</t>
  </si>
  <si>
    <t>DIFFNKG</t>
  </si>
  <si>
    <t>Diffusion Engineers Ltd</t>
  </si>
  <si>
    <t>NSE%3AEMAMILTD</t>
  </si>
  <si>
    <t>https://in.tradingview.com/chart/ofQQfXOP/?symbol=NSE%3ADIFFNKG</t>
  </si>
  <si>
    <t>https://in.tradingview.com/chart/bXJLby4L/?symbol=NSE%3ADIFFNKG</t>
  </si>
  <si>
    <t>DGCONTENT</t>
  </si>
  <si>
    <t>Digicontent Ltd</t>
  </si>
  <si>
    <t>NSE%3AEMAMIPAP</t>
  </si>
  <si>
    <t>https://in.tradingview.com/chart/ofQQfXOP/?symbol=NSE%3ADGCONTENT</t>
  </si>
  <si>
    <t>https://in.tradingview.com/chart/bXJLby4L/?symbol=NSE%3ADGCONTENT</t>
  </si>
  <si>
    <t>DIGIDRIVE</t>
  </si>
  <si>
    <t>Digidrive Distributors Ltd</t>
  </si>
  <si>
    <t>NSE%3AEMAMIREAL</t>
  </si>
  <si>
    <t>https://in.tradingview.com/chart/ofQQfXOP/?symbol=NSE%3ADIGIDRIVE</t>
  </si>
  <si>
    <t>https://in.tradingview.com/chart/bXJLby4L/?symbol=NSE%3ADIGIDRIVE</t>
  </si>
  <si>
    <t>DIGISPICE</t>
  </si>
  <si>
    <t>DigiSpice Technologies Ltd</t>
  </si>
  <si>
    <t>NSE%3AEMBDL</t>
  </si>
  <si>
    <t>https://in.tradingview.com/chart/ofQQfXOP/?symbol=NSE%3ADIGISPICE</t>
  </si>
  <si>
    <t>https://in.tradingview.com/chart/bXJLby4L/?symbol=NSE%3ADIGISPICE</t>
  </si>
  <si>
    <t>DIGITIDE</t>
  </si>
  <si>
    <t>Digitide Solutions Ltd</t>
  </si>
  <si>
    <t>NSE%3AEMCURE</t>
  </si>
  <si>
    <t>https://in.tradingview.com/chart/ofQQfXOP/?symbol=NSE%3ADIGITIDE</t>
  </si>
  <si>
    <t>https://in.tradingview.com/chart/bXJLby4L/?symbol=NSE%3ADIGITIDE</t>
  </si>
  <si>
    <t>DIGJAMLMTD</t>
  </si>
  <si>
    <t>Digjam Ltd</t>
  </si>
  <si>
    <t>NSE%3AEMIL</t>
  </si>
  <si>
    <t>https://in.tradingview.com/chart/ofQQfXOP/?symbol=NSE%3ADIGJAMLMTD</t>
  </si>
  <si>
    <t>https://in.tradingview.com/chart/bXJLby4L/?symbol=NSE%3ADIGJAMLMTD</t>
  </si>
  <si>
    <t>DBL</t>
  </si>
  <si>
    <t>Dilip Buildcon Limited</t>
  </si>
  <si>
    <t>NSE%3AEMKAY</t>
  </si>
  <si>
    <t>https://in.tradingview.com/chart/ofQQfXOP/?symbol=NSE%3ADBL</t>
  </si>
  <si>
    <t>https://in.tradingview.com/chart/bXJLby4L/?symbol=NSE%3ADBL</t>
  </si>
  <si>
    <t>DCAL</t>
  </si>
  <si>
    <t>Dishman Carbogen Amcis Ltd</t>
  </si>
  <si>
    <t>NSE%3AEMMBI</t>
  </si>
  <si>
    <t>https://in.tradingview.com/chart/ofQQfXOP/?symbol=NSE%3ADCAL</t>
  </si>
  <si>
    <t>https://in.tradingview.com/chart/bXJLby4L/?symbol=NSE%3ADCAL</t>
  </si>
  <si>
    <t>DIVGIITTS</t>
  </si>
  <si>
    <t>Divgi Torqtransfer Systems Ltd</t>
  </si>
  <si>
    <t>NSE%3AEMSLIMITED</t>
  </si>
  <si>
    <t>https://in.tradingview.com/chart/ofQQfXOP/?symbol=NSE%3ADIVGIITTS</t>
  </si>
  <si>
    <t>https://in.tradingview.com/chart/bXJLby4L/?symbol=NSE%3ADIVGIITTS</t>
  </si>
  <si>
    <t>DIVISLAB</t>
  </si>
  <si>
    <t>Divi's Laboratories Limited</t>
  </si>
  <si>
    <t>NSE%3AEMUDHRA</t>
  </si>
  <si>
    <t>https://in.tradingview.com/chart/ofQQfXOP/?symbol=NSE%3ADIVISLAB</t>
  </si>
  <si>
    <t>https://in.tradingview.com/chart/bXJLby4L/?symbol=NSE%3ADIVISLAB</t>
  </si>
  <si>
    <t>DIXON</t>
  </si>
  <si>
    <t>Dixon Technologies</t>
  </si>
  <si>
    <t>NSE%3AEMULTIMQ</t>
  </si>
  <si>
    <t>https://in.tradingview.com/chart/ofQQfXOP/?symbol=NSE%3ADIXON</t>
  </si>
  <si>
    <t>https://in.tradingview.com/chart/bXJLby4L/?symbol=NSE%3ADIXON</t>
  </si>
  <si>
    <t>DJML</t>
  </si>
  <si>
    <t>DJ Mediaprint &amp; Logistics Ltd</t>
  </si>
  <si>
    <t>NSE%3AENDURANCE</t>
  </si>
  <si>
    <t>https://in.tradingview.com/chart/ofQQfXOP/?symbol=NSE%3ADJML</t>
  </si>
  <si>
    <t>https://in.tradingview.com/chart/bXJLby4L/?symbol=NSE%3ADJML</t>
  </si>
  <si>
    <t>DLF</t>
  </si>
  <si>
    <t>Dlf Limited</t>
  </si>
  <si>
    <t>NSE%3AENERGYDEV</t>
  </si>
  <si>
    <t>https://in.tradingview.com/chart/ofQQfXOP/?symbol=NSE%3ADLF</t>
  </si>
  <si>
    <t>https://in.tradingview.com/chart/bXJLby4L/?symbol=NSE%3ADLF</t>
  </si>
  <si>
    <t>DMCC</t>
  </si>
  <si>
    <t>DMCC Speciality Chemicals Ltd</t>
  </si>
  <si>
    <t>NSE%3AENGINERSIN</t>
  </si>
  <si>
    <t>https://in.tradingview.com/chart/ofQQfXOP/?symbol=NSE%3ADMCC</t>
  </si>
  <si>
    <t>https://in.tradingview.com/chart/bXJLby4L/?symbol=NSE%3ADMCC</t>
  </si>
  <si>
    <t>DODLA</t>
  </si>
  <si>
    <t>Dodla Dairy Ltd</t>
  </si>
  <si>
    <t>NSE%3AENIL</t>
  </si>
  <si>
    <t>https://in.tradingview.com/chart/ofQQfXOP/?symbol=NSE%3ADODLA</t>
  </si>
  <si>
    <t>https://in.tradingview.com/chart/bXJLby4L/?symbol=NSE%3ADODLA</t>
  </si>
  <si>
    <t>DOLATALGO</t>
  </si>
  <si>
    <t>Dolat Algotech Ltd</t>
  </si>
  <si>
    <t>NSE%3AENTERO</t>
  </si>
  <si>
    <t>https://in.tradingview.com/chart/ofQQfXOP/?symbol=NSE%3ADOLATALGO</t>
  </si>
  <si>
    <t>https://in.tradingview.com/chart/bXJLby4L/?symbol=NSE%3ADOLATALGO</t>
  </si>
  <si>
    <t>DOLLAR</t>
  </si>
  <si>
    <t>Dollar Industries Ltd</t>
  </si>
  <si>
    <t>NSE%3AEPACK</t>
  </si>
  <si>
    <t>https://in.tradingview.com/chart/ofQQfXOP/?symbol=NSE%3ADOLLAR</t>
  </si>
  <si>
    <t>https://in.tradingview.com/chart/bXJLby4L/?symbol=NSE%3ADOLLAR</t>
  </si>
  <si>
    <t>DOLPHIN</t>
  </si>
  <si>
    <t>Dolphin Offshore Enterprises (India) Ltd</t>
  </si>
  <si>
    <t>NSE%3AEPIGRAL</t>
  </si>
  <si>
    <t>https://in.tradingview.com/chart/ofQQfXOP/?symbol=NSE%3ADOLPHIN</t>
  </si>
  <si>
    <t>https://in.tradingview.com/chart/bXJLby4L/?symbol=NSE%3ADOLPHIN</t>
  </si>
  <si>
    <t>DOMS</t>
  </si>
  <si>
    <t>Doms Industries Ltd</t>
  </si>
  <si>
    <t>NSE%3AEPL</t>
  </si>
  <si>
    <t>https://in.tradingview.com/chart/ofQQfXOP/?symbol=NSE%3ADOMS</t>
  </si>
  <si>
    <t>https://in.tradingview.com/chart/bXJLby4L/?symbol=NSE%3ADOMS</t>
  </si>
  <si>
    <t>DONEAR</t>
  </si>
  <si>
    <t>Donear Industries Limited</t>
  </si>
  <si>
    <t>NSE%3AEQUAL50ADD</t>
  </si>
  <si>
    <t>https://in.tradingview.com/chart/ofQQfXOP/?symbol=NSE%3ADONEAR</t>
  </si>
  <si>
    <t>https://in.tradingview.com/chart/bXJLby4L/?symbol=NSE%3ADONEAR</t>
  </si>
  <si>
    <t>DPSCLTD</t>
  </si>
  <si>
    <t>Dpsc Limited</t>
  </si>
  <si>
    <t>NSE%3AEQUIPPP</t>
  </si>
  <si>
    <t>https://in.tradingview.com/chart/ofQQfXOP/?symbol=NSE%3ADPSCLTD</t>
  </si>
  <si>
    <t>https://in.tradingview.com/chart/bXJLby4L/?symbol=NSE%3ADPSCLTD</t>
  </si>
  <si>
    <t>AGARWALEYE</t>
  </si>
  <si>
    <t>Dr Agarwals Health Care Ltd</t>
  </si>
  <si>
    <t>NSE%3AEQUITASBNK</t>
  </si>
  <si>
    <t>https://in.tradingview.com/chart/ofQQfXOP/?symbol=NSE%3AAGARWALEYE</t>
  </si>
  <si>
    <t>https://in.tradingview.com/chart/bXJLby4L/?symbol=NSE%3AAGARWALEYE</t>
  </si>
  <si>
    <t>LALPATHLAB</t>
  </si>
  <si>
    <t>Dr. Lal Path Labs Ltd.</t>
  </si>
  <si>
    <t>NSE%3AERIS</t>
  </si>
  <si>
    <t>https://in.tradingview.com/chart/ofQQfXOP/?symbol=NSE%3ALALPATHLAB</t>
  </si>
  <si>
    <t>https://in.tradingview.com/chart/bXJLby4L/?symbol=NSE%3ALALPATHLAB</t>
  </si>
  <si>
    <t>DRREDDY</t>
  </si>
  <si>
    <t>Dr. Reddy's Laboratories Limited</t>
  </si>
  <si>
    <t>NSE%3AESABINDIA</t>
  </si>
  <si>
    <t>https://in.tradingview.com/chart/ofQQfXOP/?symbol=NSE%3ADRREDDY</t>
  </si>
  <si>
    <t>https://in.tradingview.com/chart/bXJLby4L/?symbol=NSE%3ADRREDDY</t>
  </si>
  <si>
    <t>DRCSYSTEMS</t>
  </si>
  <si>
    <t>DRC Systems India Ltd</t>
  </si>
  <si>
    <t>NSE%3AESAFSFB</t>
  </si>
  <si>
    <t>https://in.tradingview.com/chart/ofQQfXOP/?symbol=NSE%3ADRCSYSTEMS</t>
  </si>
  <si>
    <t>https://in.tradingview.com/chart/bXJLby4L/?symbol=NSE%3ADRCSYSTEMS</t>
  </si>
  <si>
    <t>DREAMFOLKS</t>
  </si>
  <si>
    <t>Dreamfolks Services Ltd</t>
  </si>
  <si>
    <t>NSE%3AESCORTS</t>
  </si>
  <si>
    <t>https://in.tradingview.com/chart/ofQQfXOP/?symbol=NSE%3ADREAMFOLKS</t>
  </si>
  <si>
    <t>https://in.tradingview.com/chart/bXJLby4L/?symbol=NSE%3ADREAMFOLKS</t>
  </si>
  <si>
    <t>DREDGECORP</t>
  </si>
  <si>
    <t>Dredging Corporation Of India Limited</t>
  </si>
  <si>
    <t>NSE%3AESG</t>
  </si>
  <si>
    <t>https://in.tradingview.com/chart/ofQQfXOP/?symbol=NSE%3ADREDGECORP</t>
  </si>
  <si>
    <t>https://in.tradingview.com/chart/bXJLby4L/?symbol=NSE%3ADREDGECORP</t>
  </si>
  <si>
    <t>LIQUIDETF</t>
  </si>
  <si>
    <t>DSP BlackRock Liquid ETF</t>
  </si>
  <si>
    <t>NSE%3AESILVER</t>
  </si>
  <si>
    <t>https://in.tradingview.com/chart/ofQQfXOP/?symbol=NSE%3ALIQUIDETF</t>
  </si>
  <si>
    <t>https://in.tradingview.com/chart/bXJLby4L/?symbol=NSE%3ALIQUIDETF</t>
  </si>
  <si>
    <t>NEXT30ADD</t>
  </si>
  <si>
    <t>DSP BSE SENSEX Next 30 ETF</t>
  </si>
  <si>
    <t>NSE%3AESSARSHPNG</t>
  </si>
  <si>
    <t>https://in.tradingview.com/chart/ofQQfXOP/?symbol=NSE%3ANEXT30ADD</t>
  </si>
  <si>
    <t>https://in.tradingview.com/chart/bXJLby4L/?symbol=NSE%3ANEXT30ADD</t>
  </si>
  <si>
    <t>MSCIADD</t>
  </si>
  <si>
    <t>DSP MSCI India ETF</t>
  </si>
  <si>
    <t>NSE%3AESSENTIA</t>
  </si>
  <si>
    <t>https://in.tradingview.com/chart/ofQQfXOP/?symbol=NSE%3AMSCIADD</t>
  </si>
  <si>
    <t>https://in.tradingview.com/chart/bXJLby4L/?symbol=NSE%3AMSCIADD</t>
  </si>
  <si>
    <t>EQUAL50ADD</t>
  </si>
  <si>
    <t>DSP Nifty 50 Equal Weight ETF</t>
  </si>
  <si>
    <t>NSE%3AESTER</t>
  </si>
  <si>
    <t>https://in.tradingview.com/chart/ofQQfXOP/?symbol=NSE%3AEQUAL50ADD</t>
  </si>
  <si>
    <t>https://in.tradingview.com/chart/bXJLby4L/?symbol=NSE%3AEQUAL50ADD</t>
  </si>
  <si>
    <t>HEALTHADD</t>
  </si>
  <si>
    <t>DSP Nifty Healthcare ETF</t>
  </si>
  <si>
    <t>NSE%3AETHOSLTD</t>
  </si>
  <si>
    <t>https://in.tradingview.com/chart/ofQQfXOP/?symbol=NSE%3AHEALTHADD</t>
  </si>
  <si>
    <t>https://in.tradingview.com/chart/bXJLby4L/?symbol=NSE%3AHEALTHADD</t>
  </si>
  <si>
    <t>MIDQ50ADD</t>
  </si>
  <si>
    <t>DSP Nifty Midcap 150 Quality 50 ETF</t>
  </si>
  <si>
    <t>NSE%3AEUREKAFORB</t>
  </si>
  <si>
    <t>https://in.tradingview.com/chart/ofQQfXOP/?symbol=NSE%3AMIDQ50ADD</t>
  </si>
  <si>
    <t>https://in.tradingview.com/chart/bXJLby4L/?symbol=NSE%3AMIDQ50ADD</t>
  </si>
  <si>
    <t>PVTBANKADD</t>
  </si>
  <si>
    <t>DSP Nifty Private Bank ETF</t>
  </si>
  <si>
    <t>NSE%3AEUROTEXIND</t>
  </si>
  <si>
    <t>https://in.tradingview.com/chart/ofQQfXOP/?symbol=NSE%3APVTBANKADD</t>
  </si>
  <si>
    <t>https://in.tradingview.com/chart/bXJLby4L/?symbol=NSE%3APVTBANKADD</t>
  </si>
  <si>
    <t>PSUBANKADD</t>
  </si>
  <si>
    <t>DSP Nifty PSU Bank ETF</t>
  </si>
  <si>
    <t>NSE%3AEVEREADY</t>
  </si>
  <si>
    <t>https://in.tradingview.com/chart/ofQQfXOP/?symbol=NSE%3APSUBANKADD</t>
  </si>
  <si>
    <t>https://in.tradingview.com/chart/bXJLby4L/?symbol=NSE%3APSUBANKADD</t>
  </si>
  <si>
    <t>TOP10ADD</t>
  </si>
  <si>
    <t>DSP Nifty Top 10 Equal Weight ETF</t>
  </si>
  <si>
    <t>NSE%3AEVERESTIND</t>
  </si>
  <si>
    <t>https://in.tradingview.com/chart/ofQQfXOP/?symbol=NSE%3ATOP10ADD</t>
  </si>
  <si>
    <t>https://in.tradingview.com/chart/bXJLby4L/?symbol=NSE%3ATOP10ADD</t>
  </si>
  <si>
    <t>FLEXIADD</t>
  </si>
  <si>
    <t>DSP Nifty500 Flexicap Quality 30 ETF</t>
  </si>
  <si>
    <t>NSE%3AEVINDIA</t>
  </si>
  <si>
    <t>https://in.tradingview.com/chart/ofQQfXOP/?symbol=NSE%3AFLEXIADD</t>
  </si>
  <si>
    <t>https://in.tradingview.com/chart/bXJLby4L/?symbol=NSE%3AFLEXIADD</t>
  </si>
  <si>
    <t>LIQUIDADD</t>
  </si>
  <si>
    <t>DSP S&amp;P BSE Liquid Rate ETF</t>
  </si>
  <si>
    <t>NSE%3AEXCEL</t>
  </si>
  <si>
    <t>https://in.tradingview.com/chart/ofQQfXOP/?symbol=NSE%3ALIQUIDADD</t>
  </si>
  <si>
    <t>https://in.tradingview.com/chart/bXJLby4L/?symbol=NSE%3ALIQUIDADD</t>
  </si>
  <si>
    <t>SENSEXADD</t>
  </si>
  <si>
    <t>DSP S&amp;P BSE Sensex ETF</t>
  </si>
  <si>
    <t>NSE%3AEXCELINDUS</t>
  </si>
  <si>
    <t>https://in.tradingview.com/chart/ofQQfXOP/?symbol=NSE%3ASENSEXADD</t>
  </si>
  <si>
    <t>https://in.tradingview.com/chart/bXJLby4L/?symbol=NSE%3ASENSEXADD</t>
  </si>
  <si>
    <t>SILVERADD</t>
  </si>
  <si>
    <t>DSP Silver ETF</t>
  </si>
  <si>
    <t>NSE%3AEXICOM</t>
  </si>
  <si>
    <t>https://in.tradingview.com/chart/ofQQfXOP/?symbol=NSE%3ASILVERADD</t>
  </si>
  <si>
    <t>https://in.tradingview.com/chart/bXJLby4L/?symbol=NSE%3ASILVERADD</t>
  </si>
  <si>
    <t>DWARKESH</t>
  </si>
  <si>
    <t>Dwarikesh Sugar Industries Limited</t>
  </si>
  <si>
    <t>NSE%3AEXIDEIND</t>
  </si>
  <si>
    <t>https://in.tradingview.com/chart/ofQQfXOP/?symbol=NSE%3ADWARKESH</t>
  </si>
  <si>
    <t>https://in.tradingview.com/chart/bXJLby4L/?symbol=NSE%3ADWARKESH</t>
  </si>
  <si>
    <t>DSSL</t>
  </si>
  <si>
    <t>Dynacons Systems &amp; Solutions Limited</t>
  </si>
  <si>
    <t>NSE%3AEXPLEOSOL</t>
  </si>
  <si>
    <t>https://in.tradingview.com/chart/ofQQfXOP/?symbol=NSE%3ADSSL</t>
  </si>
  <si>
    <t>https://in.tradingview.com/chart/bXJLby4L/?symbol=NSE%3ADSSL</t>
  </si>
  <si>
    <t>DYNAMATECH</t>
  </si>
  <si>
    <t>Dynamatic Technologies Limited</t>
  </si>
  <si>
    <t>NSE%3AEXXARO</t>
  </si>
  <si>
    <t>https://in.tradingview.com/chart/ofQQfXOP/?symbol=NSE%3ADYNAMATECH</t>
  </si>
  <si>
    <t>https://in.tradingview.com/chart/bXJLby4L/?symbol=NSE%3ADYNAMATECH</t>
  </si>
  <si>
    <t>DYCL</t>
  </si>
  <si>
    <t>Dynamic Cables Ltd</t>
  </si>
  <si>
    <t>NSE%3AFACT</t>
  </si>
  <si>
    <t>https://in.tradingview.com/chart/ofQQfXOP/?symbol=NSE%3ADYCL</t>
  </si>
  <si>
    <t>https://in.tradingview.com/chart/bXJLby4L/?symbol=NSE%3ADYCL</t>
  </si>
  <si>
    <t>DYNPRO</t>
  </si>
  <si>
    <t>Dynemic Products Ltd</t>
  </si>
  <si>
    <t>NSE%3AFAIRCHEMOR</t>
  </si>
  <si>
    <t>https://in.tradingview.com/chart/ofQQfXOP/?symbol=NSE%3ADYNPRO</t>
  </si>
  <si>
    <t>https://in.tradingview.com/chart/bXJLby4L/?symbol=NSE%3ADYNPRO</t>
  </si>
  <si>
    <t>E2E</t>
  </si>
  <si>
    <t>E2E Networks Ltd</t>
  </si>
  <si>
    <t>NSE%3AFAZE3Q</t>
  </si>
  <si>
    <t>https://in.tradingview.com/chart/ofQQfXOP/?symbol=NSE%3AE2E</t>
  </si>
  <si>
    <t>https://in.tradingview.com/chart/bXJLby4L/?symbol=NSE%3AE2E</t>
  </si>
  <si>
    <t>EASTSILK</t>
  </si>
  <si>
    <t>Eastern Silk Industries Limited</t>
  </si>
  <si>
    <t>NSE%3AFCL</t>
  </si>
  <si>
    <t>https://in.tradingview.com/chart/ofQQfXOP/?symbol=NSE%3AEASTSILK</t>
  </si>
  <si>
    <t>https://in.tradingview.com/chart/bXJLby4L/?symbol=NSE%3AEASTSILK</t>
  </si>
  <si>
    <t>EASEMYTRIP</t>
  </si>
  <si>
    <t>Easy Trip Planners Ltd</t>
  </si>
  <si>
    <t>NSE%3AFCSSOFT</t>
  </si>
  <si>
    <t>https://in.tradingview.com/chart/ofQQfXOP/?symbol=NSE%3AEASEMYTRIP</t>
  </si>
  <si>
    <t>https://in.tradingview.com/chart/bXJLby4L/?symbol=NSE%3AEASEMYTRIP</t>
  </si>
  <si>
    <t>ECLERX</t>
  </si>
  <si>
    <t>Eclerx Services Limited</t>
  </si>
  <si>
    <t>NSE%3AFDC</t>
  </si>
  <si>
    <t>https://in.tradingview.com/chart/ofQQfXOP/?symbol=NSE%3AECLERX</t>
  </si>
  <si>
    <t>https://in.tradingview.com/chart/bXJLby4L/?symbol=NSE%3AECLERX</t>
  </si>
  <si>
    <t>ECOSMOBLTY</t>
  </si>
  <si>
    <t>Ecos (India) Mobility &amp; Hospitality Ltd</t>
  </si>
  <si>
    <t>NSE%3AFEDERALBNK</t>
  </si>
  <si>
    <t>https://in.tradingview.com/chart/ofQQfXOP/?symbol=NSE%3AECOSMOBLTY</t>
  </si>
  <si>
    <t>https://in.tradingview.com/chart/bXJLby4L/?symbol=NSE%3AECOSMOBLTY</t>
  </si>
  <si>
    <t>ECAPINSURE</t>
  </si>
  <si>
    <t>Edelweiss BSE Capital Markets &amp; Insurance ETF</t>
  </si>
  <si>
    <t>NSE%3AFEDFINA</t>
  </si>
  <si>
    <t>https://in.tradingview.com/chart/ofQQfXOP/?symbol=NSE%3AECAPINSURE</t>
  </si>
  <si>
    <t>https://in.tradingview.com/chart/bXJLby4L/?symbol=NSE%3AECAPINSURE</t>
  </si>
  <si>
    <t>ESENSEX</t>
  </si>
  <si>
    <t>Edelweiss BSE Sensex ETF</t>
  </si>
  <si>
    <t>NSE%3AFEL</t>
  </si>
  <si>
    <t>https://in.tradingview.com/chart/ofQQfXOP/?symbol=NSE%3AESENSEX</t>
  </si>
  <si>
    <t>https://in.tradingview.com/chart/bXJLby4L/?symbol=NSE%3AESENSEX</t>
  </si>
  <si>
    <t>EDELWEISS</t>
  </si>
  <si>
    <t>Edelweiss Financial Services Limited</t>
  </si>
  <si>
    <t>NSE%3AFELDVR</t>
  </si>
  <si>
    <t>https://in.tradingview.com/chart/ofQQfXOP/?symbol=NSE%3AEDELWEISS</t>
  </si>
  <si>
    <t>https://in.tradingview.com/chart/bXJLby4L/?symbol=NSE%3AEDELWEISS</t>
  </si>
  <si>
    <t>EGOLD</t>
  </si>
  <si>
    <t>Edelweiss Gold ETF</t>
  </si>
  <si>
    <t>NSE%3AFIBERWEB</t>
  </si>
  <si>
    <t>https://in.tradingview.com/chart/ofQQfXOP/?symbol=NSE%3AEGOLD</t>
  </si>
  <si>
    <t>https://in.tradingview.com/chart/bXJLby4L/?symbol=NSE%3AEGOLD</t>
  </si>
  <si>
    <t>ELIQUID</t>
  </si>
  <si>
    <t>Edelweiss Nifty 1D Rate Liquid ETF</t>
  </si>
  <si>
    <t>NSE%3AFIEMIND</t>
  </si>
  <si>
    <t>https://in.tradingview.com/chart/ofQQfXOP/?symbol=NSE%3AELIQUID</t>
  </si>
  <si>
    <t>https://in.tradingview.com/chart/bXJLby4L/?symbol=NSE%3AELIQUID</t>
  </si>
  <si>
    <t>EBANKNIFTY</t>
  </si>
  <si>
    <t>Edelweiss Nifty Bank ETF</t>
  </si>
  <si>
    <t>NSE%3AFILATEX</t>
  </si>
  <si>
    <t>https://in.tradingview.com/chart/ofQQfXOP/?symbol=NSE%3AEBANKNIFTY</t>
  </si>
  <si>
    <t>https://in.tradingview.com/chart/bXJLby4L/?symbol=NSE%3AEBANKNIFTY</t>
  </si>
  <si>
    <t>ELM250</t>
  </si>
  <si>
    <t>Edelweiss Nifty LargeMidcap 250 ETF</t>
  </si>
  <si>
    <t>NSE%3AFILATFASH</t>
  </si>
  <si>
    <t>https://in.tradingview.com/chart/ofQQfXOP/?symbol=NSE%3AELM250</t>
  </si>
  <si>
    <t>https://in.tradingview.com/chart/bXJLby4L/?symbol=NSE%3AELM250</t>
  </si>
  <si>
    <t>EMULTIMQ</t>
  </si>
  <si>
    <t>Edelweiss Nifty500 Multicap Momentum Qual. 50 ETF</t>
  </si>
  <si>
    <t>NSE%3AFINCABLES</t>
  </si>
  <si>
    <t>https://in.tradingview.com/chart/ofQQfXOP/?symbol=NSE%3AEMULTIMQ</t>
  </si>
  <si>
    <t>https://in.tradingview.com/chart/bXJLby4L/?symbol=NSE%3AEMULTIMQ</t>
  </si>
  <si>
    <t>ESILVER</t>
  </si>
  <si>
    <t>Edelweiss Silver ETF</t>
  </si>
  <si>
    <t>NSE%3AFINEORG</t>
  </si>
  <si>
    <t>https://in.tradingview.com/chart/ofQQfXOP/?symbol=NSE%3AESILVER</t>
  </si>
  <si>
    <t>https://in.tradingview.com/chart/bXJLby4L/?symbol=NSE%3AESILVER</t>
  </si>
  <si>
    <t>EFCIL</t>
  </si>
  <si>
    <t>EFC (I) Ltd</t>
  </si>
  <si>
    <t>NSE%3AFINIETF</t>
  </si>
  <si>
    <t>https://in.tradingview.com/chart/ofQQfXOP/?symbol=NSE%3AEFCIL</t>
  </si>
  <si>
    <t>https://in.tradingview.com/chart/bXJLby4L/?symbol=NSE%3AEFCIL</t>
  </si>
  <si>
    <t>EICHERMOT</t>
  </si>
  <si>
    <t>Eicher Motors Limited</t>
  </si>
  <si>
    <t>NSE%3AFINOPB</t>
  </si>
  <si>
    <t>https://in.tradingview.com/chart/ofQQfXOP/?symbol=NSE%3AEICHERMOT</t>
  </si>
  <si>
    <t>https://in.tradingview.com/chart/bXJLby4L/?symbol=NSE%3AEICHERMOT</t>
  </si>
  <si>
    <t>EIDPARRY</t>
  </si>
  <si>
    <t>Eid Parry India Limited</t>
  </si>
  <si>
    <t>NSE%3AFINPIPE</t>
  </si>
  <si>
    <t>https://in.tradingview.com/chart/ofQQfXOP/?symbol=NSE%3AEIDPARRY</t>
  </si>
  <si>
    <t>https://in.tradingview.com/chart/bXJLby4L/?symbol=NSE%3AEIDPARRY</t>
  </si>
  <si>
    <t>EIHAHOTELS</t>
  </si>
  <si>
    <t>Eih Associated Hotels Limited</t>
  </si>
  <si>
    <t>NSE%3AFIRSTCRY</t>
  </si>
  <si>
    <t>https://in.tradingview.com/chart/ofQQfXOP/?symbol=NSE%3AEIHAHOTELS</t>
  </si>
  <si>
    <t>https://in.tradingview.com/chart/bXJLby4L/?symbol=NSE%3AEIHAHOTELS</t>
  </si>
  <si>
    <t>EIHOTEL</t>
  </si>
  <si>
    <t>Eih Limited</t>
  </si>
  <si>
    <t>NSE%3AFIVESTAR</t>
  </si>
  <si>
    <t>https://in.tradingview.com/chart/ofQQfXOP/?symbol=NSE%3AEIHOTEL</t>
  </si>
  <si>
    <t>https://in.tradingview.com/chart/bXJLby4L/?symbol=NSE%3AEIHOTEL</t>
  </si>
  <si>
    <t>EIMCOELECO</t>
  </si>
  <si>
    <t>Eimco Elecon (india) Limited</t>
  </si>
  <si>
    <t>NSE%3AFLAIR</t>
  </si>
  <si>
    <t>https://in.tradingview.com/chart/ofQQfXOP/?symbol=NSE%3AEIMCOELECO</t>
  </si>
  <si>
    <t>https://in.tradingview.com/chart/bXJLby4L/?symbol=NSE%3AEIMCOELECO</t>
  </si>
  <si>
    <t>ELDEHSG</t>
  </si>
  <si>
    <t>Eldeco Housing &amp; Industries Ltd</t>
  </si>
  <si>
    <t>NSE%3AFLFL</t>
  </si>
  <si>
    <t>https://in.tradingview.com/chart/ofQQfXOP/?symbol=NSE%3AELDEHSG</t>
  </si>
  <si>
    <t>https://in.tradingview.com/chart/bXJLby4L/?symbol=NSE%3AELDEHSG</t>
  </si>
  <si>
    <t>ELECON</t>
  </si>
  <si>
    <t>Elecon Engineering Company Limited</t>
  </si>
  <si>
    <t>NSE%3AFLUOROCHEM</t>
  </si>
  <si>
    <t>https://in.tradingview.com/chart/ofQQfXOP/?symbol=NSE%3AELECON</t>
  </si>
  <si>
    <t>https://in.tradingview.com/chart/bXJLby4L/?symbol=NSE%3AELECON</t>
  </si>
  <si>
    <t>EMIL</t>
  </si>
  <si>
    <t>Electronics Mart India Ltd</t>
  </si>
  <si>
    <t>NSE%3AFMCGIETF</t>
  </si>
  <si>
    <t>https://in.tradingview.com/chart/ofQQfXOP/?symbol=NSE%3AEMIL</t>
  </si>
  <si>
    <t>https://in.tradingview.com/chart/bXJLby4L/?symbol=NSE%3AEMIL</t>
  </si>
  <si>
    <t>ELECTCAST</t>
  </si>
  <si>
    <t>Electrosteel Castings Limited</t>
  </si>
  <si>
    <t>NSE%3AFMGOETZE</t>
  </si>
  <si>
    <t>https://in.tradingview.com/chart/ofQQfXOP/?symbol=NSE%3AELECTCAST</t>
  </si>
  <si>
    <t>https://in.tradingview.com/chart/bXJLby4L/?symbol=NSE%3AELECTCAST</t>
  </si>
  <si>
    <t>ELECTHERM</t>
  </si>
  <si>
    <t>Electrotherm (india) Limited</t>
  </si>
  <si>
    <t>NSE%3AFMNL</t>
  </si>
  <si>
    <t>https://in.tradingview.com/chart/ofQQfXOP/?symbol=NSE%3AELECTHERM</t>
  </si>
  <si>
    <t>https://in.tradingview.com/chart/bXJLby4L/?symbol=NSE%3AELECTHERM</t>
  </si>
  <si>
    <t>ELGIEQUIP</t>
  </si>
  <si>
    <t>Elgi Equipments Limited</t>
  </si>
  <si>
    <t>NSE%3AFOCUS</t>
  </si>
  <si>
    <t>https://in.tradingview.com/chart/ofQQfXOP/?symbol=NSE%3AELGIEQUIP</t>
  </si>
  <si>
    <t>https://in.tradingview.com/chart/bXJLby4L/?symbol=NSE%3AELGIEQUIP</t>
  </si>
  <si>
    <t>ELGIRUBCO</t>
  </si>
  <si>
    <t>Elgi Rubber Company Limited</t>
  </si>
  <si>
    <t>NSE%3AFOODSIN</t>
  </si>
  <si>
    <t>https://in.tradingview.com/chart/ofQQfXOP/?symbol=NSE%3AELGIRUBCO</t>
  </si>
  <si>
    <t>https://in.tradingview.com/chart/bXJLby4L/?symbol=NSE%3AELGIRUBCO</t>
  </si>
  <si>
    <t>ELIN</t>
  </si>
  <si>
    <t>Elin Electronics Ltd</t>
  </si>
  <si>
    <t>NSE%3AFORCEMOT</t>
  </si>
  <si>
    <t>https://in.tradingview.com/chart/ofQQfXOP/?symbol=NSE%3AELIN</t>
  </si>
  <si>
    <t>https://in.tradingview.com/chart/bXJLby4L/?symbol=NSE%3AELIN</t>
  </si>
  <si>
    <t>ELLEN</t>
  </si>
  <si>
    <t>NSE%3AFORTIS</t>
  </si>
  <si>
    <t>https://in.tradingview.com/chart/ofQQfXOP/?symbol=NSE%3AELLEN</t>
  </si>
  <si>
    <t>https://in.tradingview.com/chart/bXJLby4L/?symbol=NSE%3AELLEN</t>
  </si>
  <si>
    <t>EMAMILTD</t>
  </si>
  <si>
    <t>Emami Limited</t>
  </si>
  <si>
    <t>NSE%3AFOSECOIND</t>
  </si>
  <si>
    <t>https://in.tradingview.com/chart/ofQQfXOP/?symbol=NSE%3AEMAMILTD</t>
  </si>
  <si>
    <t>https://in.tradingview.com/chart/bXJLby4L/?symbol=NSE%3AEMAMILTD</t>
  </si>
  <si>
    <t>EMAMIPAP</t>
  </si>
  <si>
    <t>Emami Paper Mills Ltd</t>
  </si>
  <si>
    <t>NSE%3AFSC</t>
  </si>
  <si>
    <t>https://in.tradingview.com/chart/ofQQfXOP/?symbol=NSE%3AEMAMIPAP</t>
  </si>
  <si>
    <t>https://in.tradingview.com/chart/bXJLby4L/?symbol=NSE%3AEMAMIPAP</t>
  </si>
  <si>
    <t>EMAMIREAL</t>
  </si>
  <si>
    <t>Emami Realty Ltd</t>
  </si>
  <si>
    <t>NSE%3AFSL</t>
  </si>
  <si>
    <t>https://in.tradingview.com/chart/ofQQfXOP/?symbol=NSE%3AEMAMIREAL</t>
  </si>
  <si>
    <t>https://in.tradingview.com/chart/bXJLby4L/?symbol=NSE%3AEMAMIREAL</t>
  </si>
  <si>
    <t>EMBDL</t>
  </si>
  <si>
    <t>Embassy Development Limited</t>
  </si>
  <si>
    <t>NSE%3AFUSION</t>
  </si>
  <si>
    <t>https://in.tradingview.com/chart/ofQQfXOP/?symbol=NSE%3AEMBDL</t>
  </si>
  <si>
    <t>https://in.tradingview.com/chart/bXJLby4L/?symbol=NSE%3AEMBDL</t>
  </si>
  <si>
    <t>EMCURE</t>
  </si>
  <si>
    <t>Emcure Pharmaceuticals Ltd</t>
  </si>
  <si>
    <t>NSE%3AGABRIEL</t>
  </si>
  <si>
    <t>https://in.tradingview.com/chart/ofQQfXOP/?symbol=NSE%3AEMCURE</t>
  </si>
  <si>
    <t>https://in.tradingview.com/chart/bXJLby4L/?symbol=NSE%3AEMCURE</t>
  </si>
  <si>
    <t>EMKAY</t>
  </si>
  <si>
    <t>Emkay Global Financial Services Limited</t>
  </si>
  <si>
    <t>NSE%3AGAEL</t>
  </si>
  <si>
    <t>https://in.tradingview.com/chart/ofQQfXOP/?symbol=NSE%3AEMKAY</t>
  </si>
  <si>
    <t>https://in.tradingview.com/chart/bXJLby4L/?symbol=NSE%3AEMKAY</t>
  </si>
  <si>
    <t>EMMBI</t>
  </si>
  <si>
    <t>Emmbi Industries Limited</t>
  </si>
  <si>
    <t>NSE%3AGAIL</t>
  </si>
  <si>
    <t>https://in.tradingview.com/chart/ofQQfXOP/?symbol=NSE%3AEMMBI</t>
  </si>
  <si>
    <t>https://in.tradingview.com/chart/bXJLby4L/?symbol=NSE%3AEMMBI</t>
  </si>
  <si>
    <t>EMMVEE</t>
  </si>
  <si>
    <t>Emmvee Photovoltaic Power Ltd</t>
  </si>
  <si>
    <t>NSE%3AGALAPREC</t>
  </si>
  <si>
    <t>https://in.tradingview.com/chart/ofQQfXOP/?symbol=NSE%3AEMMVEE</t>
  </si>
  <si>
    <t>https://in.tradingview.com/chart/bXJLby4L/?symbol=NSE%3AEMMVEE</t>
  </si>
  <si>
    <t>KRISHIVAL</t>
  </si>
  <si>
    <t>Empyrean Cashews Ltd</t>
  </si>
  <si>
    <t>NSE%3AGALAXYSURF</t>
  </si>
  <si>
    <t>https://in.tradingview.com/chart/ofQQfXOP/?symbol=NSE%3AKRISHIVAL</t>
  </si>
  <si>
    <t>https://in.tradingview.com/chart/bXJLby4L/?symbol=NSE%3AKRISHIVAL</t>
  </si>
  <si>
    <t>EMSLIMITED</t>
  </si>
  <si>
    <t>EMS Ltd</t>
  </si>
  <si>
    <t>NSE%3AGALLANTT</t>
  </si>
  <si>
    <t>https://in.tradingview.com/chart/ofQQfXOP/?symbol=NSE%3AEMSLIMITED</t>
  </si>
  <si>
    <t>https://in.tradingview.com/chart/bXJLby4L/?symbol=NSE%3AEMSLIMITED</t>
  </si>
  <si>
    <t>EMUDHRA</t>
  </si>
  <si>
    <t>eMudhra Ltd</t>
  </si>
  <si>
    <t>NSE%3AGANDHAR</t>
  </si>
  <si>
    <t>https://in.tradingview.com/chart/ofQQfXOP/?symbol=NSE%3AEMUDHRA</t>
  </si>
  <si>
    <t>https://in.tradingview.com/chart/bXJLby4L/?symbol=NSE%3AEMUDHRA</t>
  </si>
  <si>
    <t>ENDURANCE</t>
  </si>
  <si>
    <t>Endurance Technologies Limited</t>
  </si>
  <si>
    <t>NSE%3AGANDHITUBE</t>
  </si>
  <si>
    <t>https://in.tradingview.com/chart/ofQQfXOP/?symbol=NSE%3AENDURANCE</t>
  </si>
  <si>
    <t>https://in.tradingview.com/chart/bXJLby4L/?symbol=NSE%3AENDURANCE</t>
  </si>
  <si>
    <t>ENERGY</t>
  </si>
  <si>
    <t>NSE%3AGANECOS</t>
  </si>
  <si>
    <t>https://in.tradingview.com/chart/ofQQfXOP/?symbol=NSE%3AENERGY</t>
  </si>
  <si>
    <t>https://in.tradingview.com/chart/bXJLby4L/?symbol=NSE%3AENERGY</t>
  </si>
  <si>
    <t>ENERGYDEV</t>
  </si>
  <si>
    <t>Energy Development Company Limited</t>
  </si>
  <si>
    <t>NSE%3AGANESHBE</t>
  </si>
  <si>
    <t>https://in.tradingview.com/chart/ofQQfXOP/?symbol=NSE%3AENERGYDEV</t>
  </si>
  <si>
    <t>https://in.tradingview.com/chart/bXJLby4L/?symbol=NSE%3AENERGYDEV</t>
  </si>
  <si>
    <t>ENGINERSIN</t>
  </si>
  <si>
    <t>Engineers India Limited</t>
  </si>
  <si>
    <t>NSE%3AGANESHHOU</t>
  </si>
  <si>
    <t>https://in.tradingview.com/chart/ofQQfXOP/?symbol=NSE%3AENGINERSIN</t>
  </si>
  <si>
    <t>https://in.tradingview.com/chart/bXJLby4L/?symbol=NSE%3AENGINERSIN</t>
  </si>
  <si>
    <t>ENIFTY</t>
  </si>
  <si>
    <t>NSE%3AGANGAFORGE</t>
  </si>
  <si>
    <t>https://in.tradingview.com/chart/ofQQfXOP/?symbol=NSE%3AENIFTY</t>
  </si>
  <si>
    <t>https://in.tradingview.com/chart/bXJLby4L/?symbol=NSE%3AENIFTY</t>
  </si>
  <si>
    <t>ENTERO</t>
  </si>
  <si>
    <t>Entero Healthcare Solutions Ltd</t>
  </si>
  <si>
    <t>NSE%3AGANGESSECU</t>
  </si>
  <si>
    <t>https://in.tradingview.com/chart/ofQQfXOP/?symbol=NSE%3AENTERO</t>
  </si>
  <si>
    <t>https://in.tradingview.com/chart/bXJLby4L/?symbol=NSE%3AENTERO</t>
  </si>
  <si>
    <t>ENIL</t>
  </si>
  <si>
    <t>Entertainment Network (india) Limited</t>
  </si>
  <si>
    <t>NSE%3AGARFIBRES</t>
  </si>
  <si>
    <t>https://in.tradingview.com/chart/ofQQfXOP/?symbol=NSE%3AENIL</t>
  </si>
  <si>
    <t>https://in.tradingview.com/chart/bXJLby4L/?symbol=NSE%3AENIL</t>
  </si>
  <si>
    <t>EIEL</t>
  </si>
  <si>
    <t>Enviro Infra Engineers Ltd</t>
  </si>
  <si>
    <t>NSE%3AGARUDA</t>
  </si>
  <si>
    <t>https://in.tradingview.com/chart/ofQQfXOP/?symbol=NSE%3AEIEL</t>
  </si>
  <si>
    <t>https://in.tradingview.com/chart/bXJLby4L/?symbol=NSE%3AEIEL</t>
  </si>
  <si>
    <t>EPACK</t>
  </si>
  <si>
    <t>Epack Durable Ltd</t>
  </si>
  <si>
    <t>NSE%3AGATECH</t>
  </si>
  <si>
    <t>https://in.tradingview.com/chart/ofQQfXOP/?symbol=NSE%3AEPACK</t>
  </si>
  <si>
    <t>https://in.tradingview.com/chart/bXJLby4L/?symbol=NSE%3AEPACK</t>
  </si>
  <si>
    <t>EPACKPEB</t>
  </si>
  <si>
    <t>EPack Prefab Technologies Ltd</t>
  </si>
  <si>
    <t>NSE%3AGATECHDVR</t>
  </si>
  <si>
    <t>https://in.tradingview.com/chart/ofQQfXOP/?symbol=NSE%3AEPACKPEB</t>
  </si>
  <si>
    <t>https://in.tradingview.com/chart/bXJLby4L/?symbol=NSE%3AEPACKPEB</t>
  </si>
  <si>
    <t>EPIGRAL</t>
  </si>
  <si>
    <t>Epigral Ltd</t>
  </si>
  <si>
    <t>NSE%3AGATEWAY</t>
  </si>
  <si>
    <t>https://in.tradingview.com/chart/ofQQfXOP/?symbol=NSE%3AEPIGRAL</t>
  </si>
  <si>
    <t>https://in.tradingview.com/chart/bXJLby4L/?symbol=NSE%3AEPIGRAL</t>
  </si>
  <si>
    <t>EPL</t>
  </si>
  <si>
    <t>EPL Ltd</t>
  </si>
  <si>
    <t>NSE%3AGAYAPROJ</t>
  </si>
  <si>
    <t>https://in.tradingview.com/chart/ofQQfXOP/?symbol=NSE%3AEPL</t>
  </si>
  <si>
    <t>https://in.tradingview.com/chart/bXJLby4L/?symbol=NSE%3AEPL</t>
  </si>
  <si>
    <t>EQUIPPP</t>
  </si>
  <si>
    <t>Equippp Social Impact Technologies Ltd</t>
  </si>
  <si>
    <t>NSE%3AGEECEE</t>
  </si>
  <si>
    <t>https://in.tradingview.com/chart/ofQQfXOP/?symbol=NSE%3AEQUIPPP</t>
  </si>
  <si>
    <t>https://in.tradingview.com/chart/bXJLby4L/?symbol=NSE%3AEQUIPPP</t>
  </si>
  <si>
    <t>EQUITASBNK</t>
  </si>
  <si>
    <t>Equitas Small Finance Bank Ltd</t>
  </si>
  <si>
    <t>NSE%3AGEEKAYWIRE</t>
  </si>
  <si>
    <t>https://in.tradingview.com/chart/ofQQfXOP/?symbol=NSE%3AEQUITASBNK</t>
  </si>
  <si>
    <t>https://in.tradingview.com/chart/bXJLby4L/?symbol=NSE%3AEQUITASBNK</t>
  </si>
  <si>
    <t>ERIS</t>
  </si>
  <si>
    <t>Eris Lifesciences</t>
  </si>
  <si>
    <t>NSE%3AGENCON</t>
  </si>
  <si>
    <t>https://in.tradingview.com/chart/ofQQfXOP/?symbol=NSE%3AERIS</t>
  </si>
  <si>
    <t>https://in.tradingview.com/chart/bXJLby4L/?symbol=NSE%3AERIS</t>
  </si>
  <si>
    <t>ESABINDIA</t>
  </si>
  <si>
    <t>Esab India Limited</t>
  </si>
  <si>
    <t>NSE%3AGENESYS</t>
  </si>
  <si>
    <t>https://in.tradingview.com/chart/ofQQfXOP/?symbol=NSE%3AESABINDIA</t>
  </si>
  <si>
    <t>https://in.tradingview.com/chart/bXJLby4L/?symbol=NSE%3AESABINDIA</t>
  </si>
  <si>
    <t>ESAFSFB</t>
  </si>
  <si>
    <t>ESAF Small Finance Bank Ltd</t>
  </si>
  <si>
    <t>NSE%3AGENSOL</t>
  </si>
  <si>
    <t>https://in.tradingview.com/chart/ofQQfXOP/?symbol=NSE%3AESAFSFB</t>
  </si>
  <si>
    <t>https://in.tradingview.com/chart/bXJLby4L/?symbol=NSE%3AESAFSFB</t>
  </si>
  <si>
    <t>ESCORTS</t>
  </si>
  <si>
    <t>Escorts Limited</t>
  </si>
  <si>
    <t>NSE%3AGENUSPAPER</t>
  </si>
  <si>
    <t>https://in.tradingview.com/chart/ofQQfXOP/?symbol=NSE%3AESCORTS</t>
  </si>
  <si>
    <t>https://in.tradingview.com/chart/bXJLby4L/?symbol=NSE%3AESCORTS</t>
  </si>
  <si>
    <t>ESSARSHPNG</t>
  </si>
  <si>
    <t>Essar Shipping Limited</t>
  </si>
  <si>
    <t>NSE%3AGENUSPOWER</t>
  </si>
  <si>
    <t>https://in.tradingview.com/chart/ofQQfXOP/?symbol=NSE%3AESSARSHPNG</t>
  </si>
  <si>
    <t>https://in.tradingview.com/chart/bXJLby4L/?symbol=NSE%3AESSARSHPNG</t>
  </si>
  <si>
    <t>ESTER</t>
  </si>
  <si>
    <t>Ester Industries Limited</t>
  </si>
  <si>
    <t>NSE%3AGEOJITFSL</t>
  </si>
  <si>
    <t>https://in.tradingview.com/chart/ofQQfXOP/?symbol=NSE%3AESTER</t>
  </si>
  <si>
    <t>https://in.tradingview.com/chart/bXJLby4L/?symbol=NSE%3AESTER</t>
  </si>
  <si>
    <t>ETERNAL</t>
  </si>
  <si>
    <t>Eternal Ltd</t>
  </si>
  <si>
    <t>NSE%3AGVPIL</t>
  </si>
  <si>
    <t>https://in.tradingview.com/chart/ofQQfXOP/?symbol=NSE%3AETERNAL</t>
  </si>
  <si>
    <t>https://in.tradingview.com/chart/bXJLby4L/?symbol=NSE%3AETERNAL</t>
  </si>
  <si>
    <t>ETHOSLTD</t>
  </si>
  <si>
    <t>Ethos Ltd</t>
  </si>
  <si>
    <t>NSE%3AGESHIP</t>
  </si>
  <si>
    <t>https://in.tradingview.com/chart/ofQQfXOP/?symbol=NSE%3AETHOSLTD</t>
  </si>
  <si>
    <t>https://in.tradingview.com/chart/bXJLby4L/?symbol=NSE%3AETHOSLTD</t>
  </si>
  <si>
    <t>EUREKAFORB</t>
  </si>
  <si>
    <t>Eureka Forbes Ltd</t>
  </si>
  <si>
    <t>NSE%3AGFLLIMITED</t>
  </si>
  <si>
    <t>https://in.tradingview.com/chart/ofQQfXOP/?symbol=NSE%3AEUREKAFORB</t>
  </si>
  <si>
    <t>https://in.tradingview.com/chart/bXJLby4L/?symbol=NSE%3AEUREKAFORB</t>
  </si>
  <si>
    <t>EIFFL</t>
  </si>
  <si>
    <t>Euro India Fresh Foods Ltd</t>
  </si>
  <si>
    <t>NSE%3AGHCL</t>
  </si>
  <si>
    <t>https://in.tradingview.com/chart/ofQQfXOP/?symbol=NSE%3AEIFFL</t>
  </si>
  <si>
    <t>https://in.tradingview.com/chart/bXJLby4L/?symbol=NSE%3AEIFFL</t>
  </si>
  <si>
    <t>EUROBOND</t>
  </si>
  <si>
    <t>Euro Panel Products Ltd</t>
  </si>
  <si>
    <t>NSE%3AGHCLTEXTIL</t>
  </si>
  <si>
    <t>https://in.tradingview.com/chart/ofQQfXOP/?symbol=NSE%3AEUROBOND</t>
  </si>
  <si>
    <t>https://in.tradingview.com/chart/bXJLby4L/?symbol=NSE%3AEUROBOND</t>
  </si>
  <si>
    <t>EUROPRATIK</t>
  </si>
  <si>
    <t>Euro Pratik Sales Ltd</t>
  </si>
  <si>
    <t>NSE%3AGICHSGFIN</t>
  </si>
  <si>
    <t>https://in.tradingview.com/chart/ofQQfXOP/?symbol=NSE%3AEUROPRATIK</t>
  </si>
  <si>
    <t>https://in.tradingview.com/chart/bXJLby4L/?symbol=NSE%3AEUROPRATIK</t>
  </si>
  <si>
    <t>EUROTEXIND</t>
  </si>
  <si>
    <t>Eurotex Industries And Exports Limited</t>
  </si>
  <si>
    <t>NSE%3AGICRE</t>
  </si>
  <si>
    <t>https://in.tradingview.com/chart/ofQQfXOP/?symbol=NSE%3AEUROTEXIND</t>
  </si>
  <si>
    <t>https://in.tradingview.com/chart/bXJLby4L/?symbol=NSE%3AEUROTEXIND</t>
  </si>
  <si>
    <t>EVEREADY</t>
  </si>
  <si>
    <t>Eveready Industries India Limited</t>
  </si>
  <si>
    <t>NSE%3AGILLANDERS</t>
  </si>
  <si>
    <t>https://in.tradingview.com/chart/ofQQfXOP/?symbol=NSE%3AEVEREADY</t>
  </si>
  <si>
    <t>https://in.tradingview.com/chart/bXJLby4L/?symbol=NSE%3AEVEREADY</t>
  </si>
  <si>
    <t>EVERESTIND</t>
  </si>
  <si>
    <t>Everest Industries Limited</t>
  </si>
  <si>
    <t>NSE%3AGILLETTE</t>
  </si>
  <si>
    <t>https://in.tradingview.com/chart/ofQQfXOP/?symbol=NSE%3AEVERESTIND</t>
  </si>
  <si>
    <t>https://in.tradingview.com/chart/bXJLby4L/?symbol=NSE%3AEVERESTIND</t>
  </si>
  <si>
    <t>EKC</t>
  </si>
  <si>
    <t>Everest Kanto Cylinder Limited</t>
  </si>
  <si>
    <t>NSE%3AGILT5YBEES</t>
  </si>
  <si>
    <t>https://in.tradingview.com/chart/ofQQfXOP/?symbol=NSE%3AEKC</t>
  </si>
  <si>
    <t>https://in.tradingview.com/chart/bXJLby4L/?symbol=NSE%3AEKC</t>
  </si>
  <si>
    <t>EXCELINDUS</t>
  </si>
  <si>
    <t>Excel Industries Limited</t>
  </si>
  <si>
    <t>NSE%3AGINNIFILA</t>
  </si>
  <si>
    <t>https://in.tradingview.com/chart/ofQQfXOP/?symbol=NSE%3AEXCELINDUS</t>
  </si>
  <si>
    <t>https://in.tradingview.com/chart/bXJLby4L/?symbol=NSE%3AEXCELINDUS</t>
  </si>
  <si>
    <t>EXCELSOFT</t>
  </si>
  <si>
    <t>Excelsoft Technologies Ltd</t>
  </si>
  <si>
    <t>NSE%3AGIPCL</t>
  </si>
  <si>
    <t>https://in.tradingview.com/chart/ofQQfXOP/?symbol=NSE%3AEXCELSOFT</t>
  </si>
  <si>
    <t>https://in.tradingview.com/chart/bXJLby4L/?symbol=NSE%3AEXCELSOFT</t>
  </si>
  <si>
    <t>EXICOM</t>
  </si>
  <si>
    <t>Exicom Tele-Systems Ltd</t>
  </si>
  <si>
    <t>NSE%3AGKWLIMITED</t>
  </si>
  <si>
    <t>https://in.tradingview.com/chart/ofQQfXOP/?symbol=NSE%3AEXICOM</t>
  </si>
  <si>
    <t>https://in.tradingview.com/chart/bXJLby4L/?symbol=NSE%3AEXICOM</t>
  </si>
  <si>
    <t>EXIDEIND</t>
  </si>
  <si>
    <t>Exide Industries Limited</t>
  </si>
  <si>
    <t>NSE%3AGLAND</t>
  </si>
  <si>
    <t>https://in.tradingview.com/chart/ofQQfXOP/?symbol=NSE%3AEXIDEIND</t>
  </si>
  <si>
    <t>https://in.tradingview.com/chart/bXJLby4L/?symbol=NSE%3AEXIDEIND</t>
  </si>
  <si>
    <t>EXPLEOSOL</t>
  </si>
  <si>
    <t>Expleo Solutions Ltd</t>
  </si>
  <si>
    <t>NSE%3AGLAXO</t>
  </si>
  <si>
    <t>https://in.tradingview.com/chart/ofQQfXOP/?symbol=NSE%3AEXPLEOSOL</t>
  </si>
  <si>
    <t>https://in.tradingview.com/chart/bXJLby4L/?symbol=NSE%3AEXPLEOSOL</t>
  </si>
  <si>
    <t>EXXARO</t>
  </si>
  <si>
    <t>Exxaro Tiles Ltd</t>
  </si>
  <si>
    <t>NSE%3AGLENMARK</t>
  </si>
  <si>
    <t>https://in.tradingview.com/chart/ofQQfXOP/?symbol=NSE%3AEXXARO</t>
  </si>
  <si>
    <t>https://in.tradingview.com/chart/bXJLby4L/?symbol=NSE%3AEXXARO</t>
  </si>
  <si>
    <t>FABTECH</t>
  </si>
  <si>
    <t>Fabtech Technologies Ltd</t>
  </si>
  <si>
    <t>NSE%3AGLFL</t>
  </si>
  <si>
    <t>https://in.tradingview.com/chart/ofQQfXOP/?symbol=NSE%3AFABTECH</t>
  </si>
  <si>
    <t>https://in.tradingview.com/chart/bXJLby4L/?symbol=NSE%3AFABTECH</t>
  </si>
  <si>
    <t>FAIRCHEMOR</t>
  </si>
  <si>
    <t>Fairchem Organics Ltd</t>
  </si>
  <si>
    <t>NSE%3AGLOBAL</t>
  </si>
  <si>
    <t>https://in.tradingview.com/chart/ofQQfXOP/?symbol=NSE%3AFAIRCHEMOR</t>
  </si>
  <si>
    <t>https://in.tradingview.com/chart/bXJLby4L/?symbol=NSE%3AFAIRCHEMOR</t>
  </si>
  <si>
    <t>FAZE3Q</t>
  </si>
  <si>
    <t>Faze Three Ltd</t>
  </si>
  <si>
    <t>NSE%3AGLOBALE</t>
  </si>
  <si>
    <t>https://in.tradingview.com/chart/ofQQfXOP/?symbol=NSE%3AFAZE3Q</t>
  </si>
  <si>
    <t>https://in.tradingview.com/chart/bXJLby4L/?symbol=NSE%3AFAZE3Q</t>
  </si>
  <si>
    <t>FDC</t>
  </si>
  <si>
    <t>Fdc Limited</t>
  </si>
  <si>
    <t>NSE%3AGLOBALVECT</t>
  </si>
  <si>
    <t>https://in.tradingview.com/chart/ofQQfXOP/?symbol=NSE%3AFDC</t>
  </si>
  <si>
    <t>https://in.tradingview.com/chart/bXJLby4L/?symbol=NSE%3AFDC</t>
  </si>
  <si>
    <t>FEDFINA</t>
  </si>
  <si>
    <t>Fedbank Financial Services Ltd</t>
  </si>
  <si>
    <t>NSE%3AGLOBE</t>
  </si>
  <si>
    <t>https://in.tradingview.com/chart/ofQQfXOP/?symbol=NSE%3AFEDFINA</t>
  </si>
  <si>
    <t>https://in.tradingview.com/chart/bXJLby4L/?symbol=NSE%3AFEDFINA</t>
  </si>
  <si>
    <t>FMGOETZE</t>
  </si>
  <si>
    <t>Federal-mogul Goetze (india) Limited.</t>
  </si>
  <si>
    <t>NSE%3AGLOBUSSPR</t>
  </si>
  <si>
    <t>https://in.tradingview.com/chart/ofQQfXOP/?symbol=NSE%3AFMGOETZE</t>
  </si>
  <si>
    <t>https://in.tradingview.com/chart/bXJLby4L/?symbol=NSE%3AFMGOETZE</t>
  </si>
  <si>
    <t>FACT</t>
  </si>
  <si>
    <t>Fertilizers And Chemicals Travancore Limited</t>
  </si>
  <si>
    <t>NSE%3AGLOSTERLTD</t>
  </si>
  <si>
    <t>https://in.tradingview.com/chart/ofQQfXOP/?symbol=NSE%3AFACT</t>
  </si>
  <si>
    <t>https://in.tradingview.com/chart/bXJLby4L/?symbol=NSE%3AFACT</t>
  </si>
  <si>
    <t>FIBERWEB</t>
  </si>
  <si>
    <t>Fiberweb (India) Ltd</t>
  </si>
  <si>
    <t>NSE%3AGMBREW</t>
  </si>
  <si>
    <t>https://in.tradingview.com/chart/ofQQfXOP/?symbol=NSE%3AFIBERWEB</t>
  </si>
  <si>
    <t>https://in.tradingview.com/chart/bXJLby4L/?symbol=NSE%3AFIBERWEB</t>
  </si>
  <si>
    <t>FIEMIND</t>
  </si>
  <si>
    <t>Fiem Industries Limited</t>
  </si>
  <si>
    <t>NSE%3AGMDCLTD</t>
  </si>
  <si>
    <t>https://in.tradingview.com/chart/ofQQfXOP/?symbol=NSE%3AFIEMIND</t>
  </si>
  <si>
    <t>https://in.tradingview.com/chart/bXJLby4L/?symbol=NSE%3AFIEMIND</t>
  </si>
  <si>
    <t>FILATEX</t>
  </si>
  <si>
    <t>Filatex India Limited</t>
  </si>
  <si>
    <t>NSE%3AGMMPFAUDLR</t>
  </si>
  <si>
    <t>https://in.tradingview.com/chart/ofQQfXOP/?symbol=NSE%3AFILATEX</t>
  </si>
  <si>
    <t>https://in.tradingview.com/chart/bXJLby4L/?symbol=NSE%3AFILATEX</t>
  </si>
  <si>
    <t>FINEORG</t>
  </si>
  <si>
    <t>Fine Organic Industries Ltd</t>
  </si>
  <si>
    <t>NSE%3AGMRAIRPORT</t>
  </si>
  <si>
    <t>https://in.tradingview.com/chart/ofQQfXOP/?symbol=NSE%3AFINEORG</t>
  </si>
  <si>
    <t>https://in.tradingview.com/chart/bXJLby4L/?symbol=NSE%3AFINEORG</t>
  </si>
  <si>
    <t>FCL</t>
  </si>
  <si>
    <t>Fineotex Chemical Limited</t>
  </si>
  <si>
    <t>NSE%3AGMRP_UI</t>
  </si>
  <si>
    <t>https://in.tradingview.com/chart/ofQQfXOP/?symbol=NSE%3AFCL</t>
  </si>
  <si>
    <t>https://in.tradingview.com/chart/bXJLby4L/?symbol=NSE%3AFCL</t>
  </si>
  <si>
    <t>FINKURVE</t>
  </si>
  <si>
    <t>Finkurve Financial Services Ltd</t>
  </si>
  <si>
    <t>NSE%3AGNA</t>
  </si>
  <si>
    <t>https://in.tradingview.com/chart/ofQQfXOP/?symbol=NSE%3AFINKURVE</t>
  </si>
  <si>
    <t>https://in.tradingview.com/chart/bXJLby4L/?symbol=NSE%3AFINKURVE</t>
  </si>
  <si>
    <t>FINOPB</t>
  </si>
  <si>
    <t>Fino Payments Bank Ltd</t>
  </si>
  <si>
    <t>NSE%3AGNFC</t>
  </si>
  <si>
    <t>https://in.tradingview.com/chart/ofQQfXOP/?symbol=NSE%3AFINOPB</t>
  </si>
  <si>
    <t>https://in.tradingview.com/chart/bXJLby4L/?symbol=NSE%3AFINOPB</t>
  </si>
  <si>
    <t>FINCABLES</t>
  </si>
  <si>
    <t>Finolex Cables Limited</t>
  </si>
  <si>
    <t>NSE%3AGOACARBON</t>
  </si>
  <si>
    <t>https://in.tradingview.com/chart/ofQQfXOP/?symbol=NSE%3AFINCABLES</t>
  </si>
  <si>
    <t>https://in.tradingview.com/chart/bXJLby4L/?symbol=NSE%3AFINCABLES</t>
  </si>
  <si>
    <t>FINPIPE</t>
  </si>
  <si>
    <t>Finolex Industries Limited</t>
  </si>
  <si>
    <t>NSE%3AGOCLCORP</t>
  </si>
  <si>
    <t>https://in.tradingview.com/chart/ofQQfXOP/?symbol=NSE%3AFINPIPE</t>
  </si>
  <si>
    <t>https://in.tradingview.com/chart/bXJLby4L/?symbol=NSE%3AFINPIPE</t>
  </si>
  <si>
    <t>FSL</t>
  </si>
  <si>
    <t>Firstsource Solutions Limited</t>
  </si>
  <si>
    <t>NSE%3AGOCOLORS</t>
  </si>
  <si>
    <t>https://in.tradingview.com/chart/ofQQfXOP/?symbol=NSE%3AFSL</t>
  </si>
  <si>
    <t>https://in.tradingview.com/chart/bXJLby4L/?symbol=NSE%3AFSL</t>
  </si>
  <si>
    <t>FISCHER</t>
  </si>
  <si>
    <t>Fischer Medical Ventures Ltd</t>
  </si>
  <si>
    <t>NSE%3AGODAVARIB</t>
  </si>
  <si>
    <t>https://in.tradingview.com/chart/ofQQfXOP/?symbol=NSE%3AFISCHER</t>
  </si>
  <si>
    <t>https://in.tradingview.com/chart/bXJLby4L/?symbol=NSE%3AFISCHER</t>
  </si>
  <si>
    <t>FIVESTAR</t>
  </si>
  <si>
    <t>Five-Star Business Finance Ltd</t>
  </si>
  <si>
    <t>NSE%3AGODFRYPHLP</t>
  </si>
  <si>
    <t>https://in.tradingview.com/chart/ofQQfXOP/?symbol=NSE%3AFIVESTAR</t>
  </si>
  <si>
    <t>https://in.tradingview.com/chart/bXJLby4L/?symbol=NSE%3AFIVESTAR</t>
  </si>
  <si>
    <t>FLAIR</t>
  </si>
  <si>
    <t>Flair Writing Industries Ltd</t>
  </si>
  <si>
    <t>NSE%3AGODIGIT</t>
  </si>
  <si>
    <t>https://in.tradingview.com/chart/ofQQfXOP/?symbol=NSE%3AFLAIR</t>
  </si>
  <si>
    <t>https://in.tradingview.com/chart/bXJLby4L/?symbol=NSE%3AFLAIR</t>
  </si>
  <si>
    <t>FLEXITUFF</t>
  </si>
  <si>
    <t>Flexituff International Limited</t>
  </si>
  <si>
    <t>NSE%3AGODREJAGRO</t>
  </si>
  <si>
    <t>https://in.tradingview.com/chart/ofQQfXOP/?symbol=NSE%3AFLEXITUFF</t>
  </si>
  <si>
    <t>https://in.tradingview.com/chart/bXJLby4L/?symbol=NSE%3AFLEXITUFF</t>
  </si>
  <si>
    <t>FOCUS</t>
  </si>
  <si>
    <t>Focus Lighting &amp; Fixtures Ltd</t>
  </si>
  <si>
    <t>NSE%3AGODREJCP</t>
  </si>
  <si>
    <t>https://in.tradingview.com/chart/ofQQfXOP/?symbol=NSE%3AFOCUS</t>
  </si>
  <si>
    <t>https://in.tradingview.com/chart/bXJLby4L/?symbol=NSE%3AFOCUS</t>
  </si>
  <si>
    <t>FOODSIN</t>
  </si>
  <si>
    <t>Foods &amp; Inns Ltd</t>
  </si>
  <si>
    <t>NSE%3AGODREJIND</t>
  </si>
  <si>
    <t>https://in.tradingview.com/chart/ofQQfXOP/?symbol=NSE%3AFOODSIN</t>
  </si>
  <si>
    <t>https://in.tradingview.com/chart/bXJLby4L/?symbol=NSE%3AFOODSIN</t>
  </si>
  <si>
    <t>FORCEMOT</t>
  </si>
  <si>
    <t>Force Motors Ltd</t>
  </si>
  <si>
    <t>NSE%3AGODREJPROP</t>
  </si>
  <si>
    <t>https://in.tradingview.com/chart/ofQQfXOP/?symbol=NSE%3AFORCEMOT</t>
  </si>
  <si>
    <t>https://in.tradingview.com/chart/bXJLby4L/?symbol=NSE%3AFORCEMOT</t>
  </si>
  <si>
    <t>FORTIS</t>
  </si>
  <si>
    <t>Fortis Healthcare Limited</t>
  </si>
  <si>
    <t>NSE%3AGOENKA</t>
  </si>
  <si>
    <t>https://in.tradingview.com/chart/ofQQfXOP/?symbol=NSE%3AFORTIS</t>
  </si>
  <si>
    <t>https://in.tradingview.com/chart/bXJLby4L/?symbol=NSE%3AFORTIS</t>
  </si>
  <si>
    <t>FOSECOIND</t>
  </si>
  <si>
    <t>Foseco India Limited</t>
  </si>
  <si>
    <t>NSE%3AGOKEX</t>
  </si>
  <si>
    <t>https://in.tradingview.com/chart/ofQQfXOP/?symbol=NSE%3AFOSECOIND</t>
  </si>
  <si>
    <t>https://in.tradingview.com/chart/bXJLby4L/?symbol=NSE%3AFOSECOIND</t>
  </si>
  <si>
    <t>NYKAA</t>
  </si>
  <si>
    <t>FSN E-Commerce Ventures Ltd</t>
  </si>
  <si>
    <t>NSE%3AGOKUL</t>
  </si>
  <si>
    <t>https://in.tradingview.com/chart/ofQQfXOP/?symbol=NSE%3ANYKAA</t>
  </si>
  <si>
    <t>https://in.tradingview.com/chart/bXJLby4L/?symbol=NSE%3ANYKAA</t>
  </si>
  <si>
    <t>UTLSOLAR</t>
  </si>
  <si>
    <t>Fujiyama Power Systems Ltd</t>
  </si>
  <si>
    <t>NSE%3AGOKULAGRO</t>
  </si>
  <si>
    <t>https://in.tradingview.com/chart/ofQQfXOP/?symbol=NSE%3AUTLSOLAR</t>
  </si>
  <si>
    <t>https://in.tradingview.com/chart/bXJLby4L/?symbol=NSE%3AUTLSOLAR</t>
  </si>
  <si>
    <t>FUSION</t>
  </si>
  <si>
    <t>Fusion Micro Finance Ltd</t>
  </si>
  <si>
    <t>NSE%3AGOLD1</t>
  </si>
  <si>
    <t>https://in.tradingview.com/chart/ofQQfXOP/?symbol=NSE%3AFUSION</t>
  </si>
  <si>
    <t>https://in.tradingview.com/chart/bXJLby4L/?symbol=NSE%3AFUSION</t>
  </si>
  <si>
    <t>FMNL</t>
  </si>
  <si>
    <t>Future Market Networks Limited</t>
  </si>
  <si>
    <t>NSE%3AGOLDBEES</t>
  </si>
  <si>
    <t>https://in.tradingview.com/chart/ofQQfXOP/?symbol=NSE%3AFMNL</t>
  </si>
  <si>
    <t>https://in.tradingview.com/chart/bXJLby4L/?symbol=NSE%3AFMNL</t>
  </si>
  <si>
    <t>GRINFRA</t>
  </si>
  <si>
    <t>G R Infraprojects Ltd</t>
  </si>
  <si>
    <t>NSE%3AGOLDCASE</t>
  </si>
  <si>
    <t>https://in.tradingview.com/chart/ofQQfXOP/?symbol=NSE%3AGRINFRA</t>
  </si>
  <si>
    <t>https://in.tradingview.com/chart/bXJLby4L/?symbol=NSE%3AGRINFRA</t>
  </si>
  <si>
    <t>GTECJAINX</t>
  </si>
  <si>
    <t>G-Tec Janix Education Ltd</t>
  </si>
  <si>
    <t>NSE%3AGOLDENTOBC</t>
  </si>
  <si>
    <t>https://in.tradingview.com/chart/ofQQfXOP/?symbol=NSE%3AGTECJAINX</t>
  </si>
  <si>
    <t>https://in.tradingview.com/chart/bXJLby4L/?symbol=NSE%3AGTECJAINX</t>
  </si>
  <si>
    <t>GABRIEL</t>
  </si>
  <si>
    <t>Gabriel India Limited</t>
  </si>
  <si>
    <t>NSE%3AGOLDETF</t>
  </si>
  <si>
    <t>https://in.tradingview.com/chart/ofQQfXOP/?symbol=NSE%3AGABRIEL</t>
  </si>
  <si>
    <t>https://in.tradingview.com/chart/bXJLby4L/?symbol=NSE%3AGABRIEL</t>
  </si>
  <si>
    <t>GAIL</t>
  </si>
  <si>
    <t>Gail (india) Limited</t>
  </si>
  <si>
    <t>NSE%3AGOLDETFADD</t>
  </si>
  <si>
    <t>https://in.tradingview.com/chart/ofQQfXOP/?symbol=NSE%3AGAIL</t>
  </si>
  <si>
    <t>https://in.tradingview.com/chart/bXJLby4L/?symbol=NSE%3AGAIL</t>
  </si>
  <si>
    <t>GALAPREC</t>
  </si>
  <si>
    <t>Gala Precision Engineering Ltd</t>
  </si>
  <si>
    <t>NSE%3AGOLDIAM</t>
  </si>
  <si>
    <t>https://in.tradingview.com/chart/ofQQfXOP/?symbol=NSE%3AGALAPREC</t>
  </si>
  <si>
    <t>https://in.tradingview.com/chart/bXJLby4L/?symbol=NSE%3AGALAPREC</t>
  </si>
  <si>
    <t>GALAXYSURF</t>
  </si>
  <si>
    <t>Galaxy Surfactants Ltd</t>
  </si>
  <si>
    <t>NSE%3AGOLDIETF</t>
  </si>
  <si>
    <t>https://in.tradingview.com/chart/ofQQfXOP/?symbol=NSE%3AGALAXYSURF</t>
  </si>
  <si>
    <t>https://in.tradingview.com/chart/bXJLby4L/?symbol=NSE%3AGALAXYSURF</t>
  </si>
  <si>
    <t>GALLANTT</t>
  </si>
  <si>
    <t>Gallantt Metal Limited</t>
  </si>
  <si>
    <t>NSE%3AGOLDSHARE</t>
  </si>
  <si>
    <t>https://in.tradingview.com/chart/ofQQfXOP/?symbol=NSE%3AGALLANTT</t>
  </si>
  <si>
    <t>https://in.tradingview.com/chart/bXJLby4L/?symbol=NSE%3AGALLANTT</t>
  </si>
  <si>
    <t>GANDHAR</t>
  </si>
  <si>
    <t>Gandhar Oil Refinery (India) Ltd</t>
  </si>
  <si>
    <t>NSE%3AGOLDTECH</t>
  </si>
  <si>
    <t>https://in.tradingview.com/chart/ofQQfXOP/?symbol=NSE%3AGANDHAR</t>
  </si>
  <si>
    <t>https://in.tradingview.com/chart/bXJLby4L/?symbol=NSE%3AGANDHAR</t>
  </si>
  <si>
    <t>GANDHITUBE</t>
  </si>
  <si>
    <t>Gandhi Special Tubes Limited</t>
  </si>
  <si>
    <t>NSE%3AGOODLUCK</t>
  </si>
  <si>
    <t>https://in.tradingview.com/chart/ofQQfXOP/?symbol=NSE%3AGANDHITUBE</t>
  </si>
  <si>
    <t>https://in.tradingview.com/chart/bXJLby4L/?symbol=NSE%3AGANDHITUBE</t>
  </si>
  <si>
    <t>GANESHBE</t>
  </si>
  <si>
    <t>Ganesh Benzoplast Ltd</t>
  </si>
  <si>
    <t>NSE%3AGOPAL</t>
  </si>
  <si>
    <t>https://in.tradingview.com/chart/ofQQfXOP/?symbol=NSE%3AGANESHBE</t>
  </si>
  <si>
    <t>https://in.tradingview.com/chart/bXJLby4L/?symbol=NSE%3AGANESHBE</t>
  </si>
  <si>
    <t>GANESHCP</t>
  </si>
  <si>
    <t>Ganesh Consumer Products Ltd</t>
  </si>
  <si>
    <t>NSE%3AGOYALALUM</t>
  </si>
  <si>
    <t>https://in.tradingview.com/chart/ofQQfXOP/?symbol=NSE%3AGANESHCP</t>
  </si>
  <si>
    <t>https://in.tradingview.com/chart/bXJLby4L/?symbol=NSE%3AGANESHCP</t>
  </si>
  <si>
    <t>GANESHHOU</t>
  </si>
  <si>
    <t>Ganesh Housing Ltd</t>
  </si>
  <si>
    <t>NSE%3AGPIL</t>
  </si>
  <si>
    <t>https://in.tradingview.com/chart/ofQQfXOP/?symbol=NSE%3AGANESHHOU</t>
  </si>
  <si>
    <t>https://in.tradingview.com/chart/bXJLby4L/?symbol=NSE%3AGANESHHOU</t>
  </si>
  <si>
    <t>GANECOS</t>
  </si>
  <si>
    <t>Ganesha Ecosphere Limited</t>
  </si>
  <si>
    <t>NSE%3AGPPL</t>
  </si>
  <si>
    <t>https://in.tradingview.com/chart/ofQQfXOP/?symbol=NSE%3AGANECOS</t>
  </si>
  <si>
    <t>https://in.tradingview.com/chart/bXJLby4L/?symbol=NSE%3AGANECOS</t>
  </si>
  <si>
    <t>GANGESSECU</t>
  </si>
  <si>
    <t>Ganges Securities Ltd</t>
  </si>
  <si>
    <t>NSE%3AGPTHEALTH</t>
  </si>
  <si>
    <t>https://in.tradingview.com/chart/ofQQfXOP/?symbol=NSE%3AGANGESSECU</t>
  </si>
  <si>
    <t>https://in.tradingview.com/chart/bXJLby4L/?symbol=NSE%3AGANGESSECU</t>
  </si>
  <si>
    <t>GRSE</t>
  </si>
  <si>
    <t>Garden Reach Shipbuilders &amp; Engineers Ltd</t>
  </si>
  <si>
    <t>NSE%3AGPTINFRA</t>
  </si>
  <si>
    <t>https://in.tradingview.com/chart/ofQQfXOP/?symbol=NSE%3AGRSE</t>
  </si>
  <si>
    <t>https://in.tradingview.com/chart/bXJLby4L/?symbol=NSE%3AGRSE</t>
  </si>
  <si>
    <t>GARUDA</t>
  </si>
  <si>
    <t>Garuda Construction and Engineering Ltd</t>
  </si>
  <si>
    <t>NSE%3AGRANULES</t>
  </si>
  <si>
    <t>https://in.tradingview.com/chart/ofQQfXOP/?symbol=NSE%3AGARUDA</t>
  </si>
  <si>
    <t>https://in.tradingview.com/chart/bXJLby4L/?symbol=NSE%3AGARUDA</t>
  </si>
  <si>
    <t>GRWRHITECH</t>
  </si>
  <si>
    <t>Garware Hi Tech Films Ltd</t>
  </si>
  <si>
    <t>NSE%3AGRAPHITE</t>
  </si>
  <si>
    <t>https://in.tradingview.com/chart/ofQQfXOP/?symbol=NSE%3AGRWRHITECH</t>
  </si>
  <si>
    <t>https://in.tradingview.com/chart/bXJLby4L/?symbol=NSE%3AGRWRHITECH</t>
  </si>
  <si>
    <t>GARFIBRES</t>
  </si>
  <si>
    <t>Garware Technical Fibres Ltd</t>
  </si>
  <si>
    <t>NSE%3AGRASIM</t>
  </si>
  <si>
    <t>https://in.tradingview.com/chart/ofQQfXOP/?symbol=NSE%3AGARFIBRES</t>
  </si>
  <si>
    <t>https://in.tradingview.com/chart/bXJLby4L/?symbol=NSE%3AGARFIBRES</t>
  </si>
  <si>
    <t>GATEWAY</t>
  </si>
  <si>
    <t>Gateway Distriparks Ltd</t>
  </si>
  <si>
    <t>NSE%3AGRAVITA</t>
  </si>
  <si>
    <t>https://in.tradingview.com/chart/ofQQfXOP/?symbol=NSE%3AGATEWAY</t>
  </si>
  <si>
    <t>https://in.tradingview.com/chart/bXJLby4L/?symbol=NSE%3AGATEWAY</t>
  </si>
  <si>
    <t>GVPIL</t>
  </si>
  <si>
    <t>GE Power India Ltd</t>
  </si>
  <si>
    <t>NSE%3AGREAVESCOT</t>
  </si>
  <si>
    <t>https://in.tradingview.com/chart/ofQQfXOP/?symbol=NSE%3AGVPIL</t>
  </si>
  <si>
    <t>https://in.tradingview.com/chart/bXJLby4L/?symbol=NSE%3AGVPIL</t>
  </si>
  <si>
    <t>GVT&amp;D</t>
  </si>
  <si>
    <t>GE Vernova T&amp;D India Ltd</t>
  </si>
  <si>
    <t>NSE%3AGREENLAM</t>
  </si>
  <si>
    <t>https://in.tradingview.com/chart/ofQQfXOP/?symbol=NSE%3AGVT&amp;D</t>
  </si>
  <si>
    <t>https://in.tradingview.com/chart/bXJLby4L/?symbol=NSE%3AGVT&amp;D</t>
  </si>
  <si>
    <t>GEECEE</t>
  </si>
  <si>
    <t>Geecee Ventures Limited</t>
  </si>
  <si>
    <t>NSE%3AGREENPANEL</t>
  </si>
  <si>
    <t>https://in.tradingview.com/chart/ofQQfXOP/?symbol=NSE%3AGEECEE</t>
  </si>
  <si>
    <t>https://in.tradingview.com/chart/bXJLby4L/?symbol=NSE%3AGEECEE</t>
  </si>
  <si>
    <t>GEEKAYWIRE</t>
  </si>
  <si>
    <t>Geekay Wires Ltd</t>
  </si>
  <si>
    <t>NSE%3AGREENPLY</t>
  </si>
  <si>
    <t>https://in.tradingview.com/chart/ofQQfXOP/?symbol=NSE%3AGEEKAYWIRE</t>
  </si>
  <si>
    <t>https://in.tradingview.com/chart/bXJLby4L/?symbol=NSE%3AGEEKAYWIRE</t>
  </si>
  <si>
    <t>GEMAROMA</t>
  </si>
  <si>
    <t>Gem Aromatics Ltd</t>
  </si>
  <si>
    <t>NSE%3AGREENPOWER</t>
  </si>
  <si>
    <t>https://in.tradingview.com/chart/ofQQfXOP/?symbol=NSE%3AGEMAROMA</t>
  </si>
  <si>
    <t>https://in.tradingview.com/chart/bXJLby4L/?symbol=NSE%3AGEMAROMA</t>
  </si>
  <si>
    <t>GICRE</t>
  </si>
  <si>
    <t>General Insurance Corporation of India</t>
  </si>
  <si>
    <t>NSE%3AGRINDWELL</t>
  </si>
  <si>
    <t>https://in.tradingview.com/chart/ofQQfXOP/?symbol=NSE%3AGICRE</t>
  </si>
  <si>
    <t>https://in.tradingview.com/chart/bXJLby4L/?symbol=NSE%3AGICRE</t>
  </si>
  <si>
    <t>GENCON</t>
  </si>
  <si>
    <t>Generic Engineering Construction &amp; Projects Ltd</t>
  </si>
  <si>
    <t>NSE%3AGRINFRA</t>
  </si>
  <si>
    <t>https://in.tradingview.com/chart/ofQQfXOP/?symbol=NSE%3AGENCON</t>
  </si>
  <si>
    <t>https://in.tradingview.com/chart/bXJLby4L/?symbol=NSE%3AGENCON</t>
  </si>
  <si>
    <t>GENESYS</t>
  </si>
  <si>
    <t>Genesys International Corporation Limited</t>
  </si>
  <si>
    <t>NSE%3AGRMOVER</t>
  </si>
  <si>
    <t>https://in.tradingview.com/chart/ofQQfXOP/?symbol=NSE%3AGENESYS</t>
  </si>
  <si>
    <t>https://in.tradingview.com/chart/bXJLby4L/?symbol=NSE%3AGENESYS</t>
  </si>
  <si>
    <t>GENSOL</t>
  </si>
  <si>
    <t>Gensol Engineering Ltd</t>
  </si>
  <si>
    <t>NSE%3AGROBTEA</t>
  </si>
  <si>
    <t>https://in.tradingview.com/chart/ofQQfXOP/?symbol=NSE%3AGENSOL</t>
  </si>
  <si>
    <t>https://in.tradingview.com/chart/bXJLby4L/?symbol=NSE%3AGENSOL</t>
  </si>
  <si>
    <t>GENUSPAPER</t>
  </si>
  <si>
    <t>Genus Paper &amp; Boards Limited</t>
  </si>
  <si>
    <t>NSE%3AGROWWDEFNC</t>
  </si>
  <si>
    <t>https://in.tradingview.com/chart/ofQQfXOP/?symbol=NSE%3AGENUSPAPER</t>
  </si>
  <si>
    <t>https://in.tradingview.com/chart/bXJLby4L/?symbol=NSE%3AGENUSPAPER</t>
  </si>
  <si>
    <t>GENUSPOWER</t>
  </si>
  <si>
    <t>Genus Power Infrastructures Limited</t>
  </si>
  <si>
    <t>NSE%3AGROWWEV</t>
  </si>
  <si>
    <t>https://in.tradingview.com/chart/ofQQfXOP/?symbol=NSE%3AGENUSPOWER</t>
  </si>
  <si>
    <t>https://in.tradingview.com/chart/bXJLby4L/?symbol=NSE%3AGENUSPOWER</t>
  </si>
  <si>
    <t>GEOJITFSL</t>
  </si>
  <si>
    <t>Geojit Financial Services</t>
  </si>
  <si>
    <t>NSE%3AGROWWGOLD</t>
  </si>
  <si>
    <t>https://in.tradingview.com/chart/ofQQfXOP/?symbol=NSE%3AGEOJITFSL</t>
  </si>
  <si>
    <t>https://in.tradingview.com/chart/bXJLby4L/?symbol=NSE%3AGEOJITFSL</t>
  </si>
  <si>
    <t>GFLLIMITED</t>
  </si>
  <si>
    <t>GFL Ltd</t>
  </si>
  <si>
    <t>NSE%3AGROWWLIQID</t>
  </si>
  <si>
    <t>https://in.tradingview.com/chart/ofQQfXOP/?symbol=NSE%3AGFLLIMITED</t>
  </si>
  <si>
    <t>https://in.tradingview.com/chart/bXJLby4L/?symbol=NSE%3AGFLLIMITED</t>
  </si>
  <si>
    <t>GHCL</t>
  </si>
  <si>
    <t>Ghcl Limited</t>
  </si>
  <si>
    <t>NSE%3AGROWWN200</t>
  </si>
  <si>
    <t>https://in.tradingview.com/chart/ofQQfXOP/?symbol=NSE%3AGHCL</t>
  </si>
  <si>
    <t>https://in.tradingview.com/chart/bXJLby4L/?symbol=NSE%3AGHCL</t>
  </si>
  <si>
    <t>GHCLTEXTIL</t>
  </si>
  <si>
    <t>GHCL Textiles Ltd</t>
  </si>
  <si>
    <t>NSE%3AGROWWRAIL</t>
  </si>
  <si>
    <t>https://in.tradingview.com/chart/ofQQfXOP/?symbol=NSE%3AGHCLTEXTIL</t>
  </si>
  <si>
    <t>https://in.tradingview.com/chart/bXJLby4L/?symbol=NSE%3AGHCLTEXTIL</t>
  </si>
  <si>
    <t>GICHSGFIN</t>
  </si>
  <si>
    <t>Gic Housing Finance Limited</t>
  </si>
  <si>
    <t>NSE%3AGRPLTD</t>
  </si>
  <si>
    <t>https://in.tradingview.com/chart/ofQQfXOP/?symbol=NSE%3AGICHSGFIN</t>
  </si>
  <si>
    <t>https://in.tradingview.com/chart/bXJLby4L/?symbol=NSE%3AGICHSGFIN</t>
  </si>
  <si>
    <t>GILLANDERS</t>
  </si>
  <si>
    <t>Gillanders Arbuthnot &amp; Company Limited</t>
  </si>
  <si>
    <t>NSE%3AGRSE</t>
  </si>
  <si>
    <t>https://in.tradingview.com/chart/ofQQfXOP/?symbol=NSE%3AGILLANDERS</t>
  </si>
  <si>
    <t>https://in.tradingview.com/chart/bXJLby4L/?symbol=NSE%3AGILLANDERS</t>
  </si>
  <si>
    <t>GILLETTE</t>
  </si>
  <si>
    <t>Gillette India Limited</t>
  </si>
  <si>
    <t>NSE%3AGRWRHITECH</t>
  </si>
  <si>
    <t>https://in.tradingview.com/chart/ofQQfXOP/?symbol=NSE%3AGILLETTE</t>
  </si>
  <si>
    <t>https://in.tradingview.com/chart/bXJLby4L/?symbol=NSE%3AGILLETTE</t>
  </si>
  <si>
    <t>GINNIFILA</t>
  </si>
  <si>
    <t>Ginni Filaments Limited</t>
  </si>
  <si>
    <t>NSE%3AGSEC10ABSL</t>
  </si>
  <si>
    <t>https://in.tradingview.com/chart/ofQQfXOP/?symbol=NSE%3AGINNIFILA</t>
  </si>
  <si>
    <t>https://in.tradingview.com/chart/bXJLby4L/?symbol=NSE%3AGINNIFILA</t>
  </si>
  <si>
    <t>GKENERGY</t>
  </si>
  <si>
    <t>NSE%3AGSEC10IETF</t>
  </si>
  <si>
    <t>https://in.tradingview.com/chart/ofQQfXOP/?symbol=NSE%3AGKENERGY</t>
  </si>
  <si>
    <t>https://in.tradingview.com/chart/bXJLby4L/?symbol=NSE%3AGKENERGY</t>
  </si>
  <si>
    <t>GKWLIMITED</t>
  </si>
  <si>
    <t>Gkw Limited</t>
  </si>
  <si>
    <t>NSE%3AGSEC10YEAR</t>
  </si>
  <si>
    <t>https://in.tradingview.com/chart/ofQQfXOP/?symbol=NSE%3AGKWLIMITED</t>
  </si>
  <si>
    <t>https://in.tradingview.com/chart/bXJLby4L/?symbol=NSE%3AGKWLIMITED</t>
  </si>
  <si>
    <t>GLAND</t>
  </si>
  <si>
    <t>Gland Pharma Ltd</t>
  </si>
  <si>
    <t>NSE%3AGSEC5IETF</t>
  </si>
  <si>
    <t>https://in.tradingview.com/chart/ofQQfXOP/?symbol=NSE%3AGLAND</t>
  </si>
  <si>
    <t>https://in.tradingview.com/chart/bXJLby4L/?symbol=NSE%3AGLAND</t>
  </si>
  <si>
    <t>GLAXO</t>
  </si>
  <si>
    <t>Glaxosmithkline Pharmaceuticals Limited</t>
  </si>
  <si>
    <t>NSE%3AGSFC</t>
  </si>
  <si>
    <t>https://in.tradingview.com/chart/ofQQfXOP/?symbol=NSE%3AGLAXO</t>
  </si>
  <si>
    <t>https://in.tradingview.com/chart/bXJLby4L/?symbol=NSE%3AGLAXO</t>
  </si>
  <si>
    <t>GLENMARK</t>
  </si>
  <si>
    <t>Glenmark Pharmaceuticals Limited</t>
  </si>
  <si>
    <t>NSE%3AGSLSU</t>
  </si>
  <si>
    <t>https://in.tradingview.com/chart/ofQQfXOP/?symbol=NSE%3AGLENMARK</t>
  </si>
  <si>
    <t>https://in.tradingview.com/chart/bXJLby4L/?symbol=NSE%3AGLENMARK</t>
  </si>
  <si>
    <t>GLOBAL</t>
  </si>
  <si>
    <t>Global Education Ltd</t>
  </si>
  <si>
    <t>NSE%3AGSPL</t>
  </si>
  <si>
    <t>https://in.tradingview.com/chart/ofQQfXOP/?symbol=NSE%3AGLOBAL</t>
  </si>
  <si>
    <t>https://in.tradingview.com/chart/bXJLby4L/?symbol=NSE%3AGLOBAL</t>
  </si>
  <si>
    <t>MEDANTA</t>
  </si>
  <si>
    <t>Global Health Ltd</t>
  </si>
  <si>
    <t>NSE%3AGSS</t>
  </si>
  <si>
    <t>https://in.tradingview.com/chart/ofQQfXOP/?symbol=NSE%3AMEDANTA</t>
  </si>
  <si>
    <t>https://in.tradingview.com/chart/bXJLby4L/?symbol=NSE%3AMEDANTA</t>
  </si>
  <si>
    <t>GSLSU</t>
  </si>
  <si>
    <t>Global Surfaces Ltd</t>
  </si>
  <si>
    <t>NSE%3AGTECJAINX</t>
  </si>
  <si>
    <t>https://in.tradingview.com/chart/ofQQfXOP/?symbol=NSE%3AGSLSU</t>
  </si>
  <si>
    <t>https://in.tradingview.com/chart/bXJLby4L/?symbol=NSE%3AGSLSU</t>
  </si>
  <si>
    <t>GLOBALVECT</t>
  </si>
  <si>
    <t>Global Vectra Helicorp Limited</t>
  </si>
  <si>
    <t>NSE%3AGTL</t>
  </si>
  <si>
    <t>https://in.tradingview.com/chart/ofQQfXOP/?symbol=NSE%3AGLOBALVECT</t>
  </si>
  <si>
    <t>https://in.tradingview.com/chart/bXJLby4L/?symbol=NSE%3AGLOBALVECT</t>
  </si>
  <si>
    <t>GLOBALE</t>
  </si>
  <si>
    <t>Globale Tessile Ltd</t>
  </si>
  <si>
    <t>NSE%3AGTLINFRA</t>
  </si>
  <si>
    <t>https://in.tradingview.com/chart/ofQQfXOP/?symbol=NSE%3AGLOBALE</t>
  </si>
  <si>
    <t>https://in.tradingview.com/chart/bXJLby4L/?symbol=NSE%3AGLOBALE</t>
  </si>
  <si>
    <t>GLOBECIVIL</t>
  </si>
  <si>
    <t>NSE%3AGTPL</t>
  </si>
  <si>
    <t>https://in.tradingview.com/chart/ofQQfXOP/?symbol=NSE%3AGLOBECIVIL</t>
  </si>
  <si>
    <t>https://in.tradingview.com/chart/bXJLby4L/?symbol=NSE%3AGLOBECIVIL</t>
  </si>
  <si>
    <t>GLOBUSSPR</t>
  </si>
  <si>
    <t>Globus Spirits Limited</t>
  </si>
  <si>
    <t>NSE%3AGUFICBIO</t>
  </si>
  <si>
    <t>https://in.tradingview.com/chart/ofQQfXOP/?symbol=NSE%3AGLOBUSSPR</t>
  </si>
  <si>
    <t>https://in.tradingview.com/chart/bXJLby4L/?symbol=NSE%3AGLOBUSSPR</t>
  </si>
  <si>
    <t>GLOSTERLTD</t>
  </si>
  <si>
    <t>Gloster Ltd</t>
  </si>
  <si>
    <t>NSE%3AGUJALKALI</t>
  </si>
  <si>
    <t>https://in.tradingview.com/chart/ofQQfXOP/?symbol=NSE%3AGLOSTERLTD</t>
  </si>
  <si>
    <t>https://in.tradingview.com/chart/bXJLby4L/?symbol=NSE%3AGLOSTERLTD</t>
  </si>
  <si>
    <t>GLOTTIS</t>
  </si>
  <si>
    <t>Glottis Ltd</t>
  </si>
  <si>
    <t>NSE%3AGUJAPOLLO</t>
  </si>
  <si>
    <t>https://in.tradingview.com/chart/ofQQfXOP/?symbol=NSE%3AGLOTTIS</t>
  </si>
  <si>
    <t>https://in.tradingview.com/chart/bXJLby4L/?symbol=NSE%3AGLOTTIS</t>
  </si>
  <si>
    <t>GMBREW</t>
  </si>
  <si>
    <t>Gm Breweries Limited</t>
  </si>
  <si>
    <t>NSE%3AGUJGASLTD</t>
  </si>
  <si>
    <t>https://in.tradingview.com/chart/ofQQfXOP/?symbol=NSE%3AGMBREW</t>
  </si>
  <si>
    <t>https://in.tradingview.com/chart/bXJLby4L/?symbol=NSE%3AGMBREW</t>
  </si>
  <si>
    <t>GMMPFAUDLR</t>
  </si>
  <si>
    <t>GMM Pfaudler Ltd</t>
  </si>
  <si>
    <t>NSE%3AGUJRAFFIA</t>
  </si>
  <si>
    <t>https://in.tradingview.com/chart/ofQQfXOP/?symbol=NSE%3AGMMPFAUDLR</t>
  </si>
  <si>
    <t>https://in.tradingview.com/chart/bXJLby4L/?symbol=NSE%3AGMMPFAUDLR</t>
  </si>
  <si>
    <t>GMRAIRPORT</t>
  </si>
  <si>
    <t>GMR Airports Ltd</t>
  </si>
  <si>
    <t>NSE%3AGUJTHEM</t>
  </si>
  <si>
    <t>https://in.tradingview.com/chart/ofQQfXOP/?symbol=NSE%3AGMRAIRPORT</t>
  </si>
  <si>
    <t>https://in.tradingview.com/chart/bXJLby4L/?symbol=NSE%3AGMRAIRPORT</t>
  </si>
  <si>
    <t>GMRP&amp;UI</t>
  </si>
  <si>
    <t>GMR Power &amp; Urban Infra Ltd</t>
  </si>
  <si>
    <t>NSE%3AGULFOILLUB</t>
  </si>
  <si>
    <t>https://in.tradingview.com/chart/ofQQfXOP/?symbol=NSE%3AGMRP&amp;UI</t>
  </si>
  <si>
    <t>https://in.tradingview.com/chart/bXJLby4L/?symbol=NSE%3AGMRP&amp;UI</t>
  </si>
  <si>
    <t>GNA</t>
  </si>
  <si>
    <t>Gna Axles Limited</t>
  </si>
  <si>
    <t>NSE%3AGULFPETRO</t>
  </si>
  <si>
    <t>https://in.tradingview.com/chart/ofQQfXOP/?symbol=NSE%3AGNA</t>
  </si>
  <si>
    <t>https://in.tradingview.com/chart/bXJLby4L/?symbol=NSE%3AGNA</t>
  </si>
  <si>
    <t>EBGNG</t>
  </si>
  <si>
    <t>GNG Electronics Ltd</t>
  </si>
  <si>
    <t>NSE%3AGULPOLY</t>
  </si>
  <si>
    <t>https://in.tradingview.com/chart/ofQQfXOP/?symbol=NSE%3AEBGNG</t>
  </si>
  <si>
    <t>https://in.tradingview.com/chart/bXJLby4L/?symbol=NSE%3AEBGNG</t>
  </si>
  <si>
    <t>GODIGIT</t>
  </si>
  <si>
    <t>Go Digit General Insurance Ltd</t>
  </si>
  <si>
    <t>NSE%3AGVKPIL</t>
  </si>
  <si>
    <t>https://in.tradingview.com/chart/ofQQfXOP/?symbol=NSE%3AGODIGIT</t>
  </si>
  <si>
    <t>https://in.tradingview.com/chart/bXJLby4L/?symbol=NSE%3AGODIGIT</t>
  </si>
  <si>
    <t>GOCOLORS</t>
  </si>
  <si>
    <t>Go Fashion (India) Ltd</t>
  </si>
  <si>
    <t>NSE%3AGVPTECH</t>
  </si>
  <si>
    <t>https://in.tradingview.com/chart/ofQQfXOP/?symbol=NSE%3AGOCOLORS</t>
  </si>
  <si>
    <t>https://in.tradingview.com/chart/bXJLby4L/?symbol=NSE%3AGOCOLORS</t>
  </si>
  <si>
    <t>GOACARBON</t>
  </si>
  <si>
    <t>Goa Carbon Limited</t>
  </si>
  <si>
    <t>NSE%3AGVT_D</t>
  </si>
  <si>
    <t>https://in.tradingview.com/chart/ofQQfXOP/?symbol=NSE%3AGOACARBON</t>
  </si>
  <si>
    <t>https://in.tradingview.com/chart/bXJLby4L/?symbol=NSE%3AGOACARBON</t>
  </si>
  <si>
    <t>GOCLCORP</t>
  </si>
  <si>
    <t>Gocl Corporation Limited</t>
  </si>
  <si>
    <t>NSE%3AHAL</t>
  </si>
  <si>
    <t>https://in.tradingview.com/chart/ofQQfXOP/?symbol=NSE%3AGOCLCORP</t>
  </si>
  <si>
    <t>https://in.tradingview.com/chart/bXJLby4L/?symbol=NSE%3AGOCLCORP</t>
  </si>
  <si>
    <t>GODAVARIB</t>
  </si>
  <si>
    <t>Godavari Biorefineries Ltd</t>
  </si>
  <si>
    <t>NSE%3AHAPPSTMNDS</t>
  </si>
  <si>
    <t>https://in.tradingview.com/chart/ofQQfXOP/?symbol=NSE%3AGODAVARIB</t>
  </si>
  <si>
    <t>https://in.tradingview.com/chart/bXJLby4L/?symbol=NSE%3AGODAVARIB</t>
  </si>
  <si>
    <t>GPIL</t>
  </si>
  <si>
    <t>Godawari Power And Ispat Limited</t>
  </si>
  <si>
    <t>NSE%3AHAPPYFORGE</t>
  </si>
  <si>
    <t>https://in.tradingview.com/chart/ofQQfXOP/?symbol=NSE%3AGPIL</t>
  </si>
  <si>
    <t>https://in.tradingview.com/chart/bXJLby4L/?symbol=NSE%3AGPIL</t>
  </si>
  <si>
    <t>GODFRYPHLP</t>
  </si>
  <si>
    <t>Godfrey Phillips India Limited</t>
  </si>
  <si>
    <t>NSE%3AHARDWYN</t>
  </si>
  <si>
    <t>https://in.tradingview.com/chart/ofQQfXOP/?symbol=NSE%3AGODFRYPHLP</t>
  </si>
  <si>
    <t>https://in.tradingview.com/chart/bXJLby4L/?symbol=NSE%3AGODFRYPHLP</t>
  </si>
  <si>
    <t>GODREJAGRO</t>
  </si>
  <si>
    <t>Godrej Agrovet Ltd</t>
  </si>
  <si>
    <t>NSE%3AHARIOMPIPE</t>
  </si>
  <si>
    <t>https://in.tradingview.com/chart/ofQQfXOP/?symbol=NSE%3AGODREJAGRO</t>
  </si>
  <si>
    <t>https://in.tradingview.com/chart/bXJLby4L/?symbol=NSE%3AGODREJAGRO</t>
  </si>
  <si>
    <t>GODREJCP</t>
  </si>
  <si>
    <t>Godrej Consumer Products Limited</t>
  </si>
  <si>
    <t>NSE%3AHARRMALAYA</t>
  </si>
  <si>
    <t>https://in.tradingview.com/chart/ofQQfXOP/?symbol=NSE%3AGODREJCP</t>
  </si>
  <si>
    <t>https://in.tradingview.com/chart/bXJLby4L/?symbol=NSE%3AGODREJCP</t>
  </si>
  <si>
    <t>GODREJIND</t>
  </si>
  <si>
    <t>Godrej Industries Limited</t>
  </si>
  <si>
    <t>NSE%3AHARSHA</t>
  </si>
  <si>
    <t>https://in.tradingview.com/chart/ofQQfXOP/?symbol=NSE%3AGODREJIND</t>
  </si>
  <si>
    <t>https://in.tradingview.com/chart/bXJLby4L/?symbol=NSE%3AGODREJIND</t>
  </si>
  <si>
    <t>GODREJPROP</t>
  </si>
  <si>
    <t>Godrej Properties Limited</t>
  </si>
  <si>
    <t>NSE%3AHATHWAY</t>
  </si>
  <si>
    <t>https://in.tradingview.com/chart/ofQQfXOP/?symbol=NSE%3AGODREJPROP</t>
  </si>
  <si>
    <t>https://in.tradingview.com/chart/bXJLby4L/?symbol=NSE%3AGODREJPROP</t>
  </si>
  <si>
    <t>GOKEX</t>
  </si>
  <si>
    <t>Gokaldas Exports Limited</t>
  </si>
  <si>
    <t>NSE%3AHATSUN</t>
  </si>
  <si>
    <t>https://in.tradingview.com/chart/ofQQfXOP/?symbol=NSE%3AGOKEX</t>
  </si>
  <si>
    <t>https://in.tradingview.com/chart/bXJLby4L/?symbol=NSE%3AGOKEX</t>
  </si>
  <si>
    <t>GOKULAGRO</t>
  </si>
  <si>
    <t>Gokul Agro Resources Limited</t>
  </si>
  <si>
    <t>NSE%3AHAVELLS</t>
  </si>
  <si>
    <t>https://in.tradingview.com/chart/ofQQfXOP/?symbol=NSE%3AGOKULAGRO</t>
  </si>
  <si>
    <t>https://in.tradingview.com/chart/bXJLby4L/?symbol=NSE%3AGOKULAGRO</t>
  </si>
  <si>
    <t>GOKUL</t>
  </si>
  <si>
    <t>Gokul Refoils And Solvent Limited</t>
  </si>
  <si>
    <t>NSE%3AHAVISHA</t>
  </si>
  <si>
    <t>https://in.tradingview.com/chart/ofQQfXOP/?symbol=NSE%3AGOKUL</t>
  </si>
  <si>
    <t>https://in.tradingview.com/chart/bXJLby4L/?symbol=NSE%3AGOKUL</t>
  </si>
  <si>
    <t>GOLDENTOBC</t>
  </si>
  <si>
    <t>Golden Tobacco Limited</t>
  </si>
  <si>
    <t>NSE%3AHBLENGINE</t>
  </si>
  <si>
    <t>https://in.tradingview.com/chart/ofQQfXOP/?symbol=NSE%3AGOLDENTOBC</t>
  </si>
  <si>
    <t>https://in.tradingview.com/chart/bXJLby4L/?symbol=NSE%3AGOLDENTOBC</t>
  </si>
  <si>
    <t>GOLDIAM</t>
  </si>
  <si>
    <t>Goldiam International Limited</t>
  </si>
  <si>
    <t>NSE%3AHBSL</t>
  </si>
  <si>
    <t>https://in.tradingview.com/chart/ofQQfXOP/?symbol=NSE%3AGOLDIAM</t>
  </si>
  <si>
    <t>https://in.tradingview.com/chart/bXJLby4L/?symbol=NSE%3AGOLDIAM</t>
  </si>
  <si>
    <t>GOLDTECH</t>
  </si>
  <si>
    <t>Goldstone Technologies Limited</t>
  </si>
  <si>
    <t>NSE%3AHCC</t>
  </si>
  <si>
    <t>https://in.tradingview.com/chart/ofQQfXOP/?symbol=NSE%3AGOLDTECH</t>
  </si>
  <si>
    <t>https://in.tradingview.com/chart/bXJLby4L/?symbol=NSE%3AGOLDTECH</t>
  </si>
  <si>
    <t>GOODLUCK</t>
  </si>
  <si>
    <t>Goodluck India Limited</t>
  </si>
  <si>
    <t>NSE%3AHCG</t>
  </si>
  <si>
    <t>https://in.tradingview.com/chart/ofQQfXOP/?symbol=NSE%3AGOODLUCK</t>
  </si>
  <si>
    <t>https://in.tradingview.com/chart/bXJLby4L/?symbol=NSE%3AGOODLUCK</t>
  </si>
  <si>
    <t>GOPAL</t>
  </si>
  <si>
    <t>Gopal Snacks Ltd</t>
  </si>
  <si>
    <t>NSE%3AHCL_INSYS</t>
  </si>
  <si>
    <t>https://in.tradingview.com/chart/ofQQfXOP/?symbol=NSE%3AGOPAL</t>
  </si>
  <si>
    <t>https://in.tradingview.com/chart/bXJLby4L/?symbol=NSE%3AGOPAL</t>
  </si>
  <si>
    <t>GOYALALUM</t>
  </si>
  <si>
    <t>Goyal Aluminiums Ltd</t>
  </si>
  <si>
    <t>NSE%3AHCLTECH</t>
  </si>
  <si>
    <t>https://in.tradingview.com/chart/ofQQfXOP/?symbol=NSE%3AGOYALALUM</t>
  </si>
  <si>
    <t>https://in.tradingview.com/chart/bXJLby4L/?symbol=NSE%3AGOYALALUM</t>
  </si>
  <si>
    <t>GULFPETRO</t>
  </si>
  <si>
    <t>Gp Petroleums Limited</t>
  </si>
  <si>
    <t>NSE%3AHDFCAMC</t>
  </si>
  <si>
    <t>https://in.tradingview.com/chart/ofQQfXOP/?symbol=NSE%3AGULFPETRO</t>
  </si>
  <si>
    <t>https://in.tradingview.com/chart/bXJLby4L/?symbol=NSE%3AGULFPETRO</t>
  </si>
  <si>
    <t>GPTHEALTH</t>
  </si>
  <si>
    <t>GPT Healthcare Ltd</t>
  </si>
  <si>
    <t>NSE%3AHDFCBANK</t>
  </si>
  <si>
    <t>https://in.tradingview.com/chart/ofQQfXOP/?symbol=NSE%3AGPTHEALTH</t>
  </si>
  <si>
    <t>https://in.tradingview.com/chart/bXJLby4L/?symbol=NSE%3AGPTHEALTH</t>
  </si>
  <si>
    <t>GPTINFRA</t>
  </si>
  <si>
    <t>Gpt Infraprojects Limited</t>
  </si>
  <si>
    <t>NSE%3AHDFCBSE500</t>
  </si>
  <si>
    <t>https://in.tradingview.com/chart/ofQQfXOP/?symbol=NSE%3AGPTINFRA</t>
  </si>
  <si>
    <t>https://in.tradingview.com/chart/bXJLby4L/?symbol=NSE%3AGPTINFRA</t>
  </si>
  <si>
    <t>GFSTEELS</t>
  </si>
  <si>
    <t>Grand Foundry Ltd</t>
  </si>
  <si>
    <t>NSE%3AHDFCGOLD</t>
  </si>
  <si>
    <t>https://in.tradingview.com/chart/ofQQfXOP/?symbol=NSE%3AGFSTEELS</t>
  </si>
  <si>
    <t>https://in.tradingview.com/chart/bXJLby4L/?symbol=NSE%3AGFSTEELS</t>
  </si>
  <si>
    <t>GRANULES</t>
  </si>
  <si>
    <t>Granules India Limited</t>
  </si>
  <si>
    <t>NSE%3AHDFCLIFE</t>
  </si>
  <si>
    <t>https://in.tradingview.com/chart/ofQQfXOP/?symbol=NSE%3AGRANULES</t>
  </si>
  <si>
    <t>https://in.tradingview.com/chart/bXJLby4L/?symbol=NSE%3AGRANULES</t>
  </si>
  <si>
    <t>GRAPHITE</t>
  </si>
  <si>
    <t>Graphite India Limited</t>
  </si>
  <si>
    <t>NSE%3AHDFCLIQUID</t>
  </si>
  <si>
    <t>https://in.tradingview.com/chart/ofQQfXOP/?symbol=NSE%3AGRAPHITE</t>
  </si>
  <si>
    <t>https://in.tradingview.com/chart/bXJLby4L/?symbol=NSE%3AGRAPHITE</t>
  </si>
  <si>
    <t>GRASIM</t>
  </si>
  <si>
    <t>Grasim Industries Limited</t>
  </si>
  <si>
    <t>NSE%3AHDFCLOWVOL</t>
  </si>
  <si>
    <t>https://in.tradingview.com/chart/ofQQfXOP/?symbol=NSE%3AGRASIM</t>
  </si>
  <si>
    <t>https://in.tradingview.com/chart/bXJLby4L/?symbol=NSE%3AGRASIM</t>
  </si>
  <si>
    <t>GRAVITA</t>
  </si>
  <si>
    <t>Gravita India Limited</t>
  </si>
  <si>
    <t>NSE%3AHDFCMID150</t>
  </si>
  <si>
    <t>https://in.tradingview.com/chart/ofQQfXOP/?symbol=NSE%3AGRAVITA</t>
  </si>
  <si>
    <t>https://in.tradingview.com/chart/bXJLby4L/?symbol=NSE%3AGRAVITA</t>
  </si>
  <si>
    <t>GREAVESCOT</t>
  </si>
  <si>
    <t>Greaves Cotton Limited</t>
  </si>
  <si>
    <t>NSE%3AHDFCMOMENT</t>
  </si>
  <si>
    <t>https://in.tradingview.com/chart/ofQQfXOP/?symbol=NSE%3AGREAVESCOT</t>
  </si>
  <si>
    <t>https://in.tradingview.com/chart/bXJLby4L/?symbol=NSE%3AGREAVESCOT</t>
  </si>
  <si>
    <t>GREENLAM</t>
  </si>
  <si>
    <t>Greenlam Industries Limited</t>
  </si>
  <si>
    <t>NSE%3AHDFCNEXT50</t>
  </si>
  <si>
    <t>https://in.tradingview.com/chart/ofQQfXOP/?symbol=NSE%3AGREENLAM</t>
  </si>
  <si>
    <t>https://in.tradingview.com/chart/bXJLby4L/?symbol=NSE%3AGREENLAM</t>
  </si>
  <si>
    <t>GREENPANEL</t>
  </si>
  <si>
    <t>Greenpanel Industries Ltd</t>
  </si>
  <si>
    <t>NSE%3AHDFCNIF100</t>
  </si>
  <si>
    <t>https://in.tradingview.com/chart/ofQQfXOP/?symbol=NSE%3AGREENPANEL</t>
  </si>
  <si>
    <t>https://in.tradingview.com/chart/bXJLby4L/?symbol=NSE%3AGREENPANEL</t>
  </si>
  <si>
    <t>GREENPLY</t>
  </si>
  <si>
    <t>Greenply Industries Limited</t>
  </si>
  <si>
    <t>NSE%3AHDFCNIFBAN</t>
  </si>
  <si>
    <t>https://in.tradingview.com/chart/ofQQfXOP/?symbol=NSE%3AGREENPLY</t>
  </si>
  <si>
    <t>https://in.tradingview.com/chart/bXJLby4L/?symbol=NSE%3AGREENPLY</t>
  </si>
  <si>
    <t>GCSL</t>
  </si>
  <si>
    <t>Gretex Corporate Services Ltd</t>
  </si>
  <si>
    <t>NSE%3AHDFCNIFIT</t>
  </si>
  <si>
    <t>https://in.tradingview.com/chart/ofQQfXOP/?symbol=NSE%3AGCSL</t>
  </si>
  <si>
    <t>https://in.tradingview.com/chart/bXJLby4L/?symbol=NSE%3AGCSL</t>
  </si>
  <si>
    <t>GRINDWELL</t>
  </si>
  <si>
    <t>Grindwell Norton Limited</t>
  </si>
  <si>
    <t>NSE%3AHDFCNIFTY</t>
  </si>
  <si>
    <t>https://in.tradingview.com/chart/ofQQfXOP/?symbol=NSE%3AGRINDWELL</t>
  </si>
  <si>
    <t>https://in.tradingview.com/chart/bXJLby4L/?symbol=NSE%3AGRINDWELL</t>
  </si>
  <si>
    <t>GRMOVER</t>
  </si>
  <si>
    <t>GRM Overseas Ltd</t>
  </si>
  <si>
    <t>NSE%3AHDFCPSUBK</t>
  </si>
  <si>
    <t>https://in.tradingview.com/chart/ofQQfXOP/?symbol=NSE%3AGRMOVER</t>
  </si>
  <si>
    <t>https://in.tradingview.com/chart/bXJLby4L/?symbol=NSE%3AGRMOVER</t>
  </si>
  <si>
    <t>GROWW</t>
  </si>
  <si>
    <t>NSE%3AHDFCPVTBAN</t>
  </si>
  <si>
    <t>https://in.tradingview.com/chart/ofQQfXOP/?symbol=NSE%3AGROWW</t>
  </si>
  <si>
    <t>https://in.tradingview.com/chart/bXJLby4L/?symbol=NSE%3AGROWW</t>
  </si>
  <si>
    <t>GROWWPOWER</t>
  </si>
  <si>
    <t>Groww BSE Power ETF</t>
  </si>
  <si>
    <t>NSE%3AHDFCQUAL</t>
  </si>
  <si>
    <t>https://in.tradingview.com/chart/ofQQfXOP/?symbol=NSE%3AGROWWPOWER</t>
  </si>
  <si>
    <t>https://in.tradingview.com/chart/bXJLby4L/?symbol=NSE%3AGROWWPOWER</t>
  </si>
  <si>
    <t>GROWWGOLD</t>
  </si>
  <si>
    <t>Groww Gold ETF</t>
  </si>
  <si>
    <t>NSE%3AHDFCSENSEX</t>
  </si>
  <si>
    <t>https://in.tradingview.com/chart/ofQQfXOP/?symbol=NSE%3AGROWWGOLD</t>
  </si>
  <si>
    <t>https://in.tradingview.com/chart/bXJLby4L/?symbol=NSE%3AGROWWGOLD</t>
  </si>
  <si>
    <t>GROWWLIQID</t>
  </si>
  <si>
    <t>Groww Nifty 1D Rate Liquid ETF</t>
  </si>
  <si>
    <t>NSE%3AHDFCSILVER</t>
  </si>
  <si>
    <t>https://in.tradingview.com/chart/ofQQfXOP/?symbol=NSE%3AGROWWLIQID</t>
  </si>
  <si>
    <t>https://in.tradingview.com/chart/bXJLby4L/?symbol=NSE%3AGROWWLIQID</t>
  </si>
  <si>
    <t>GROWWN200</t>
  </si>
  <si>
    <t>Groww Nifty 200 ETF</t>
  </si>
  <si>
    <t>NSE%3AHDFCSML250</t>
  </si>
  <si>
    <t>https://in.tradingview.com/chart/ofQQfXOP/?symbol=NSE%3AGROWWN200</t>
  </si>
  <si>
    <t>https://in.tradingview.com/chart/bXJLby4L/?symbol=NSE%3AGROWWN200</t>
  </si>
  <si>
    <t>GROWWLOVOL</t>
  </si>
  <si>
    <t>Groww Nifty 500 Low Volatility 50 ETF</t>
  </si>
  <si>
    <t>NSE%3AHDFCVALUE</t>
  </si>
  <si>
    <t>https://in.tradingview.com/chart/ofQQfXOP/?symbol=NSE%3AGROWWLOVOL</t>
  </si>
  <si>
    <t>https://in.tradingview.com/chart/bXJLby4L/?symbol=NSE%3AGROWWLOVOL</t>
  </si>
  <si>
    <t>GROWWMOM50</t>
  </si>
  <si>
    <t>Groww Nifty 500 Momentum 50 ETF</t>
  </si>
  <si>
    <t>NSE%3AHDIL</t>
  </si>
  <si>
    <t>https://in.tradingview.com/chart/ofQQfXOP/?symbol=NSE%3AGROWWMOM50</t>
  </si>
  <si>
    <t>https://in.tradingview.com/chart/bXJLby4L/?symbol=NSE%3AGROWWMOM50</t>
  </si>
  <si>
    <t>GROWWEV</t>
  </si>
  <si>
    <t>Groww Nifty EV &amp; New Age Automotive ETF</t>
  </si>
  <si>
    <t>NSE%3AHEADSUP</t>
  </si>
  <si>
    <t>https://in.tradingview.com/chart/ofQQfXOP/?symbol=NSE%3AGROWWEV</t>
  </si>
  <si>
    <t>https://in.tradingview.com/chart/bXJLby4L/?symbol=NSE%3AGROWWEV</t>
  </si>
  <si>
    <t>GROWWDEFNC</t>
  </si>
  <si>
    <t>Groww Nifty India Defence ETF</t>
  </si>
  <si>
    <t>NSE%3AHEALTHADD</t>
  </si>
  <si>
    <t>https://in.tradingview.com/chart/ofQQfXOP/?symbol=NSE%3AGROWWDEFNC</t>
  </si>
  <si>
    <t>https://in.tradingview.com/chart/bXJLby4L/?symbol=NSE%3AGROWWDEFNC</t>
  </si>
  <si>
    <t>GROWWNET</t>
  </si>
  <si>
    <t>Groww Nifty India Internet ETF</t>
  </si>
  <si>
    <t>NSE%3AHEALTHIETF</t>
  </si>
  <si>
    <t>https://in.tradingview.com/chart/ofQQfXOP/?symbol=NSE%3AGROWWNET</t>
  </si>
  <si>
    <t>https://in.tradingview.com/chart/bXJLby4L/?symbol=NSE%3AGROWWNET</t>
  </si>
  <si>
    <t>GROWWRAIL</t>
  </si>
  <si>
    <t>Groww Nifty India Railways PSU ETF</t>
  </si>
  <si>
    <t>NSE%3AHEALTHY</t>
  </si>
  <si>
    <t>https://in.tradingview.com/chart/ofQQfXOP/?symbol=NSE%3AGROWWRAIL</t>
  </si>
  <si>
    <t>https://in.tradingview.com/chart/bXJLby4L/?symbol=NSE%3AGROWWRAIL</t>
  </si>
  <si>
    <t>GROWWMC150</t>
  </si>
  <si>
    <t>Groww Nifty Midcap 150 ETF</t>
  </si>
  <si>
    <t>NSE%3AHECPROJECT</t>
  </si>
  <si>
    <t>https://in.tradingview.com/chart/ofQQfXOP/?symbol=NSE%3AGROWWMC150</t>
  </si>
  <si>
    <t>https://in.tradingview.com/chart/bXJLby4L/?symbol=NSE%3AGROWWMC150</t>
  </si>
  <si>
    <t>GROWWNXT50</t>
  </si>
  <si>
    <t>Groww Nifty Next 50 ETF</t>
  </si>
  <si>
    <t>NSE%3AHEG</t>
  </si>
  <si>
    <t>https://in.tradingview.com/chart/ofQQfXOP/?symbol=NSE%3AGROWWNXT50</t>
  </si>
  <si>
    <t>https://in.tradingview.com/chart/bXJLby4L/?symbol=NSE%3AGROWWNXT50</t>
  </si>
  <si>
    <t>GROWWRLTY</t>
  </si>
  <si>
    <t>Groww Nifty Realty ETF</t>
  </si>
  <si>
    <t>NSE%3AHEIDELBERG</t>
  </si>
  <si>
    <t>https://in.tradingview.com/chart/ofQQfXOP/?symbol=NSE%3AGROWWRLTY</t>
  </si>
  <si>
    <t>https://in.tradingview.com/chart/bXJLby4L/?symbol=NSE%3AGROWWRLTY</t>
  </si>
  <si>
    <t>GROWWSC250</t>
  </si>
  <si>
    <t>Groww Nifty Smallcap 250 ETF</t>
  </si>
  <si>
    <t>NSE%3AHEMIPROP</t>
  </si>
  <si>
    <t>https://in.tradingview.com/chart/ofQQfXOP/?symbol=NSE%3AGROWWSC250</t>
  </si>
  <si>
    <t>https://in.tradingview.com/chart/bXJLby4L/?symbol=NSE%3AGROWWSC250</t>
  </si>
  <si>
    <t>GROWWNIFTY</t>
  </si>
  <si>
    <t>NSE%3AHERANBA</t>
  </si>
  <si>
    <t>https://in.tradingview.com/chart/ofQQfXOP/?symbol=NSE%3AGROWWNIFTY</t>
  </si>
  <si>
    <t>https://in.tradingview.com/chart/bXJLby4L/?symbol=NSE%3AGROWWNIFTY</t>
  </si>
  <si>
    <t>GROWWSLVR</t>
  </si>
  <si>
    <t>NSE%3AHERCULES</t>
  </si>
  <si>
    <t>https://in.tradingview.com/chart/ofQQfXOP/?symbol=NSE%3AGROWWSLVR</t>
  </si>
  <si>
    <t>https://in.tradingview.com/chart/bXJLby4L/?symbol=NSE%3AGROWWSLVR</t>
  </si>
  <si>
    <t>GRPLTD</t>
  </si>
  <si>
    <t>Grp Limited</t>
  </si>
  <si>
    <t>NSE%3AHERITGFOOD</t>
  </si>
  <si>
    <t>https://in.tradingview.com/chart/ofQQfXOP/?symbol=NSE%3AGRPLTD</t>
  </si>
  <si>
    <t>https://in.tradingview.com/chart/bXJLby4L/?symbol=NSE%3AGRPLTD</t>
  </si>
  <si>
    <t>GSS</t>
  </si>
  <si>
    <t>Gss Infotech Limited</t>
  </si>
  <si>
    <t>NSE%3AHEROMOTOCO</t>
  </si>
  <si>
    <t>https://in.tradingview.com/chart/ofQQfXOP/?symbol=NSE%3AGSS</t>
  </si>
  <si>
    <t>https://in.tradingview.com/chart/bXJLby4L/?symbol=NSE%3AGSS</t>
  </si>
  <si>
    <t>GTL</t>
  </si>
  <si>
    <t>Gtl Limited</t>
  </si>
  <si>
    <t>NSE%3AHESTERBIO</t>
  </si>
  <si>
    <t>https://in.tradingview.com/chart/ofQQfXOP/?symbol=NSE%3AGTL</t>
  </si>
  <si>
    <t>https://in.tradingview.com/chart/bXJLby4L/?symbol=NSE%3AGTL</t>
  </si>
  <si>
    <t>GTPL</t>
  </si>
  <si>
    <t>GTPL Hathway</t>
  </si>
  <si>
    <t>NSE%3AHEUBACHIND</t>
  </si>
  <si>
    <t>https://in.tradingview.com/chart/ofQQfXOP/?symbol=NSE%3AGTPL</t>
  </si>
  <si>
    <t>https://in.tradingview.com/chart/bXJLby4L/?symbol=NSE%3AGTPL</t>
  </si>
  <si>
    <t>GUFICBIO</t>
  </si>
  <si>
    <t>Gufic Biosciences Limited</t>
  </si>
  <si>
    <t>NSE%3AHEXATRADEX</t>
  </si>
  <si>
    <t>https://in.tradingview.com/chart/ofQQfXOP/?symbol=NSE%3AGUFICBIO</t>
  </si>
  <si>
    <t>https://in.tradingview.com/chart/bXJLby4L/?symbol=NSE%3AGUFICBIO</t>
  </si>
  <si>
    <t>GUJALKALI</t>
  </si>
  <si>
    <t>Gujarat Alkalies And Chemicals Limited</t>
  </si>
  <si>
    <t>NSE%3AHEXT</t>
  </si>
  <si>
    <t>https://in.tradingview.com/chart/ofQQfXOP/?symbol=NSE%3AGUJALKALI</t>
  </si>
  <si>
    <t>https://in.tradingview.com/chart/bXJLby4L/?symbol=NSE%3AGUJALKALI</t>
  </si>
  <si>
    <t>GAEL</t>
  </si>
  <si>
    <t>Gujarat Ambuja Exports Limited</t>
  </si>
  <si>
    <t>NSE%3AHFCL</t>
  </si>
  <si>
    <t>https://in.tradingview.com/chart/ofQQfXOP/?symbol=NSE%3AGAEL</t>
  </si>
  <si>
    <t>https://in.tradingview.com/chart/bXJLby4L/?symbol=NSE%3AGAEL</t>
  </si>
  <si>
    <t>GUJAPOLLO</t>
  </si>
  <si>
    <t>Gujarat Apollo Industries Limited</t>
  </si>
  <si>
    <t>NSE%3AHGINFRA</t>
  </si>
  <si>
    <t>https://in.tradingview.com/chart/ofQQfXOP/?symbol=NSE%3AGUJAPOLLO</t>
  </si>
  <si>
    <t>https://in.tradingview.com/chart/bXJLby4L/?symbol=NSE%3AGUJAPOLLO</t>
  </si>
  <si>
    <t>FLUOROCHEM</t>
  </si>
  <si>
    <t>Gujarat Fluorochemicals Ltd</t>
  </si>
  <si>
    <t>NSE%3AHGS</t>
  </si>
  <si>
    <t>https://in.tradingview.com/chart/ofQQfXOP/?symbol=NSE%3AFLUOROCHEM</t>
  </si>
  <si>
    <t>https://in.tradingview.com/chart/bXJLby4L/?symbol=NSE%3AFLUOROCHEM</t>
  </si>
  <si>
    <t>GUJGASLTD</t>
  </si>
  <si>
    <t>Gujarat Gas Limited</t>
  </si>
  <si>
    <t>NSE%3AHIKAL</t>
  </si>
  <si>
    <t>https://in.tradingview.com/chart/ofQQfXOP/?symbol=NSE%3AGUJGASLTD</t>
  </si>
  <si>
    <t>https://in.tradingview.com/chart/bXJLby4L/?symbol=NSE%3AGUJGASLTD</t>
  </si>
  <si>
    <t>GIPCL</t>
  </si>
  <si>
    <t>Gujarat Industries Power Company Limited</t>
  </si>
  <si>
    <t>NSE%3AHILTON</t>
  </si>
  <si>
    <t>https://in.tradingview.com/chart/ofQQfXOP/?symbol=NSE%3AGIPCL</t>
  </si>
  <si>
    <t>https://in.tradingview.com/chart/bXJLby4L/?symbol=NSE%3AGIPCL</t>
  </si>
  <si>
    <t>GMDCLTD</t>
  </si>
  <si>
    <t>Gujarat Mineral Development Corporation Limited</t>
  </si>
  <si>
    <t>NSE%3AHIMATSEIDE</t>
  </si>
  <si>
    <t>https://in.tradingview.com/chart/ofQQfXOP/?symbol=NSE%3AGMDCLTD</t>
  </si>
  <si>
    <t>https://in.tradingview.com/chart/bXJLby4L/?symbol=NSE%3AGMDCLTD</t>
  </si>
  <si>
    <t>GNFC</t>
  </si>
  <si>
    <t>Gujarat Narmada Valley Fertilizers And Chemicals Limited</t>
  </si>
  <si>
    <t>NSE%3AHINDALCO</t>
  </si>
  <si>
    <t>https://in.tradingview.com/chart/ofQQfXOP/?symbol=NSE%3AGNFC</t>
  </si>
  <si>
    <t>https://in.tradingview.com/chart/bXJLby4L/?symbol=NSE%3AGNFC</t>
  </si>
  <si>
    <t>GPPL</t>
  </si>
  <si>
    <t>Gujarat Pipavav Port Limited</t>
  </si>
  <si>
    <t>NSE%3AHINDCOMPOS</t>
  </si>
  <si>
    <t>https://in.tradingview.com/chart/ofQQfXOP/?symbol=NSE%3AGPPL</t>
  </si>
  <si>
    <t>https://in.tradingview.com/chart/bXJLby4L/?symbol=NSE%3AGPPL</t>
  </si>
  <si>
    <t>GUJRAFFIA</t>
  </si>
  <si>
    <t>Gujarat Raffia Industries Ltd</t>
  </si>
  <si>
    <t>NSE%3AHINDCON</t>
  </si>
  <si>
    <t>https://in.tradingview.com/chart/ofQQfXOP/?symbol=NSE%3AGUJRAFFIA</t>
  </si>
  <si>
    <t>https://in.tradingview.com/chart/bXJLby4L/?symbol=NSE%3AGUJRAFFIA</t>
  </si>
  <si>
    <t>GSFC</t>
  </si>
  <si>
    <t>Gujarat State Fertilizers &amp; Chemicals Limited</t>
  </si>
  <si>
    <t>NSE%3AHINDCOPPER</t>
  </si>
  <si>
    <t>https://in.tradingview.com/chart/ofQQfXOP/?symbol=NSE%3AGSFC</t>
  </si>
  <si>
    <t>https://in.tradingview.com/chart/bXJLby4L/?symbol=NSE%3AGSFC</t>
  </si>
  <si>
    <t>GSPL</t>
  </si>
  <si>
    <t>Gujarat State Petronet Limited</t>
  </si>
  <si>
    <t>NSE%3AHINDOILEXP</t>
  </si>
  <si>
    <t>https://in.tradingview.com/chart/ofQQfXOP/?symbol=NSE%3AGSPL</t>
  </si>
  <si>
    <t>https://in.tradingview.com/chart/bXJLby4L/?symbol=NSE%3AGSPL</t>
  </si>
  <si>
    <t>GUJTHEM</t>
  </si>
  <si>
    <t>Gujarat Themis Biosyn Ltd</t>
  </si>
  <si>
    <t>NSE%3AHINDPETRO</t>
  </si>
  <si>
    <t>https://in.tradingview.com/chart/ofQQfXOP/?symbol=NSE%3AGUJTHEM</t>
  </si>
  <si>
    <t>https://in.tradingview.com/chart/bXJLby4L/?symbol=NSE%3AGUJTHEM</t>
  </si>
  <si>
    <t>GULFOILLUB</t>
  </si>
  <si>
    <t>Gulf Oil Lubricants India Limited</t>
  </si>
  <si>
    <t>NSE%3AHINDUNILVR</t>
  </si>
  <si>
    <t>https://in.tradingview.com/chart/ofQQfXOP/?symbol=NSE%3AGULFOILLUB</t>
  </si>
  <si>
    <t>https://in.tradingview.com/chart/bXJLby4L/?symbol=NSE%3AGULFOILLUB</t>
  </si>
  <si>
    <t>GULPOLY</t>
  </si>
  <si>
    <t>Gulshan Polyols Limited</t>
  </si>
  <si>
    <t>NSE%3AHINDWAREAP</t>
  </si>
  <si>
    <t>https://in.tradingview.com/chart/ofQQfXOP/?symbol=NSE%3AGULPOLY</t>
  </si>
  <si>
    <t>https://in.tradingview.com/chart/bXJLby4L/?symbol=NSE%3AGULPOLY</t>
  </si>
  <si>
    <t>GVPTECH</t>
  </si>
  <si>
    <t>GVP Infotech Ltd</t>
  </si>
  <si>
    <t>NSE%3AHINDZINC</t>
  </si>
  <si>
    <t>https://in.tradingview.com/chart/ofQQfXOP/?symbol=NSE%3AGVPTECH</t>
  </si>
  <si>
    <t>https://in.tradingview.com/chart/bXJLby4L/?symbol=NSE%3AGVPTECH</t>
  </si>
  <si>
    <t>HGINFRA</t>
  </si>
  <si>
    <t>H.G. Infra Engineering Ltd</t>
  </si>
  <si>
    <t>NSE%3AHIRECT</t>
  </si>
  <si>
    <t>https://in.tradingview.com/chart/ofQQfXOP/?symbol=NSE%3AHGINFRA</t>
  </si>
  <si>
    <t>https://in.tradingview.com/chart/bXJLby4L/?symbol=NSE%3AHGINFRA</t>
  </si>
  <si>
    <t>HALEOSLABS</t>
  </si>
  <si>
    <t>Haleos Labs Limited</t>
  </si>
  <si>
    <t>NSE%3AHISARMETAL</t>
  </si>
  <si>
    <t>https://in.tradingview.com/chart/ofQQfXOP/?symbol=NSE%3AHALEOSLABS</t>
  </si>
  <si>
    <t>https://in.tradingview.com/chart/bXJLby4L/?symbol=NSE%3AHALEOSLABS</t>
  </si>
  <si>
    <t>HGM</t>
  </si>
  <si>
    <t>Handson Global Management (HGM) Ltd</t>
  </si>
  <si>
    <t>NSE%3AHITECH</t>
  </si>
  <si>
    <t>https://in.tradingview.com/chart/ofQQfXOP/?symbol=NSE%3AHGM</t>
  </si>
  <si>
    <t>https://in.tradingview.com/chart/bXJLby4L/?symbol=NSE%3AHGM</t>
  </si>
  <si>
    <t>HAPPSTMNDS</t>
  </si>
  <si>
    <t>Happiest Minds Technologies Ltd</t>
  </si>
  <si>
    <t>NSE%3AHITECHCORP</t>
  </si>
  <si>
    <t>https://in.tradingview.com/chart/ofQQfXOP/?symbol=NSE%3AHAPPSTMNDS</t>
  </si>
  <si>
    <t>https://in.tradingview.com/chart/bXJLby4L/?symbol=NSE%3AHAPPSTMNDS</t>
  </si>
  <si>
    <t>HAPPYFORGE</t>
  </si>
  <si>
    <t>Happy Forgings Ltd</t>
  </si>
  <si>
    <t>NSE%3AHITECHGEAR</t>
  </si>
  <si>
    <t>https://in.tradingview.com/chart/ofQQfXOP/?symbol=NSE%3AHAPPYFORGE</t>
  </si>
  <si>
    <t>https://in.tradingview.com/chart/bXJLby4L/?symbol=NSE%3AHAPPYFORGE</t>
  </si>
  <si>
    <t>HARDWYN</t>
  </si>
  <si>
    <t>Hardwyn India Ltd</t>
  </si>
  <si>
    <t>NSE%3AHLEGLAS</t>
  </si>
  <si>
    <t>https://in.tradingview.com/chart/ofQQfXOP/?symbol=NSE%3AHARDWYN</t>
  </si>
  <si>
    <t>https://in.tradingview.com/chart/bXJLby4L/?symbol=NSE%3AHARDWYN</t>
  </si>
  <si>
    <t>HARIOMPIPE</t>
  </si>
  <si>
    <t>Hariom Pipe Industries Ltd</t>
  </si>
  <si>
    <t>NSE%3AHLVLTD</t>
  </si>
  <si>
    <t>https://in.tradingview.com/chart/ofQQfXOP/?symbol=NSE%3AHARIOMPIPE</t>
  </si>
  <si>
    <t>https://in.tradingview.com/chart/bXJLby4L/?symbol=NSE%3AHARIOMPIPE</t>
  </si>
  <si>
    <t>HARRMALAYA</t>
  </si>
  <si>
    <t>Harrisons  Malayalam Limited</t>
  </si>
  <si>
    <t>NSE%3AHMAAGRO</t>
  </si>
  <si>
    <t>https://in.tradingview.com/chart/ofQQfXOP/?symbol=NSE%3AHARRMALAYA</t>
  </si>
  <si>
    <t>https://in.tradingview.com/chart/bXJLby4L/?symbol=NSE%3AHARRMALAYA</t>
  </si>
  <si>
    <t>HARSHA</t>
  </si>
  <si>
    <t>Harsha Engineers International Ltd</t>
  </si>
  <si>
    <t>NSE%3AHMT</t>
  </si>
  <si>
    <t>https://in.tradingview.com/chart/ofQQfXOP/?symbol=NSE%3AHARSHA</t>
  </si>
  <si>
    <t>https://in.tradingview.com/chart/bXJLby4L/?symbol=NSE%3AHARSHA</t>
  </si>
  <si>
    <t>HATHWAY</t>
  </si>
  <si>
    <t>Hathway Cable &amp; Datacom Limited</t>
  </si>
  <si>
    <t>NSE%3AHMVL</t>
  </si>
  <si>
    <t>https://in.tradingview.com/chart/ofQQfXOP/?symbol=NSE%3AHATHWAY</t>
  </si>
  <si>
    <t>https://in.tradingview.com/chart/bXJLby4L/?symbol=NSE%3AHATHWAY</t>
  </si>
  <si>
    <t>HATSUN</t>
  </si>
  <si>
    <t>Hatsun Agro Product Limited</t>
  </si>
  <si>
    <t>NSE%3AHNDFDS</t>
  </si>
  <si>
    <t>https://in.tradingview.com/chart/ofQQfXOP/?symbol=NSE%3AHATSUN</t>
  </si>
  <si>
    <t>https://in.tradingview.com/chart/bXJLby4L/?symbol=NSE%3AHATSUN</t>
  </si>
  <si>
    <t>HAVELLS</t>
  </si>
  <si>
    <t>Havells India Limited</t>
  </si>
  <si>
    <t>NSE%3AHNGSNGBEES</t>
  </si>
  <si>
    <t>https://in.tradingview.com/chart/ofQQfXOP/?symbol=NSE%3AHAVELLS</t>
  </si>
  <si>
    <t>https://in.tradingview.com/chart/bXJLby4L/?symbol=NSE%3AHAVELLS</t>
  </si>
  <si>
    <t>HBSL</t>
  </si>
  <si>
    <t>HB Stockholdings Ltd</t>
  </si>
  <si>
    <t>NSE%3AHOMEFIRST</t>
  </si>
  <si>
    <t>https://in.tradingview.com/chart/ofQQfXOP/?symbol=NSE%3AHBSL</t>
  </si>
  <si>
    <t>https://in.tradingview.com/chart/bXJLby4L/?symbol=NSE%3AHBSL</t>
  </si>
  <si>
    <t>HBLENGINE</t>
  </si>
  <si>
    <t>HBL Engineering Ltd</t>
  </si>
  <si>
    <t>NSE%3AHONASA</t>
  </si>
  <si>
    <t>https://in.tradingview.com/chart/ofQQfXOP/?symbol=NSE%3AHBLENGINE</t>
  </si>
  <si>
    <t>https://in.tradingview.com/chart/bXJLby4L/?symbol=NSE%3AHBLENGINE</t>
  </si>
  <si>
    <t>HCL-INSYS</t>
  </si>
  <si>
    <t>Hcl Infosystems Limited</t>
  </si>
  <si>
    <t>NSE%3AHONAUT</t>
  </si>
  <si>
    <t>https://in.tradingview.com/chart/ofQQfXOP/?symbol=NSE%3AHCL-INSYS</t>
  </si>
  <si>
    <t>https://in.tradingview.com/chart/bXJLby4L/?symbol=NSE%3AHCL-INSYS</t>
  </si>
  <si>
    <t>HCLTECH</t>
  </si>
  <si>
    <t>Hcl Technologies Limited</t>
  </si>
  <si>
    <t>NSE%3AHONDAPOWER</t>
  </si>
  <si>
    <t>https://in.tradingview.com/chart/ofQQfXOP/?symbol=NSE%3AHCLTECH</t>
  </si>
  <si>
    <t>https://in.tradingview.com/chart/bXJLby4L/?symbol=NSE%3AHCLTECH</t>
  </si>
  <si>
    <t>HDBFS</t>
  </si>
  <si>
    <t>HDB Financial Services Ltd</t>
  </si>
  <si>
    <t>NSE%3AHPAL</t>
  </si>
  <si>
    <t>https://in.tradingview.com/chart/ofQQfXOP/?symbol=NSE%3AHDBFS</t>
  </si>
  <si>
    <t>https://in.tradingview.com/chart/bXJLby4L/?symbol=NSE%3AHDBFS</t>
  </si>
  <si>
    <t>HDFCAMC</t>
  </si>
  <si>
    <t>HDFC Asset Management Company Ltd</t>
  </si>
  <si>
    <t>NSE%3AHPIL</t>
  </si>
  <si>
    <t>https://in.tradingview.com/chart/ofQQfXOP/?symbol=NSE%3AHDFCAMC</t>
  </si>
  <si>
    <t>https://in.tradingview.com/chart/bXJLby4L/?symbol=NSE%3AHDFCAMC</t>
  </si>
  <si>
    <t>HDFCBANK</t>
  </si>
  <si>
    <t>Hdfc Bank Limited</t>
  </si>
  <si>
    <t>NSE%3AHPL</t>
  </si>
  <si>
    <t>https://in.tradingview.com/chart/ofQQfXOP/?symbol=NSE%3AHDFCBANK</t>
  </si>
  <si>
    <t>https://in.tradingview.com/chart/bXJLby4L/?symbol=NSE%3AHDFCBANK</t>
  </si>
  <si>
    <t>HDFCGOLD</t>
  </si>
  <si>
    <t>HDFC Gold ETF</t>
  </si>
  <si>
    <t>NSE%3AHSCL</t>
  </si>
  <si>
    <t>https://in.tradingview.com/chart/ofQQfXOP/?symbol=NSE%3AHDFCGOLD</t>
  </si>
  <si>
    <t>https://in.tradingview.com/chart/bXJLby4L/?symbol=NSE%3AHDFCGOLD</t>
  </si>
  <si>
    <t>HDFCLIFE</t>
  </si>
  <si>
    <t>HDFC Life Insurance Company Ltd</t>
  </si>
  <si>
    <t>NSE%3AHTMEDIA</t>
  </si>
  <si>
    <t>https://in.tradingview.com/chart/ofQQfXOP/?symbol=NSE%3AHDFCLIFE</t>
  </si>
  <si>
    <t>https://in.tradingview.com/chart/bXJLby4L/?symbol=NSE%3AHDFCLIFE</t>
  </si>
  <si>
    <t>HDFCNIF100</t>
  </si>
  <si>
    <t>HDFC Nifty 100 ETF</t>
  </si>
  <si>
    <t>NSE%3AHUBTOWN</t>
  </si>
  <si>
    <t>https://in.tradingview.com/chart/ofQQfXOP/?symbol=NSE%3AHDFCNIF100</t>
  </si>
  <si>
    <t>https://in.tradingview.com/chart/bXJLby4L/?symbol=NSE%3AHDFCNIF100</t>
  </si>
  <si>
    <t>HDFCLOWVOL</t>
  </si>
  <si>
    <t>HDFC Nifty 100 Low Volatility 30 ETF</t>
  </si>
  <si>
    <t>NSE%3AHUDCO</t>
  </si>
  <si>
    <t>https://in.tradingview.com/chart/ofQQfXOP/?symbol=NSE%3AHDFCLOWVOL</t>
  </si>
  <si>
    <t>https://in.tradingview.com/chart/bXJLby4L/?symbol=NSE%3AHDFCLOWVOL</t>
  </si>
  <si>
    <t>HDFCQUAL</t>
  </si>
  <si>
    <t>HDFC Nifty 100 Quality 30 ETF</t>
  </si>
  <si>
    <t>NSE%3AHUHTAMAKI</t>
  </si>
  <si>
    <t>https://in.tradingview.com/chart/ofQQfXOP/?symbol=NSE%3AHDFCQUAL</t>
  </si>
  <si>
    <t>https://in.tradingview.com/chart/bXJLby4L/?symbol=NSE%3AHDFCQUAL</t>
  </si>
  <si>
    <t>HDFCLIQUID</t>
  </si>
  <si>
    <t>HDFC Nifty 1D Rate Liquid ETF</t>
  </si>
  <si>
    <t>NSE%3AHYBRIDFIN</t>
  </si>
  <si>
    <t>https://in.tradingview.com/chart/ofQQfXOP/?symbol=NSE%3AHDFCLIQUID</t>
  </si>
  <si>
    <t>https://in.tradingview.com/chart/bXJLby4L/?symbol=NSE%3AHDFCLIQUID</t>
  </si>
  <si>
    <t>HDFCMOMENT</t>
  </si>
  <si>
    <t>HDFC Nifty 200 Momentum 30 ETF</t>
  </si>
  <si>
    <t>NSE%3AHYUNDAI</t>
  </si>
  <si>
    <t>https://in.tradingview.com/chart/ofQQfXOP/?symbol=NSE%3AHDFCMOMENT</t>
  </si>
  <si>
    <t>https://in.tradingview.com/chart/bXJLby4L/?symbol=NSE%3AHDFCMOMENT</t>
  </si>
  <si>
    <t>HDFCVALUE</t>
  </si>
  <si>
    <t>HDFC Nifty 50 Value 20 ETF</t>
  </si>
  <si>
    <t>NSE%3AICDSLTD</t>
  </si>
  <si>
    <t>https://in.tradingview.com/chart/ofQQfXOP/?symbol=NSE%3AHDFCVALUE</t>
  </si>
  <si>
    <t>https://in.tradingview.com/chart/bXJLby4L/?symbol=NSE%3AHDFCVALUE</t>
  </si>
  <si>
    <t>HDFCNIFBAN</t>
  </si>
  <si>
    <t>HDFC Nifty Banking ETF</t>
  </si>
  <si>
    <t>NSE%3AICEMAKE</t>
  </si>
  <si>
    <t>https://in.tradingview.com/chart/ofQQfXOP/?symbol=NSE%3AHDFCNIFBAN</t>
  </si>
  <si>
    <t>https://in.tradingview.com/chart/bXJLby4L/?symbol=NSE%3AHDFCNIFBAN</t>
  </si>
  <si>
    <t>HDFCGROWTH</t>
  </si>
  <si>
    <t>HDFC Nifty Growth Sectors 15 ETF</t>
  </si>
  <si>
    <t>NSE%3AICICIB22</t>
  </si>
  <si>
    <t>https://in.tradingview.com/chart/ofQQfXOP/?symbol=NSE%3AHDFCGROWTH</t>
  </si>
  <si>
    <t>https://in.tradingview.com/chart/bXJLby4L/?symbol=NSE%3AHDFCGROWTH</t>
  </si>
  <si>
    <t>HDFCNIFIT</t>
  </si>
  <si>
    <t>HDFC Nifty IT ETF</t>
  </si>
  <si>
    <t>NSE%3AICICIBANK</t>
  </si>
  <si>
    <t>https://in.tradingview.com/chart/ofQQfXOP/?symbol=NSE%3AHDFCNIFIT</t>
  </si>
  <si>
    <t>https://in.tradingview.com/chart/bXJLby4L/?symbol=NSE%3AHDFCNIFIT</t>
  </si>
  <si>
    <t>HDFCMID150</t>
  </si>
  <si>
    <t>HDFC Nifty Midcap 150 ETF</t>
  </si>
  <si>
    <t>NSE%3AICICIGI</t>
  </si>
  <si>
    <t>https://in.tradingview.com/chart/ofQQfXOP/?symbol=NSE%3AHDFCMID150</t>
  </si>
  <si>
    <t>https://in.tradingview.com/chart/bXJLby4L/?symbol=NSE%3AHDFCMID150</t>
  </si>
  <si>
    <t>HDFCNEXT50</t>
  </si>
  <si>
    <t>HDFC Nifty Next 50 ETF</t>
  </si>
  <si>
    <t>NSE%3AICICIPRULI</t>
  </si>
  <si>
    <t>https://in.tradingview.com/chart/ofQQfXOP/?symbol=NSE%3AHDFCNEXT50</t>
  </si>
  <si>
    <t>https://in.tradingview.com/chart/bXJLby4L/?symbol=NSE%3AHDFCNEXT50</t>
  </si>
  <si>
    <t>HDFCPVTBAN</t>
  </si>
  <si>
    <t>HDFC Nifty Private Bank ETF</t>
  </si>
  <si>
    <t>NSE%3AICIL</t>
  </si>
  <si>
    <t>https://in.tradingview.com/chart/ofQQfXOP/?symbol=NSE%3AHDFCPVTBAN</t>
  </si>
  <si>
    <t>https://in.tradingview.com/chart/bXJLby4L/?symbol=NSE%3AHDFCPVTBAN</t>
  </si>
  <si>
    <t>HDFCPSUBK</t>
  </si>
  <si>
    <t>HDFC Nifty PSU Bank ETF</t>
  </si>
  <si>
    <t>NSE%3AICRA</t>
  </si>
  <si>
    <t>https://in.tradingview.com/chart/ofQQfXOP/?symbol=NSE%3AHDFCPSUBK</t>
  </si>
  <si>
    <t>https://in.tradingview.com/chart/bXJLby4L/?symbol=NSE%3AHDFCPSUBK</t>
  </si>
  <si>
    <t>HDFCSML250</t>
  </si>
  <si>
    <t>HDFC Nifty Small Cap 250 ETF</t>
  </si>
  <si>
    <t>NSE%3AIDBI</t>
  </si>
  <si>
    <t>https://in.tradingview.com/chart/ofQQfXOP/?symbol=NSE%3AHDFCSML250</t>
  </si>
  <si>
    <t>https://in.tradingview.com/chart/bXJLby4L/?symbol=NSE%3AHDFCSML250</t>
  </si>
  <si>
    <t>HDFCBSE500</t>
  </si>
  <si>
    <t>HDFC S &amp; P BSE 500 ETF</t>
  </si>
  <si>
    <t>NSE%3AIDEA</t>
  </si>
  <si>
    <t>https://in.tradingview.com/chart/ofQQfXOP/?symbol=NSE%3AHDFCBSE500</t>
  </si>
  <si>
    <t>https://in.tradingview.com/chart/bXJLby4L/?symbol=NSE%3AHDFCBSE500</t>
  </si>
  <si>
    <t>HDFCSENSEX</t>
  </si>
  <si>
    <t>HDFC S&amp;P BSE Sensex ETF</t>
  </si>
  <si>
    <t>NSE%3AIDEAFORGE</t>
  </si>
  <si>
    <t>https://in.tradingview.com/chart/ofQQfXOP/?symbol=NSE%3AHDFCSENSEX</t>
  </si>
  <si>
    <t>https://in.tradingview.com/chart/bXJLby4L/?symbol=NSE%3AHDFCSENSEX</t>
  </si>
  <si>
    <t>HDFCSILVER</t>
  </si>
  <si>
    <t>HDFC Silver ETF</t>
  </si>
  <si>
    <t>NSE%3AIDFCFIRSTB</t>
  </si>
  <si>
    <t>https://in.tradingview.com/chart/ofQQfXOP/?symbol=NSE%3AHDFCSILVER</t>
  </si>
  <si>
    <t>https://in.tradingview.com/chart/bXJLby4L/?symbol=NSE%3AHDFCSILVER</t>
  </si>
  <si>
    <t>HDFCNIFTY</t>
  </si>
  <si>
    <t>NSE%3AIDFNIFTYET</t>
  </si>
  <si>
    <t>https://in.tradingview.com/chart/ofQQfXOP/?symbol=NSE%3AHDFCNIFTY</t>
  </si>
  <si>
    <t>https://in.tradingview.com/chart/bXJLby4L/?symbol=NSE%3AHDFCNIFTY</t>
  </si>
  <si>
    <t>HEADSUP</t>
  </si>
  <si>
    <t>Heads UP Ventures Ltd</t>
  </si>
  <si>
    <t>NSE%3AIEX</t>
  </si>
  <si>
    <t>https://in.tradingview.com/chart/ofQQfXOP/?symbol=NSE%3AHEADSUP</t>
  </si>
  <si>
    <t>https://in.tradingview.com/chart/bXJLby4L/?symbol=NSE%3AHEADSUP</t>
  </si>
  <si>
    <t>HCG</t>
  </si>
  <si>
    <t>Healthcare Global Enterprises Limited</t>
  </si>
  <si>
    <t>NSE%3AIFBAGRO</t>
  </si>
  <si>
    <t>https://in.tradingview.com/chart/ofQQfXOP/?symbol=NSE%3AHCG</t>
  </si>
  <si>
    <t>https://in.tradingview.com/chart/bXJLby4L/?symbol=NSE%3AHCG</t>
  </si>
  <si>
    <t>HECPROJECT</t>
  </si>
  <si>
    <t>HEC Infra Projects Ltd</t>
  </si>
  <si>
    <t>NSE%3AIFBIND</t>
  </si>
  <si>
    <t>https://in.tradingview.com/chart/ofQQfXOP/?symbol=NSE%3AHECPROJECT</t>
  </si>
  <si>
    <t>https://in.tradingview.com/chart/bXJLby4L/?symbol=NSE%3AHECPROJECT</t>
  </si>
  <si>
    <t>HEG</t>
  </si>
  <si>
    <t>Heg Limited</t>
  </si>
  <si>
    <t>NSE%3AIFCI</t>
  </si>
  <si>
    <t>https://in.tradingview.com/chart/ofQQfXOP/?symbol=NSE%3AHEG</t>
  </si>
  <si>
    <t>https://in.tradingview.com/chart/bXJLby4L/?symbol=NSE%3AHEG</t>
  </si>
  <si>
    <t>HEIDELBERG</t>
  </si>
  <si>
    <t>Heidelbergcement India Limited</t>
  </si>
  <si>
    <t>NSE%3AIFGLEXPOR</t>
  </si>
  <si>
    <t>https://in.tradingview.com/chart/ofQQfXOP/?symbol=NSE%3AHEIDELBERG</t>
  </si>
  <si>
    <t>https://in.tradingview.com/chart/bXJLby4L/?symbol=NSE%3AHEIDELBERG</t>
  </si>
  <si>
    <t>HEMIPROP</t>
  </si>
  <si>
    <t>Hemisphere Properties India Ltd</t>
  </si>
  <si>
    <t>NSE%3AIGARASHI</t>
  </si>
  <si>
    <t>https://in.tradingview.com/chart/ofQQfXOP/?symbol=NSE%3AHEMIPROP</t>
  </si>
  <si>
    <t>https://in.tradingview.com/chart/bXJLby4L/?symbol=NSE%3AHEMIPROP</t>
  </si>
  <si>
    <t>HERANBA</t>
  </si>
  <si>
    <t>Heranba Industries Ltd</t>
  </si>
  <si>
    <t>NSE%3AIGIL</t>
  </si>
  <si>
    <t>https://in.tradingview.com/chart/ofQQfXOP/?symbol=NSE%3AHERANBA</t>
  </si>
  <si>
    <t>https://in.tradingview.com/chart/bXJLby4L/?symbol=NSE%3AHERANBA</t>
  </si>
  <si>
    <t>HERCULES</t>
  </si>
  <si>
    <t>Hercules Hoists Limited</t>
  </si>
  <si>
    <t>NSE%3AIGL</t>
  </si>
  <si>
    <t>https://in.tradingview.com/chart/ofQQfXOP/?symbol=NSE%3AHERCULES</t>
  </si>
  <si>
    <t>https://in.tradingview.com/chart/bXJLby4L/?symbol=NSE%3AHERCULES</t>
  </si>
  <si>
    <t>HERITGFOOD</t>
  </si>
  <si>
    <t>Heritage Foods Limited</t>
  </si>
  <si>
    <t>NSE%3AIGPL</t>
  </si>
  <si>
    <t>https://in.tradingview.com/chart/ofQQfXOP/?symbol=NSE%3AHERITGFOOD</t>
  </si>
  <si>
    <t>https://in.tradingview.com/chart/bXJLby4L/?symbol=NSE%3AHERITGFOOD</t>
  </si>
  <si>
    <t>HEROMOTOCO</t>
  </si>
  <si>
    <t>Hero Motocorp Limited</t>
  </si>
  <si>
    <t>NSE%3AIIFL</t>
  </si>
  <si>
    <t>https://in.tradingview.com/chart/ofQQfXOP/?symbol=NSE%3AHEROMOTOCO</t>
  </si>
  <si>
    <t>https://in.tradingview.com/chart/bXJLby4L/?symbol=NSE%3AHEROMOTOCO</t>
  </si>
  <si>
    <t>HESTERBIO</t>
  </si>
  <si>
    <t>Hester Biosciences Limited</t>
  </si>
  <si>
    <t>NSE%3AIIFLCAPS</t>
  </si>
  <si>
    <t>https://in.tradingview.com/chart/ofQQfXOP/?symbol=NSE%3AHESTERBIO</t>
  </si>
  <si>
    <t>https://in.tradingview.com/chart/bXJLby4L/?symbol=NSE%3AHESTERBIO</t>
  </si>
  <si>
    <t>HEUBACHIND</t>
  </si>
  <si>
    <t>Heubach Colorants India Ltd</t>
  </si>
  <si>
    <t>NSE%3AIITL</t>
  </si>
  <si>
    <t>https://in.tradingview.com/chart/ofQQfXOP/?symbol=NSE%3AHEUBACHIND</t>
  </si>
  <si>
    <t>https://in.tradingview.com/chart/bXJLby4L/?symbol=NSE%3AHEUBACHIND</t>
  </si>
  <si>
    <t>HEXATRADEX</t>
  </si>
  <si>
    <t>Hexa Tradex Limited</t>
  </si>
  <si>
    <t>NSE%3AIKIO</t>
  </si>
  <si>
    <t>https://in.tradingview.com/chart/ofQQfXOP/?symbol=NSE%3AHEXATRADEX</t>
  </si>
  <si>
    <t>https://in.tradingview.com/chart/bXJLby4L/?symbol=NSE%3AHEXATRADEX</t>
  </si>
  <si>
    <t>HEXT</t>
  </si>
  <si>
    <t>Hexaware Technologies Ltd</t>
  </si>
  <si>
    <t>NSE%3AIKS</t>
  </si>
  <si>
    <t>https://in.tradingview.com/chart/ofQQfXOP/?symbol=NSE%3AHEXT</t>
  </si>
  <si>
    <t>https://in.tradingview.com/chart/bXJLby4L/?symbol=NSE%3AHEXT</t>
  </si>
  <si>
    <t>HITECH</t>
  </si>
  <si>
    <t>Hi-Tech Pipes Ltd</t>
  </si>
  <si>
    <t>NSE%3AIL_FSENGG</t>
  </si>
  <si>
    <t>https://in.tradingview.com/chart/ofQQfXOP/?symbol=NSE%3AHITECH</t>
  </si>
  <si>
    <t>https://in.tradingview.com/chart/bXJLby4L/?symbol=NSE%3AHITECH</t>
  </si>
  <si>
    <t>HIKAL</t>
  </si>
  <si>
    <t>Hikal Limited</t>
  </si>
  <si>
    <t>NSE%3AIL_FSTRANS</t>
  </si>
  <si>
    <t>https://in.tradingview.com/chart/ofQQfXOP/?symbol=NSE%3AHIKAL</t>
  </si>
  <si>
    <t>https://in.tradingview.com/chart/bXJLby4L/?symbol=NSE%3AHIKAL</t>
  </si>
  <si>
    <t>HILINFRA</t>
  </si>
  <si>
    <t>NSE%3AIMAGICAA</t>
  </si>
  <si>
    <t>https://in.tradingview.com/chart/ofQQfXOP/?symbol=NSE%3AHILINFRA</t>
  </si>
  <si>
    <t>https://in.tradingview.com/chart/bXJLby4L/?symbol=NSE%3AHILINFRA</t>
  </si>
  <si>
    <t>HILTON</t>
  </si>
  <si>
    <t>Hilton Metal Forging Limited</t>
  </si>
  <si>
    <t>NSE%3AIMFA</t>
  </si>
  <si>
    <t>https://in.tradingview.com/chart/ofQQfXOP/?symbol=NSE%3AHILTON</t>
  </si>
  <si>
    <t>https://in.tradingview.com/chart/bXJLby4L/?symbol=NSE%3AHILTON</t>
  </si>
  <si>
    <t>HFCL</t>
  </si>
  <si>
    <t>Himachal Futuristic Communications Limited</t>
  </si>
  <si>
    <t>NSE%3AIMPAL</t>
  </si>
  <si>
    <t>https://in.tradingview.com/chart/ofQQfXOP/?symbol=NSE%3AHFCL</t>
  </si>
  <si>
    <t>https://in.tradingview.com/chart/bXJLby4L/?symbol=NSE%3AHFCL</t>
  </si>
  <si>
    <t>HSCL</t>
  </si>
  <si>
    <t>Himadri Speciality Chemical Limited</t>
  </si>
  <si>
    <t>NSE%3AIMPEXFERRO</t>
  </si>
  <si>
    <t>https://in.tradingview.com/chart/ofQQfXOP/?symbol=NSE%3AHSCL</t>
  </si>
  <si>
    <t>https://in.tradingview.com/chart/bXJLby4L/?symbol=NSE%3AHSCL</t>
  </si>
  <si>
    <t>HIMATSEIDE</t>
  </si>
  <si>
    <t>Himatsingka Seide Limited</t>
  </si>
  <si>
    <t>NSE%3AINCREDIBLE</t>
  </si>
  <si>
    <t>https://in.tradingview.com/chart/ofQQfXOP/?symbol=NSE%3AHIMATSEIDE</t>
  </si>
  <si>
    <t>https://in.tradingview.com/chart/bXJLby4L/?symbol=NSE%3AHIMATSEIDE</t>
  </si>
  <si>
    <t>HIRECT</t>
  </si>
  <si>
    <t>Hind Rectifiers Limited</t>
  </si>
  <si>
    <t>NSE%3AINDBANK</t>
  </si>
  <si>
    <t>https://in.tradingview.com/chart/ofQQfXOP/?symbol=NSE%3AHIRECT</t>
  </si>
  <si>
    <t>https://in.tradingview.com/chart/bXJLby4L/?symbol=NSE%3AHIRECT</t>
  </si>
  <si>
    <t>HINDALCO</t>
  </si>
  <si>
    <t>Hindalco Industries Limited</t>
  </si>
  <si>
    <t>NSE%3AINDGN</t>
  </si>
  <si>
    <t>https://in.tradingview.com/chart/ofQQfXOP/?symbol=NSE%3AHINDALCO</t>
  </si>
  <si>
    <t>https://in.tradingview.com/chart/bXJLby4L/?symbol=NSE%3AHINDALCO</t>
  </si>
  <si>
    <t>HINDCON</t>
  </si>
  <si>
    <t>Hindcon Chemicals Ltd</t>
  </si>
  <si>
    <t>NSE%3AINDHOTEL</t>
  </si>
  <si>
    <t>https://in.tradingview.com/chart/ofQQfXOP/?symbol=NSE%3AHINDCON</t>
  </si>
  <si>
    <t>https://in.tradingview.com/chart/bXJLby4L/?symbol=NSE%3AHINDCON</t>
  </si>
  <si>
    <t>HPIL</t>
  </si>
  <si>
    <t>Hindprakash Industries Ltd</t>
  </si>
  <si>
    <t>NSE%3AINDIACEM</t>
  </si>
  <si>
    <t>https://in.tradingview.com/chart/ofQQfXOP/?symbol=NSE%3AHPIL</t>
  </si>
  <si>
    <t>https://in.tradingview.com/chart/bXJLby4L/?symbol=NSE%3AHPIL</t>
  </si>
  <si>
    <t>HGS</t>
  </si>
  <si>
    <t>Hinduja Global Solutions Limited</t>
  </si>
  <si>
    <t>NSE%3AINDIAGLYCO</t>
  </si>
  <si>
    <t>https://in.tradingview.com/chart/ofQQfXOP/?symbol=NSE%3AHGS</t>
  </si>
  <si>
    <t>https://in.tradingview.com/chart/bXJLby4L/?symbol=NSE%3AHGS</t>
  </si>
  <si>
    <t>HAL</t>
  </si>
  <si>
    <t>Hindustan Aeronautics Ltd</t>
  </si>
  <si>
    <t>NSE%3AINDIAMART</t>
  </si>
  <si>
    <t>https://in.tradingview.com/chart/ofQQfXOP/?symbol=NSE%3AHAL</t>
  </si>
  <si>
    <t>https://in.tradingview.com/chart/bXJLby4L/?symbol=NSE%3AHAL</t>
  </si>
  <si>
    <t>HINDCOMPOS</t>
  </si>
  <si>
    <t>Hindustan Composites Limited</t>
  </si>
  <si>
    <t>NSE%3AINDIANB</t>
  </si>
  <si>
    <t>https://in.tradingview.com/chart/ofQQfXOP/?symbol=NSE%3AHINDCOMPOS</t>
  </si>
  <si>
    <t>https://in.tradingview.com/chart/bXJLby4L/?symbol=NSE%3AHINDCOMPOS</t>
  </si>
  <si>
    <t>HCC</t>
  </si>
  <si>
    <t>Hindustan Construction Company Limited</t>
  </si>
  <si>
    <t>NSE%3AINDIANCARD</t>
  </si>
  <si>
    <t>https://in.tradingview.com/chart/ofQQfXOP/?symbol=NSE%3AHCC</t>
  </si>
  <si>
    <t>https://in.tradingview.com/chart/bXJLby4L/?symbol=NSE%3AHCC</t>
  </si>
  <si>
    <t>HINDCOPPER</t>
  </si>
  <si>
    <t>Hindustan Copper Limited</t>
  </si>
  <si>
    <t>NSE%3AINDIANHUME</t>
  </si>
  <si>
    <t>https://in.tradingview.com/chart/ofQQfXOP/?symbol=NSE%3AHINDCOPPER</t>
  </si>
  <si>
    <t>https://in.tradingview.com/chart/bXJLby4L/?symbol=NSE%3AHINDCOPPER</t>
  </si>
  <si>
    <t>HNDFDS</t>
  </si>
  <si>
    <t>Hindustan Foods Ltd</t>
  </si>
  <si>
    <t>NSE%3AINDIASHLTR</t>
  </si>
  <si>
    <t>https://in.tradingview.com/chart/ofQQfXOP/?symbol=NSE%3AHNDFDS</t>
  </si>
  <si>
    <t>https://in.tradingview.com/chart/bXJLby4L/?symbol=NSE%3AHNDFDS</t>
  </si>
  <si>
    <t>HMVL</t>
  </si>
  <si>
    <t>Hindustan Media Ventures Limited</t>
  </si>
  <si>
    <t>NSE%3AINDIGO</t>
  </si>
  <si>
    <t>https://in.tradingview.com/chart/ofQQfXOP/?symbol=NSE%3AHMVL</t>
  </si>
  <si>
    <t>https://in.tradingview.com/chart/bXJLby4L/?symbol=NSE%3AHMVL</t>
  </si>
  <si>
    <t>HINDOILEXP</t>
  </si>
  <si>
    <t>Hindustan Oil Exploration Company Limited</t>
  </si>
  <si>
    <t>NSE%3AINDIGOPNTS</t>
  </si>
  <si>
    <t>https://in.tradingview.com/chart/ofQQfXOP/?symbol=NSE%3AHINDOILEXP</t>
  </si>
  <si>
    <t>https://in.tradingview.com/chart/bXJLby4L/?symbol=NSE%3AHINDOILEXP</t>
  </si>
  <si>
    <t>HINDPETRO</t>
  </si>
  <si>
    <t>Hindustan Petroleum Corporation Limited</t>
  </si>
  <si>
    <t>NSE%3AINDNIPPON</t>
  </si>
  <si>
    <t>https://in.tradingview.com/chart/ofQQfXOP/?symbol=NSE%3AHINDPETRO</t>
  </si>
  <si>
    <t>https://in.tradingview.com/chart/bXJLby4L/?symbol=NSE%3AHINDPETRO</t>
  </si>
  <si>
    <t>HINDUNILVR</t>
  </si>
  <si>
    <t>Hindustan Unilever Limited</t>
  </si>
  <si>
    <t>NSE%3AINDOAMIN</t>
  </si>
  <si>
    <t>https://in.tradingview.com/chart/ofQQfXOP/?symbol=NSE%3AHINDUNILVR</t>
  </si>
  <si>
    <t>https://in.tradingview.com/chart/bXJLby4L/?symbol=NSE%3AHINDUNILVR</t>
  </si>
  <si>
    <t>HINDZINC</t>
  </si>
  <si>
    <t>Hindustan Zinc Limited</t>
  </si>
  <si>
    <t>NSE%3AINDOBORAX</t>
  </si>
  <si>
    <t>https://in.tradingview.com/chart/ofQQfXOP/?symbol=NSE%3AHINDZINC</t>
  </si>
  <si>
    <t>https://in.tradingview.com/chart/bXJLby4L/?symbol=NSE%3AHINDZINC</t>
  </si>
  <si>
    <t>HINDWAREAP</t>
  </si>
  <si>
    <t>Hindware Home Innovation Ltd</t>
  </si>
  <si>
    <t>NSE%3AINDOCO</t>
  </si>
  <si>
    <t>https://in.tradingview.com/chart/ofQQfXOP/?symbol=NSE%3AHINDWAREAP</t>
  </si>
  <si>
    <t>https://in.tradingview.com/chart/bXJLby4L/?symbol=NSE%3AHINDWAREAP</t>
  </si>
  <si>
    <t>HISARMETAL</t>
  </si>
  <si>
    <t>Hisar Metal Industries Ltd</t>
  </si>
  <si>
    <t>NSE%3AINDOFARM</t>
  </si>
  <si>
    <t>https://in.tradingview.com/chart/ofQQfXOP/?symbol=NSE%3AHISARMETAL</t>
  </si>
  <si>
    <t>https://in.tradingview.com/chart/bXJLby4L/?symbol=NSE%3AHISARMETAL</t>
  </si>
  <si>
    <t>POWERINDIA</t>
  </si>
  <si>
    <t>Hitachi Energy India Ltd</t>
  </si>
  <si>
    <t>NSE%3AINDORAMA</t>
  </si>
  <si>
    <t>https://in.tradingview.com/chart/ofQQfXOP/?symbol=NSE%3APOWERINDIA</t>
  </si>
  <si>
    <t>https://in.tradingview.com/chart/bXJLby4L/?symbol=NSE%3APOWERINDIA</t>
  </si>
  <si>
    <t>HITECHCORP</t>
  </si>
  <si>
    <t>Hitech Corporation</t>
  </si>
  <si>
    <t>NSE%3AINDOSTAR</t>
  </si>
  <si>
    <t>https://in.tradingview.com/chart/ofQQfXOP/?symbol=NSE%3AHITECHCORP</t>
  </si>
  <si>
    <t>https://in.tradingview.com/chart/bXJLby4L/?symbol=NSE%3AHITECHCORP</t>
  </si>
  <si>
    <t>HLEGLAS</t>
  </si>
  <si>
    <t>HLE Glascoat Ltd</t>
  </si>
  <si>
    <t>NSE%3AINDOTECH</t>
  </si>
  <si>
    <t>https://in.tradingview.com/chart/ofQQfXOP/?symbol=NSE%3AHLEGLAS</t>
  </si>
  <si>
    <t>https://in.tradingview.com/chart/bXJLby4L/?symbol=NSE%3AHLEGLAS</t>
  </si>
  <si>
    <t>HLVLTD</t>
  </si>
  <si>
    <t>HLV Ltd</t>
  </si>
  <si>
    <t>NSE%3AINDOTHAI</t>
  </si>
  <si>
    <t>https://in.tradingview.com/chart/ofQQfXOP/?symbol=NSE%3AHLVLTD</t>
  </si>
  <si>
    <t>https://in.tradingview.com/chart/bXJLby4L/?symbol=NSE%3AHLVLTD</t>
  </si>
  <si>
    <t>HMAAGRO</t>
  </si>
  <si>
    <t>HMA Agro Industries Ltd</t>
  </si>
  <si>
    <t>NSE%3AINDOUS</t>
  </si>
  <si>
    <t>https://in.tradingview.com/chart/ofQQfXOP/?symbol=NSE%3AHMAAGRO</t>
  </si>
  <si>
    <t>https://in.tradingview.com/chart/bXJLby4L/?symbol=NSE%3AHMAAGRO</t>
  </si>
  <si>
    <t>HMT</t>
  </si>
  <si>
    <t>Hmt Limited</t>
  </si>
  <si>
    <t>NSE%3AINDOWIND</t>
  </si>
  <si>
    <t>https://in.tradingview.com/chart/ofQQfXOP/?symbol=NSE%3AHMT</t>
  </si>
  <si>
    <t>https://in.tradingview.com/chart/bXJLby4L/?symbol=NSE%3AHMT</t>
  </si>
  <si>
    <t>HOMEFIRST</t>
  </si>
  <si>
    <t>Home First Finance Company India Ltd</t>
  </si>
  <si>
    <t>NSE%3AINDRAMEDCO</t>
  </si>
  <si>
    <t>https://in.tradingview.com/chart/ofQQfXOP/?symbol=NSE%3AHOMEFIRST</t>
  </si>
  <si>
    <t>https://in.tradingview.com/chart/bXJLby4L/?symbol=NSE%3AHOMEFIRST</t>
  </si>
  <si>
    <t>HONASA</t>
  </si>
  <si>
    <t>Honasa Consumer Ltd</t>
  </si>
  <si>
    <t>NSE%3AINDTERRAIN</t>
  </si>
  <si>
    <t>https://in.tradingview.com/chart/ofQQfXOP/?symbol=NSE%3AHONASA</t>
  </si>
  <si>
    <t>https://in.tradingview.com/chart/bXJLby4L/?symbol=NSE%3AHONASA</t>
  </si>
  <si>
    <t>HONDAPOWER</t>
  </si>
  <si>
    <t>Honda Siel Power Products Limited</t>
  </si>
  <si>
    <t>NSE%3AINDUSINDBK</t>
  </si>
  <si>
    <t>https://in.tradingview.com/chart/ofQQfXOP/?symbol=NSE%3AHONDAPOWER</t>
  </si>
  <si>
    <t>https://in.tradingview.com/chart/bXJLby4L/?symbol=NSE%3AHONDAPOWER</t>
  </si>
  <si>
    <t>HONAUT</t>
  </si>
  <si>
    <t>Honeywell Automation India Limited</t>
  </si>
  <si>
    <t>NSE%3AINDUSTOWER</t>
  </si>
  <si>
    <t>https://in.tradingview.com/chart/ofQQfXOP/?symbol=NSE%3AHONAUT</t>
  </si>
  <si>
    <t>https://in.tradingview.com/chart/bXJLby4L/?symbol=NSE%3AHONAUT</t>
  </si>
  <si>
    <t>HUDCO</t>
  </si>
  <si>
    <t>Housing and Urban Development Corporation</t>
  </si>
  <si>
    <t>NSE%3AINFIBEAM</t>
  </si>
  <si>
    <t>https://in.tradingview.com/chart/ofQQfXOP/?symbol=NSE%3AHUDCO</t>
  </si>
  <si>
    <t>https://in.tradingview.com/chart/bXJLby4L/?symbol=NSE%3AHUDCO</t>
  </si>
  <si>
    <t>HPAL</t>
  </si>
  <si>
    <t>HP Adhesives Ltd</t>
  </si>
  <si>
    <t>NSE%3AINFOBEAN</t>
  </si>
  <si>
    <t>https://in.tradingview.com/chart/ofQQfXOP/?symbol=NSE%3AHPAL</t>
  </si>
  <si>
    <t>https://in.tradingview.com/chart/bXJLby4L/?symbol=NSE%3AHPAL</t>
  </si>
  <si>
    <t>HPL</t>
  </si>
  <si>
    <t>Hpl Electric &amp; Power Limited</t>
  </si>
  <si>
    <t>NSE%3AINFOMEDIA</t>
  </si>
  <si>
    <t>https://in.tradingview.com/chart/ofQQfXOP/?symbol=NSE%3AHPL</t>
  </si>
  <si>
    <t>https://in.tradingview.com/chart/bXJLby4L/?symbol=NSE%3AHPL</t>
  </si>
  <si>
    <t>HTMEDIA</t>
  </si>
  <si>
    <t>Ht Media Limited</t>
  </si>
  <si>
    <t>NSE%3AINFRABEES</t>
  </si>
  <si>
    <t>https://in.tradingview.com/chart/ofQQfXOP/?symbol=NSE%3AHTMEDIA</t>
  </si>
  <si>
    <t>https://in.tradingview.com/chart/bXJLby4L/?symbol=NSE%3AHTMEDIA</t>
  </si>
  <si>
    <t>HUBTOWN</t>
  </si>
  <si>
    <t>Hubtown Limited</t>
  </si>
  <si>
    <t>NSE%3AINFRAIETF</t>
  </si>
  <si>
    <t>https://in.tradingview.com/chart/ofQQfXOP/?symbol=NSE%3AHUBTOWN</t>
  </si>
  <si>
    <t>https://in.tradingview.com/chart/bXJLby4L/?symbol=NSE%3AHUBTOWN</t>
  </si>
  <si>
    <t>HUHTAMAKI</t>
  </si>
  <si>
    <t>Huhtamaki India Ltd</t>
  </si>
  <si>
    <t>NSE%3AINFY</t>
  </si>
  <si>
    <t>https://in.tradingview.com/chart/ofQQfXOP/?symbol=NSE%3AHUHTAMAKI</t>
  </si>
  <si>
    <t>https://in.tradingview.com/chart/bXJLby4L/?symbol=NSE%3AHUHTAMAKI</t>
  </si>
  <si>
    <t>HYBRIDFIN</t>
  </si>
  <si>
    <t>Hybrid Financial Services Ltd</t>
  </si>
  <si>
    <t>NSE%3AINGERRAND</t>
  </si>
  <si>
    <t>https://in.tradingview.com/chart/ofQQfXOP/?symbol=NSE%3AHYBRIDFIN</t>
  </si>
  <si>
    <t>https://in.tradingview.com/chart/bXJLby4L/?symbol=NSE%3AHYBRIDFIN</t>
  </si>
  <si>
    <t>HYUNDAI</t>
  </si>
  <si>
    <t>Hyundai Motor India Ltd</t>
  </si>
  <si>
    <t>NSE%3AINNOVACAP</t>
  </si>
  <si>
    <t>https://in.tradingview.com/chart/ofQQfXOP/?symbol=NSE%3AHYUNDAI</t>
  </si>
  <si>
    <t>https://in.tradingview.com/chart/bXJLby4L/?symbol=NSE%3AHYUNDAI</t>
  </si>
  <si>
    <t>ICDSLTD</t>
  </si>
  <si>
    <t>ICDS Ltd</t>
  </si>
  <si>
    <t>NSE%3AINNOVANA</t>
  </si>
  <si>
    <t>https://in.tradingview.com/chart/ofQQfXOP/?symbol=NSE%3AICDSLTD</t>
  </si>
  <si>
    <t>https://in.tradingview.com/chart/bXJLby4L/?symbol=NSE%3AICDSLTD</t>
  </si>
  <si>
    <t>ICEMAKE</t>
  </si>
  <si>
    <t>ICE Make Refrigeration Ltd</t>
  </si>
  <si>
    <t>NSE%3AINOXGREEN</t>
  </si>
  <si>
    <t>https://in.tradingview.com/chart/ofQQfXOP/?symbol=NSE%3AICEMAKE</t>
  </si>
  <si>
    <t>https://in.tradingview.com/chart/bXJLby4L/?symbol=NSE%3AICEMAKE</t>
  </si>
  <si>
    <t>ICICIBANK</t>
  </si>
  <si>
    <t>Icici Bank Limited</t>
  </si>
  <si>
    <t>NSE%3AINOXINDIA</t>
  </si>
  <si>
    <t>https://in.tradingview.com/chart/ofQQfXOP/?symbol=NSE%3AICICIBANK</t>
  </si>
  <si>
    <t>https://in.tradingview.com/chart/bXJLby4L/?symbol=NSE%3AICICIBANK</t>
  </si>
  <si>
    <t>ICICIGI</t>
  </si>
  <si>
    <t>ICICI Lombard General Insurance Company Ltd</t>
  </si>
  <si>
    <t>NSE%3AINOXWIND</t>
  </si>
  <si>
    <t>https://in.tradingview.com/chart/ofQQfXOP/?symbol=NSE%3AICICIGI</t>
  </si>
  <si>
    <t>https://in.tradingview.com/chart/bXJLby4L/?symbol=NSE%3AICICIGI</t>
  </si>
  <si>
    <t>CASHIETF</t>
  </si>
  <si>
    <t>ICICI Prudential BSE Liquid Rate ETF - Growth</t>
  </si>
  <si>
    <t>NSE%3AINSECTICID</t>
  </si>
  <si>
    <t>https://in.tradingview.com/chart/ofQQfXOP/?symbol=NSE%3ACASHIETF</t>
  </si>
  <si>
    <t>https://in.tradingview.com/chart/bXJLby4L/?symbol=NSE%3ACASHIETF</t>
  </si>
  <si>
    <t>FMCGIETF</t>
  </si>
  <si>
    <t>ICICI Prudential FMCG ETF</t>
  </si>
  <si>
    <t>NSE%3AINSPIRISYS</t>
  </si>
  <si>
    <t>https://in.tradingview.com/chart/ofQQfXOP/?symbol=NSE%3AFMCGIETF</t>
  </si>
  <si>
    <t>https://in.tradingview.com/chart/bXJLby4L/?symbol=NSE%3AFMCGIETF</t>
  </si>
  <si>
    <t>GOLDIETF</t>
  </si>
  <si>
    <t>ICICI Prudential Gold ETF</t>
  </si>
  <si>
    <t>NSE%3AINTELLECT</t>
  </si>
  <si>
    <t>https://in.tradingview.com/chart/ofQQfXOP/?symbol=NSE%3AGOLDIETF</t>
  </si>
  <si>
    <t>https://in.tradingview.com/chart/bXJLby4L/?symbol=NSE%3AGOLDIETF</t>
  </si>
  <si>
    <t>HEALTHIETF</t>
  </si>
  <si>
    <t>ICICI Prudential Healthcare ETF</t>
  </si>
  <si>
    <t>NSE%3AINTENTECH</t>
  </si>
  <si>
    <t>https://in.tradingview.com/chart/ofQQfXOP/?symbol=NSE%3AHEALTHIETF</t>
  </si>
  <si>
    <t>https://in.tradingview.com/chart/bXJLby4L/?symbol=NSE%3AHEALTHIETF</t>
  </si>
  <si>
    <t>ITIETF</t>
  </si>
  <si>
    <t>ICICI Prudential IT ETF</t>
  </si>
  <si>
    <t>NSE%3AINTERARCH</t>
  </si>
  <si>
    <t>https://in.tradingview.com/chart/ofQQfXOP/?symbol=NSE%3AITIETF</t>
  </si>
  <si>
    <t>https://in.tradingview.com/chart/bXJLby4L/?symbol=NSE%3AITIETF</t>
  </si>
  <si>
    <t>ICICIPRULI</t>
  </si>
  <si>
    <t>Icici Prudential Life Insurance Company Limited</t>
  </si>
  <si>
    <t>NSE%3AINTLCONV</t>
  </si>
  <si>
    <t>https://in.tradingview.com/chart/ofQQfXOP/?symbol=NSE%3AICICIPRULI</t>
  </si>
  <si>
    <t>https://in.tradingview.com/chart/bXJLby4L/?symbol=NSE%3AICICIPRULI</t>
  </si>
  <si>
    <t>GSEC10IETF</t>
  </si>
  <si>
    <t>ICICI Prudential Nifty 10 yr Benchmark G-Sec ETF</t>
  </si>
  <si>
    <t>NSE%3AINVENTURE</t>
  </si>
  <si>
    <t>https://in.tradingview.com/chart/ofQQfXOP/?symbol=NSE%3AGSEC10IETF</t>
  </si>
  <si>
    <t>https://in.tradingview.com/chart/bXJLby4L/?symbol=NSE%3AGSEC10IETF</t>
  </si>
  <si>
    <t>NIF100IETF</t>
  </si>
  <si>
    <t>ICICI Prudential Nifty 100 ETF</t>
  </si>
  <si>
    <t>NSE%3AIOB</t>
  </si>
  <si>
    <t>https://in.tradingview.com/chart/ofQQfXOP/?symbol=NSE%3ANIF100IETF</t>
  </si>
  <si>
    <t>https://in.tradingview.com/chart/bXJLby4L/?symbol=NSE%3ANIF100IETF</t>
  </si>
  <si>
    <t>LOWVOLIETF</t>
  </si>
  <si>
    <t>ICICI Prudential Nifty 100 Low Volatility 30 ETF</t>
  </si>
  <si>
    <t>NSE%3AIOC</t>
  </si>
  <si>
    <t>https://in.tradingview.com/chart/ofQQfXOP/?symbol=NSE%3ALOWVOLIETF</t>
  </si>
  <si>
    <t>https://in.tradingview.com/chart/bXJLby4L/?symbol=NSE%3ALOWVOLIETF</t>
  </si>
  <si>
    <t>MOM30IETF</t>
  </si>
  <si>
    <t>ICICI Prudential Nifty 200 Momentum 30 ETF</t>
  </si>
  <si>
    <t>NSE%3AIOLCP</t>
  </si>
  <si>
    <t>https://in.tradingview.com/chart/ofQQfXOP/?symbol=NSE%3AMOM30IETF</t>
  </si>
  <si>
    <t>https://in.tradingview.com/chart/bXJLby4L/?symbol=NSE%3AMOM30IETF</t>
  </si>
  <si>
    <t>QUAL30IETF</t>
  </si>
  <si>
    <t>ICICI Prudential Nifty 200 Quality 30 ETF</t>
  </si>
  <si>
    <t>NSE%3AIONEXCHANG</t>
  </si>
  <si>
    <t>https://in.tradingview.com/chart/ofQQfXOP/?symbol=NSE%3AQUAL30IETF</t>
  </si>
  <si>
    <t>https://in.tradingview.com/chart/bXJLby4L/?symbol=NSE%3AQUAL30IETF</t>
  </si>
  <si>
    <t>GSEC5IETF</t>
  </si>
  <si>
    <t>ICICI Prudential Nifty 5 Yr Benchmark G-Sec ETF</t>
  </si>
  <si>
    <t>NSE%3AIPCALAB</t>
  </si>
  <si>
    <t>https://in.tradingview.com/chart/ofQQfXOP/?symbol=NSE%3AGSEC5IETF</t>
  </si>
  <si>
    <t>https://in.tradingview.com/chart/bXJLby4L/?symbol=NSE%3AGSEC5IETF</t>
  </si>
  <si>
    <t>ALPL30IETF</t>
  </si>
  <si>
    <t>ICICI Prudential Nifty Alpha Low Volatility 30 ETF</t>
  </si>
  <si>
    <t>NSE%3AIPL</t>
  </si>
  <si>
    <t>https://in.tradingview.com/chart/ofQQfXOP/?symbol=NSE%3AALPL30IETF</t>
  </si>
  <si>
    <t>https://in.tradingview.com/chart/bXJLby4L/?symbol=NSE%3AALPL30IETF</t>
  </si>
  <si>
    <t>AUTOIETF</t>
  </si>
  <si>
    <t>ICICI Prudential Nifty Auto ETF</t>
  </si>
  <si>
    <t>NSE%3AIRB</t>
  </si>
  <si>
    <t>https://in.tradingview.com/chart/ofQQfXOP/?symbol=NSE%3AAUTOIETF</t>
  </si>
  <si>
    <t>https://in.tradingview.com/chart/bXJLby4L/?symbol=NSE%3AAUTOIETF</t>
  </si>
  <si>
    <t>BANKIETF</t>
  </si>
  <si>
    <t>ICICI Prudential Nifty Bank ETF</t>
  </si>
  <si>
    <t>NSE%3AIRCON</t>
  </si>
  <si>
    <t>https://in.tradingview.com/chart/ofQQfXOP/?symbol=NSE%3ABANKIETF</t>
  </si>
  <si>
    <t>https://in.tradingview.com/chart/bXJLby4L/?symbol=NSE%3ABANKIETF</t>
  </si>
  <si>
    <t>COMMOIETF</t>
  </si>
  <si>
    <t>ICICI Prudential Nifty Commodities ETF</t>
  </si>
  <si>
    <t>NSE%3AIRCTC</t>
  </si>
  <si>
    <t>https://in.tradingview.com/chart/ofQQfXOP/?symbol=NSE%3ACOMMOIETF</t>
  </si>
  <si>
    <t>https://in.tradingview.com/chart/bXJLby4L/?symbol=NSE%3ACOMMOIETF</t>
  </si>
  <si>
    <t>EVIETF</t>
  </si>
  <si>
    <t>ICICI Prudential Nifty EV &amp; New Age Automotive ETF</t>
  </si>
  <si>
    <t>NSE%3AIREDA</t>
  </si>
  <si>
    <t>https://in.tradingview.com/chart/ofQQfXOP/?symbol=NSE%3AEVIETF</t>
  </si>
  <si>
    <t>https://in.tradingview.com/chart/bXJLby4L/?symbol=NSE%3AEVIETF</t>
  </si>
  <si>
    <t>FINIETF</t>
  </si>
  <si>
    <t>ICICI Prudential Nifty Financial Serv. Ex-Bank ETF</t>
  </si>
  <si>
    <t>NSE%3AIRFC</t>
  </si>
  <si>
    <t>https://in.tradingview.com/chart/ofQQfXOP/?symbol=NSE%3AFINIETF</t>
  </si>
  <si>
    <t>https://in.tradingview.com/chart/bXJLby4L/?symbol=NSE%3AFINIETF</t>
  </si>
  <si>
    <t>CONSUMIETF</t>
  </si>
  <si>
    <t>ICICI Prudential Nifty India Consumption ETF</t>
  </si>
  <si>
    <t>NSE%3AIRISDOREME</t>
  </si>
  <si>
    <t>https://in.tradingview.com/chart/ofQQfXOP/?symbol=NSE%3ACONSUMIETF</t>
  </si>
  <si>
    <t>https://in.tradingview.com/chart/bXJLby4L/?symbol=NSE%3ACONSUMIETF</t>
  </si>
  <si>
    <t>INFRAIETF</t>
  </si>
  <si>
    <t>ICICI Prudential Nifty Infrastructure ETF</t>
  </si>
  <si>
    <t>NSE%3AIRMENERGY</t>
  </si>
  <si>
    <t>https://in.tradingview.com/chart/ofQQfXOP/?symbol=NSE%3AINFRAIETF</t>
  </si>
  <si>
    <t>https://in.tradingview.com/chart/bXJLby4L/?symbol=NSE%3AINFRAIETF</t>
  </si>
  <si>
    <t>METALIETF</t>
  </si>
  <si>
    <t>ICICI Prudential Nifty Metal ETF</t>
  </si>
  <si>
    <t>NSE%3AISFT</t>
  </si>
  <si>
    <t>https://in.tradingview.com/chart/ofQQfXOP/?symbol=NSE%3AMETALIETF</t>
  </si>
  <si>
    <t>https://in.tradingview.com/chart/bXJLby4L/?symbol=NSE%3AMETALIETF</t>
  </si>
  <si>
    <t>MIDCAPIETF</t>
  </si>
  <si>
    <t>ICICI Prudential Nifty Midcap 150 ETF</t>
  </si>
  <si>
    <t>NSE%3AISGEC</t>
  </si>
  <si>
    <t>https://in.tradingview.com/chart/ofQQfXOP/?symbol=NSE%3AMIDCAPIETF</t>
  </si>
  <si>
    <t>https://in.tradingview.com/chart/bXJLby4L/?symbol=NSE%3AMIDCAPIETF</t>
  </si>
  <si>
    <t>NEXT50IETF</t>
  </si>
  <si>
    <t>ICICI Prudential Nifty Next 50 ETF</t>
  </si>
  <si>
    <t>NSE%3AIT</t>
  </si>
  <si>
    <t>https://in.tradingview.com/chart/ofQQfXOP/?symbol=NSE%3ANEXT50IETF</t>
  </si>
  <si>
    <t>https://in.tradingview.com/chart/bXJLby4L/?symbol=NSE%3ANEXT50IETF</t>
  </si>
  <si>
    <t>OILIETF</t>
  </si>
  <si>
    <t>ICICI Prudential Nifty Oil &amp; Gas ETF</t>
  </si>
  <si>
    <t>NSE%3AITBEES</t>
  </si>
  <si>
    <t>https://in.tradingview.com/chart/ofQQfXOP/?symbol=NSE%3AOILIETF</t>
  </si>
  <si>
    <t>https://in.tradingview.com/chart/bXJLby4L/?symbol=NSE%3AOILIETF</t>
  </si>
  <si>
    <t>PVTBANIETF</t>
  </si>
  <si>
    <t>ICICI Prudential Nifty Private Bank ETF</t>
  </si>
  <si>
    <t>NSE%3AITC</t>
  </si>
  <si>
    <t>https://in.tradingview.com/chart/ofQQfXOP/?symbol=NSE%3APVTBANIETF</t>
  </si>
  <si>
    <t>https://in.tradingview.com/chart/bXJLby4L/?symbol=NSE%3APVTBANIETF</t>
  </si>
  <si>
    <t>PSUBNKIETF</t>
  </si>
  <si>
    <t>ICICI Prudential Nifty PSU Bank ETF</t>
  </si>
  <si>
    <t>NSE%3AITCHOTELS</t>
  </si>
  <si>
    <t>https://in.tradingview.com/chart/ofQQfXOP/?symbol=NSE%3APSUBNKIETF</t>
  </si>
  <si>
    <t>https://in.tradingview.com/chart/bXJLby4L/?symbol=NSE%3APSUBNKIETF</t>
  </si>
  <si>
    <t>TOP15IETF</t>
  </si>
  <si>
    <t>ICICI Prudential Nifty Top 15 Equal Weight ETF</t>
  </si>
  <si>
    <t>NSE%3AITDC</t>
  </si>
  <si>
    <t>https://in.tradingview.com/chart/ofQQfXOP/?symbol=NSE%3ATOP15IETF</t>
  </si>
  <si>
    <t>https://in.tradingview.com/chart/bXJLby4L/?symbol=NSE%3ATOP15IETF</t>
  </si>
  <si>
    <t>VAL30IETF</t>
  </si>
  <si>
    <t>ICICI Prudential Nifty200 Value 30 ETF</t>
  </si>
  <si>
    <t>NSE%3ACEMPRO</t>
  </si>
  <si>
    <t>https://in.tradingview.com/chart/ofQQfXOP/?symbol=NSE%3AVAL30IETF</t>
  </si>
  <si>
    <t>https://in.tradingview.com/chart/bXJLby4L/?symbol=NSE%3AVAL30IETF</t>
  </si>
  <si>
    <t>NV20IETF</t>
  </si>
  <si>
    <t>ICICI Prudential NV20 ETF</t>
  </si>
  <si>
    <t>NSE%3AITETF</t>
  </si>
  <si>
    <t>https://in.tradingview.com/chart/ofQQfXOP/?symbol=NSE%3ANV20IETF</t>
  </si>
  <si>
    <t>https://in.tradingview.com/chart/bXJLby4L/?symbol=NSE%3ANV20IETF</t>
  </si>
  <si>
    <t>BSE500IETF</t>
  </si>
  <si>
    <t>ICICI Prudential S&amp;P BSE 500 ETF</t>
  </si>
  <si>
    <t>NSE%3AITETFADD</t>
  </si>
  <si>
    <t>https://in.tradingview.com/chart/ofQQfXOP/?symbol=NSE%3ABSE500IETF</t>
  </si>
  <si>
    <t>https://in.tradingview.com/chart/bXJLby4L/?symbol=NSE%3ABSE500IETF</t>
  </si>
  <si>
    <t>LIQUIDIETF</t>
  </si>
  <si>
    <t>ICICI Prudential S&amp;P BSE Liquid Rate ETF</t>
  </si>
  <si>
    <t>NSE%3AITI</t>
  </si>
  <si>
    <t>https://in.tradingview.com/chart/ofQQfXOP/?symbol=NSE%3ALIQUIDIETF</t>
  </si>
  <si>
    <t>https://in.tradingview.com/chart/bXJLby4L/?symbol=NSE%3ALIQUIDIETF</t>
  </si>
  <si>
    <t>MIDSELIETF</t>
  </si>
  <si>
    <t>ICICI Prudential S&amp;P BSE Midcap Select ETF</t>
  </si>
  <si>
    <t>NSE%3AITIETF</t>
  </si>
  <si>
    <t>https://in.tradingview.com/chart/ofQQfXOP/?symbol=NSE%3AMIDSELIETF</t>
  </si>
  <si>
    <t>https://in.tradingview.com/chart/bXJLby4L/?symbol=NSE%3AMIDSELIETF</t>
  </si>
  <si>
    <t>SENSEXIETF</t>
  </si>
  <si>
    <t>ICICI Prudential S&amp;P BSE Sensex ETF</t>
  </si>
  <si>
    <t>NSE%3AIVC</t>
  </si>
  <si>
    <t>https://in.tradingview.com/chart/ofQQfXOP/?symbol=NSE%3ASENSEXIETF</t>
  </si>
  <si>
    <t>https://in.tradingview.com/chart/bXJLby4L/?symbol=NSE%3ASENSEXIETF</t>
  </si>
  <si>
    <t>SILVERIETF</t>
  </si>
  <si>
    <t>ICICI Prudential Silver ETF</t>
  </si>
  <si>
    <t>NSE%3AIVP</t>
  </si>
  <si>
    <t>https://in.tradingview.com/chart/ofQQfXOP/?symbol=NSE%3ASILVERIETF</t>
  </si>
  <si>
    <t>https://in.tradingview.com/chart/bXJLby4L/?symbol=NSE%3ASILVERIETF</t>
  </si>
  <si>
    <t>ICRA</t>
  </si>
  <si>
    <t>Icra Limited</t>
  </si>
  <si>
    <t>NSE%3AIVZINGOLD</t>
  </si>
  <si>
    <t>https://in.tradingview.com/chart/ofQQfXOP/?symbol=NSE%3AICRA</t>
  </si>
  <si>
    <t>https://in.tradingview.com/chart/bXJLby4L/?symbol=NSE%3AICRA</t>
  </si>
  <si>
    <t>IDBI</t>
  </si>
  <si>
    <t>Idbi Bank Limited</t>
  </si>
  <si>
    <t>NSE%3AIVZINNIFTY</t>
  </si>
  <si>
    <t>https://in.tradingview.com/chart/ofQQfXOP/?symbol=NSE%3AIDBI</t>
  </si>
  <si>
    <t>https://in.tradingview.com/chart/bXJLby4L/?symbol=NSE%3AIDBI</t>
  </si>
  <si>
    <t>IDEA</t>
  </si>
  <si>
    <t>Idea Cellular Limited</t>
  </si>
  <si>
    <t>NSE%3AIXIGO</t>
  </si>
  <si>
    <t>https://in.tradingview.com/chart/ofQQfXOP/?symbol=NSE%3AIDEA</t>
  </si>
  <si>
    <t>https://in.tradingview.com/chart/bXJLby4L/?symbol=NSE%3AIDEA</t>
  </si>
  <si>
    <t>IDEAFORGE</t>
  </si>
  <si>
    <t>Ideaforge Technology Ltd</t>
  </si>
  <si>
    <t>NSE%3AJ_KBANK</t>
  </si>
  <si>
    <t>https://in.tradingview.com/chart/ofQQfXOP/?symbol=NSE%3AIDEAFORGE</t>
  </si>
  <si>
    <t>https://in.tradingview.com/chart/bXJLby4L/?symbol=NSE%3AIDEAFORGE</t>
  </si>
  <si>
    <t>IDFCFIRSTB</t>
  </si>
  <si>
    <t>IDFC First Bank Ltd</t>
  </si>
  <si>
    <t>NSE%3AJAGRAN</t>
  </si>
  <si>
    <t>https://in.tradingview.com/chart/ofQQfXOP/?symbol=NSE%3AIDFCFIRSTB</t>
  </si>
  <si>
    <t>https://in.tradingview.com/chart/bXJLby4L/?symbol=NSE%3AIDFCFIRSTB</t>
  </si>
  <si>
    <t>IFBAGRO</t>
  </si>
  <si>
    <t>Ifb Agro Industries Limited</t>
  </si>
  <si>
    <t>NSE%3AJAGSNPHARM</t>
  </si>
  <si>
    <t>https://in.tradingview.com/chart/ofQQfXOP/?symbol=NSE%3AIFBAGRO</t>
  </si>
  <si>
    <t>https://in.tradingview.com/chart/bXJLby4L/?symbol=NSE%3AIFBAGRO</t>
  </si>
  <si>
    <t>IFBIND</t>
  </si>
  <si>
    <t>Ifb Industries Limited</t>
  </si>
  <si>
    <t>NSE%3AJAIBALAJI</t>
  </si>
  <si>
    <t>https://in.tradingview.com/chart/ofQQfXOP/?symbol=NSE%3AIFBIND</t>
  </si>
  <si>
    <t>https://in.tradingview.com/chart/bXJLby4L/?symbol=NSE%3AIFBIND</t>
  </si>
  <si>
    <t>IFCI</t>
  </si>
  <si>
    <t>Ifci Limited</t>
  </si>
  <si>
    <t>NSE%3AJAICORPLTD</t>
  </si>
  <si>
    <t>https://in.tradingview.com/chart/ofQQfXOP/?symbol=NSE%3AIFCI</t>
  </si>
  <si>
    <t>https://in.tradingview.com/chart/bXJLby4L/?symbol=NSE%3AIFCI</t>
  </si>
  <si>
    <t>IFGLEXPOR</t>
  </si>
  <si>
    <t>IFGL Refractories Ltd</t>
  </si>
  <si>
    <t>NSE%3AJAIPURKURT</t>
  </si>
  <si>
    <t>https://in.tradingview.com/chart/ofQQfXOP/?symbol=NSE%3AIFGLEXPOR</t>
  </si>
  <si>
    <t>https://in.tradingview.com/chart/bXJLby4L/?symbol=NSE%3AIFGLEXPOR</t>
  </si>
  <si>
    <t>IGPL</t>
  </si>
  <si>
    <t>Ig Petrochemicals Limited</t>
  </si>
  <si>
    <t>NSE%3AJAMNAAUTO</t>
  </si>
  <si>
    <t>https://in.tradingview.com/chart/ofQQfXOP/?symbol=NSE%3AIGPL</t>
  </si>
  <si>
    <t>https://in.tradingview.com/chart/bXJLby4L/?symbol=NSE%3AIGPL</t>
  </si>
  <si>
    <t>IGARASHI</t>
  </si>
  <si>
    <t>Igarashi Motors India Limited</t>
  </si>
  <si>
    <t>NSE%3AJASH</t>
  </si>
  <si>
    <t>https://in.tradingview.com/chart/ofQQfXOP/?symbol=NSE%3AIGARASHI</t>
  </si>
  <si>
    <t>https://in.tradingview.com/chart/bXJLby4L/?symbol=NSE%3AIGARASHI</t>
  </si>
  <si>
    <t>IIFLCAPS</t>
  </si>
  <si>
    <t>IIFL Capital Services Ltd</t>
  </si>
  <si>
    <t>NSE%3AJAYAGROGN</t>
  </si>
  <si>
    <t>https://in.tradingview.com/chart/ofQQfXOP/?symbol=NSE%3AIIFLCAPS</t>
  </si>
  <si>
    <t>https://in.tradingview.com/chart/bXJLby4L/?symbol=NSE%3AIIFLCAPS</t>
  </si>
  <si>
    <t>IIFL</t>
  </si>
  <si>
    <t>Iifl Holdings Limited</t>
  </si>
  <si>
    <t>NSE%3AJAYBARMARU</t>
  </si>
  <si>
    <t>https://in.tradingview.com/chart/ofQQfXOP/?symbol=NSE%3AIIFL</t>
  </si>
  <si>
    <t>https://in.tradingview.com/chart/bXJLby4L/?symbol=NSE%3AIIFL</t>
  </si>
  <si>
    <t>IKIO</t>
  </si>
  <si>
    <t>IKIO Lighting Ltd</t>
  </si>
  <si>
    <t>NSE%3AJAYNECOIND</t>
  </si>
  <si>
    <t>https://in.tradingview.com/chart/ofQQfXOP/?symbol=NSE%3AIKIO</t>
  </si>
  <si>
    <t>https://in.tradingview.com/chart/bXJLby4L/?symbol=NSE%3AIKIO</t>
  </si>
  <si>
    <t>IL&amp;FSENGG</t>
  </si>
  <si>
    <t>Il&amp;fs Engineering And Construction Company Limited</t>
  </si>
  <si>
    <t>NSE%3AJAYSREETEA</t>
  </si>
  <si>
    <t>https://in.tradingview.com/chart/ofQQfXOP/?symbol=NSE%3AIL&amp;FSENGG</t>
  </si>
  <si>
    <t>https://in.tradingview.com/chart/bXJLby4L/?symbol=NSE%3AIL&amp;FSENGG</t>
  </si>
  <si>
    <t>IVC</t>
  </si>
  <si>
    <t>Il&amp;fs Investment Managers Limited</t>
  </si>
  <si>
    <t>NSE%3AJBCHEPHARM</t>
  </si>
  <si>
    <t>https://in.tradingview.com/chart/ofQQfXOP/?symbol=NSE%3AIVC</t>
  </si>
  <si>
    <t>https://in.tradingview.com/chart/bXJLby4L/?symbol=NSE%3AIVC</t>
  </si>
  <si>
    <t>IMAGICAA</t>
  </si>
  <si>
    <t>Imagicaaworld Entertainment Ltd</t>
  </si>
  <si>
    <t>NSE%3AJBMA</t>
  </si>
  <si>
    <t>https://in.tradingview.com/chart/ofQQfXOP/?symbol=NSE%3AIMAGICAA</t>
  </si>
  <si>
    <t>https://in.tradingview.com/chart/bXJLby4L/?symbol=NSE%3AIMAGICAA</t>
  </si>
  <si>
    <t>INCREDIBLE</t>
  </si>
  <si>
    <t>Incredible Industries Ltd</t>
  </si>
  <si>
    <t>NSE%3AJCHAC</t>
  </si>
  <si>
    <t>https://in.tradingview.com/chart/ofQQfXOP/?symbol=NSE%3AINCREDIBLE</t>
  </si>
  <si>
    <t>https://in.tradingview.com/chart/bXJLby4L/?symbol=NSE%3AINCREDIBLE</t>
  </si>
  <si>
    <t>INDSWFTLAB</t>
  </si>
  <si>
    <t>Ind-swift Laboratories Limited</t>
  </si>
  <si>
    <t>NSE%3AJETFREIGHT</t>
  </si>
  <si>
    <t>https://in.tradingview.com/chart/ofQQfXOP/?symbol=NSE%3AINDSWFTLAB</t>
  </si>
  <si>
    <t>https://in.tradingview.com/chart/bXJLby4L/?symbol=NSE%3AINDSWFTLAB</t>
  </si>
  <si>
    <t>INDBANK</t>
  </si>
  <si>
    <t>Indbank Merchant Banking Services Limited</t>
  </si>
  <si>
    <t>NSE%3AJGCHEM</t>
  </si>
  <si>
    <t>https://in.tradingview.com/chart/ofQQfXOP/?symbol=NSE%3AINDBANK</t>
  </si>
  <si>
    <t>https://in.tradingview.com/chart/bXJLby4L/?symbol=NSE%3AINDBANK</t>
  </si>
  <si>
    <t>BAJAJINDEF</t>
  </si>
  <si>
    <t>Indef Manufacturing Ltd</t>
  </si>
  <si>
    <t>NSE%3AJHS</t>
  </si>
  <si>
    <t>https://in.tradingview.com/chart/ofQQfXOP/?symbol=NSE%3ABAJAJINDEF</t>
  </si>
  <si>
    <t>https://in.tradingview.com/chart/bXJLby4L/?symbol=NSE%3ABAJAJINDEF</t>
  </si>
  <si>
    <t>INDGN</t>
  </si>
  <si>
    <t>Indegene Ltd</t>
  </si>
  <si>
    <t>NSE%3AJINDALPHOT</t>
  </si>
  <si>
    <t>https://in.tradingview.com/chart/ofQQfXOP/?symbol=NSE%3AINDGN</t>
  </si>
  <si>
    <t>https://in.tradingview.com/chart/bXJLby4L/?symbol=NSE%3AINDGN</t>
  </si>
  <si>
    <t>INDIAGLYCO</t>
  </si>
  <si>
    <t>India Glycols Limited</t>
  </si>
  <si>
    <t>NSE%3AJINDALPOLY</t>
  </si>
  <si>
    <t>https://in.tradingview.com/chart/ofQQfXOP/?symbol=NSE%3AINDIAGLYCO</t>
  </si>
  <si>
    <t>https://in.tradingview.com/chart/bXJLby4L/?symbol=NSE%3AINDIAGLYCO</t>
  </si>
  <si>
    <t>IMPAL</t>
  </si>
  <si>
    <t>India Motor Parts And Accessories Limited</t>
  </si>
  <si>
    <t>NSE%3AJINDALSAW</t>
  </si>
  <si>
    <t>https://in.tradingview.com/chart/ofQQfXOP/?symbol=NSE%3AIMPAL</t>
  </si>
  <si>
    <t>https://in.tradingview.com/chart/bXJLby4L/?symbol=NSE%3AIMPAL</t>
  </si>
  <si>
    <t>INDNIPPON</t>
  </si>
  <si>
    <t>India Nippon Electricals Limited</t>
  </si>
  <si>
    <t>NSE%3AJINDALSTEL</t>
  </si>
  <si>
    <t>https://in.tradingview.com/chart/ofQQfXOP/?symbol=NSE%3AINDNIPPON</t>
  </si>
  <si>
    <t>https://in.tradingview.com/chart/bXJLby4L/?symbol=NSE%3AINDNIPPON</t>
  </si>
  <si>
    <t>IPL</t>
  </si>
  <si>
    <t>India Pesticides Ltd</t>
  </si>
  <si>
    <t>NSE%3AJINDRILL</t>
  </si>
  <si>
    <t>https://in.tradingview.com/chart/ofQQfXOP/?symbol=NSE%3AIPL</t>
  </si>
  <si>
    <t>https://in.tradingview.com/chart/bXJLby4L/?symbol=NSE%3AIPL</t>
  </si>
  <si>
    <t>INDIASHLTR</t>
  </si>
  <si>
    <t>India Shelter Finance Corporation Ltd</t>
  </si>
  <si>
    <t>NSE%3AJINDWORLD</t>
  </si>
  <si>
    <t>https://in.tradingview.com/chart/ofQQfXOP/?symbol=NSE%3AINDIASHLTR</t>
  </si>
  <si>
    <t>https://in.tradingview.com/chart/bXJLby4L/?symbol=NSE%3AINDIASHLTR</t>
  </si>
  <si>
    <t>ITDC</t>
  </si>
  <si>
    <t>India Tourism Development Corporation Ltd</t>
  </si>
  <si>
    <t>NSE%3AJIOFIN</t>
  </si>
  <si>
    <t>https://in.tradingview.com/chart/ofQQfXOP/?symbol=NSE%3AITDC</t>
  </si>
  <si>
    <t>https://in.tradingview.com/chart/bXJLby4L/?symbol=NSE%3AITDC</t>
  </si>
  <si>
    <t>INDIAVIX</t>
  </si>
  <si>
    <t>India VIX</t>
  </si>
  <si>
    <t>NSE%3AJISLDVREQS</t>
  </si>
  <si>
    <t>https://in.tradingview.com/chart/ofQQfXOP/?symbol=NSE%3AINDIAVIX</t>
  </si>
  <si>
    <t>https://in.tradingview.com/chart/bXJLby4L/?symbol=NSE%3AINDIAVIX</t>
  </si>
  <si>
    <t>IBULLSLTD</t>
  </si>
  <si>
    <t>Indiabulls Limited</t>
  </si>
  <si>
    <t>NSE%3AJISLJALEQS</t>
  </si>
  <si>
    <t>https://in.tradingview.com/chart/ofQQfXOP/?symbol=NSE%3AIBULLSLTD</t>
  </si>
  <si>
    <t>https://in.tradingview.com/chart/bXJLby4L/?symbol=NSE%3AIBULLSLTD</t>
  </si>
  <si>
    <t>INDIAMART</t>
  </si>
  <si>
    <t>Indiamart Intermesh Ltd</t>
  </si>
  <si>
    <t>NSE%3AJITFINFRA</t>
  </si>
  <si>
    <t>https://in.tradingview.com/chart/ofQQfXOP/?symbol=NSE%3AINDIAMART</t>
  </si>
  <si>
    <t>https://in.tradingview.com/chart/bXJLby4L/?symbol=NSE%3AINDIAMART</t>
  </si>
  <si>
    <t>INDIANB</t>
  </si>
  <si>
    <t>Indian Bank</t>
  </si>
  <si>
    <t>NSE%3AJKCEMENT</t>
  </si>
  <si>
    <t>https://in.tradingview.com/chart/ofQQfXOP/?symbol=NSE%3AINDIANB</t>
  </si>
  <si>
    <t>https://in.tradingview.com/chart/bXJLby4L/?symbol=NSE%3AINDIANB</t>
  </si>
  <si>
    <t>INDIANCARD</t>
  </si>
  <si>
    <t>Indian Card Clothing Company Limited</t>
  </si>
  <si>
    <t>NSE%3AJKIL</t>
  </si>
  <si>
    <t>https://in.tradingview.com/chart/ofQQfXOP/?symbol=NSE%3AINDIANCARD</t>
  </si>
  <si>
    <t>https://in.tradingview.com/chart/bXJLby4L/?symbol=NSE%3AINDIANCARD</t>
  </si>
  <si>
    <t>IEX</t>
  </si>
  <si>
    <t>Indian Energy Exchange Ltd</t>
  </si>
  <si>
    <t>NSE%3AJKLAKSHMI</t>
  </si>
  <si>
    <t>https://in.tradingview.com/chart/ofQQfXOP/?symbol=NSE%3AIEX</t>
  </si>
  <si>
    <t>https://in.tradingview.com/chart/bXJLby4L/?symbol=NSE%3AIEX</t>
  </si>
  <si>
    <t>INDIANHUME</t>
  </si>
  <si>
    <t>Indian Hume Pipe Company Limited</t>
  </si>
  <si>
    <t>NSE%3AJKPAPER</t>
  </si>
  <si>
    <t>https://in.tradingview.com/chart/ofQQfXOP/?symbol=NSE%3AINDIANHUME</t>
  </si>
  <si>
    <t>https://in.tradingview.com/chart/bXJLby4L/?symbol=NSE%3AINDIANHUME</t>
  </si>
  <si>
    <t>IMFA</t>
  </si>
  <si>
    <t>Indian Metals &amp; Ferro Alloys Limited</t>
  </si>
  <si>
    <t>NSE%3AJKTYRE</t>
  </si>
  <si>
    <t>https://in.tradingview.com/chart/ofQQfXOP/?symbol=NSE%3AIMFA</t>
  </si>
  <si>
    <t>https://in.tradingview.com/chart/bXJLby4L/?symbol=NSE%3AIMFA</t>
  </si>
  <si>
    <t>IOC</t>
  </si>
  <si>
    <t>Indian Oil Corporation Limited</t>
  </si>
  <si>
    <t>NSE%3AJLHL</t>
  </si>
  <si>
    <t>https://in.tradingview.com/chart/ofQQfXOP/?symbol=NSE%3AIOC</t>
  </si>
  <si>
    <t>https://in.tradingview.com/chart/bXJLby4L/?symbol=NSE%3AIOC</t>
  </si>
  <si>
    <t>IOB</t>
  </si>
  <si>
    <t>Indian Overseas Bank</t>
  </si>
  <si>
    <t>NSE%3AJMA</t>
  </si>
  <si>
    <t>https://in.tradingview.com/chart/ofQQfXOP/?symbol=NSE%3AIOB</t>
  </si>
  <si>
    <t>https://in.tradingview.com/chart/bXJLby4L/?symbol=NSE%3AIOB</t>
  </si>
  <si>
    <t>IRCTC</t>
  </si>
  <si>
    <t>Indian Railway Catering &amp; Tourism Corporation Ltd</t>
  </si>
  <si>
    <t>NSE%3AJMFINANCIL</t>
  </si>
  <si>
    <t>https://in.tradingview.com/chart/ofQQfXOP/?symbol=NSE%3AIRCTC</t>
  </si>
  <si>
    <t>https://in.tradingview.com/chart/bXJLby4L/?symbol=NSE%3AIRCTC</t>
  </si>
  <si>
    <t>IRFC</t>
  </si>
  <si>
    <t>Indian Railway Finance Corporation Ltd</t>
  </si>
  <si>
    <t>NSE%3AJNKINDIA</t>
  </si>
  <si>
    <t>https://in.tradingview.com/chart/ofQQfXOP/?symbol=NSE%3AIRFC</t>
  </si>
  <si>
    <t>https://in.tradingview.com/chart/bXJLby4L/?symbol=NSE%3AIRFC</t>
  </si>
  <si>
    <t>IREDA</t>
  </si>
  <si>
    <t>Indian Renewable Energy Development Agency Ltd</t>
  </si>
  <si>
    <t>NSE%3AJOCIL</t>
  </si>
  <si>
    <t>https://in.tradingview.com/chart/ofQQfXOP/?symbol=NSE%3AIREDA</t>
  </si>
  <si>
    <t>https://in.tradingview.com/chart/bXJLby4L/?symbol=NSE%3AIREDA</t>
  </si>
  <si>
    <t>INDTERRAIN</t>
  </si>
  <si>
    <t>Indian Terrain Fashions Limited</t>
  </si>
  <si>
    <t>NSE%3AJPASSOCIAT</t>
  </si>
  <si>
    <t>https://in.tradingview.com/chart/ofQQfXOP/?symbol=NSE%3AINDTERRAIN</t>
  </si>
  <si>
    <t>https://in.tradingview.com/chart/bXJLby4L/?symbol=NSE%3AINDTERRAIN</t>
  </si>
  <si>
    <t>INDIGOPNTS</t>
  </si>
  <si>
    <t>Indigo Paints Ltd</t>
  </si>
  <si>
    <t>NSE%3AJPOLYINVST</t>
  </si>
  <si>
    <t>https://in.tradingview.com/chart/ofQQfXOP/?symbol=NSE%3AINDIGOPNTS</t>
  </si>
  <si>
    <t>https://in.tradingview.com/chart/bXJLby4L/?symbol=NSE%3AINDIGOPNTS</t>
  </si>
  <si>
    <t>INDIQUBE</t>
  </si>
  <si>
    <t>Indiqube Spaces Ltd</t>
  </si>
  <si>
    <t>NSE%3AJPPOWER</t>
  </si>
  <si>
    <t>https://in.tradingview.com/chart/ofQQfXOP/?symbol=NSE%3AINDIQUBE</t>
  </si>
  <si>
    <t>https://in.tradingview.com/chart/bXJLby4L/?symbol=NSE%3AINDIQUBE</t>
  </si>
  <si>
    <t>INDOAMIN</t>
  </si>
  <si>
    <t>Indo Amines Ltd</t>
  </si>
  <si>
    <t>NSE%3AJSFB</t>
  </si>
  <si>
    <t>https://in.tradingview.com/chart/ofQQfXOP/?symbol=NSE%3AINDOAMIN</t>
  </si>
  <si>
    <t>https://in.tradingview.com/chart/bXJLby4L/?symbol=NSE%3AINDOAMIN</t>
  </si>
  <si>
    <t>INDOBORAX</t>
  </si>
  <si>
    <t>Indo Borax &amp; Chemicals Ltd</t>
  </si>
  <si>
    <t>NSE%3AJSL</t>
  </si>
  <si>
    <t>https://in.tradingview.com/chart/ofQQfXOP/?symbol=NSE%3AINDOBORAX</t>
  </si>
  <si>
    <t>https://in.tradingview.com/chart/bXJLby4L/?symbol=NSE%3AINDOBORAX</t>
  </si>
  <si>
    <t>ICIL</t>
  </si>
  <si>
    <t>Indo Count Industries Limited</t>
  </si>
  <si>
    <t>NSE%3AJSWENERGY</t>
  </si>
  <si>
    <t>https://in.tradingview.com/chart/ofQQfXOP/?symbol=NSE%3AICIL</t>
  </si>
  <si>
    <t>https://in.tradingview.com/chart/bXJLby4L/?symbol=NSE%3AICIL</t>
  </si>
  <si>
    <t>INDOFARM</t>
  </si>
  <si>
    <t>Indo Farm Equipment Ltd</t>
  </si>
  <si>
    <t>NSE%3AJSWHL</t>
  </si>
  <si>
    <t>https://in.tradingview.com/chart/ofQQfXOP/?symbol=NSE%3AINDOFARM</t>
  </si>
  <si>
    <t>https://in.tradingview.com/chart/bXJLby4L/?symbol=NSE%3AINDOFARM</t>
  </si>
  <si>
    <t>INDORAMA</t>
  </si>
  <si>
    <t>Indo Rama Synthetics (india) Limited</t>
  </si>
  <si>
    <t>NSE%3AJSWINFRA</t>
  </si>
  <si>
    <t>https://in.tradingview.com/chart/ofQQfXOP/?symbol=NSE%3AINDORAMA</t>
  </si>
  <si>
    <t>https://in.tradingview.com/chart/bXJLby4L/?symbol=NSE%3AINDORAMA</t>
  </si>
  <si>
    <t>INDOTECH</t>
  </si>
  <si>
    <t>Indo Tech Transformers Limited</t>
  </si>
  <si>
    <t>NSE%3AJSWSTEEL</t>
  </si>
  <si>
    <t>https://in.tradingview.com/chart/ofQQfXOP/?symbol=NSE%3AINDOTECH</t>
  </si>
  <si>
    <t>https://in.tradingview.com/chart/bXJLby4L/?symbol=NSE%3AINDOTECH</t>
  </si>
  <si>
    <t>INDOTHAI</t>
  </si>
  <si>
    <t>Indo Thai Securities Limited</t>
  </si>
  <si>
    <t>NSE%3AJTEKTINDIA</t>
  </si>
  <si>
    <t>https://in.tradingview.com/chart/ofQQfXOP/?symbol=NSE%3AINDOTHAI</t>
  </si>
  <si>
    <t>https://in.tradingview.com/chart/bXJLby4L/?symbol=NSE%3AINDOTHAI</t>
  </si>
  <si>
    <t>INDOUS</t>
  </si>
  <si>
    <t>Indo US Bio-Tech Ltd</t>
  </si>
  <si>
    <t>NSE%3AJTLIND</t>
  </si>
  <si>
    <t>https://in.tradingview.com/chart/ofQQfXOP/?symbol=NSE%3AINDOUS</t>
  </si>
  <si>
    <t>https://in.tradingview.com/chart/bXJLby4L/?symbol=NSE%3AINDOUS</t>
  </si>
  <si>
    <t>NIPPOBATRY</t>
  </si>
  <si>
    <t>Indo-national Limited</t>
  </si>
  <si>
    <t>NSE%3AJUBLCPL</t>
  </si>
  <si>
    <t>https://in.tradingview.com/chart/ofQQfXOP/?symbol=NSE%3ANIPPOBATRY</t>
  </si>
  <si>
    <t>https://in.tradingview.com/chart/bXJLby4L/?symbol=NSE%3ANIPPOBATRY</t>
  </si>
  <si>
    <t>INDOCO</t>
  </si>
  <si>
    <t>Indoco Remedies Limited</t>
  </si>
  <si>
    <t>NSE%3AJUBLFOOD</t>
  </si>
  <si>
    <t>https://in.tradingview.com/chart/ofQQfXOP/?symbol=NSE%3AINDOCO</t>
  </si>
  <si>
    <t>https://in.tradingview.com/chart/bXJLby4L/?symbol=NSE%3AINDOCO</t>
  </si>
  <si>
    <t>IGCL</t>
  </si>
  <si>
    <t>Indogulf Cropsciences Ltd</t>
  </si>
  <si>
    <t>NSE%3AJUBLINGREA</t>
  </si>
  <si>
    <t>https://in.tradingview.com/chart/ofQQfXOP/?symbol=NSE%3AIGCL</t>
  </si>
  <si>
    <t>https://in.tradingview.com/chart/bXJLby4L/?symbol=NSE%3AIGCL</t>
  </si>
  <si>
    <t>WAAREEINDO</t>
  </si>
  <si>
    <t>Indosolar Ltd</t>
  </si>
  <si>
    <t>NSE%3AJUBLPHARMA</t>
  </si>
  <si>
    <t>https://in.tradingview.com/chart/ofQQfXOP/?symbol=NSE%3AWAAREEINDO</t>
  </si>
  <si>
    <t>https://in.tradingview.com/chart/bXJLby4L/?symbol=NSE%3AWAAREEINDO</t>
  </si>
  <si>
    <t>INDOSTAR</t>
  </si>
  <si>
    <t>Indostar Capital Finance Ltd</t>
  </si>
  <si>
    <t>NSE%3AJUNIORBEES</t>
  </si>
  <si>
    <t>https://in.tradingview.com/chart/ofQQfXOP/?symbol=NSE%3AINDOSTAR</t>
  </si>
  <si>
    <t>https://in.tradingview.com/chart/bXJLby4L/?symbol=NSE%3AINDOSTAR</t>
  </si>
  <si>
    <t>INDOWIND</t>
  </si>
  <si>
    <t>Indowind Energy Limited</t>
  </si>
  <si>
    <t>NSE%3AJUNIPER</t>
  </si>
  <si>
    <t>https://in.tradingview.com/chart/ofQQfXOP/?symbol=NSE%3AINDOWIND</t>
  </si>
  <si>
    <t>https://in.tradingview.com/chart/bXJLby4L/?symbol=NSE%3AINDOWIND</t>
  </si>
  <si>
    <t>IGL</t>
  </si>
  <si>
    <t>Indraprastha Gas Limited</t>
  </si>
  <si>
    <t>NSE%3AJUSTDIAL</t>
  </si>
  <si>
    <t>https://in.tradingview.com/chart/ofQQfXOP/?symbol=NSE%3AIGL</t>
  </si>
  <si>
    <t>https://in.tradingview.com/chart/bXJLby4L/?symbol=NSE%3AIGL</t>
  </si>
  <si>
    <t>INDRAMEDCO</t>
  </si>
  <si>
    <t>Indraprastha Medical Corporation Limited</t>
  </si>
  <si>
    <t>NSE%3AJWL</t>
  </si>
  <si>
    <t>https://in.tradingview.com/chart/ofQQfXOP/?symbol=NSE%3AINDRAMEDCO</t>
  </si>
  <si>
    <t>https://in.tradingview.com/chart/bXJLby4L/?symbol=NSE%3AINDRAMEDCO</t>
  </si>
  <si>
    <t>INDUSTOWER</t>
  </si>
  <si>
    <t>Indus Towers Ltd (Bharti Infratel)</t>
  </si>
  <si>
    <t>NSE%3AJYOTHYLAB</t>
  </si>
  <si>
    <t>https://in.tradingview.com/chart/ofQQfXOP/?symbol=NSE%3AINDUSTOWER</t>
  </si>
  <si>
    <t>https://in.tradingview.com/chart/bXJLby4L/?symbol=NSE%3AINDUSTOWER</t>
  </si>
  <si>
    <t>INDUSINDBK</t>
  </si>
  <si>
    <t>Indusind Bank Limited</t>
  </si>
  <si>
    <t>NSE%3AJYOTICNC</t>
  </si>
  <si>
    <t>https://in.tradingview.com/chart/ofQQfXOP/?symbol=NSE%3AINDUSINDBK</t>
  </si>
  <si>
    <t>https://in.tradingview.com/chart/bXJLby4L/?symbol=NSE%3AINDUSINDBK</t>
  </si>
  <si>
    <t>IITL</t>
  </si>
  <si>
    <t>Industrial Investment Trust Limited</t>
  </si>
  <si>
    <t>NSE%3AJYOTISTRUC</t>
  </si>
  <si>
    <t>https://in.tradingview.com/chart/ofQQfXOP/?symbol=NSE%3AIITL</t>
  </si>
  <si>
    <t>https://in.tradingview.com/chart/bXJLby4L/?symbol=NSE%3AIITL</t>
  </si>
  <si>
    <t>INFIBEAM</t>
  </si>
  <si>
    <t>Infibeam Incorporation Limited</t>
  </si>
  <si>
    <t>NSE%3AKABRAEXTRU</t>
  </si>
  <si>
    <t>https://in.tradingview.com/chart/ofQQfXOP/?symbol=NSE%3AINFIBEAM</t>
  </si>
  <si>
    <t>https://in.tradingview.com/chart/bXJLby4L/?symbol=NSE%3AINFIBEAM</t>
  </si>
  <si>
    <t>NAUKRI</t>
  </si>
  <si>
    <t>Info Edge (india) Limited</t>
  </si>
  <si>
    <t>NSE%3AKAJARIACER</t>
  </si>
  <si>
    <t>https://in.tradingview.com/chart/ofQQfXOP/?symbol=NSE%3ANAUKRI</t>
  </si>
  <si>
    <t>https://in.tradingview.com/chart/bXJLby4L/?symbol=NSE%3ANAUKRI</t>
  </si>
  <si>
    <t>INFOBEAN</t>
  </si>
  <si>
    <t>InfoBeans Technologies Ltd</t>
  </si>
  <si>
    <t>NSE%3AKAKATCEM</t>
  </si>
  <si>
    <t>https://in.tradingview.com/chart/ofQQfXOP/?symbol=NSE%3AINFOBEAN</t>
  </si>
  <si>
    <t>https://in.tradingview.com/chart/bXJLby4L/?symbol=NSE%3AINFOBEAN</t>
  </si>
  <si>
    <t>INFOMEDIA</t>
  </si>
  <si>
    <t>Infomedia Press Limited</t>
  </si>
  <si>
    <t>NSE%3AKALAMANDIR</t>
  </si>
  <si>
    <t>https://in.tradingview.com/chart/ofQQfXOP/?symbol=NSE%3AINFOMEDIA</t>
  </si>
  <si>
    <t>https://in.tradingview.com/chart/bXJLby4L/?symbol=NSE%3AINFOMEDIA</t>
  </si>
  <si>
    <t>INFY</t>
  </si>
  <si>
    <t>Infosys Limited</t>
  </si>
  <si>
    <t>NSE%3AKALYANKJIL</t>
  </si>
  <si>
    <t>https://in.tradingview.com/chart/ofQQfXOP/?symbol=NSE%3AINFY</t>
  </si>
  <si>
    <t>https://in.tradingview.com/chart/bXJLby4L/?symbol=NSE%3AINFY</t>
  </si>
  <si>
    <t>INGERRAND</t>
  </si>
  <si>
    <t>Ingersoll Rand (india) Limited</t>
  </si>
  <si>
    <t>NSE%3AKAMATHOTEL</t>
  </si>
  <si>
    <t>https://in.tradingview.com/chart/ofQQfXOP/?symbol=NSE%3AINGERRAND</t>
  </si>
  <si>
    <t>https://in.tradingview.com/chart/bXJLby4L/?symbol=NSE%3AINGERRAND</t>
  </si>
  <si>
    <t>INNOVACAP</t>
  </si>
  <si>
    <t>Innova Captab Ltd</t>
  </si>
  <si>
    <t>NSE%3AKAMDHENU</t>
  </si>
  <si>
    <t>https://in.tradingview.com/chart/ofQQfXOP/?symbol=NSE%3AINNOVACAP</t>
  </si>
  <si>
    <t>https://in.tradingview.com/chart/bXJLby4L/?symbol=NSE%3AINNOVACAP</t>
  </si>
  <si>
    <t>INNOVANA</t>
  </si>
  <si>
    <t>Innovana Thinklabs Ltd</t>
  </si>
  <si>
    <t>NSE%3AKANANIIND</t>
  </si>
  <si>
    <t>https://in.tradingview.com/chart/ofQQfXOP/?symbol=NSE%3AINNOVANA</t>
  </si>
  <si>
    <t>https://in.tradingview.com/chart/bXJLby4L/?symbol=NSE%3AINNOVANA</t>
  </si>
  <si>
    <t>INOXGREEN</t>
  </si>
  <si>
    <t>Inox Green Energy Services Ltd</t>
  </si>
  <si>
    <t>NSE%3AKANORICHEM</t>
  </si>
  <si>
    <t>https://in.tradingview.com/chart/ofQQfXOP/?symbol=NSE%3AINOXGREEN</t>
  </si>
  <si>
    <t>https://in.tradingview.com/chart/bXJLby4L/?symbol=NSE%3AINOXGREEN</t>
  </si>
  <si>
    <t>INOXINDIA</t>
  </si>
  <si>
    <t>Inox India Ltd</t>
  </si>
  <si>
    <t>NSE%3AKANPRPLA</t>
  </si>
  <si>
    <t>https://in.tradingview.com/chart/ofQQfXOP/?symbol=NSE%3AINOXINDIA</t>
  </si>
  <si>
    <t>https://in.tradingview.com/chart/bXJLby4L/?symbol=NSE%3AINOXINDIA</t>
  </si>
  <si>
    <t>INOXWIND</t>
  </si>
  <si>
    <t>Inox Wind Limited</t>
  </si>
  <si>
    <t>NSE%3AKANSAINER</t>
  </si>
  <si>
    <t>https://in.tradingview.com/chart/ofQQfXOP/?symbol=NSE%3AINOXWIND</t>
  </si>
  <si>
    <t>https://in.tradingview.com/chart/bXJLby4L/?symbol=NSE%3AINOXWIND</t>
  </si>
  <si>
    <t>INSECTICID</t>
  </si>
  <si>
    <t>Insecticides (india) Limited</t>
  </si>
  <si>
    <t>NSE%3AKAPSTON</t>
  </si>
  <si>
    <t>https://in.tradingview.com/chart/ofQQfXOP/?symbol=NSE%3AINSECTICID</t>
  </si>
  <si>
    <t>https://in.tradingview.com/chart/bXJLby4L/?symbol=NSE%3AINSECTICID</t>
  </si>
  <si>
    <t>INSPIRISYS</t>
  </si>
  <si>
    <t>Inspirisys Solutions Ltd</t>
  </si>
  <si>
    <t>NSE%3AKARMAENG</t>
  </si>
  <si>
    <t>https://in.tradingview.com/chart/ofQQfXOP/?symbol=NSE%3AINSPIRISYS</t>
  </si>
  <si>
    <t>https://in.tradingview.com/chart/bXJLby4L/?symbol=NSE%3AINSPIRISYS</t>
  </si>
  <si>
    <t>INTELLECT</t>
  </si>
  <si>
    <t>Intellect Design Arena Limited</t>
  </si>
  <si>
    <t>NSE%3AKARURVYSYA</t>
  </si>
  <si>
    <t>https://in.tradingview.com/chart/ofQQfXOP/?symbol=NSE%3AINTELLECT</t>
  </si>
  <si>
    <t>https://in.tradingview.com/chart/bXJLby4L/?symbol=NSE%3AINTELLECT</t>
  </si>
  <si>
    <t>INTENTECH</t>
  </si>
  <si>
    <t>Intense Technologies Ltd</t>
  </si>
  <si>
    <t>NSE%3AKAUSHALYA</t>
  </si>
  <si>
    <t>https://in.tradingview.com/chart/ofQQfXOP/?symbol=NSE%3AINTENTECH</t>
  </si>
  <si>
    <t>https://in.tradingview.com/chart/bXJLby4L/?symbol=NSE%3AINTENTECH</t>
  </si>
  <si>
    <t>INTERARCH</t>
  </si>
  <si>
    <t>Interarch Building Products Ltd</t>
  </si>
  <si>
    <t>NSE%3AKAYA</t>
  </si>
  <si>
    <t>https://in.tradingview.com/chart/ofQQfXOP/?symbol=NSE%3AINTERARCH</t>
  </si>
  <si>
    <t>https://in.tradingview.com/chart/bXJLby4L/?symbol=NSE%3AINTERARCH</t>
  </si>
  <si>
    <t>INDIGO</t>
  </si>
  <si>
    <t>Interglobe Aviation Limited</t>
  </si>
  <si>
    <t>NSE%3AKAYNES</t>
  </si>
  <si>
    <t>https://in.tradingview.com/chart/ofQQfXOP/?symbol=NSE%3AINDIGO</t>
  </si>
  <si>
    <t>https://in.tradingview.com/chart/bXJLby4L/?symbol=NSE%3AINDIGO</t>
  </si>
  <si>
    <t>INTLCONV</t>
  </si>
  <si>
    <t>International Conveyors Ltd</t>
  </si>
  <si>
    <t>NSE%3AKCP</t>
  </si>
  <si>
    <t>https://in.tradingview.com/chart/ofQQfXOP/?symbol=NSE%3AINTLCONV</t>
  </si>
  <si>
    <t>https://in.tradingview.com/chart/bXJLby4L/?symbol=NSE%3AINTLCONV</t>
  </si>
  <si>
    <t>IGIL</t>
  </si>
  <si>
    <t>International Gemmological Institute (India) Ltd</t>
  </si>
  <si>
    <t>NSE%3AKCPSUGIND</t>
  </si>
  <si>
    <t>https://in.tradingview.com/chart/ofQQfXOP/?symbol=NSE%3AIGIL</t>
  </si>
  <si>
    <t>https://in.tradingview.com/chart/bXJLby4L/?symbol=NSE%3AIGIL</t>
  </si>
  <si>
    <t>ISFT</t>
  </si>
  <si>
    <t>Intrasoft Technologies Limited</t>
  </si>
  <si>
    <t>NSE%3AKDDL</t>
  </si>
  <si>
    <t>https://in.tradingview.com/chart/ofQQfXOP/?symbol=NSE%3AISFT</t>
  </si>
  <si>
    <t>https://in.tradingview.com/chart/bXJLby4L/?symbol=NSE%3AISFT</t>
  </si>
  <si>
    <t>IKS</t>
  </si>
  <si>
    <t>Inventurus Knowledge Solutions Ltd</t>
  </si>
  <si>
    <t>NSE%3AKEC</t>
  </si>
  <si>
    <t>https://in.tradingview.com/chart/ofQQfXOP/?symbol=NSE%3AIKS</t>
  </si>
  <si>
    <t>https://in.tradingview.com/chart/bXJLby4L/?symbol=NSE%3AIKS</t>
  </si>
  <si>
    <t>IVZINGOLD</t>
  </si>
  <si>
    <t>Invesco India Gold ETF</t>
  </si>
  <si>
    <t>NSE%3AKECL</t>
  </si>
  <si>
    <t>https://in.tradingview.com/chart/ofQQfXOP/?symbol=NSE%3AIVZINGOLD</t>
  </si>
  <si>
    <t>https://in.tradingview.com/chart/bXJLby4L/?symbol=NSE%3AIVZINGOLD</t>
  </si>
  <si>
    <t>IVZINNIFTY</t>
  </si>
  <si>
    <t>Invesco India Nifty ETF</t>
  </si>
  <si>
    <t>NSE%3AKEEPLEARN</t>
  </si>
  <si>
    <t>https://in.tradingview.com/chart/ofQQfXOP/?symbol=NSE%3AIVZINNIFTY</t>
  </si>
  <si>
    <t>https://in.tradingview.com/chart/bXJLby4L/?symbol=NSE%3AIVZINNIFTY</t>
  </si>
  <si>
    <t>IOLCP</t>
  </si>
  <si>
    <t>Iol Chemicals And Pharmaceuticals Limited</t>
  </si>
  <si>
    <t>NSE%3AKEI</t>
  </si>
  <si>
    <t>https://in.tradingview.com/chart/ofQQfXOP/?symbol=NSE%3AIOLCP</t>
  </si>
  <si>
    <t>https://in.tradingview.com/chart/bXJLby4L/?symbol=NSE%3AIOLCP</t>
  </si>
  <si>
    <t>IONEXCHANG</t>
  </si>
  <si>
    <t>Ion Exchange (India) Ltd</t>
  </si>
  <si>
    <t>NSE%3AKELLTONTEC</t>
  </si>
  <si>
    <t>https://in.tradingview.com/chart/ofQQfXOP/?symbol=NSE%3AIONEXCHANG</t>
  </si>
  <si>
    <t>https://in.tradingview.com/chart/bXJLby4L/?symbol=NSE%3AIONEXCHANG</t>
  </si>
  <si>
    <t>IPCALAB</t>
  </si>
  <si>
    <t>Ipca Laboratories Limited</t>
  </si>
  <si>
    <t>NSE%3AKERNEX</t>
  </si>
  <si>
    <t>https://in.tradingview.com/chart/ofQQfXOP/?symbol=NSE%3AIPCALAB</t>
  </si>
  <si>
    <t>https://in.tradingview.com/chart/bXJLby4L/?symbol=NSE%3AIPCALAB</t>
  </si>
  <si>
    <t>IRB</t>
  </si>
  <si>
    <t>Irb Infrastructure Developers Limited</t>
  </si>
  <si>
    <t>NSE%3AKESORAMIND</t>
  </si>
  <si>
    <t>https://in.tradingview.com/chart/ofQQfXOP/?symbol=NSE%3AIRB</t>
  </si>
  <si>
    <t>https://in.tradingview.com/chart/bXJLby4L/?symbol=NSE%3AIRB</t>
  </si>
  <si>
    <t>IRCON</t>
  </si>
  <si>
    <t>Ircon International Ltd</t>
  </si>
  <si>
    <t>NSE%3AKEYFINSERV</t>
  </si>
  <si>
    <t>https://in.tradingview.com/chart/ofQQfXOP/?symbol=NSE%3AIRCON</t>
  </si>
  <si>
    <t>https://in.tradingview.com/chart/bXJLby4L/?symbol=NSE%3AIRCON</t>
  </si>
  <si>
    <t>IRIS</t>
  </si>
  <si>
    <t>IRIS Business Services Ltd</t>
  </si>
  <si>
    <t>NSE%3AKFINTECH</t>
  </si>
  <si>
    <t>https://in.tradingview.com/chart/ofQQfXOP/?symbol=NSE%3AIRIS</t>
  </si>
  <si>
    <t>https://in.tradingview.com/chart/bXJLby4L/?symbol=NSE%3AIRIS</t>
  </si>
  <si>
    <t>IRISDOREME</t>
  </si>
  <si>
    <t>Iris Clothings Ltd</t>
  </si>
  <si>
    <t>NSE%3AKHADIM</t>
  </si>
  <si>
    <t>https://in.tradingview.com/chart/ofQQfXOP/?symbol=NSE%3AIRISDOREME</t>
  </si>
  <si>
    <t>https://in.tradingview.com/chart/bXJLby4L/?symbol=NSE%3AIRISDOREME</t>
  </si>
  <si>
    <t>IRMENERGY</t>
  </si>
  <si>
    <t>IRM Energy Ltd</t>
  </si>
  <si>
    <t>NSE%3AKHAICHEM</t>
  </si>
  <si>
    <t>https://in.tradingview.com/chart/ofQQfXOP/?symbol=NSE%3AIRMENERGY</t>
  </si>
  <si>
    <t>https://in.tradingview.com/chart/bXJLby4L/?symbol=NSE%3AIRMENERGY</t>
  </si>
  <si>
    <t>ISGEC</t>
  </si>
  <si>
    <t>ISGEC Heavy Engineering  Ltd</t>
  </si>
  <si>
    <t>NSE%3AKHAITANLTD</t>
  </si>
  <si>
    <t>https://in.tradingview.com/chart/ofQQfXOP/?symbol=NSE%3AISGEC</t>
  </si>
  <si>
    <t>https://in.tradingview.com/chart/bXJLby4L/?symbol=NSE%3AISGEC</t>
  </si>
  <si>
    <t>ISHANCH</t>
  </si>
  <si>
    <t>Ishan Dyes and chemicals Ltd</t>
  </si>
  <si>
    <t>NSE%3AKHANDSE</t>
  </si>
  <si>
    <t>https://in.tradingview.com/chart/ofQQfXOP/?symbol=NSE%3AISHANCH</t>
  </si>
  <si>
    <t>https://in.tradingview.com/chart/bXJLby4L/?symbol=NSE%3AISHANCH</t>
  </si>
  <si>
    <t>ITCHOTELS</t>
  </si>
  <si>
    <t>ITC Hotels Ltd</t>
  </si>
  <si>
    <t>NSE%3AKICL</t>
  </si>
  <si>
    <t>https://in.tradingview.com/chart/ofQQfXOP/?symbol=NSE%3AITCHOTELS</t>
  </si>
  <si>
    <t>https://in.tradingview.com/chart/bXJLby4L/?symbol=NSE%3AITCHOTELS</t>
  </si>
  <si>
    <t>ITC</t>
  </si>
  <si>
    <t>Itc Limited</t>
  </si>
  <si>
    <t>NSE%3AKILITCH</t>
  </si>
  <si>
    <t>https://in.tradingview.com/chart/ofQQfXOP/?symbol=NSE%3AITC</t>
  </si>
  <si>
    <t>https://in.tradingview.com/chart/bXJLby4L/?symbol=NSE%3AITC</t>
  </si>
  <si>
    <t>ITI</t>
  </si>
  <si>
    <t>Iti Limited</t>
  </si>
  <si>
    <t>NSE%3AKIMS</t>
  </si>
  <si>
    <t>https://in.tradingview.com/chart/ofQQfXOP/?symbol=NSE%3AITI</t>
  </si>
  <si>
    <t>https://in.tradingview.com/chart/bXJLby4L/?symbol=NSE%3AITI</t>
  </si>
  <si>
    <t>IVALUE</t>
  </si>
  <si>
    <t>Ivalue Infosolutions Ltd</t>
  </si>
  <si>
    <t>NSE%3AKINGFA</t>
  </si>
  <si>
    <t>https://in.tradingview.com/chart/ofQQfXOP/?symbol=NSE%3AIVALUE</t>
  </si>
  <si>
    <t>https://in.tradingview.com/chart/bXJLby4L/?symbol=NSE%3AIVALUE</t>
  </si>
  <si>
    <t>IVP</t>
  </si>
  <si>
    <t>Ivp Limited</t>
  </si>
  <si>
    <t>NSE%3AKIOCL</t>
  </si>
  <si>
    <t>https://in.tradingview.com/chart/ofQQfXOP/?symbol=NSE%3AIVP</t>
  </si>
  <si>
    <t>https://in.tradingview.com/chart/bXJLby4L/?symbol=NSE%3AIVP</t>
  </si>
  <si>
    <t>IZMO</t>
  </si>
  <si>
    <t>Izmo Limited</t>
  </si>
  <si>
    <t>NSE%3AKIRIINDUS</t>
  </si>
  <si>
    <t>https://in.tradingview.com/chart/ofQQfXOP/?symbol=NSE%3AIZMO</t>
  </si>
  <si>
    <t>https://in.tradingview.com/chart/bXJLby4L/?symbol=NSE%3AIZMO</t>
  </si>
  <si>
    <t>JGCHEM</t>
  </si>
  <si>
    <t>J.G.Chemicals Ltd</t>
  </si>
  <si>
    <t>NSE%3AKIRLOSBROS</t>
  </si>
  <si>
    <t>https://in.tradingview.com/chart/ofQQfXOP/?symbol=NSE%3AJGCHEM</t>
  </si>
  <si>
    <t>https://in.tradingview.com/chart/bXJLby4L/?symbol=NSE%3AJGCHEM</t>
  </si>
  <si>
    <t>JKIL</t>
  </si>
  <si>
    <t>J.kumar Infraprojects Limited</t>
  </si>
  <si>
    <t>NSE%3AKIRLOSENG</t>
  </si>
  <si>
    <t>https://in.tradingview.com/chart/ofQQfXOP/?symbol=NSE%3AJKIL</t>
  </si>
  <si>
    <t>https://in.tradingview.com/chart/bXJLby4L/?symbol=NSE%3AJKIL</t>
  </si>
  <si>
    <t>JAGRAN</t>
  </si>
  <si>
    <t>Jagran Prakashan Limited</t>
  </si>
  <si>
    <t>NSE%3AKIRLOSIND</t>
  </si>
  <si>
    <t>https://in.tradingview.com/chart/ofQQfXOP/?symbol=NSE%3AJAGRAN</t>
  </si>
  <si>
    <t>https://in.tradingview.com/chart/bXJLby4L/?symbol=NSE%3AJAGRAN</t>
  </si>
  <si>
    <t>JAGSNPHARM</t>
  </si>
  <si>
    <t>Jagsonpal Pharmaceuticals Limited</t>
  </si>
  <si>
    <t>NSE%3AKITEX</t>
  </si>
  <si>
    <t>https://in.tradingview.com/chart/ofQQfXOP/?symbol=NSE%3AJAGSNPHARM</t>
  </si>
  <si>
    <t>https://in.tradingview.com/chart/bXJLby4L/?symbol=NSE%3AJAGSNPHARM</t>
  </si>
  <si>
    <t>JAIBALAJI</t>
  </si>
  <si>
    <t>Jai Balaji Industries Limited</t>
  </si>
  <si>
    <t>NSE%3AKKCL</t>
  </si>
  <si>
    <t>https://in.tradingview.com/chart/ofQQfXOP/?symbol=NSE%3AJAIBALAJI</t>
  </si>
  <si>
    <t>https://in.tradingview.com/chart/bXJLby4L/?symbol=NSE%3AJAIBALAJI</t>
  </si>
  <si>
    <t>JAICORPLTD</t>
  </si>
  <si>
    <t>Jai Corp Limited</t>
  </si>
  <si>
    <t>NSE%3AKMEW</t>
  </si>
  <si>
    <t>https://in.tradingview.com/chart/ofQQfXOP/?symbol=NSE%3AJAICORPLTD</t>
  </si>
  <si>
    <t>https://in.tradingview.com/chart/bXJLby4L/?symbol=NSE%3AJAICORPLTD</t>
  </si>
  <si>
    <t>JISLJALEQS</t>
  </si>
  <si>
    <t>Jain Irrigation Systems Limited</t>
  </si>
  <si>
    <t>NSE%3AKMSUGAR</t>
  </si>
  <si>
    <t>https://in.tradingview.com/chart/ofQQfXOP/?symbol=NSE%3AJISLJALEQS</t>
  </si>
  <si>
    <t>https://in.tradingview.com/chart/bXJLby4L/?symbol=NSE%3AJISLJALEQS</t>
  </si>
  <si>
    <t>JISLDVREQS</t>
  </si>
  <si>
    <t>NSE%3AKNRCON</t>
  </si>
  <si>
    <t>https://in.tradingview.com/chart/ofQQfXOP/?symbol=NSE%3AJISLDVREQS</t>
  </si>
  <si>
    <t>https://in.tradingview.com/chart/bXJLby4L/?symbol=NSE%3AJISLDVREQS</t>
  </si>
  <si>
    <t>JAINREC</t>
  </si>
  <si>
    <t>Jain Resource Recycling Ltd</t>
  </si>
  <si>
    <t>NSE%3AKOHINOOR</t>
  </si>
  <si>
    <t>https://in.tradingview.com/chart/ofQQfXOP/?symbol=NSE%3AJAINREC</t>
  </si>
  <si>
    <t>https://in.tradingview.com/chart/bXJLby4L/?symbol=NSE%3AJAINREC</t>
  </si>
  <si>
    <t>JPPOWER</t>
  </si>
  <si>
    <t>Jaiprakash Power Ventures Limited</t>
  </si>
  <si>
    <t>NSE%3AKOKUYOCMLN</t>
  </si>
  <si>
    <t>https://in.tradingview.com/chart/ofQQfXOP/?symbol=NSE%3AJPPOWER</t>
  </si>
  <si>
    <t>https://in.tradingview.com/chart/bXJLby4L/?symbol=NSE%3AJPPOWER</t>
  </si>
  <si>
    <t>JAMNAAUTO</t>
  </si>
  <si>
    <t>Jamna Auto Industries Limited</t>
  </si>
  <si>
    <t>NSE%3AKOLTEPATIL</t>
  </si>
  <si>
    <t>https://in.tradingview.com/chart/ofQQfXOP/?symbol=NSE%3AJAMNAAUTO</t>
  </si>
  <si>
    <t>https://in.tradingview.com/chart/bXJLby4L/?symbol=NSE%3AJAMNAAUTO</t>
  </si>
  <si>
    <t>JSFB</t>
  </si>
  <si>
    <t>Jana Small Finance Bank Ltd</t>
  </si>
  <si>
    <t>NSE%3AKOPRAN</t>
  </si>
  <si>
    <t>https://in.tradingview.com/chart/ofQQfXOP/?symbol=NSE%3AJSFB</t>
  </si>
  <si>
    <t>https://in.tradingview.com/chart/bXJLby4L/?symbol=NSE%3AJSFB</t>
  </si>
  <si>
    <t>JARO</t>
  </si>
  <si>
    <t>Jaro Institute of Technol. Mgt. and Research Ltd</t>
  </si>
  <si>
    <t>NSE%3AKOTAKBANK</t>
  </si>
  <si>
    <t>https://in.tradingview.com/chart/ofQQfXOP/?symbol=NSE%3AJARO</t>
  </si>
  <si>
    <t>https://in.tradingview.com/chart/bXJLby4L/?symbol=NSE%3AJARO</t>
  </si>
  <si>
    <t>JASH</t>
  </si>
  <si>
    <t>Jash Engineering Ltd</t>
  </si>
  <si>
    <t>NSE%3AKOTARISUG</t>
  </si>
  <si>
    <t>https://in.tradingview.com/chart/ofQQfXOP/?symbol=NSE%3AJASH</t>
  </si>
  <si>
    <t>https://in.tradingview.com/chart/bXJLby4L/?symbol=NSE%3AJASH</t>
  </si>
  <si>
    <t>JAYBARMARU</t>
  </si>
  <si>
    <t>Jay Bharat Maruti Limited</t>
  </si>
  <si>
    <t>NSE%3AKOTHARIPET</t>
  </si>
  <si>
    <t>https://in.tradingview.com/chart/ofQQfXOP/?symbol=NSE%3AJAYBARMARU</t>
  </si>
  <si>
    <t>https://in.tradingview.com/chart/bXJLby4L/?symbol=NSE%3AJAYBARMARU</t>
  </si>
  <si>
    <t>JAYAGROGN</t>
  </si>
  <si>
    <t>Jayant Agro Organics Limited</t>
  </si>
  <si>
    <t>NSE%3AKOTHARIPRO</t>
  </si>
  <si>
    <t>https://in.tradingview.com/chart/ofQQfXOP/?symbol=NSE%3AJAYAGROGN</t>
  </si>
  <si>
    <t>https://in.tradingview.com/chart/bXJLby4L/?symbol=NSE%3AJAYAGROGN</t>
  </si>
  <si>
    <t>JAYNECOIND</t>
  </si>
  <si>
    <t>Jayaswal Neco Industries Limited</t>
  </si>
  <si>
    <t>NSE%3AKPEL</t>
  </si>
  <si>
    <t>https://in.tradingview.com/chart/ofQQfXOP/?symbol=NSE%3AJAYNECOIND</t>
  </si>
  <si>
    <t>https://in.tradingview.com/chart/bXJLby4L/?symbol=NSE%3AJAYNECOIND</t>
  </si>
  <si>
    <t>JAYSREETEA</t>
  </si>
  <si>
    <t>Jayshree Tea &amp; Industries Limited</t>
  </si>
  <si>
    <t>NSE%3AKPIGREEN</t>
  </si>
  <si>
    <t>https://in.tradingview.com/chart/ofQQfXOP/?symbol=NSE%3AJAYSREETEA</t>
  </si>
  <si>
    <t>https://in.tradingview.com/chart/bXJLby4L/?symbol=NSE%3AJAYSREETEA</t>
  </si>
  <si>
    <t>JBCHEPHARM</t>
  </si>
  <si>
    <t>Jb Chemicals &amp; Pharmaceuticals Limited</t>
  </si>
  <si>
    <t>NSE%3AKPIL</t>
  </si>
  <si>
    <t>https://in.tradingview.com/chart/ofQQfXOP/?symbol=NSE%3AJBCHEPHARM</t>
  </si>
  <si>
    <t>https://in.tradingview.com/chart/bXJLby4L/?symbol=NSE%3AJBCHEPHARM</t>
  </si>
  <si>
    <t>JBMA</t>
  </si>
  <si>
    <t>Jbm Auto Limited</t>
  </si>
  <si>
    <t>NSE%3AKPITTECH</t>
  </si>
  <si>
    <t>https://in.tradingview.com/chart/ofQQfXOP/?symbol=NSE%3AJBMA</t>
  </si>
  <si>
    <t>https://in.tradingview.com/chart/bXJLby4L/?symbol=NSE%3AJBMA</t>
  </si>
  <si>
    <t>JSLL</t>
  </si>
  <si>
    <t>Jeena Sikho Lifecare Ltd</t>
  </si>
  <si>
    <t>NSE%3AKPRMILL</t>
  </si>
  <si>
    <t>https://in.tradingview.com/chart/ofQQfXOP/?symbol=NSE%3AJSLL</t>
  </si>
  <si>
    <t>https://in.tradingview.com/chart/bXJLby4L/?symbol=NSE%3AJSLL</t>
  </si>
  <si>
    <t>JETFREIGHT</t>
  </si>
  <si>
    <t>Jet Freight Logistics Ltd</t>
  </si>
  <si>
    <t>NSE%3AKRBL</t>
  </si>
  <si>
    <t>https://in.tradingview.com/chart/ofQQfXOP/?symbol=NSE%3AJETFREIGHT</t>
  </si>
  <si>
    <t>https://in.tradingview.com/chart/bXJLby4L/?symbol=NSE%3AJETFREIGHT</t>
  </si>
  <si>
    <t>JHS</t>
  </si>
  <si>
    <t>Jhs Svendgaard Laboratories Limited</t>
  </si>
  <si>
    <t>NSE%3AKREBSBIO</t>
  </si>
  <si>
    <t>https://in.tradingview.com/chart/ofQQfXOP/?symbol=NSE%3AJHS</t>
  </si>
  <si>
    <t>https://in.tradingview.com/chart/bXJLby4L/?symbol=NSE%3AJHS</t>
  </si>
  <si>
    <t>RETAIL</t>
  </si>
  <si>
    <t>JHS Svendgaard Retail Ventures Ltd</t>
  </si>
  <si>
    <t>NSE%3AKRIDHANINF</t>
  </si>
  <si>
    <t>https://in.tradingview.com/chart/ofQQfXOP/?symbol=NSE%3ARETAIL</t>
  </si>
  <si>
    <t>https://in.tradingview.com/chart/bXJLby4L/?symbol=NSE%3ARETAIL</t>
  </si>
  <si>
    <t>JINDRILL</t>
  </si>
  <si>
    <t>Jindal Drilling And Industries Limited</t>
  </si>
  <si>
    <t>NSE%3AKRISHANA</t>
  </si>
  <si>
    <t>https://in.tradingview.com/chart/ofQQfXOP/?symbol=NSE%3AJINDRILL</t>
  </si>
  <si>
    <t>https://in.tradingview.com/chart/bXJLby4L/?symbol=NSE%3AJINDRILL</t>
  </si>
  <si>
    <t>JINDALPHOT</t>
  </si>
  <si>
    <t>Jindal Photo Limited</t>
  </si>
  <si>
    <t>NSE%3AKRITI</t>
  </si>
  <si>
    <t>https://in.tradingview.com/chart/ofQQfXOP/?symbol=NSE%3AJINDALPHOT</t>
  </si>
  <si>
    <t>https://in.tradingview.com/chart/bXJLby4L/?symbol=NSE%3AJINDALPHOT</t>
  </si>
  <si>
    <t>JINDALPOLY</t>
  </si>
  <si>
    <t>Jindal Poly Films Limited</t>
  </si>
  <si>
    <t>NSE%3AKRITINUT</t>
  </si>
  <si>
    <t>https://in.tradingview.com/chart/ofQQfXOP/?symbol=NSE%3AJINDALPOLY</t>
  </si>
  <si>
    <t>https://in.tradingview.com/chart/bXJLby4L/?symbol=NSE%3AJINDALPOLY</t>
  </si>
  <si>
    <t>JPOLYINVST</t>
  </si>
  <si>
    <t>Jindal Poly Investment And Finance Company Limited</t>
  </si>
  <si>
    <t>NSE%3AKRN</t>
  </si>
  <si>
    <t>https://in.tradingview.com/chart/ofQQfXOP/?symbol=NSE%3AJPOLYINVST</t>
  </si>
  <si>
    <t>https://in.tradingview.com/chart/bXJLby4L/?symbol=NSE%3AJPOLYINVST</t>
  </si>
  <si>
    <t>JINDALSAW</t>
  </si>
  <si>
    <t>Jindal Saw Limited</t>
  </si>
  <si>
    <t>NSE%3AKRONOX</t>
  </si>
  <si>
    <t>https://in.tradingview.com/chart/ofQQfXOP/?symbol=NSE%3AJINDALSAW</t>
  </si>
  <si>
    <t>https://in.tradingview.com/chart/bXJLby4L/?symbol=NSE%3AJINDALSAW</t>
  </si>
  <si>
    <t>JSL</t>
  </si>
  <si>
    <t>Jindal Stainless Limited</t>
  </si>
  <si>
    <t>NSE%3AKROSS</t>
  </si>
  <si>
    <t>https://in.tradingview.com/chart/ofQQfXOP/?symbol=NSE%3AJSL</t>
  </si>
  <si>
    <t>https://in.tradingview.com/chart/bXJLby4L/?symbol=NSE%3AJSL</t>
  </si>
  <si>
    <t>JINDALSTEL</t>
  </si>
  <si>
    <t>Jindal Steel &amp; Power Limited</t>
  </si>
  <si>
    <t>NSE%3AKRSNAA</t>
  </si>
  <si>
    <t>https://in.tradingview.com/chart/ofQQfXOP/?symbol=NSE%3AJINDALSTEL</t>
  </si>
  <si>
    <t>https://in.tradingview.com/chart/bXJLby4L/?symbol=NSE%3AJINDALSTEL</t>
  </si>
  <si>
    <t>JINDWORLD</t>
  </si>
  <si>
    <t>Jindal Worldwide Limited</t>
  </si>
  <si>
    <t>NSE%3AKRYSTAL</t>
  </si>
  <si>
    <t>https://in.tradingview.com/chart/ofQQfXOP/?symbol=NSE%3AJINDWORLD</t>
  </si>
  <si>
    <t>https://in.tradingview.com/chart/bXJLby4L/?symbol=NSE%3AJINDWORLD</t>
  </si>
  <si>
    <t>JIOFIN</t>
  </si>
  <si>
    <t>Jio Financial Services Ltd</t>
  </si>
  <si>
    <t>NSE%3AKSB</t>
  </si>
  <si>
    <t>https://in.tradingview.com/chart/ofQQfXOP/?symbol=NSE%3AJIOFIN</t>
  </si>
  <si>
    <t>https://in.tradingview.com/chart/bXJLby4L/?symbol=NSE%3AJIOFIN</t>
  </si>
  <si>
    <t>JITFINFRA</t>
  </si>
  <si>
    <t>JITF Infra Logistics Ltd</t>
  </si>
  <si>
    <t>NSE%3AKSCL</t>
  </si>
  <si>
    <t>https://in.tradingview.com/chart/ofQQfXOP/?symbol=NSE%3AJITFINFRA</t>
  </si>
  <si>
    <t>https://in.tradingview.com/chart/bXJLby4L/?symbol=NSE%3AJITFINFRA</t>
  </si>
  <si>
    <t>JKCEMENT</t>
  </si>
  <si>
    <t>Jk Cement Limited</t>
  </si>
  <si>
    <t>NSE%3AKSHITIJPOL</t>
  </si>
  <si>
    <t>https://in.tradingview.com/chart/ofQQfXOP/?symbol=NSE%3AJKCEMENT</t>
  </si>
  <si>
    <t>https://in.tradingview.com/chart/bXJLby4L/?symbol=NSE%3AJKCEMENT</t>
  </si>
  <si>
    <t>JKLAKSHMI</t>
  </si>
  <si>
    <t>Jk Lakshmi Cement Limited</t>
  </si>
  <si>
    <t>NSE%3AKSL</t>
  </si>
  <si>
    <t>https://in.tradingview.com/chart/ofQQfXOP/?symbol=NSE%3AJKLAKSHMI</t>
  </si>
  <si>
    <t>https://in.tradingview.com/chart/bXJLby4L/?symbol=NSE%3AJKLAKSHMI</t>
  </si>
  <si>
    <t>JKPAPER</t>
  </si>
  <si>
    <t>Jk Paper Limited</t>
  </si>
  <si>
    <t>NSE%3AKSOLVES</t>
  </si>
  <si>
    <t>https://in.tradingview.com/chart/ofQQfXOP/?symbol=NSE%3AJKPAPER</t>
  </si>
  <si>
    <t>https://in.tradingview.com/chart/bXJLby4L/?symbol=NSE%3AJKPAPER</t>
  </si>
  <si>
    <t>JKTYRE</t>
  </si>
  <si>
    <t>Jk Tyre &amp; Industries Limited</t>
  </si>
  <si>
    <t>NSE%3AKTKBANK</t>
  </si>
  <si>
    <t>https://in.tradingview.com/chart/ofQQfXOP/?symbol=NSE%3AJKTYRE</t>
  </si>
  <si>
    <t>https://in.tradingview.com/chart/bXJLby4L/?symbol=NSE%3AJKTYRE</t>
  </si>
  <si>
    <t>JMFINANCIL</t>
  </si>
  <si>
    <t>Jm Financial Limited</t>
  </si>
  <si>
    <t>NSE%3AKUANTUM</t>
  </si>
  <si>
    <t>https://in.tradingview.com/chart/ofQQfXOP/?symbol=NSE%3AJMFINANCIL</t>
  </si>
  <si>
    <t>https://in.tradingview.com/chart/bXJLby4L/?symbol=NSE%3AJMFINANCIL</t>
  </si>
  <si>
    <t>JNKINDIA</t>
  </si>
  <si>
    <t>JNK India Ltd</t>
  </si>
  <si>
    <t>NSE%3ALAGNAM</t>
  </si>
  <si>
    <t>https://in.tradingview.com/chart/ofQQfXOP/?symbol=NSE%3AJNKINDIA</t>
  </si>
  <si>
    <t>https://in.tradingview.com/chart/bXJLby4L/?symbol=NSE%3AJNKINDIA</t>
  </si>
  <si>
    <t>JOCIL</t>
  </si>
  <si>
    <t>Jocil Limited</t>
  </si>
  <si>
    <t>NSE%3ALAKPRE</t>
  </si>
  <si>
    <t>https://in.tradingview.com/chart/ofQQfXOP/?symbol=NSE%3AJOCIL</t>
  </si>
  <si>
    <t>https://in.tradingview.com/chart/bXJLby4L/?symbol=NSE%3AJOCIL</t>
  </si>
  <si>
    <t>JCHAC</t>
  </si>
  <si>
    <t>Johnson Controls-Hitachi Air Condition. India Ltd</t>
  </si>
  <si>
    <t>NSE%3ALALPATHLAB</t>
  </si>
  <si>
    <t>https://in.tradingview.com/chart/ofQQfXOP/?symbol=NSE%3AJCHAC</t>
  </si>
  <si>
    <t>https://in.tradingview.com/chart/bXJLby4L/?symbol=NSE%3AJCHAC</t>
  </si>
  <si>
    <t>JSWCEMENT</t>
  </si>
  <si>
    <t>JSW Cement Ltd</t>
  </si>
  <si>
    <t>NSE%3ALAMBODHARA</t>
  </si>
  <si>
    <t>https://in.tradingview.com/chart/ofQQfXOP/?symbol=NSE%3AJSWCEMENT</t>
  </si>
  <si>
    <t>https://in.tradingview.com/chart/bXJLby4L/?symbol=NSE%3AJSWCEMENT</t>
  </si>
  <si>
    <t>JSWENERGY</t>
  </si>
  <si>
    <t>Jsw Energy Limited</t>
  </si>
  <si>
    <t>NSE%3ALANCORHOL</t>
  </si>
  <si>
    <t>https://in.tradingview.com/chart/ofQQfXOP/?symbol=NSE%3AJSWENERGY</t>
  </si>
  <si>
    <t>https://in.tradingview.com/chart/bXJLby4L/?symbol=NSE%3AJSWENERGY</t>
  </si>
  <si>
    <t>JSWHL</t>
  </si>
  <si>
    <t>Jsw Holdings Limited</t>
  </si>
  <si>
    <t>NSE%3ALANDMARK</t>
  </si>
  <si>
    <t>https://in.tradingview.com/chart/ofQQfXOP/?symbol=NSE%3AJSWHL</t>
  </si>
  <si>
    <t>https://in.tradingview.com/chart/bXJLby4L/?symbol=NSE%3AJSWHL</t>
  </si>
  <si>
    <t>JSWINFRA</t>
  </si>
  <si>
    <t>JSW Infrastructure Ltd</t>
  </si>
  <si>
    <t>NSE%3ALAOPALA</t>
  </si>
  <si>
    <t>https://in.tradingview.com/chart/ofQQfXOP/?symbol=NSE%3AJSWINFRA</t>
  </si>
  <si>
    <t>https://in.tradingview.com/chart/bXJLby4L/?symbol=NSE%3AJSWINFRA</t>
  </si>
  <si>
    <t>JSWSTEEL</t>
  </si>
  <si>
    <t>Jsw Steel Limited</t>
  </si>
  <si>
    <t>NSE%3ALASA</t>
  </si>
  <si>
    <t>https://in.tradingview.com/chart/ofQQfXOP/?symbol=NSE%3AJSWSTEEL</t>
  </si>
  <si>
    <t>https://in.tradingview.com/chart/bXJLby4L/?symbol=NSE%3AJSWSTEEL</t>
  </si>
  <si>
    <t>JTEKTINDIA</t>
  </si>
  <si>
    <t>JTEKT India Ltd</t>
  </si>
  <si>
    <t>NSE%3ALATENTVIEW</t>
  </si>
  <si>
    <t>https://in.tradingview.com/chart/ofQQfXOP/?symbol=NSE%3AJTEKTINDIA</t>
  </si>
  <si>
    <t>https://in.tradingview.com/chart/bXJLby4L/?symbol=NSE%3AJTEKTINDIA</t>
  </si>
  <si>
    <t>JTLIND</t>
  </si>
  <si>
    <t>JTL Industries Ltd</t>
  </si>
  <si>
    <t>NSE%3ALAURUSLABS</t>
  </si>
  <si>
    <t>https://in.tradingview.com/chart/ofQQfXOP/?symbol=NSE%3AJTLIND</t>
  </si>
  <si>
    <t>https://in.tradingview.com/chart/bXJLby4L/?symbol=NSE%3AJTLIND</t>
  </si>
  <si>
    <t>JUBLCPL</t>
  </si>
  <si>
    <t>Jubilant Agri &amp; Consumer Products Ltd</t>
  </si>
  <si>
    <t>NSE%3ALAXMICOT</t>
  </si>
  <si>
    <t>https://in.tradingview.com/chart/ofQQfXOP/?symbol=NSE%3AJUBLCPL</t>
  </si>
  <si>
    <t>https://in.tradingview.com/chart/bXJLby4L/?symbol=NSE%3AJUBLCPL</t>
  </si>
  <si>
    <t>JUBLFOOD</t>
  </si>
  <si>
    <t>Jubilant Foodworks Limited</t>
  </si>
  <si>
    <t>NSE%3ALAXMIDENTL</t>
  </si>
  <si>
    <t>https://in.tradingview.com/chart/ofQQfXOP/?symbol=NSE%3AJUBLFOOD</t>
  </si>
  <si>
    <t>https://in.tradingview.com/chart/bXJLby4L/?symbol=NSE%3AJUBLFOOD</t>
  </si>
  <si>
    <t>JUBLINGREA</t>
  </si>
  <si>
    <t>Jubilant Ingrevia Ltd</t>
  </si>
  <si>
    <t>NSE%3ALEMONTREE</t>
  </si>
  <si>
    <t>https://in.tradingview.com/chart/ofQQfXOP/?symbol=NSE%3AJUBLINGREA</t>
  </si>
  <si>
    <t>https://in.tradingview.com/chart/bXJLby4L/?symbol=NSE%3AJUBLINGREA</t>
  </si>
  <si>
    <t>JUBLPHARMA</t>
  </si>
  <si>
    <t>Jubilant Pharmova Ltd</t>
  </si>
  <si>
    <t>NSE%3ALEXUS</t>
  </si>
  <si>
    <t>https://in.tradingview.com/chart/ofQQfXOP/?symbol=NSE%3AJUBLPHARMA</t>
  </si>
  <si>
    <t>https://in.tradingview.com/chart/bXJLby4L/?symbol=NSE%3AJUBLPHARMA</t>
  </si>
  <si>
    <t>JMA</t>
  </si>
  <si>
    <t>Jullundur Motor Agency (delhi) Limited</t>
  </si>
  <si>
    <t>NSE%3ALFIC</t>
  </si>
  <si>
    <t>https://in.tradingview.com/chart/ofQQfXOP/?symbol=NSE%3AJMA</t>
  </si>
  <si>
    <t>https://in.tradingview.com/chart/bXJLby4L/?symbol=NSE%3AJMA</t>
  </si>
  <si>
    <t>JUNIPER</t>
  </si>
  <si>
    <t>Juniper Hotels Ltd</t>
  </si>
  <si>
    <t>NSE%3ALGBBROSLTD</t>
  </si>
  <si>
    <t>https://in.tradingview.com/chart/ofQQfXOP/?symbol=NSE%3AJUNIPER</t>
  </si>
  <si>
    <t>https://in.tradingview.com/chart/bXJLby4L/?symbol=NSE%3AJUNIPER</t>
  </si>
  <si>
    <t>JLHL</t>
  </si>
  <si>
    <t>Jupiter Life Line Hospitals Ltd</t>
  </si>
  <si>
    <t>NSE%3ALGHL</t>
  </si>
  <si>
    <t>https://in.tradingview.com/chart/ofQQfXOP/?symbol=NSE%3AJLHL</t>
  </si>
  <si>
    <t>https://in.tradingview.com/chart/bXJLby4L/?symbol=NSE%3AJLHL</t>
  </si>
  <si>
    <t>JWL</t>
  </si>
  <si>
    <t>Jupiter Wagons Ltd</t>
  </si>
  <si>
    <t>NSE%3ALIBAS</t>
  </si>
  <si>
    <t>https://in.tradingview.com/chart/ofQQfXOP/?symbol=NSE%3AJWL</t>
  </si>
  <si>
    <t>https://in.tradingview.com/chart/bXJLby4L/?symbol=NSE%3AJWL</t>
  </si>
  <si>
    <t>JUSTDIAL</t>
  </si>
  <si>
    <t>Just Dial Limited</t>
  </si>
  <si>
    <t>NSE%3ALIBERTSHOE</t>
  </si>
  <si>
    <t>https://in.tradingview.com/chart/ofQQfXOP/?symbol=NSE%3AJUSTDIAL</t>
  </si>
  <si>
    <t>https://in.tradingview.com/chart/bXJLby4L/?symbol=NSE%3AJUSTDIAL</t>
  </si>
  <si>
    <t>JYOTHYLAB</t>
  </si>
  <si>
    <t>Jyothy Laboratories Limited</t>
  </si>
  <si>
    <t>NSE%3ALICHSGFIN</t>
  </si>
  <si>
    <t>https://in.tradingview.com/chart/ofQQfXOP/?symbol=NSE%3AJYOTHYLAB</t>
  </si>
  <si>
    <t>https://in.tradingview.com/chart/bXJLby4L/?symbol=NSE%3AJYOTHYLAB</t>
  </si>
  <si>
    <t>JYOTICNC</t>
  </si>
  <si>
    <t>Jyoti CNC Automation Ltd</t>
  </si>
  <si>
    <t>NSE%3ALICI</t>
  </si>
  <si>
    <t>https://in.tradingview.com/chart/ofQQfXOP/?symbol=NSE%3AJYOTICNC</t>
  </si>
  <si>
    <t>https://in.tradingview.com/chart/bXJLby4L/?symbol=NSE%3AJYOTICNC</t>
  </si>
  <si>
    <t>JYOTISTRUC</t>
  </si>
  <si>
    <t>Jyoti Structures Limited</t>
  </si>
  <si>
    <t>NSE%3ALICMFGOLD</t>
  </si>
  <si>
    <t>https://in.tradingview.com/chart/ofQQfXOP/?symbol=NSE%3AJYOTISTRUC</t>
  </si>
  <si>
    <t>https://in.tradingview.com/chart/bXJLby4L/?symbol=NSE%3AJYOTISTRUC</t>
  </si>
  <si>
    <t>KMSUGAR</t>
  </si>
  <si>
    <t>K.m.sugar Mills Limited</t>
  </si>
  <si>
    <t>NSE%3ALICNETFGSC</t>
  </si>
  <si>
    <t>https://in.tradingview.com/chart/ofQQfXOP/?symbol=NSE%3AKMSUGAR</t>
  </si>
  <si>
    <t>https://in.tradingview.com/chart/bXJLby4L/?symbol=NSE%3AKMSUGAR</t>
  </si>
  <si>
    <t>KPEL</t>
  </si>
  <si>
    <t>K.P. Energy Ltd</t>
  </si>
  <si>
    <t>NSE%3ALICNETFN50</t>
  </si>
  <si>
    <t>https://in.tradingview.com/chart/ofQQfXOP/?symbol=NSE%3AKPEL</t>
  </si>
  <si>
    <t>https://in.tradingview.com/chart/bXJLby4L/?symbol=NSE%3AKPEL</t>
  </si>
  <si>
    <t>KPRMILL</t>
  </si>
  <si>
    <t>K.p.r. Mill Limited</t>
  </si>
  <si>
    <t>NSE%3ALICNETFSEN</t>
  </si>
  <si>
    <t>https://in.tradingview.com/chart/ofQQfXOP/?symbol=NSE%3AKPRMILL</t>
  </si>
  <si>
    <t>https://in.tradingview.com/chart/bXJLby4L/?symbol=NSE%3AKPRMILL</t>
  </si>
  <si>
    <t>KABRAEXTRU</t>
  </si>
  <si>
    <t>Kabra Extrusion Technik Limited</t>
  </si>
  <si>
    <t>NSE%3ALICNFNHGP</t>
  </si>
  <si>
    <t>https://in.tradingview.com/chart/ofQQfXOP/?symbol=NSE%3AKABRAEXTRU</t>
  </si>
  <si>
    <t>https://in.tradingview.com/chart/bXJLby4L/?symbol=NSE%3AKABRAEXTRU</t>
  </si>
  <si>
    <t>KAJARIACER</t>
  </si>
  <si>
    <t>Kajaria Ceramics Limited</t>
  </si>
  <si>
    <t>NSE%3ALICNMID100</t>
  </si>
  <si>
    <t>https://in.tradingview.com/chart/ofQQfXOP/?symbol=NSE%3AKAJARIACER</t>
  </si>
  <si>
    <t>https://in.tradingview.com/chart/bXJLby4L/?symbol=NSE%3AKAJARIACER</t>
  </si>
  <si>
    <t>KAKATCEM</t>
  </si>
  <si>
    <t>Kakatiya Cement Sugar &amp; Industries Limited</t>
  </si>
  <si>
    <t>NSE%3ALIKHITHA</t>
  </si>
  <si>
    <t>https://in.tradingview.com/chart/ofQQfXOP/?symbol=NSE%3AKAKATCEM</t>
  </si>
  <si>
    <t>https://in.tradingview.com/chart/bXJLby4L/?symbol=NSE%3AKAKATCEM</t>
  </si>
  <si>
    <t>KALPATARU</t>
  </si>
  <si>
    <t>NSE%3ALINC</t>
  </si>
  <si>
    <t>https://in.tradingview.com/chart/ofQQfXOP/?symbol=NSE%3AKALPATARU</t>
  </si>
  <si>
    <t>https://in.tradingview.com/chart/bXJLby4L/?symbol=NSE%3AKALPATARU</t>
  </si>
  <si>
    <t>KPIL</t>
  </si>
  <si>
    <t>Kalpataru Projects International Ltd</t>
  </si>
  <si>
    <t>NSE%3ALINCOLN</t>
  </si>
  <si>
    <t>https://in.tradingview.com/chart/ofQQfXOP/?symbol=NSE%3AKPIL</t>
  </si>
  <si>
    <t>https://in.tradingview.com/chart/bXJLby4L/?symbol=NSE%3AKPIL</t>
  </si>
  <si>
    <t>KALYANKJIL</t>
  </si>
  <si>
    <t>Kalyan Jewellers India Ltd</t>
  </si>
  <si>
    <t>NSE%3ALINDEINDIA</t>
  </si>
  <si>
    <t>https://in.tradingview.com/chart/ofQQfXOP/?symbol=NSE%3AKALYANKJIL</t>
  </si>
  <si>
    <t>https://in.tradingview.com/chart/bXJLby4L/?symbol=NSE%3AKALYANKJIL</t>
  </si>
  <si>
    <t>KALYANIFRG</t>
  </si>
  <si>
    <t>Kalyani Forge Limited</t>
  </si>
  <si>
    <t>NSE%3ALIQUID</t>
  </si>
  <si>
    <t>https://in.tradingview.com/chart/ofQQfXOP/?symbol=NSE%3AKALYANIFRG</t>
  </si>
  <si>
    <t>https://in.tradingview.com/chart/bXJLby4L/?symbol=NSE%3AKALYANIFRG</t>
  </si>
  <si>
    <t>KICL</t>
  </si>
  <si>
    <t>Kalyani Investment Company Limited</t>
  </si>
  <si>
    <t>NSE%3ALIQUID1</t>
  </si>
  <si>
    <t>https://in.tradingview.com/chart/ofQQfXOP/?symbol=NSE%3AKICL</t>
  </si>
  <si>
    <t>https://in.tradingview.com/chart/bXJLby4L/?symbol=NSE%3AKICL</t>
  </si>
  <si>
    <t>KSL</t>
  </si>
  <si>
    <t>Kalyani Steels Limited</t>
  </si>
  <si>
    <t>NSE%3ALIQUIDADD</t>
  </si>
  <si>
    <t>https://in.tradingview.com/chart/ofQQfXOP/?symbol=NSE%3AKSL</t>
  </si>
  <si>
    <t>https://in.tradingview.com/chart/bXJLby4L/?symbol=NSE%3AKSL</t>
  </si>
  <si>
    <t>KAMATHOTEL</t>
  </si>
  <si>
    <t>Kamat Hotels (i) Limited</t>
  </si>
  <si>
    <t>NSE%3ALIQUIDBEES</t>
  </si>
  <si>
    <t>https://in.tradingview.com/chart/ofQQfXOP/?symbol=NSE%3AKAMATHOTEL</t>
  </si>
  <si>
    <t>https://in.tradingview.com/chart/bXJLby4L/?symbol=NSE%3AKAMATHOTEL</t>
  </si>
  <si>
    <t>KAMDHENU</t>
  </si>
  <si>
    <t>Kamdhenu Limited</t>
  </si>
  <si>
    <t>NSE%3ALIQUIDBETF</t>
  </si>
  <si>
    <t>https://in.tradingview.com/chart/ofQQfXOP/?symbol=NSE%3AKAMDHENU</t>
  </si>
  <si>
    <t>https://in.tradingview.com/chart/bXJLby4L/?symbol=NSE%3AKAMDHENU</t>
  </si>
  <si>
    <t>KAMOPAINTS</t>
  </si>
  <si>
    <t>Kamdhenu Ventures Ltd</t>
  </si>
  <si>
    <t>NSE%3ALIQUIDCASE</t>
  </si>
  <si>
    <t>https://in.tradingview.com/chart/ofQQfXOP/?symbol=NSE%3AKAMOPAINTS</t>
  </si>
  <si>
    <t>https://in.tradingview.com/chart/bXJLby4L/?symbol=NSE%3AKAMOPAINTS</t>
  </si>
  <si>
    <t>KANORICHEM</t>
  </si>
  <si>
    <t>Kanoria Chemicals &amp; Industries Limited</t>
  </si>
  <si>
    <t>NSE%3ALIQUIDETF</t>
  </si>
  <si>
    <t>https://in.tradingview.com/chart/ofQQfXOP/?symbol=NSE%3AKANORICHEM</t>
  </si>
  <si>
    <t>https://in.tradingview.com/chart/bXJLby4L/?symbol=NSE%3AKANORICHEM</t>
  </si>
  <si>
    <t>KANPRPLA</t>
  </si>
  <si>
    <t>Kanpur Plastipack Ltd</t>
  </si>
  <si>
    <t>NSE%3ALIQUIDIETF</t>
  </si>
  <si>
    <t>https://in.tradingview.com/chart/ofQQfXOP/?symbol=NSE%3AKANPRPLA</t>
  </si>
  <si>
    <t>https://in.tradingview.com/chart/bXJLby4L/?symbol=NSE%3AKANPRPLA</t>
  </si>
  <si>
    <t>KANSAINER</t>
  </si>
  <si>
    <t>Kansai Nerolac Paints Limited</t>
  </si>
  <si>
    <t>NSE%3ALIQUIDPLUS</t>
  </si>
  <si>
    <t>https://in.tradingview.com/chart/ofQQfXOP/?symbol=NSE%3AKANSAINER</t>
  </si>
  <si>
    <t>https://in.tradingview.com/chart/bXJLby4L/?symbol=NSE%3AKANSAINER</t>
  </si>
  <si>
    <t>KAPSTON</t>
  </si>
  <si>
    <t>Kapston Services Ltd</t>
  </si>
  <si>
    <t>NSE%3ALIQUIDSBI</t>
  </si>
  <si>
    <t>https://in.tradingview.com/chart/ofQQfXOP/?symbol=NSE%3AKAPSTON</t>
  </si>
  <si>
    <t>https://in.tradingview.com/chart/bXJLby4L/?symbol=NSE%3AKAPSTON</t>
  </si>
  <si>
    <t>KARMAENG</t>
  </si>
  <si>
    <t>Karma Energy Limited</t>
  </si>
  <si>
    <t>NSE%3ALIQUIDSHRI</t>
  </si>
  <si>
    <t>https://in.tradingview.com/chart/ofQQfXOP/?symbol=NSE%3AKARMAENG</t>
  </si>
  <si>
    <t>https://in.tradingview.com/chart/bXJLby4L/?symbol=NSE%3AKARMAENG</t>
  </si>
  <si>
    <t>KARURVYSYA</t>
  </si>
  <si>
    <t>Karur Vysya Bank Limited</t>
  </si>
  <si>
    <t>NSE%3ALLOYDSENGG</t>
  </si>
  <si>
    <t>https://in.tradingview.com/chart/ofQQfXOP/?symbol=NSE%3AKARURVYSYA</t>
  </si>
  <si>
    <t>https://in.tradingview.com/chart/bXJLby4L/?symbol=NSE%3AKARURVYSYA</t>
  </si>
  <si>
    <t>KAUSHALYA</t>
  </si>
  <si>
    <t>Kaushalya Infrastructure Development Corporation Limited</t>
  </si>
  <si>
    <t>NSE%3ALLOYDSENT</t>
  </si>
  <si>
    <t>https://in.tradingview.com/chart/ofQQfXOP/?symbol=NSE%3AKAUSHALYA</t>
  </si>
  <si>
    <t>https://in.tradingview.com/chart/bXJLby4L/?symbol=NSE%3AKAUSHALYA</t>
  </si>
  <si>
    <t>KSCL</t>
  </si>
  <si>
    <t>Kaveri Seed Company Limited</t>
  </si>
  <si>
    <t>NSE%3ALLOYDSME</t>
  </si>
  <si>
    <t>https://in.tradingview.com/chart/ofQQfXOP/?symbol=NSE%3AKSCL</t>
  </si>
  <si>
    <t>https://in.tradingview.com/chart/bXJLby4L/?symbol=NSE%3AKSCL</t>
  </si>
  <si>
    <t>KAVDEFENCE</t>
  </si>
  <si>
    <t>Kavveri Defence &amp; Wireless Technologies Ltd</t>
  </si>
  <si>
    <t>NSE%3ALMW</t>
  </si>
  <si>
    <t>https://in.tradingview.com/chart/ofQQfXOP/?symbol=NSE%3AKAVDEFENCE</t>
  </si>
  <si>
    <t>https://in.tradingview.com/chart/bXJLby4L/?symbol=NSE%3AKAVDEFENCE</t>
  </si>
  <si>
    <t>KAYA</t>
  </si>
  <si>
    <t>Kaya Limited</t>
  </si>
  <si>
    <t>NSE%3ALODHA</t>
  </si>
  <si>
    <t>https://in.tradingview.com/chart/ofQQfXOP/?symbol=NSE%3AKAYA</t>
  </si>
  <si>
    <t>https://in.tradingview.com/chart/bXJLby4L/?symbol=NSE%3AKAYA</t>
  </si>
  <si>
    <t>KAYNES</t>
  </si>
  <si>
    <t>Kaynes Technology India Ltd</t>
  </si>
  <si>
    <t>NSE%3ALOKESHMACH</t>
  </si>
  <si>
    <t>https://in.tradingview.com/chart/ofQQfXOP/?symbol=NSE%3AKAYNES</t>
  </si>
  <si>
    <t>https://in.tradingview.com/chart/bXJLby4L/?symbol=NSE%3AKAYNES</t>
  </si>
  <si>
    <t>KCP</t>
  </si>
  <si>
    <t>Kcp Limited</t>
  </si>
  <si>
    <t>NSE%3ALORDSCHLO</t>
  </si>
  <si>
    <t>https://in.tradingview.com/chart/ofQQfXOP/?symbol=NSE%3AKCP</t>
  </si>
  <si>
    <t>https://in.tradingview.com/chart/bXJLby4L/?symbol=NSE%3AKCP</t>
  </si>
  <si>
    <t>KCPSUGIND</t>
  </si>
  <si>
    <t>Kcp Sugar And Industries Corporation Limited</t>
  </si>
  <si>
    <t>NSE%3ALOTUSEYE</t>
  </si>
  <si>
    <t>https://in.tradingview.com/chart/ofQQfXOP/?symbol=NSE%3AKCPSUGIND</t>
  </si>
  <si>
    <t>https://in.tradingview.com/chart/bXJLby4L/?symbol=NSE%3AKCPSUGIND</t>
  </si>
  <si>
    <t>KDDL</t>
  </si>
  <si>
    <t>Kddl Limited</t>
  </si>
  <si>
    <t>NSE%3ALOVABLE</t>
  </si>
  <si>
    <t>https://in.tradingview.com/chart/ofQQfXOP/?symbol=NSE%3AKDDL</t>
  </si>
  <si>
    <t>https://in.tradingview.com/chart/bXJLby4L/?symbol=NSE%3AKDDL</t>
  </si>
  <si>
    <t>KEC</t>
  </si>
  <si>
    <t>Kec International Limited</t>
  </si>
  <si>
    <t>NSE%3ALOWVOL</t>
  </si>
  <si>
    <t>https://in.tradingview.com/chart/ofQQfXOP/?symbol=NSE%3AKEC</t>
  </si>
  <si>
    <t>https://in.tradingview.com/chart/bXJLby4L/?symbol=NSE%3AKEC</t>
  </si>
  <si>
    <t>KEI</t>
  </si>
  <si>
    <t>Kei Industries Limited</t>
  </si>
  <si>
    <t>NSE%3ALOWVOL1</t>
  </si>
  <si>
    <t>https://in.tradingview.com/chart/ofQQfXOP/?symbol=NSE%3AKEI</t>
  </si>
  <si>
    <t>https://in.tradingview.com/chart/bXJLby4L/?symbol=NSE%3AKEI</t>
  </si>
  <si>
    <t>KELLTONTEC</t>
  </si>
  <si>
    <t>Kellton Tech Solutions Limited</t>
  </si>
  <si>
    <t>NSE%3ALOWVOLIETF</t>
  </si>
  <si>
    <t>https://in.tradingview.com/chart/ofQQfXOP/?symbol=NSE%3AKELLTONTEC</t>
  </si>
  <si>
    <t>https://in.tradingview.com/chart/bXJLby4L/?symbol=NSE%3AKELLTONTEC</t>
  </si>
  <si>
    <t>KERNEX</t>
  </si>
  <si>
    <t>Kernex Microsystems (india) Limited</t>
  </si>
  <si>
    <t>NSE%3ALOYALTEX</t>
  </si>
  <si>
    <t>https://in.tradingview.com/chart/ofQQfXOP/?symbol=NSE%3AKERNEX</t>
  </si>
  <si>
    <t>https://in.tradingview.com/chart/bXJLby4L/?symbol=NSE%3AKERNEX</t>
  </si>
  <si>
    <t>KESORAMIND</t>
  </si>
  <si>
    <t>Kesoram Industries Limited</t>
  </si>
  <si>
    <t>NSE%3ALPDC</t>
  </si>
  <si>
    <t>https://in.tradingview.com/chart/ofQQfXOP/?symbol=NSE%3AKESORAMIND</t>
  </si>
  <si>
    <t>https://in.tradingview.com/chart/bXJLby4L/?symbol=NSE%3AKESORAMIND</t>
  </si>
  <si>
    <t>KKCL</t>
  </si>
  <si>
    <t>Kewal Kiran Clothing Limited</t>
  </si>
  <si>
    <t>NSE%3ALT</t>
  </si>
  <si>
    <t>https://in.tradingview.com/chart/ofQQfXOP/?symbol=NSE%3AKKCL</t>
  </si>
  <si>
    <t>https://in.tradingview.com/chart/bXJLby4L/?symbol=NSE%3AKKCL</t>
  </si>
  <si>
    <t>KEYFINSERV</t>
  </si>
  <si>
    <t>Keynote Financial Services Ltd</t>
  </si>
  <si>
    <t>NSE%3ALTF</t>
  </si>
  <si>
    <t>https://in.tradingview.com/chart/ofQQfXOP/?symbol=NSE%3AKEYFINSERV</t>
  </si>
  <si>
    <t>https://in.tradingview.com/chart/bXJLby4L/?symbol=NSE%3AKEYFINSERV</t>
  </si>
  <si>
    <t>RUSTOMJEE</t>
  </si>
  <si>
    <t>Keystone Realtors Ltd</t>
  </si>
  <si>
    <t>NSE%3ALTFOODS</t>
  </si>
  <si>
    <t>https://in.tradingview.com/chart/ofQQfXOP/?symbol=NSE%3ARUSTOMJEE</t>
  </si>
  <si>
    <t>https://in.tradingview.com/chart/bXJLby4L/?symbol=NSE%3ARUSTOMJEE</t>
  </si>
  <si>
    <t>KFINTECH</t>
  </si>
  <si>
    <t>KFin Technologies Ltd</t>
  </si>
  <si>
    <t>NSE%3ALTGILTBEES</t>
  </si>
  <si>
    <t>https://in.tradingview.com/chart/ofQQfXOP/?symbol=NSE%3AKFINTECH</t>
  </si>
  <si>
    <t>https://in.tradingview.com/chart/bXJLby4L/?symbol=NSE%3AKFINTECH</t>
  </si>
  <si>
    <t>KHADIM</t>
  </si>
  <si>
    <t>Khadim India Ltd</t>
  </si>
  <si>
    <t>NSE%3ALTIM</t>
  </si>
  <si>
    <t>https://in.tradingview.com/chart/ofQQfXOP/?symbol=NSE%3AKHADIM</t>
  </si>
  <si>
    <t>https://in.tradingview.com/chart/bXJLby4L/?symbol=NSE%3AKHADIM</t>
  </si>
  <si>
    <t>KHAITANLTD</t>
  </si>
  <si>
    <t>Khaitan (india) Limited</t>
  </si>
  <si>
    <t>NSE%3ALTTS</t>
  </si>
  <si>
    <t>https://in.tradingview.com/chart/ofQQfXOP/?symbol=NSE%3AKHAITANLTD</t>
  </si>
  <si>
    <t>https://in.tradingview.com/chart/bXJLby4L/?symbol=NSE%3AKHAITANLTD</t>
  </si>
  <si>
    <t>KHAICHEM</t>
  </si>
  <si>
    <t>Khaitan Chemicals &amp; Fertilizers Ltd</t>
  </si>
  <si>
    <t>NSE%3ALUMAXIND</t>
  </si>
  <si>
    <t>https://in.tradingview.com/chart/ofQQfXOP/?symbol=NSE%3AKHAICHEM</t>
  </si>
  <si>
    <t>https://in.tradingview.com/chart/bXJLby4L/?symbol=NSE%3AKHAICHEM</t>
  </si>
  <si>
    <t>KHANDSE</t>
  </si>
  <si>
    <t>Khandwala Securities Limited</t>
  </si>
  <si>
    <t>NSE%3ALUMAXTECH</t>
  </si>
  <si>
    <t>https://in.tradingview.com/chart/ofQQfXOP/?symbol=NSE%3AKHANDSE</t>
  </si>
  <si>
    <t>https://in.tradingview.com/chart/bXJLby4L/?symbol=NSE%3AKHANDSE</t>
  </si>
  <si>
    <t>KILITCH</t>
  </si>
  <si>
    <t>Kilitch Drugs (india) Limited</t>
  </si>
  <si>
    <t>NSE%3ALUPIN</t>
  </si>
  <si>
    <t>https://in.tradingview.com/chart/ofQQfXOP/?symbol=NSE%3AKILITCH</t>
  </si>
  <si>
    <t>https://in.tradingview.com/chart/bXJLby4L/?symbol=NSE%3AKILITCH</t>
  </si>
  <si>
    <t>KINGFA</t>
  </si>
  <si>
    <t>Kingfa Science &amp; Technology (india) Limited</t>
  </si>
  <si>
    <t>NSE%3ALUXIND</t>
  </si>
  <si>
    <t>https://in.tradingview.com/chart/ofQQfXOP/?symbol=NSE%3AKINGFA</t>
  </si>
  <si>
    <t>https://in.tradingview.com/chart/bXJLby4L/?symbol=NSE%3AKINGFA</t>
  </si>
  <si>
    <t>KIOCL</t>
  </si>
  <si>
    <t>Kiocl Limited</t>
  </si>
  <si>
    <t>NSE%3ALXCHEM</t>
  </si>
  <si>
    <t>https://in.tradingview.com/chart/ofQQfXOP/?symbol=NSE%3AKIOCL</t>
  </si>
  <si>
    <t>https://in.tradingview.com/chart/bXJLby4L/?symbol=NSE%3AKIOCL</t>
  </si>
  <si>
    <t>KIRIINDUS</t>
  </si>
  <si>
    <t>Kiri Industries Limited</t>
  </si>
  <si>
    <t>NSE%3ALYKALABS</t>
  </si>
  <si>
    <t>https://in.tradingview.com/chart/ofQQfXOP/?symbol=NSE%3AKIRIINDUS</t>
  </si>
  <si>
    <t>https://in.tradingview.com/chart/bXJLby4L/?symbol=NSE%3AKIRIINDUS</t>
  </si>
  <si>
    <t>KIRLOSBROS</t>
  </si>
  <si>
    <t>Kirloskar Brothers Limited</t>
  </si>
  <si>
    <t>NSE%3ALYPSAGEMS</t>
  </si>
  <si>
    <t>https://in.tradingview.com/chart/ofQQfXOP/?symbol=NSE%3AKIRLOSBROS</t>
  </si>
  <si>
    <t>https://in.tradingview.com/chart/bXJLby4L/?symbol=NSE%3AKIRLOSBROS</t>
  </si>
  <si>
    <t>KECL</t>
  </si>
  <si>
    <t>Kirloskar Electric Company Limited</t>
  </si>
  <si>
    <t>NSE%3AM_M</t>
  </si>
  <si>
    <t>https://in.tradingview.com/chart/ofQQfXOP/?symbol=NSE%3AKECL</t>
  </si>
  <si>
    <t>https://in.tradingview.com/chart/bXJLby4L/?symbol=NSE%3AKECL</t>
  </si>
  <si>
    <t>KIRLOSIND</t>
  </si>
  <si>
    <t>Kirloskar Industries Limited</t>
  </si>
  <si>
    <t>NSE%3AM_MFIN</t>
  </si>
  <si>
    <t>https://in.tradingview.com/chart/ofQQfXOP/?symbol=NSE%3AKIRLOSIND</t>
  </si>
  <si>
    <t>https://in.tradingview.com/chart/bXJLby4L/?symbol=NSE%3AKIRLOSIND</t>
  </si>
  <si>
    <t>KIRLOSENG</t>
  </si>
  <si>
    <t>Kirloskar Oil Engines Limited</t>
  </si>
  <si>
    <t>NSE%3AMAANALU</t>
  </si>
  <si>
    <t>https://in.tradingview.com/chart/ofQQfXOP/?symbol=NSE%3AKIRLOSENG</t>
  </si>
  <si>
    <t>https://in.tradingview.com/chart/bXJLby4L/?symbol=NSE%3AKIRLOSENG</t>
  </si>
  <si>
    <t>KIRLPNU</t>
  </si>
  <si>
    <t>Kirloskar Pneumatic Company Ltd</t>
  </si>
  <si>
    <t>NSE%3AMACPOWER</t>
  </si>
  <si>
    <t>https://in.tradingview.com/chart/ofQQfXOP/?symbol=NSE%3AKIRLPNU</t>
  </si>
  <si>
    <t>https://in.tradingview.com/chart/bXJLby4L/?symbol=NSE%3AKIRLPNU</t>
  </si>
  <si>
    <t>KITEX</t>
  </si>
  <si>
    <t>Kitex Garments Limited</t>
  </si>
  <si>
    <t>NSE%3AMADHAV</t>
  </si>
  <si>
    <t>https://in.tradingview.com/chart/ofQQfXOP/?symbol=NSE%3AKITEX</t>
  </si>
  <si>
    <t>https://in.tradingview.com/chart/bXJLby4L/?symbol=NSE%3AKITEX</t>
  </si>
  <si>
    <t>KNAGRI</t>
  </si>
  <si>
    <t>KN Agri Resources Ltd</t>
  </si>
  <si>
    <t>NSE%3AMADHUCON</t>
  </si>
  <si>
    <t>https://in.tradingview.com/chart/ofQQfXOP/?symbol=NSE%3AKNAGRI</t>
  </si>
  <si>
    <t>https://in.tradingview.com/chart/bXJLby4L/?symbol=NSE%3AKNAGRI</t>
  </si>
  <si>
    <t>KMEW</t>
  </si>
  <si>
    <t>Knowledge Marine &amp; Engineering Works Ltd</t>
  </si>
  <si>
    <t>NSE%3AMADRASFERT</t>
  </si>
  <si>
    <t>https://in.tradingview.com/chart/ofQQfXOP/?symbol=NSE%3AKMEW</t>
  </si>
  <si>
    <t>https://in.tradingview.com/chart/bXJLby4L/?symbol=NSE%3AKMEW</t>
  </si>
  <si>
    <t>KNRCON</t>
  </si>
  <si>
    <t>Knr Constructions Limited</t>
  </si>
  <si>
    <t>NSE%3AMAFANG</t>
  </si>
  <si>
    <t>https://in.tradingview.com/chart/ofQQfXOP/?symbol=NSE%3AKNRCON</t>
  </si>
  <si>
    <t>https://in.tradingview.com/chart/bXJLby4L/?symbol=NSE%3AKNRCON</t>
  </si>
  <si>
    <t>KOHINOOR</t>
  </si>
  <si>
    <t>Kohinoor Foods Limited</t>
  </si>
  <si>
    <t>NSE%3AMAGADSUGAR</t>
  </si>
  <si>
    <t>https://in.tradingview.com/chart/ofQQfXOP/?symbol=NSE%3AKOHINOOR</t>
  </si>
  <si>
    <t>https://in.tradingview.com/chart/bXJLby4L/?symbol=NSE%3AKOHINOOR</t>
  </si>
  <si>
    <t>KOKUYOCMLN</t>
  </si>
  <si>
    <t>Kokuyo Camlin Limited</t>
  </si>
  <si>
    <t>NSE%3AMAGNUM</t>
  </si>
  <si>
    <t>https://in.tradingview.com/chart/ofQQfXOP/?symbol=NSE%3AKOKUYOCMLN</t>
  </si>
  <si>
    <t>https://in.tradingview.com/chart/bXJLby4L/?symbol=NSE%3AKOKUYOCMLN</t>
  </si>
  <si>
    <t>KOLTEPATIL</t>
  </si>
  <si>
    <t>Kolte - Patil Developers Limited</t>
  </si>
  <si>
    <t>NSE%3AMAHABANK</t>
  </si>
  <si>
    <t>https://in.tradingview.com/chart/ofQQfXOP/?symbol=NSE%3AKOLTEPATIL</t>
  </si>
  <si>
    <t>https://in.tradingview.com/chart/bXJLby4L/?symbol=NSE%3AKOLTEPATIL</t>
  </si>
  <si>
    <t>KOPRAN</t>
  </si>
  <si>
    <t>Kopran Limited</t>
  </si>
  <si>
    <t>NSE%3AMAHAPEXLTD</t>
  </si>
  <si>
    <t>https://in.tradingview.com/chart/ofQQfXOP/?symbol=NSE%3AKOPRAN</t>
  </si>
  <si>
    <t>https://in.tradingview.com/chart/bXJLby4L/?symbol=NSE%3AKOPRAN</t>
  </si>
  <si>
    <t>GOLD1</t>
  </si>
  <si>
    <t>Kotak Gold ETF</t>
  </si>
  <si>
    <t>NSE%3AMAHASTEEL</t>
  </si>
  <si>
    <t>https://in.tradingview.com/chart/ofQQfXOP/?symbol=NSE%3AGOLD1</t>
  </si>
  <si>
    <t>https://in.tradingview.com/chart/bXJLby4L/?symbol=NSE%3AGOLD1</t>
  </si>
  <si>
    <t>IT</t>
  </si>
  <si>
    <t>Kotak IT ETF</t>
  </si>
  <si>
    <t>NSE%3AMAHEPC</t>
  </si>
  <si>
    <t>https://in.tradingview.com/chart/ofQQfXOP/?symbol=NSE%3AIT</t>
  </si>
  <si>
    <t>https://in.tradingview.com/chart/bXJLby4L/?symbol=NSE%3AIT</t>
  </si>
  <si>
    <t>KOTAKBANK</t>
  </si>
  <si>
    <t>Kotak Mahindra Bank Limited</t>
  </si>
  <si>
    <t>NSE%3AMAHESHWARI</t>
  </si>
  <si>
    <t>https://in.tradingview.com/chart/ofQQfXOP/?symbol=NSE%3AKOTAKBANK</t>
  </si>
  <si>
    <t>https://in.tradingview.com/chart/bXJLby4L/?symbol=NSE%3AKOTAKBANK</t>
  </si>
  <si>
    <t>MSCIINDIA</t>
  </si>
  <si>
    <t>Kotak MSCI India ETF</t>
  </si>
  <si>
    <t>NSE%3AMAHKTECH</t>
  </si>
  <si>
    <t>https://in.tradingview.com/chart/ofQQfXOP/?symbol=NSE%3AMSCIINDIA</t>
  </si>
  <si>
    <t>https://in.tradingview.com/chart/bXJLby4L/?symbol=NSE%3AMSCIINDIA</t>
  </si>
  <si>
    <t>NIFTY100EW</t>
  </si>
  <si>
    <t>Kotak Nifty 100 Equal Weight ETF</t>
  </si>
  <si>
    <t>NSE%3AMAHLIFE</t>
  </si>
  <si>
    <t>https://in.tradingview.com/chart/ofQQfXOP/?symbol=NSE%3ANIFTY100EW</t>
  </si>
  <si>
    <t>https://in.tradingview.com/chart/bXJLby4L/?symbol=NSE%3ANIFTY100EW</t>
  </si>
  <si>
    <t>LOWVOL1</t>
  </si>
  <si>
    <t>Kotak Nifty 100 Low Vol 30 ETF</t>
  </si>
  <si>
    <t>NSE%3AMAHLOG</t>
  </si>
  <si>
    <t>https://in.tradingview.com/chart/ofQQfXOP/?symbol=NSE%3ALOWVOL1</t>
  </si>
  <si>
    <t>https://in.tradingview.com/chart/bXJLby4L/?symbol=NSE%3ALOWVOL1</t>
  </si>
  <si>
    <t>LIQUID1</t>
  </si>
  <si>
    <t>Kotak Nifty 1D Rate Liquid ETF</t>
  </si>
  <si>
    <t>NSE%3AMAHSCOOTER</t>
  </si>
  <si>
    <t>https://in.tradingview.com/chart/ofQQfXOP/?symbol=NSE%3ALIQUID1</t>
  </si>
  <si>
    <t>https://in.tradingview.com/chart/bXJLby4L/?symbol=NSE%3ALIQUID1</t>
  </si>
  <si>
    <t>MOMENTUM30</t>
  </si>
  <si>
    <t>Kotak Nifty 200 Momentum 30 ETF</t>
  </si>
  <si>
    <t>NSE%3AMAHSEAMLES</t>
  </si>
  <si>
    <t>https://in.tradingview.com/chart/ofQQfXOP/?symbol=NSE%3AMOMENTUM30</t>
  </si>
  <si>
    <t>https://in.tradingview.com/chart/bXJLby4L/?symbol=NSE%3AMOMENTUM30</t>
  </si>
  <si>
    <t>ALPHA</t>
  </si>
  <si>
    <t>Kotak Nifty Alpha 50 ETF</t>
  </si>
  <si>
    <t>NSE%3AMAITHANALL</t>
  </si>
  <si>
    <t>https://in.tradingview.com/chart/ofQQfXOP/?symbol=NSE%3AALPHA</t>
  </si>
  <si>
    <t>https://in.tradingview.com/chart/bXJLby4L/?symbol=NSE%3AALPHA</t>
  </si>
  <si>
    <t>CHEMICAL</t>
  </si>
  <si>
    <t>Kotak Nifty Chemicals ETF</t>
  </si>
  <si>
    <t>NSE%3AMAKEINDIA</t>
  </si>
  <si>
    <t>https://in.tradingview.com/chart/ofQQfXOP/?symbol=NSE%3ACHEMICAL</t>
  </si>
  <si>
    <t>https://in.tradingview.com/chart/bXJLby4L/?symbol=NSE%3ACHEMICAL</t>
  </si>
  <si>
    <t>CONS</t>
  </si>
  <si>
    <t>Kotak Nifty India Consumption ETF</t>
  </si>
  <si>
    <t>NSE%3AMALLCOM</t>
  </si>
  <si>
    <t>https://in.tradingview.com/chart/ofQQfXOP/?symbol=NSE%3ACONS</t>
  </si>
  <si>
    <t>https://in.tradingview.com/chart/bXJLby4L/?symbol=NSE%3ACONS</t>
  </si>
  <si>
    <t>MID150</t>
  </si>
  <si>
    <t>Kotak Nifty Midcap 150 ETF</t>
  </si>
  <si>
    <t>NSE%3AMALUPAPER</t>
  </si>
  <si>
    <t>https://in.tradingview.com/chart/ofQQfXOP/?symbol=NSE%3AMID150</t>
  </si>
  <si>
    <t>https://in.tradingview.com/chart/bXJLby4L/?symbol=NSE%3AMID150</t>
  </si>
  <si>
    <t>MIDCAP</t>
  </si>
  <si>
    <t>Kotak Nifty Midcap 50 ETF</t>
  </si>
  <si>
    <t>NSE%3AMAMATA</t>
  </si>
  <si>
    <t>https://in.tradingview.com/chart/ofQQfXOP/?symbol=NSE%3AMIDCAP</t>
  </si>
  <si>
    <t>https://in.tradingview.com/chart/bXJLby4L/?symbol=NSE%3AMIDCAP</t>
  </si>
  <si>
    <t>MNC</t>
  </si>
  <si>
    <t>Kotak Nifty MNC ETF</t>
  </si>
  <si>
    <t>NSE%3AMANAKALUCO</t>
  </si>
  <si>
    <t>https://in.tradingview.com/chart/ofQQfXOP/?symbol=NSE%3AMNC</t>
  </si>
  <si>
    <t>https://in.tradingview.com/chart/bXJLby4L/?symbol=NSE%3AMNC</t>
  </si>
  <si>
    <t>PSUBANK</t>
  </si>
  <si>
    <t>Kotak Nifty PSU Bank ETF</t>
  </si>
  <si>
    <t>NSE%3AMANAKCOAT</t>
  </si>
  <si>
    <t>https://in.tradingview.com/chart/ofQQfXOP/?symbol=NSE%3APSUBANK</t>
  </si>
  <si>
    <t>https://in.tradingview.com/chart/bXJLby4L/?symbol=NSE%3APSUBANK</t>
  </si>
  <si>
    <t>QUALITY30</t>
  </si>
  <si>
    <t>Kotak Nifty200 Quality 30 ETF</t>
  </si>
  <si>
    <t>NSE%3AMANAKSIA</t>
  </si>
  <si>
    <t>https://in.tradingview.com/chart/ofQQfXOP/?symbol=NSE%3AQUALITY30</t>
  </si>
  <si>
    <t>https://in.tradingview.com/chart/bXJLby4L/?symbol=NSE%3AQUALITY30</t>
  </si>
  <si>
    <t>SILVER1</t>
  </si>
  <si>
    <t>Kotak Silver ETF</t>
  </si>
  <si>
    <t>NSE%3AMANAKSTEEL</t>
  </si>
  <si>
    <t>https://in.tradingview.com/chart/ofQQfXOP/?symbol=NSE%3ASILVER1</t>
  </si>
  <si>
    <t>https://in.tradingview.com/chart/bXJLby4L/?symbol=NSE%3ASILVER1</t>
  </si>
  <si>
    <t>KOTHARIPET</t>
  </si>
  <si>
    <t>Kothari Petrochemicals Limited</t>
  </si>
  <si>
    <t>NSE%3AMANALIPETC</t>
  </si>
  <si>
    <t>https://in.tradingview.com/chart/ofQQfXOP/?symbol=NSE%3AKOTHARIPET</t>
  </si>
  <si>
    <t>https://in.tradingview.com/chart/bXJLby4L/?symbol=NSE%3AKOTHARIPET</t>
  </si>
  <si>
    <t>KOTHARIPRO</t>
  </si>
  <si>
    <t>Kothari Products Limited</t>
  </si>
  <si>
    <t>NSE%3AMANAPPURAM</t>
  </si>
  <si>
    <t>https://in.tradingview.com/chart/ofQQfXOP/?symbol=NSE%3AKOTHARIPRO</t>
  </si>
  <si>
    <t>https://in.tradingview.com/chart/bXJLby4L/?symbol=NSE%3AKOTHARIPRO</t>
  </si>
  <si>
    <t>KOTARISUG</t>
  </si>
  <si>
    <t>Kothari Sugars And Chemicals Limited</t>
  </si>
  <si>
    <t>NSE%3AMANBA</t>
  </si>
  <si>
    <t>https://in.tradingview.com/chart/ofQQfXOP/?symbol=NSE%3AKOTARISUG</t>
  </si>
  <si>
    <t>https://in.tradingview.com/chart/bXJLby4L/?symbol=NSE%3AKOTARISUG</t>
  </si>
  <si>
    <t>KPIGREEN</t>
  </si>
  <si>
    <t>KPI Green Energy Ltd</t>
  </si>
  <si>
    <t>NSE%3AMANCREDIT</t>
  </si>
  <si>
    <t>https://in.tradingview.com/chart/ofQQfXOP/?symbol=NSE%3AKPIGREEN</t>
  </si>
  <si>
    <t>https://in.tradingview.com/chart/bXJLby4L/?symbol=NSE%3AKPIGREEN</t>
  </si>
  <si>
    <t>KPITTECH</t>
  </si>
  <si>
    <t>KPIT Technologies Ltd</t>
  </si>
  <si>
    <t>NSE%3AMANGALAM</t>
  </si>
  <si>
    <t>https://in.tradingview.com/chart/ofQQfXOP/?symbol=NSE%3AKPITTECH</t>
  </si>
  <si>
    <t>https://in.tradingview.com/chart/bXJLby4L/?symbol=NSE%3AKPITTECH</t>
  </si>
  <si>
    <t>KRBL</t>
  </si>
  <si>
    <t>Krbl Limited</t>
  </si>
  <si>
    <t>NSE%3AMANGCHEFER</t>
  </si>
  <si>
    <t>https://in.tradingview.com/chart/ofQQfXOP/?symbol=NSE%3AKRBL</t>
  </si>
  <si>
    <t>https://in.tradingview.com/chart/bXJLby4L/?symbol=NSE%3AKRBL</t>
  </si>
  <si>
    <t>KREBSBIO</t>
  </si>
  <si>
    <t>Krebs Biochemicals And Industries Limited</t>
  </si>
  <si>
    <t>NSE%3AMANGLMCEM</t>
  </si>
  <si>
    <t>https://in.tradingview.com/chart/ofQQfXOP/?symbol=NSE%3AKREBSBIO</t>
  </si>
  <si>
    <t>https://in.tradingview.com/chart/bXJLby4L/?symbol=NSE%3AKREBSBIO</t>
  </si>
  <si>
    <t>KRISHANA</t>
  </si>
  <si>
    <t>Krishana Phoschem Ltd</t>
  </si>
  <si>
    <t>NSE%3AMANINDS</t>
  </si>
  <si>
    <t>https://in.tradingview.com/chart/ofQQfXOP/?symbol=NSE%3AKRISHANA</t>
  </si>
  <si>
    <t>https://in.tradingview.com/chart/bXJLby4L/?symbol=NSE%3AKRISHANA</t>
  </si>
  <si>
    <t>KIMS</t>
  </si>
  <si>
    <t>Krishna Institute of Medical Sciences Ltd</t>
  </si>
  <si>
    <t>NSE%3AMANINFRA</t>
  </si>
  <si>
    <t>https://in.tradingview.com/chart/ofQQfXOP/?symbol=NSE%3AKIMS</t>
  </si>
  <si>
    <t>https://in.tradingview.com/chart/bXJLby4L/?symbol=NSE%3AKIMS</t>
  </si>
  <si>
    <t>KRITI</t>
  </si>
  <si>
    <t>Kriti Industries (India) Ltd</t>
  </si>
  <si>
    <t>NSE%3AMANKIND</t>
  </si>
  <si>
    <t>https://in.tradingview.com/chart/ofQQfXOP/?symbol=NSE%3AKRITI</t>
  </si>
  <si>
    <t>https://in.tradingview.com/chart/bXJLby4L/?symbol=NSE%3AKRITI</t>
  </si>
  <si>
    <t>KRITINUT</t>
  </si>
  <si>
    <t>Kriti Nutrients Ltd</t>
  </si>
  <si>
    <t>NSE%3AMANOMAY</t>
  </si>
  <si>
    <t>https://in.tradingview.com/chart/ofQQfXOP/?symbol=NSE%3AKRITINUT</t>
  </si>
  <si>
    <t>https://in.tradingview.com/chart/bXJLby4L/?symbol=NSE%3AKRITINUT</t>
  </si>
  <si>
    <t>KRITIKA</t>
  </si>
  <si>
    <t>Kritika Wires Ltd</t>
  </si>
  <si>
    <t>NSE%3AMANORAMA</t>
  </si>
  <si>
    <t>https://in.tradingview.com/chart/ofQQfXOP/?symbol=NSE%3AKRITIKA</t>
  </si>
  <si>
    <t>https://in.tradingview.com/chart/bXJLby4L/?symbol=NSE%3AKRITIKA</t>
  </si>
  <si>
    <t>KRN</t>
  </si>
  <si>
    <t>KRN Heat Exchanger and Refrigeration Ltd</t>
  </si>
  <si>
    <t>NSE%3AMANORG</t>
  </si>
  <si>
    <t>https://in.tradingview.com/chart/ofQQfXOP/?symbol=NSE%3AKRN</t>
  </si>
  <si>
    <t>https://in.tradingview.com/chart/bXJLby4L/?symbol=NSE%3AKRN</t>
  </si>
  <si>
    <t>KRONOX</t>
  </si>
  <si>
    <t>Kronox Lab Sciences Ltd</t>
  </si>
  <si>
    <t>NSE%3AMANUGRAPH</t>
  </si>
  <si>
    <t>https://in.tradingview.com/chart/ofQQfXOP/?symbol=NSE%3AKRONOX</t>
  </si>
  <si>
    <t>https://in.tradingview.com/chart/bXJLby4L/?symbol=NSE%3AKRONOX</t>
  </si>
  <si>
    <t>KROSS</t>
  </si>
  <si>
    <t>Kross Ltd</t>
  </si>
  <si>
    <t>NSE%3AMANYAVAR</t>
  </si>
  <si>
    <t>https://in.tradingview.com/chart/ofQQfXOP/?symbol=NSE%3AKROSS</t>
  </si>
  <si>
    <t>https://in.tradingview.com/chart/bXJLby4L/?symbol=NSE%3AKROSS</t>
  </si>
  <si>
    <t>KRSNAA</t>
  </si>
  <si>
    <t>Krsnaa Diagnostics Ltd</t>
  </si>
  <si>
    <t>NSE%3AMAPMYINDIA</t>
  </si>
  <si>
    <t>https://in.tradingview.com/chart/ofQQfXOP/?symbol=NSE%3AKRSNAA</t>
  </si>
  <si>
    <t>https://in.tradingview.com/chart/bXJLby4L/?symbol=NSE%3AKRSNAA</t>
  </si>
  <si>
    <t>KRYSTAL</t>
  </si>
  <si>
    <t>Krystal Integrated Services Ltd</t>
  </si>
  <si>
    <t>NSE%3AMARALOVER</t>
  </si>
  <si>
    <t>https://in.tradingview.com/chart/ofQQfXOP/?symbol=NSE%3AKRYSTAL</t>
  </si>
  <si>
    <t>https://in.tradingview.com/chart/bXJLby4L/?symbol=NSE%3AKRYSTAL</t>
  </si>
  <si>
    <t>KSB</t>
  </si>
  <si>
    <t>KSB Ltd</t>
  </si>
  <si>
    <t>NSE%3AMARATHON</t>
  </si>
  <si>
    <t>https://in.tradingview.com/chart/ofQQfXOP/?symbol=NSE%3AKSB</t>
  </si>
  <si>
    <t>https://in.tradingview.com/chart/bXJLby4L/?symbol=NSE%3AKSB</t>
  </si>
  <si>
    <t>KSOLVES</t>
  </si>
  <si>
    <t>Ksolves India Ltd</t>
  </si>
  <si>
    <t>NSE%3AMARICO</t>
  </si>
  <si>
    <t>https://in.tradingview.com/chart/ofQQfXOP/?symbol=NSE%3AKSOLVES</t>
  </si>
  <si>
    <t>https://in.tradingview.com/chart/bXJLby4L/?symbol=NSE%3AKSOLVES</t>
  </si>
  <si>
    <t>KSR</t>
  </si>
  <si>
    <t>KSR Footwear Ltd</t>
  </si>
  <si>
    <t>NSE%3AMARINE</t>
  </si>
  <si>
    <t>https://in.tradingview.com/chart/ofQQfXOP/?symbol=NSE%3AKSR</t>
  </si>
  <si>
    <t>https://in.tradingview.com/chart/bXJLby4L/?symbol=NSE%3AKSR</t>
  </si>
  <si>
    <t>KUANTUM</t>
  </si>
  <si>
    <t>Kuantum Papers Ltd</t>
  </si>
  <si>
    <t>NSE%3AMARKSANS</t>
  </si>
  <si>
    <t>https://in.tradingview.com/chart/ofQQfXOP/?symbol=NSE%3AKUANTUM</t>
  </si>
  <si>
    <t>https://in.tradingview.com/chart/bXJLby4L/?symbol=NSE%3AKUANTUM</t>
  </si>
  <si>
    <t>LTFOODS</t>
  </si>
  <si>
    <t>L T Foods Ltd</t>
  </si>
  <si>
    <t>NSE%3AMARSHALL</t>
  </si>
  <si>
    <t>https://in.tradingview.com/chart/ofQQfXOP/?symbol=NSE%3ALTFOODS</t>
  </si>
  <si>
    <t>https://in.tradingview.com/chart/bXJLby4L/?symbol=NSE%3ALTFOODS</t>
  </si>
  <si>
    <t>LTF</t>
  </si>
  <si>
    <t>L&amp;T Finance Ltd</t>
  </si>
  <si>
    <t>NSE%3AMARUTI</t>
  </si>
  <si>
    <t>https://in.tradingview.com/chart/ofQQfXOP/?symbol=NSE%3ALTF</t>
  </si>
  <si>
    <t>https://in.tradingview.com/chart/bXJLby4L/?symbol=NSE%3ALTF</t>
  </si>
  <si>
    <t>LTTS</t>
  </si>
  <si>
    <t>L&amp;t Technology Services Limited</t>
  </si>
  <si>
    <t>NSE%3AMASFIN</t>
  </si>
  <si>
    <t>https://in.tradingview.com/chart/ofQQfXOP/?symbol=NSE%3ALTTS</t>
  </si>
  <si>
    <t>https://in.tradingview.com/chart/bXJLby4L/?symbol=NSE%3ALTTS</t>
  </si>
  <si>
    <t>LAOPALA</t>
  </si>
  <si>
    <t>La Opala Rg Limited</t>
  </si>
  <si>
    <t>NSE%3AMASPTOP50</t>
  </si>
  <si>
    <t>https://in.tradingview.com/chart/ofQQfXOP/?symbol=NSE%3ALAOPALA</t>
  </si>
  <si>
    <t>https://in.tradingview.com/chart/bXJLby4L/?symbol=NSE%3ALAOPALA</t>
  </si>
  <si>
    <t>LAGNAM</t>
  </si>
  <si>
    <t>Lagnam Spintex Ltd</t>
  </si>
  <si>
    <t>NSE%3AMASTEK</t>
  </si>
  <si>
    <t>https://in.tradingview.com/chart/ofQQfXOP/?symbol=NSE%3ALAGNAM</t>
  </si>
  <si>
    <t>https://in.tradingview.com/chart/bXJLby4L/?symbol=NSE%3ALAGNAM</t>
  </si>
  <si>
    <t>LFIC</t>
  </si>
  <si>
    <t>Lakshmi Finance &amp; Industrial Corporation Limited</t>
  </si>
  <si>
    <t>NSE%3AMASTERTR</t>
  </si>
  <si>
    <t>https://in.tradingview.com/chart/ofQQfXOP/?symbol=NSE%3ALFIC</t>
  </si>
  <si>
    <t>https://in.tradingview.com/chart/bXJLby4L/?symbol=NSE%3ALFIC</t>
  </si>
  <si>
    <t>LAMBODHARA</t>
  </si>
  <si>
    <t>Lambodhara Textiles Limited</t>
  </si>
  <si>
    <t>NSE%3AMATRIMONY</t>
  </si>
  <si>
    <t>https://in.tradingview.com/chart/ofQQfXOP/?symbol=NSE%3ALAMBODHARA</t>
  </si>
  <si>
    <t>https://in.tradingview.com/chart/bXJLby4L/?symbol=NSE%3ALAMBODHARA</t>
  </si>
  <si>
    <t>LANCORHOL</t>
  </si>
  <si>
    <t>Lancor Holdings Ltd</t>
  </si>
  <si>
    <t>NSE%3AMAWANASUG</t>
  </si>
  <si>
    <t>https://in.tradingview.com/chart/ofQQfXOP/?symbol=NSE%3ALANCORHOL</t>
  </si>
  <si>
    <t>https://in.tradingview.com/chart/bXJLby4L/?symbol=NSE%3ALANCORHOL</t>
  </si>
  <si>
    <t>LANDMARK</t>
  </si>
  <si>
    <t>Landmark Cars Ltd</t>
  </si>
  <si>
    <t>NSE%3AMAXESTATES</t>
  </si>
  <si>
    <t>https://in.tradingview.com/chart/ofQQfXOP/?symbol=NSE%3ALANDMARK</t>
  </si>
  <si>
    <t>https://in.tradingview.com/chart/bXJLby4L/?symbol=NSE%3ALANDMARK</t>
  </si>
  <si>
    <t>LPDC</t>
  </si>
  <si>
    <t>Landmark Property Development Company Limited</t>
  </si>
  <si>
    <t>NSE%3AMAXHEALTH</t>
  </si>
  <si>
    <t>https://in.tradingview.com/chart/ofQQfXOP/?symbol=NSE%3ALPDC</t>
  </si>
  <si>
    <t>https://in.tradingview.com/chart/bXJLby4L/?symbol=NSE%3ALPDC</t>
  </si>
  <si>
    <t>LT</t>
  </si>
  <si>
    <t>Larsen &amp; Toubro Limited</t>
  </si>
  <si>
    <t>NSE%3AMAXIND</t>
  </si>
  <si>
    <t>https://in.tradingview.com/chart/ofQQfXOP/?symbol=NSE%3ALT</t>
  </si>
  <si>
    <t>https://in.tradingview.com/chart/bXJLby4L/?symbol=NSE%3ALT</t>
  </si>
  <si>
    <t>LASA</t>
  </si>
  <si>
    <t>Lasa Supergenerics Ltd</t>
  </si>
  <si>
    <t>NSE%3AMAYURUNIQ</t>
  </si>
  <si>
    <t>https://in.tradingview.com/chart/ofQQfXOP/?symbol=NSE%3ALASA</t>
  </si>
  <si>
    <t>https://in.tradingview.com/chart/bXJLby4L/?symbol=NSE%3ALASA</t>
  </si>
  <si>
    <t>LATENTVIEW</t>
  </si>
  <si>
    <t>Latent View Analytics Ltd</t>
  </si>
  <si>
    <t>NSE%3AMAZDA</t>
  </si>
  <si>
    <t>https://in.tradingview.com/chart/ofQQfXOP/?symbol=NSE%3ALATENTVIEW</t>
  </si>
  <si>
    <t>https://in.tradingview.com/chart/bXJLby4L/?symbol=NSE%3ALATENTVIEW</t>
  </si>
  <si>
    <t>LATTEYS</t>
  </si>
  <si>
    <t>Latteys Industries Ltd</t>
  </si>
  <si>
    <t>NSE%3AMAZDOCK</t>
  </si>
  <si>
    <t>https://in.tradingview.com/chart/ofQQfXOP/?symbol=NSE%3ALATTEYS</t>
  </si>
  <si>
    <t>https://in.tradingview.com/chart/bXJLby4L/?symbol=NSE%3ALATTEYS</t>
  </si>
  <si>
    <t>LAURUSLABS</t>
  </si>
  <si>
    <t>Laurus Labs Limited</t>
  </si>
  <si>
    <t>NSE%3AMBAPL</t>
  </si>
  <si>
    <t>https://in.tradingview.com/chart/ofQQfXOP/?symbol=NSE%3ALAURUSLABS</t>
  </si>
  <si>
    <t>https://in.tradingview.com/chart/bXJLby4L/?symbol=NSE%3ALAURUSLABS</t>
  </si>
  <si>
    <t>LAXMICOT</t>
  </si>
  <si>
    <t>Laxmi Cotspin Ltd</t>
  </si>
  <si>
    <t>NSE%3AMBLINFRA</t>
  </si>
  <si>
    <t>https://in.tradingview.com/chart/ofQQfXOP/?symbol=NSE%3ALAXMICOT</t>
  </si>
  <si>
    <t>https://in.tradingview.com/chart/bXJLby4L/?symbol=NSE%3ALAXMICOT</t>
  </si>
  <si>
    <t>LAXMIDENTL</t>
  </si>
  <si>
    <t>Laxmi Dental Ltd</t>
  </si>
  <si>
    <t>NSE%3AMCL</t>
  </si>
  <si>
    <t>https://in.tradingview.com/chart/ofQQfXOP/?symbol=NSE%3ALAXMIDENTL</t>
  </si>
  <si>
    <t>https://in.tradingview.com/chart/bXJLby4L/?symbol=NSE%3ALAXMIDENTL</t>
  </si>
  <si>
    <t>LGHL</t>
  </si>
  <si>
    <t>Laxmi Goldorna House Ltd</t>
  </si>
  <si>
    <t>NSE%3AMCLEODRUSS</t>
  </si>
  <si>
    <t>https://in.tradingview.com/chart/ofQQfXOP/?symbol=NSE%3ALGHL</t>
  </si>
  <si>
    <t>https://in.tradingview.com/chart/bXJLby4L/?symbol=NSE%3ALGHL</t>
  </si>
  <si>
    <t>LAXMIINDIA</t>
  </si>
  <si>
    <t>Laxmi India Finance Ltd</t>
  </si>
  <si>
    <t>NSE%3AMCLOUD</t>
  </si>
  <si>
    <t>https://in.tradingview.com/chart/ofQQfXOP/?symbol=NSE%3ALAXMIINDIA</t>
  </si>
  <si>
    <t>https://in.tradingview.com/chart/bXJLby4L/?symbol=NSE%3ALAXMIINDIA</t>
  </si>
  <si>
    <t>LXCHEM</t>
  </si>
  <si>
    <t>Laxmi Organic Industries Ltd</t>
  </si>
  <si>
    <t>NSE%3AMCX</t>
  </si>
  <si>
    <t>https://in.tradingview.com/chart/ofQQfXOP/?symbol=NSE%3ALXCHEM</t>
  </si>
  <si>
    <t>https://in.tradingview.com/chart/bXJLby4L/?symbol=NSE%3ALXCHEM</t>
  </si>
  <si>
    <t>LEMERITE</t>
  </si>
  <si>
    <t>Le Merite Exports Ltd</t>
  </si>
  <si>
    <t>NSE%3AMEDANTA</t>
  </si>
  <si>
    <t>https://in.tradingview.com/chart/ofQQfXOP/?symbol=NSE%3ALEMERITE</t>
  </si>
  <si>
    <t>https://in.tradingview.com/chart/bXJLby4L/?symbol=NSE%3ALEMERITE</t>
  </si>
  <si>
    <t>IXIGO</t>
  </si>
  <si>
    <t>Le Travenues Technology Ltd</t>
  </si>
  <si>
    <t>NSE%3AMEDIASSIST</t>
  </si>
  <si>
    <t>https://in.tradingview.com/chart/ofQQfXOP/?symbol=NSE%3AIXIGO</t>
  </si>
  <si>
    <t>https://in.tradingview.com/chart/bXJLby4L/?symbol=NSE%3AIXIGO</t>
  </si>
  <si>
    <t>LEMONTREE</t>
  </si>
  <si>
    <t>Lemon Tree Hotels Ltd</t>
  </si>
  <si>
    <t>NSE%3AMEDICAMEQ</t>
  </si>
  <si>
    <t>https://in.tradingview.com/chart/ofQQfXOP/?symbol=NSE%3ALEMONTREE</t>
  </si>
  <si>
    <t>https://in.tradingview.com/chart/bXJLby4L/?symbol=NSE%3ALEMONTREE</t>
  </si>
  <si>
    <t>LENSKART</t>
  </si>
  <si>
    <t>Lenskart Solutions Ltd</t>
  </si>
  <si>
    <t>NSE%3AMEDICO</t>
  </si>
  <si>
    <t>https://in.tradingview.com/chart/ofQQfXOP/?symbol=NSE%3ALENSKART</t>
  </si>
  <si>
    <t>https://in.tradingview.com/chart/bXJLby4L/?symbol=NSE%3ALENSKART</t>
  </si>
  <si>
    <t>LEXUS</t>
  </si>
  <si>
    <t>Lexus Granito (India) Ltd</t>
  </si>
  <si>
    <t>NSE%3AMEDPLUS</t>
  </si>
  <si>
    <t>https://in.tradingview.com/chart/ofQQfXOP/?symbol=NSE%3ALEXUS</t>
  </si>
  <si>
    <t>https://in.tradingview.com/chart/bXJLby4L/?symbol=NSE%3ALEXUS</t>
  </si>
  <si>
    <t>LGBBROSLTD</t>
  </si>
  <si>
    <t>Lg Balakrishnan &amp; Bros Limited</t>
  </si>
  <si>
    <t>NSE%3AMEGASTAR</t>
  </si>
  <si>
    <t>https://in.tradingview.com/chart/ofQQfXOP/?symbol=NSE%3ALGBBROSLTD</t>
  </si>
  <si>
    <t>https://in.tradingview.com/chart/bXJLby4L/?symbol=NSE%3ALGBBROSLTD</t>
  </si>
  <si>
    <t>LGEINDIA</t>
  </si>
  <si>
    <t>LG Electronics India Ltd</t>
  </si>
  <si>
    <t>NSE%3AMENONBE</t>
  </si>
  <si>
    <t>https://in.tradingview.com/chart/ofQQfXOP/?symbol=NSE%3ALGEINDIA</t>
  </si>
  <si>
    <t>https://in.tradingview.com/chart/bXJLby4L/?symbol=NSE%3ALGEINDIA</t>
  </si>
  <si>
    <t>LIBAS</t>
  </si>
  <si>
    <t>Libas Consumer Products Ltd</t>
  </si>
  <si>
    <t>NSE%3AMEP</t>
  </si>
  <si>
    <t>https://in.tradingview.com/chart/ofQQfXOP/?symbol=NSE%3ALIBAS</t>
  </si>
  <si>
    <t>https://in.tradingview.com/chart/bXJLby4L/?symbol=NSE%3ALIBAS</t>
  </si>
  <si>
    <t>LIBERTSHOE</t>
  </si>
  <si>
    <t>Liberty Shoes Limited</t>
  </si>
  <si>
    <t>NSE%3AMETAL</t>
  </si>
  <si>
    <t>https://in.tradingview.com/chart/ofQQfXOP/?symbol=NSE%3ALIBERTSHOE</t>
  </si>
  <si>
    <t>https://in.tradingview.com/chart/bXJLby4L/?symbol=NSE%3ALIBERTSHOE</t>
  </si>
  <si>
    <t>LICHSGFIN</t>
  </si>
  <si>
    <t>Lic Housing Finance Limited</t>
  </si>
  <si>
    <t>NSE%3AMETALIETF</t>
  </si>
  <si>
    <t>https://in.tradingview.com/chart/ofQQfXOP/?symbol=NSE%3ALICHSGFIN</t>
  </si>
  <si>
    <t>https://in.tradingview.com/chart/bXJLby4L/?symbol=NSE%3ALICHSGFIN</t>
  </si>
  <si>
    <t>LICMFGOLD</t>
  </si>
  <si>
    <t>LIC MF Gold ETF</t>
  </si>
  <si>
    <t>NSE%3AMETROBRAND</t>
  </si>
  <si>
    <t>https://in.tradingview.com/chart/ofQQfXOP/?symbol=NSE%3ALICMFGOLD</t>
  </si>
  <si>
    <t>https://in.tradingview.com/chart/bXJLby4L/?symbol=NSE%3ALICMFGOLD</t>
  </si>
  <si>
    <t>LICNMID100</t>
  </si>
  <si>
    <t>LIC MF Nifty Midcap 100 ETF</t>
  </si>
  <si>
    <t>NSE%3AMETROPOLIS</t>
  </si>
  <si>
    <t>https://in.tradingview.com/chart/ofQQfXOP/?symbol=NSE%3ALICNMID100</t>
  </si>
  <si>
    <t>https://in.tradingview.com/chart/bXJLby4L/?symbol=NSE%3ALICNMID100</t>
  </si>
  <si>
    <t>LICNFNHGP</t>
  </si>
  <si>
    <t>LIC Nomura MF ETF - Nifty 100</t>
  </si>
  <si>
    <t>NSE%3AMFML</t>
  </si>
  <si>
    <t>https://in.tradingview.com/chart/ofQQfXOP/?symbol=NSE%3ALICNFNHGP</t>
  </si>
  <si>
    <t>https://in.tradingview.com/chart/bXJLby4L/?symbol=NSE%3ALICNFNHGP</t>
  </si>
  <si>
    <t>LICNETFN50</t>
  </si>
  <si>
    <t>LIC Nomura MF ETF - NIFTY 50 - Growth Plan</t>
  </si>
  <si>
    <t>NSE%3AMFSL</t>
  </si>
  <si>
    <t>https://in.tradingview.com/chart/ofQQfXOP/?symbol=NSE%3ALICNETFN50</t>
  </si>
  <si>
    <t>https://in.tradingview.com/chart/bXJLby4L/?symbol=NSE%3ALICNETFN50</t>
  </si>
  <si>
    <t>LICNETFSEN</t>
  </si>
  <si>
    <t>LIC Nomura MF ETF - SENSEX</t>
  </si>
  <si>
    <t>NSE%3AMGEL</t>
  </si>
  <si>
    <t>https://in.tradingview.com/chart/ofQQfXOP/?symbol=NSE%3ALICNETFSEN</t>
  </si>
  <si>
    <t>https://in.tradingview.com/chart/bXJLby4L/?symbol=NSE%3ALICNETFSEN</t>
  </si>
  <si>
    <t>LICNETFGSC</t>
  </si>
  <si>
    <t>LIC Nomura MF G-Sec Long Term ETF</t>
  </si>
  <si>
    <t>NSE%3AMGL</t>
  </si>
  <si>
    <t>https://in.tradingview.com/chart/ofQQfXOP/?symbol=NSE%3ALICNETFGSC</t>
  </si>
  <si>
    <t>https://in.tradingview.com/chart/bXJLby4L/?symbol=NSE%3ALICNETFGSC</t>
  </si>
  <si>
    <t>LICI</t>
  </si>
  <si>
    <t>Life Insurance Corporation of India</t>
  </si>
  <si>
    <t>NSE%3AMHLXMIRU</t>
  </si>
  <si>
    <t>https://in.tradingview.com/chart/ofQQfXOP/?symbol=NSE%3ALICI</t>
  </si>
  <si>
    <t>https://in.tradingview.com/chart/bXJLby4L/?symbol=NSE%3ALICI</t>
  </si>
  <si>
    <t>LIKHITHA</t>
  </si>
  <si>
    <t>Likhitha Infrastructure Ltd</t>
  </si>
  <si>
    <t>NSE%3AMHRIL</t>
  </si>
  <si>
    <t>https://in.tradingview.com/chart/ofQQfXOP/?symbol=NSE%3ALIKHITHA</t>
  </si>
  <si>
    <t>https://in.tradingview.com/chart/bXJLby4L/?symbol=NSE%3ALIKHITHA</t>
  </si>
  <si>
    <t>LINC</t>
  </si>
  <si>
    <t>Linc Ltd</t>
  </si>
  <si>
    <t>NSE%3AMICEL</t>
  </si>
  <si>
    <t>https://in.tradingview.com/chart/ofQQfXOP/?symbol=NSE%3ALINC</t>
  </si>
  <si>
    <t>https://in.tradingview.com/chart/bXJLby4L/?symbol=NSE%3ALINC</t>
  </si>
  <si>
    <t>LINCOLN</t>
  </si>
  <si>
    <t>Lincoln Pharmaceuticals Limited</t>
  </si>
  <si>
    <t>NSE%3AMID150BEES</t>
  </si>
  <si>
    <t>https://in.tradingview.com/chart/ofQQfXOP/?symbol=NSE%3ALINCOLN</t>
  </si>
  <si>
    <t>https://in.tradingview.com/chart/bXJLby4L/?symbol=NSE%3ALINCOLN</t>
  </si>
  <si>
    <t>LINDEINDIA</t>
  </si>
  <si>
    <t>Linde India Limited</t>
  </si>
  <si>
    <t>NSE%3AMID150CASE</t>
  </si>
  <si>
    <t>https://in.tradingview.com/chart/ofQQfXOP/?symbol=NSE%3ALINDEINDIA</t>
  </si>
  <si>
    <t>https://in.tradingview.com/chart/bXJLby4L/?symbol=NSE%3ALINDEINDIA</t>
  </si>
  <si>
    <t>LLOYDSENGG</t>
  </si>
  <si>
    <t>Lloyds Engineering Works Ltd</t>
  </si>
  <si>
    <t>NSE%3AMIDCAP</t>
  </si>
  <si>
    <t>https://in.tradingview.com/chart/ofQQfXOP/?symbol=NSE%3ALLOYDSENGG</t>
  </si>
  <si>
    <t>https://in.tradingview.com/chart/bXJLby4L/?symbol=NSE%3ALLOYDSENGG</t>
  </si>
  <si>
    <t>LLOYDSENT</t>
  </si>
  <si>
    <t>Lloyds Enterprises Ltd</t>
  </si>
  <si>
    <t>NSE%3AMIDCAPETF</t>
  </si>
  <si>
    <t>https://in.tradingview.com/chart/ofQQfXOP/?symbol=NSE%3ALLOYDSENT</t>
  </si>
  <si>
    <t>https://in.tradingview.com/chart/bXJLby4L/?symbol=NSE%3ALLOYDSENT</t>
  </si>
  <si>
    <t>LLOYDSME</t>
  </si>
  <si>
    <t>Lloyds Metals &amp; Energy Ltd</t>
  </si>
  <si>
    <t>NSE%3AMIDCAPIETF</t>
  </si>
  <si>
    <t>https://in.tradingview.com/chart/ofQQfXOP/?symbol=NSE%3ALLOYDSME</t>
  </si>
  <si>
    <t>https://in.tradingview.com/chart/bXJLby4L/?symbol=NSE%3ALLOYDSME</t>
  </si>
  <si>
    <t>LMW</t>
  </si>
  <si>
    <t>LMW Ltd</t>
  </si>
  <si>
    <t>NSE%3AMIDHANI</t>
  </si>
  <si>
    <t>https://in.tradingview.com/chart/ofQQfXOP/?symbol=NSE%3ALMW</t>
  </si>
  <si>
    <t>https://in.tradingview.com/chart/bXJLby4L/?symbol=NSE%3ALMW</t>
  </si>
  <si>
    <t>LOKESHMACH</t>
  </si>
  <si>
    <t>Lokesh Machines Limited</t>
  </si>
  <si>
    <t>NSE%3AMIDQ50ADD</t>
  </si>
  <si>
    <t>https://in.tradingview.com/chart/ofQQfXOP/?symbol=NSE%3ALOKESHMACH</t>
  </si>
  <si>
    <t>https://in.tradingview.com/chart/bXJLby4L/?symbol=NSE%3ALOKESHMACH</t>
  </si>
  <si>
    <t>LORDSCHLO</t>
  </si>
  <si>
    <t>Lords Chloro Alkali Ltd</t>
  </si>
  <si>
    <t>NSE%3AMIDSELIETF</t>
  </si>
  <si>
    <t>https://in.tradingview.com/chart/ofQQfXOP/?symbol=NSE%3ALORDSCHLO</t>
  </si>
  <si>
    <t>https://in.tradingview.com/chart/bXJLby4L/?symbol=NSE%3ALORDSCHLO</t>
  </si>
  <si>
    <t>LAL</t>
  </si>
  <si>
    <t>Lorenzini Apparels Ltd</t>
  </si>
  <si>
    <t>NSE%3AMIDSMALL</t>
  </si>
  <si>
    <t>https://in.tradingview.com/chart/ofQQfXOP/?symbol=NSE%3ALAL</t>
  </si>
  <si>
    <t>https://in.tradingview.com/chart/bXJLby4L/?symbol=NSE%3ALAL</t>
  </si>
  <si>
    <t>LOTUSEYE</t>
  </si>
  <si>
    <t>Lotus Eye Care Hospital Limited</t>
  </si>
  <si>
    <t>NSE%3AMINDACORP</t>
  </si>
  <si>
    <t>https://in.tradingview.com/chart/ofQQfXOP/?symbol=NSE%3ALOTUSEYE</t>
  </si>
  <si>
    <t>https://in.tradingview.com/chart/bXJLby4L/?symbol=NSE%3ALOTUSEYE</t>
  </si>
  <si>
    <t>LOVABLE</t>
  </si>
  <si>
    <t>Lovable Lingerie Limited</t>
  </si>
  <si>
    <t>NSE%3AMINDTECK</t>
  </si>
  <si>
    <t>https://in.tradingview.com/chart/ofQQfXOP/?symbol=NSE%3ALOVABLE</t>
  </si>
  <si>
    <t>https://in.tradingview.com/chart/bXJLby4L/?symbol=NSE%3ALOVABLE</t>
  </si>
  <si>
    <t>LOYALTEX</t>
  </si>
  <si>
    <t>Loyal Textile Mills Ltd</t>
  </si>
  <si>
    <t>NSE%3AMIRCELECTR</t>
  </si>
  <si>
    <t>https://in.tradingview.com/chart/ofQQfXOP/?symbol=NSE%3ALOYALTEX</t>
  </si>
  <si>
    <t>https://in.tradingview.com/chart/bXJLby4L/?symbol=NSE%3ALOYALTEX</t>
  </si>
  <si>
    <t>LTIM</t>
  </si>
  <si>
    <t>LTI Mindtree Ltd</t>
  </si>
  <si>
    <t>NSE%3AMIRZAINT</t>
  </si>
  <si>
    <t>https://in.tradingview.com/chart/ofQQfXOP/?symbol=NSE%3ALTIM</t>
  </si>
  <si>
    <t>https://in.tradingview.com/chart/bXJLby4L/?symbol=NSE%3ALTIM</t>
  </si>
  <si>
    <t>LUMAXTECH</t>
  </si>
  <si>
    <t>Lumax Auto Technologies Limited</t>
  </si>
  <si>
    <t>NSE%3AMITCON</t>
  </si>
  <si>
    <t>https://in.tradingview.com/chart/ofQQfXOP/?symbol=NSE%3ALUMAXTECH</t>
  </si>
  <si>
    <t>https://in.tradingview.com/chart/bXJLby4L/?symbol=NSE%3ALUMAXTECH</t>
  </si>
  <si>
    <t>LUMAXIND</t>
  </si>
  <si>
    <t>Lumax Industries Limited</t>
  </si>
  <si>
    <t>NSE%3AMITTAL</t>
  </si>
  <si>
    <t>https://in.tradingview.com/chart/ofQQfXOP/?symbol=NSE%3ALUMAXIND</t>
  </si>
  <si>
    <t>https://in.tradingview.com/chart/bXJLby4L/?symbol=NSE%3ALUMAXIND</t>
  </si>
  <si>
    <t>LUPIN</t>
  </si>
  <si>
    <t>Lupin Limited</t>
  </si>
  <si>
    <t>NSE%3AMKPL</t>
  </si>
  <si>
    <t>https://in.tradingview.com/chart/ofQQfXOP/?symbol=NSE%3ALUPIN</t>
  </si>
  <si>
    <t>https://in.tradingview.com/chart/bXJLby4L/?symbol=NSE%3ALUPIN</t>
  </si>
  <si>
    <t>LUXIND</t>
  </si>
  <si>
    <t>Lux Industries Limited</t>
  </si>
  <si>
    <t>NSE%3AMMFL</t>
  </si>
  <si>
    <t>https://in.tradingview.com/chart/ofQQfXOP/?symbol=NSE%3ALUXIND</t>
  </si>
  <si>
    <t>https://in.tradingview.com/chart/bXJLby4L/?symbol=NSE%3ALUXIND</t>
  </si>
  <si>
    <t>LYKALABS</t>
  </si>
  <si>
    <t>Lyka Labs Limited</t>
  </si>
  <si>
    <t>NSE%3AMMP</t>
  </si>
  <si>
    <t>https://in.tradingview.com/chart/ofQQfXOP/?symbol=NSE%3ALYKALABS</t>
  </si>
  <si>
    <t>https://in.tradingview.com/chart/bXJLby4L/?symbol=NSE%3ALYKALABS</t>
  </si>
  <si>
    <t>MBEL</t>
  </si>
  <si>
    <t>M &amp; B Engineering Ltd</t>
  </si>
  <si>
    <t>NSE%3AMMTC</t>
  </si>
  <si>
    <t>https://in.tradingview.com/chart/ofQQfXOP/?symbol=NSE%3AMBEL</t>
  </si>
  <si>
    <t>https://in.tradingview.com/chart/bXJLby4L/?symbol=NSE%3AMBEL</t>
  </si>
  <si>
    <t>MKPL</t>
  </si>
  <si>
    <t>M K Proteins Ltd</t>
  </si>
  <si>
    <t>NSE%3AMNC</t>
  </si>
  <si>
    <t>https://in.tradingview.com/chart/ofQQfXOP/?symbol=NSE%3AMKPL</t>
  </si>
  <si>
    <t>https://in.tradingview.com/chart/bXJLby4L/?symbol=NSE%3AMKPL</t>
  </si>
  <si>
    <t>MAANALU</t>
  </si>
  <si>
    <t>Maan Aluminium Limited</t>
  </si>
  <si>
    <t>NSE%3AMOBIKWIK</t>
  </si>
  <si>
    <t>https://in.tradingview.com/chart/ofQQfXOP/?symbol=NSE%3AMAANALU</t>
  </si>
  <si>
    <t>https://in.tradingview.com/chart/bXJLby4L/?symbol=NSE%3AMAANALU</t>
  </si>
  <si>
    <t>MACPOWER</t>
  </si>
  <si>
    <t>Macpower CNC Machines Ltd</t>
  </si>
  <si>
    <t>NSE%3AMODEFENCE</t>
  </si>
  <si>
    <t>https://in.tradingview.com/chart/ofQQfXOP/?symbol=NSE%3AMACPOWER</t>
  </si>
  <si>
    <t>https://in.tradingview.com/chart/bXJLby4L/?symbol=NSE%3AMACPOWER</t>
  </si>
  <si>
    <t>LODHA</t>
  </si>
  <si>
    <t>Macrotech Developers Ltd</t>
  </si>
  <si>
    <t>NSE%3AMODIRUBBER</t>
  </si>
  <si>
    <t>https://in.tradingview.com/chart/ofQQfXOP/?symbol=NSE%3ALODHA</t>
  </si>
  <si>
    <t>https://in.tradingview.com/chart/bXJLby4L/?symbol=NSE%3ALODHA</t>
  </si>
  <si>
    <t>MCL</t>
  </si>
  <si>
    <t>Madhav Copper Ltd</t>
  </si>
  <si>
    <t>NSE%3AMODISONLTD</t>
  </si>
  <si>
    <t>https://in.tradingview.com/chart/ofQQfXOP/?symbol=NSE%3AMCL</t>
  </si>
  <si>
    <t>https://in.tradingview.com/chart/bXJLby4L/?symbol=NSE%3AMCL</t>
  </si>
  <si>
    <t>MADHAV</t>
  </si>
  <si>
    <t>Madhav Marbles And Granites Limited</t>
  </si>
  <si>
    <t>NSE%3AMODTHREAD</t>
  </si>
  <si>
    <t>https://in.tradingview.com/chart/ofQQfXOP/?symbol=NSE%3AMADHAV</t>
  </si>
  <si>
    <t>https://in.tradingview.com/chart/bXJLby4L/?symbol=NSE%3AMADHAV</t>
  </si>
  <si>
    <t>MADHUCON</t>
  </si>
  <si>
    <t>Madhucon Projects Limited</t>
  </si>
  <si>
    <t>NSE%3AMOGSEC</t>
  </si>
  <si>
    <t>https://in.tradingview.com/chart/ofQQfXOP/?symbol=NSE%3AMADHUCON</t>
  </si>
  <si>
    <t>https://in.tradingview.com/chart/bXJLby4L/?symbol=NSE%3AMADHUCON</t>
  </si>
  <si>
    <t>MBAPL</t>
  </si>
  <si>
    <t>Madhya Bharat Agro Products Ltd</t>
  </si>
  <si>
    <t>NSE%3AMOHEALTH</t>
  </si>
  <si>
    <t>https://in.tradingview.com/chart/ofQQfXOP/?symbol=NSE%3AMBAPL</t>
  </si>
  <si>
    <t>https://in.tradingview.com/chart/bXJLby4L/?symbol=NSE%3AMBAPL</t>
  </si>
  <si>
    <t>MADRASFERT</t>
  </si>
  <si>
    <t>Madras Fertilizers Limited</t>
  </si>
  <si>
    <t>NSE%3AMOIL</t>
  </si>
  <si>
    <t>https://in.tradingview.com/chart/ofQQfXOP/?symbol=NSE%3AMADRASFERT</t>
  </si>
  <si>
    <t>https://in.tradingview.com/chart/bXJLby4L/?symbol=NSE%3AMADRASFERT</t>
  </si>
  <si>
    <t>MAGADSUGAR</t>
  </si>
  <si>
    <t>Magadh Sugar &amp; Energy Ltd</t>
  </si>
  <si>
    <t>NSE%3AMOKSH</t>
  </si>
  <si>
    <t>https://in.tradingview.com/chart/ofQQfXOP/?symbol=NSE%3AMAGADSUGAR</t>
  </si>
  <si>
    <t>https://in.tradingview.com/chart/bXJLby4L/?symbol=NSE%3AMAGADSUGAR</t>
  </si>
  <si>
    <t>MCLOUD</t>
  </si>
  <si>
    <t>Magellanic Cloud Ltd</t>
  </si>
  <si>
    <t>NSE%3AMOL</t>
  </si>
  <si>
    <t>https://in.tradingview.com/chart/ofQQfXOP/?symbol=NSE%3AMCLOUD</t>
  </si>
  <si>
    <t>https://in.tradingview.com/chart/bXJLby4L/?symbol=NSE%3AMCLOUD</t>
  </si>
  <si>
    <t>MAGNUM</t>
  </si>
  <si>
    <t>Magnum Ventures Limited</t>
  </si>
  <si>
    <t>NSE%3AMOLDTECH</t>
  </si>
  <si>
    <t>https://in.tradingview.com/chart/ofQQfXOP/?symbol=NSE%3AMAGNUM</t>
  </si>
  <si>
    <t>https://in.tradingview.com/chart/bXJLby4L/?symbol=NSE%3AMAGNUM</t>
  </si>
  <si>
    <t>MAHAPEXLTD</t>
  </si>
  <si>
    <t>Maha Rashtra Apex Corporation Ltd</t>
  </si>
  <si>
    <t>NSE%3AMOLDTKPAC</t>
  </si>
  <si>
    <t>https://in.tradingview.com/chart/ofQQfXOP/?symbol=NSE%3AMAHAPEXLTD</t>
  </si>
  <si>
    <t>https://in.tradingview.com/chart/bXJLby4L/?symbol=NSE%3AMAHAPEXLTD</t>
  </si>
  <si>
    <t>MFML</t>
  </si>
  <si>
    <t>Mahalaxmi Fabric Mills Ltd</t>
  </si>
  <si>
    <t>NSE%3AMOLOWVOL</t>
  </si>
  <si>
    <t>https://in.tradingview.com/chart/ofQQfXOP/?symbol=NSE%3AMFML</t>
  </si>
  <si>
    <t>https://in.tradingview.com/chart/bXJLby4L/?symbol=NSE%3AMFML</t>
  </si>
  <si>
    <t>MHLXMIRU</t>
  </si>
  <si>
    <t>Mahalaxmi Rubtech Ltd</t>
  </si>
  <si>
    <t>NSE%3AMOM100</t>
  </si>
  <si>
    <t>https://in.tradingview.com/chart/ofQQfXOP/?symbol=NSE%3AMHLXMIRU</t>
  </si>
  <si>
    <t>https://in.tradingview.com/chart/bXJLby4L/?symbol=NSE%3AMHLXMIRU</t>
  </si>
  <si>
    <t>MAHASTEEL</t>
  </si>
  <si>
    <t>Mahamaya Steel Industries Limited</t>
  </si>
  <si>
    <t>NSE%3AMOM30IETF</t>
  </si>
  <si>
    <t>https://in.tradingview.com/chart/ofQQfXOP/?symbol=NSE%3AMAHASTEEL</t>
  </si>
  <si>
    <t>https://in.tradingview.com/chart/bXJLby4L/?symbol=NSE%3AMAHASTEEL</t>
  </si>
  <si>
    <t>MGL</t>
  </si>
  <si>
    <t>Mahanagar Gas Limited</t>
  </si>
  <si>
    <t>NSE%3AMOM50</t>
  </si>
  <si>
    <t>https://in.tradingview.com/chart/ofQQfXOP/?symbol=NSE%3AMGL</t>
  </si>
  <si>
    <t>https://in.tradingview.com/chart/bXJLby4L/?symbol=NSE%3AMGL</t>
  </si>
  <si>
    <t>MTNL</t>
  </si>
  <si>
    <t>Mahanagar Telephone Nigam Limited</t>
  </si>
  <si>
    <t>NSE%3AMOMENTUM</t>
  </si>
  <si>
    <t>https://in.tradingview.com/chart/ofQQfXOP/?symbol=NSE%3AMTNL</t>
  </si>
  <si>
    <t>https://in.tradingview.com/chart/bXJLby4L/?symbol=NSE%3AMTNL</t>
  </si>
  <si>
    <t>MAHSCOOTER</t>
  </si>
  <si>
    <t>Maharashtra Scooters Limited</t>
  </si>
  <si>
    <t>NSE%3AMOMENTUM50</t>
  </si>
  <si>
    <t>https://in.tradingview.com/chart/ofQQfXOP/?symbol=NSE%3AMAHSCOOTER</t>
  </si>
  <si>
    <t>https://in.tradingview.com/chart/bXJLby4L/?symbol=NSE%3AMAHSCOOTER</t>
  </si>
  <si>
    <t>MAHSEAMLES</t>
  </si>
  <si>
    <t>Maharashtra Seamless Limited</t>
  </si>
  <si>
    <t>NSE%3AMOMOMENTUM</t>
  </si>
  <si>
    <t>https://in.tradingview.com/chart/ofQQfXOP/?symbol=NSE%3AMAHSEAMLES</t>
  </si>
  <si>
    <t>https://in.tradingview.com/chart/bXJLby4L/?symbol=NSE%3AMAHSEAMLES</t>
  </si>
  <si>
    <t>MAHESHWARI</t>
  </si>
  <si>
    <t>Maheshwari Logistics Ltd</t>
  </si>
  <si>
    <t>NSE%3AMON100</t>
  </si>
  <si>
    <t>https://in.tradingview.com/chart/ofQQfXOP/?symbol=NSE%3AMAHESHWARI</t>
  </si>
  <si>
    <t>https://in.tradingview.com/chart/bXJLby4L/?symbol=NSE%3AMAHESHWARI</t>
  </si>
  <si>
    <t>M&amp;MFIN</t>
  </si>
  <si>
    <t>Mahindra &amp; Mahindra Financial Services Limited</t>
  </si>
  <si>
    <t>NSE%3AMONARCH</t>
  </si>
  <si>
    <t>https://in.tradingview.com/chart/ofQQfXOP/?symbol=NSE%3AM&amp;MFIN</t>
  </si>
  <si>
    <t>https://in.tradingview.com/chart/bXJLby4L/?symbol=NSE%3AM&amp;MFIN</t>
  </si>
  <si>
    <t>M&amp;M</t>
  </si>
  <si>
    <t>Mahindra &amp; Mahindra Limited</t>
  </si>
  <si>
    <t>NSE%3AMONIFTY500</t>
  </si>
  <si>
    <t>https://in.tradingview.com/chart/ofQQfXOP/?symbol=NSE%3AM&amp;M</t>
  </si>
  <si>
    <t>https://in.tradingview.com/chart/bXJLby4L/?symbol=NSE%3AM&amp;M</t>
  </si>
  <si>
    <t>MAHEPC</t>
  </si>
  <si>
    <t>Mahindra EPC Irrigation Ltd</t>
  </si>
  <si>
    <t>NSE%3AMONQ50</t>
  </si>
  <si>
    <t>https://in.tradingview.com/chart/ofQQfXOP/?symbol=NSE%3AMAHEPC</t>
  </si>
  <si>
    <t>https://in.tradingview.com/chart/bXJLby4L/?symbol=NSE%3AMAHEPC</t>
  </si>
  <si>
    <t>MHRIL</t>
  </si>
  <si>
    <t>Mahindra Holidays &amp; Resorts India Limited</t>
  </si>
  <si>
    <t>NSE%3AMONTECARLO</t>
  </si>
  <si>
    <t>https://in.tradingview.com/chart/ofQQfXOP/?symbol=NSE%3AMHRIL</t>
  </si>
  <si>
    <t>https://in.tradingview.com/chart/bXJLby4L/?symbol=NSE%3AMHRIL</t>
  </si>
  <si>
    <t>MAHLIFE</t>
  </si>
  <si>
    <t>Mahindra Lifespace Developers Limited</t>
  </si>
  <si>
    <t>NSE%3AMOQUALITY</t>
  </si>
  <si>
    <t>https://in.tradingview.com/chart/ofQQfXOP/?symbol=NSE%3AMAHLIFE</t>
  </si>
  <si>
    <t>https://in.tradingview.com/chart/bXJLby4L/?symbol=NSE%3AMAHLIFE</t>
  </si>
  <si>
    <t>MAHLOG</t>
  </si>
  <si>
    <t>Mahindra Logistics Ltd</t>
  </si>
  <si>
    <t>NSE%3AMORARJEE</t>
  </si>
  <si>
    <t>https://in.tradingview.com/chart/ofQQfXOP/?symbol=NSE%3AMAHLOG</t>
  </si>
  <si>
    <t>https://in.tradingview.com/chart/bXJLby4L/?symbol=NSE%3AMAHLOG</t>
  </si>
  <si>
    <t>MAITHANALL</t>
  </si>
  <si>
    <t>Maithan Alloys Limited</t>
  </si>
  <si>
    <t>NSE%3AMOREALTY</t>
  </si>
  <si>
    <t>https://in.tradingview.com/chart/ofQQfXOP/?symbol=NSE%3AMAITHANALL</t>
  </si>
  <si>
    <t>https://in.tradingview.com/chart/bXJLby4L/?symbol=NSE%3AMAITHANALL</t>
  </si>
  <si>
    <t>MALLCOM</t>
  </si>
  <si>
    <t>Mallcom (India) Ltd</t>
  </si>
  <si>
    <t>NSE%3AMOREPENLAB</t>
  </si>
  <si>
    <t>https://in.tradingview.com/chart/ofQQfXOP/?symbol=NSE%3AMALLCOM</t>
  </si>
  <si>
    <t>https://in.tradingview.com/chart/bXJLby4L/?symbol=NSE%3AMALLCOM</t>
  </si>
  <si>
    <t>MALUPAPER</t>
  </si>
  <si>
    <t>Malu Paper Mills Limited</t>
  </si>
  <si>
    <t>NSE%3AMOSCHIP</t>
  </si>
  <si>
    <t>https://in.tradingview.com/chart/ofQQfXOP/?symbol=NSE%3AMALUPAPER</t>
  </si>
  <si>
    <t>https://in.tradingview.com/chart/bXJLby4L/?symbol=NSE%3AMALUPAPER</t>
  </si>
  <si>
    <t>MAMATA</t>
  </si>
  <si>
    <t>Mamata Machinery Ltd</t>
  </si>
  <si>
    <t>NSE%3AMOSMALL250</t>
  </si>
  <si>
    <t>https://in.tradingview.com/chart/ofQQfXOP/?symbol=NSE%3AMAMATA</t>
  </si>
  <si>
    <t>https://in.tradingview.com/chart/bXJLby4L/?symbol=NSE%3AMAMATA</t>
  </si>
  <si>
    <t>MANINDS</t>
  </si>
  <si>
    <t>Man Industries (india) Limited</t>
  </si>
  <si>
    <t>NSE%3AMOTHERSON</t>
  </si>
  <si>
    <t>https://in.tradingview.com/chart/ofQQfXOP/?symbol=NSE%3AMANINDS</t>
  </si>
  <si>
    <t>https://in.tradingview.com/chart/bXJLby4L/?symbol=NSE%3AMANINDS</t>
  </si>
  <si>
    <t>MANINFRA</t>
  </si>
  <si>
    <t>Man Infraconstruction Limited</t>
  </si>
  <si>
    <t>NSE%3AMOTILALOFS</t>
  </si>
  <si>
    <t>https://in.tradingview.com/chart/ofQQfXOP/?symbol=NSE%3AMANINFRA</t>
  </si>
  <si>
    <t>https://in.tradingview.com/chart/bXJLby4L/?symbol=NSE%3AMANINFRA</t>
  </si>
  <si>
    <t>MANAKALUCO</t>
  </si>
  <si>
    <t>Manaksia Aluminium Company Limited</t>
  </si>
  <si>
    <t>NSE%3AMOTISONS</t>
  </si>
  <si>
    <t>https://in.tradingview.com/chart/ofQQfXOP/?symbol=NSE%3AMANAKALUCO</t>
  </si>
  <si>
    <t>https://in.tradingview.com/chart/bXJLby4L/?symbol=NSE%3AMANAKALUCO</t>
  </si>
  <si>
    <t>MANAKCOAT</t>
  </si>
  <si>
    <t>Manaksia Coated Metals &amp; Industries Limited</t>
  </si>
  <si>
    <t>NSE%3AMOTOGENFIN</t>
  </si>
  <si>
    <t>https://in.tradingview.com/chart/ofQQfXOP/?symbol=NSE%3AMANAKCOAT</t>
  </si>
  <si>
    <t>https://in.tradingview.com/chart/bXJLby4L/?symbol=NSE%3AMANAKCOAT</t>
  </si>
  <si>
    <t>MANAKSIA</t>
  </si>
  <si>
    <t>Manaksia Limited</t>
  </si>
  <si>
    <t>NSE%3AMOVALUE</t>
  </si>
  <si>
    <t>https://in.tradingview.com/chart/ofQQfXOP/?symbol=NSE%3AMANAKSIA</t>
  </si>
  <si>
    <t>https://in.tradingview.com/chart/bXJLby4L/?symbol=NSE%3AMANAKSIA</t>
  </si>
  <si>
    <t>MANAKSTEEL</t>
  </si>
  <si>
    <t>Manaksia Steels Limited</t>
  </si>
  <si>
    <t>NSE%3AMPHASIS</t>
  </si>
  <si>
    <t>https://in.tradingview.com/chart/ofQQfXOP/?symbol=NSE%3AMANAKSTEEL</t>
  </si>
  <si>
    <t>https://in.tradingview.com/chart/bXJLby4L/?symbol=NSE%3AMANAKSTEEL</t>
  </si>
  <si>
    <t>MANALIPETC</t>
  </si>
  <si>
    <t>Manali Petrochemicals Limited</t>
  </si>
  <si>
    <t>NSE%3AMPSLTD</t>
  </si>
  <si>
    <t>https://in.tradingview.com/chart/ofQQfXOP/?symbol=NSE%3AMANALIPETC</t>
  </si>
  <si>
    <t>https://in.tradingview.com/chart/bXJLby4L/?symbol=NSE%3AMANALIPETC</t>
  </si>
  <si>
    <t>MANAPPURAM</t>
  </si>
  <si>
    <t>Manappuram Finance Limited</t>
  </si>
  <si>
    <t>NSE%3AMRF</t>
  </si>
  <si>
    <t>https://in.tradingview.com/chart/ofQQfXOP/?symbol=NSE%3AMANAPPURAM</t>
  </si>
  <si>
    <t>https://in.tradingview.com/chart/bXJLby4L/?symbol=NSE%3AMANAPPURAM</t>
  </si>
  <si>
    <t>MANBA</t>
  </si>
  <si>
    <t>Manba Finance Ltd</t>
  </si>
  <si>
    <t>NSE%3AMRPL</t>
  </si>
  <si>
    <t>https://in.tradingview.com/chart/ofQQfXOP/?symbol=NSE%3AMANBA</t>
  </si>
  <si>
    <t>https://in.tradingview.com/chart/bXJLby4L/?symbol=NSE%3AMANBA</t>
  </si>
  <si>
    <t>MANCREDIT</t>
  </si>
  <si>
    <t>Mangal Credit &amp; Fincorp Ltd</t>
  </si>
  <si>
    <t>NSE%3AMSCIINDIA</t>
  </si>
  <si>
    <t>https://in.tradingview.com/chart/ofQQfXOP/?symbol=NSE%3AMANCREDIT</t>
  </si>
  <si>
    <t>https://in.tradingview.com/chart/bXJLby4L/?symbol=NSE%3AMANCREDIT</t>
  </si>
  <si>
    <t>MEIL</t>
  </si>
  <si>
    <t>Mangal Electrical Industries Ltd</t>
  </si>
  <si>
    <t>NSE%3AMSPL</t>
  </si>
  <si>
    <t>https://in.tradingview.com/chart/ofQQfXOP/?symbol=NSE%3AMEIL</t>
  </si>
  <si>
    <t>https://in.tradingview.com/chart/bXJLby4L/?symbol=NSE%3AMEIL</t>
  </si>
  <si>
    <t>MANGLMCEM</t>
  </si>
  <si>
    <t>Mangalam Cement Limited</t>
  </si>
  <si>
    <t>NSE%3AMSTCLTD</t>
  </si>
  <si>
    <t>https://in.tradingview.com/chart/ofQQfXOP/?symbol=NSE%3AMANGLMCEM</t>
  </si>
  <si>
    <t>https://in.tradingview.com/chart/bXJLby4L/?symbol=NSE%3AMANGLMCEM</t>
  </si>
  <si>
    <t>MANGALAM</t>
  </si>
  <si>
    <t>Mangalam Drugs And Organics Limited</t>
  </si>
  <si>
    <t>NSE%3AMSUMI</t>
  </si>
  <si>
    <t>https://in.tradingview.com/chart/ofQQfXOP/?symbol=NSE%3AMANGALAM</t>
  </si>
  <si>
    <t>https://in.tradingview.com/chart/bXJLby4L/?symbol=NSE%3AMANGALAM</t>
  </si>
  <si>
    <t>MGEL</t>
  </si>
  <si>
    <t>Mangalam Global Enterprise Ltd</t>
  </si>
  <si>
    <t>NSE%3AMTARTECH</t>
  </si>
  <si>
    <t>https://in.tradingview.com/chart/ofQQfXOP/?symbol=NSE%3AMGEL</t>
  </si>
  <si>
    <t>https://in.tradingview.com/chart/bXJLby4L/?symbol=NSE%3AMGEL</t>
  </si>
  <si>
    <t>MANORG</t>
  </si>
  <si>
    <t>Mangalam Organics Ltd</t>
  </si>
  <si>
    <t>NSE%3AMTEDUCARE</t>
  </si>
  <si>
    <t>https://in.tradingview.com/chart/ofQQfXOP/?symbol=NSE%3AMANORG</t>
  </si>
  <si>
    <t>https://in.tradingview.com/chart/bXJLby4L/?symbol=NSE%3AMANORG</t>
  </si>
  <si>
    <t>MWL</t>
  </si>
  <si>
    <t>Mangalam Worldwide Ltd</t>
  </si>
  <si>
    <t>NSE%3AMTNL</t>
  </si>
  <si>
    <t>https://in.tradingview.com/chart/ofQQfXOP/?symbol=NSE%3AMWL</t>
  </si>
  <si>
    <t>https://in.tradingview.com/chart/bXJLby4L/?symbol=NSE%3AMWL</t>
  </si>
  <si>
    <t>MRPL</t>
  </si>
  <si>
    <t>Mangalore Refinery And Petrochemicals Limited</t>
  </si>
  <si>
    <t>NSE%3AMUFIN</t>
  </si>
  <si>
    <t>https://in.tradingview.com/chart/ofQQfXOP/?symbol=NSE%3AMRPL</t>
  </si>
  <si>
    <t>https://in.tradingview.com/chart/bXJLby4L/?symbol=NSE%3AMRPL</t>
  </si>
  <si>
    <t>MANKIND</t>
  </si>
  <si>
    <t>Mankind Pharma Ltd</t>
  </si>
  <si>
    <t>NSE%3AMUFTI</t>
  </si>
  <si>
    <t>https://in.tradingview.com/chart/ofQQfXOP/?symbol=NSE%3AMANKIND</t>
  </si>
  <si>
    <t>https://in.tradingview.com/chart/bXJLby4L/?symbol=NSE%3AMANKIND</t>
  </si>
  <si>
    <t>MVGJL</t>
  </si>
  <si>
    <t>Manoj Vaibhav Gems N Jewellers Ltd</t>
  </si>
  <si>
    <t>NSE%3AMUKANDLTD</t>
  </si>
  <si>
    <t>https://in.tradingview.com/chart/ofQQfXOP/?symbol=NSE%3AMVGJL</t>
  </si>
  <si>
    <t>https://in.tradingview.com/chart/bXJLby4L/?symbol=NSE%3AMVGJL</t>
  </si>
  <si>
    <t>MANOMAY</t>
  </si>
  <si>
    <t>Manomay Tex India Ltd</t>
  </si>
  <si>
    <t>NSE%3AMUKKA</t>
  </si>
  <si>
    <t>https://in.tradingview.com/chart/ofQQfXOP/?symbol=NSE%3AMANOMAY</t>
  </si>
  <si>
    <t>https://in.tradingview.com/chart/bXJLby4L/?symbol=NSE%3AMANOMAY</t>
  </si>
  <si>
    <t>MANORAMA</t>
  </si>
  <si>
    <t>Manorama Industries Ltd</t>
  </si>
  <si>
    <t>NSE%3AMUKTAARTS</t>
  </si>
  <si>
    <t>https://in.tradingview.com/chart/ofQQfXOP/?symbol=NSE%3AMANORAMA</t>
  </si>
  <si>
    <t>https://in.tradingview.com/chart/bXJLby4L/?symbol=NSE%3AMANORAMA</t>
  </si>
  <si>
    <t>MANUGRAPH</t>
  </si>
  <si>
    <t>Manugraph India Limited</t>
  </si>
  <si>
    <t>NSE%3AMULTICAP</t>
  </si>
  <si>
    <t>https://in.tradingview.com/chart/ofQQfXOP/?symbol=NSE%3AMANUGRAPH</t>
  </si>
  <si>
    <t>https://in.tradingview.com/chart/bXJLby4L/?symbol=NSE%3AMANUGRAPH</t>
  </si>
  <si>
    <t>MARALOVER</t>
  </si>
  <si>
    <t>Maral Overseas Limited</t>
  </si>
  <si>
    <t>NSE%3AMUNJALAU</t>
  </si>
  <si>
    <t>https://in.tradingview.com/chart/ofQQfXOP/?symbol=NSE%3AMARALOVER</t>
  </si>
  <si>
    <t>https://in.tradingview.com/chart/bXJLby4L/?symbol=NSE%3AMARALOVER</t>
  </si>
  <si>
    <t>MARATHON</t>
  </si>
  <si>
    <t>Marathon Nextgen Realty Limited</t>
  </si>
  <si>
    <t>NSE%3AMUNJALSHOW</t>
  </si>
  <si>
    <t>https://in.tradingview.com/chart/ofQQfXOP/?symbol=NSE%3AMARATHON</t>
  </si>
  <si>
    <t>https://in.tradingview.com/chart/bXJLby4L/?symbol=NSE%3AMARATHON</t>
  </si>
  <si>
    <t>MARICO</t>
  </si>
  <si>
    <t>Marico Limited</t>
  </si>
  <si>
    <t>NSE%3AMURUDCERA</t>
  </si>
  <si>
    <t>https://in.tradingview.com/chart/ofQQfXOP/?symbol=NSE%3AMARICO</t>
  </si>
  <si>
    <t>https://in.tradingview.com/chart/bXJLby4L/?symbol=NSE%3AMARICO</t>
  </si>
  <si>
    <t>MARINE</t>
  </si>
  <si>
    <t>Marine Electricals (India) Ltd</t>
  </si>
  <si>
    <t>NSE%3AMUTHOOTCAP</t>
  </si>
  <si>
    <t>https://in.tradingview.com/chart/ofQQfXOP/?symbol=NSE%3AMARINE</t>
  </si>
  <si>
    <t>https://in.tradingview.com/chart/bXJLby4L/?symbol=NSE%3AMARINE</t>
  </si>
  <si>
    <t>MARKOLINES</t>
  </si>
  <si>
    <t>Markolines Pavement Technologies Ltd</t>
  </si>
  <si>
    <t>NSE%3AMUTHOOTFIN</t>
  </si>
  <si>
    <t>https://in.tradingview.com/chart/ofQQfXOP/?symbol=NSE%3AMARKOLINES</t>
  </si>
  <si>
    <t>https://in.tradingview.com/chart/bXJLby4L/?symbol=NSE%3AMARKOLINES</t>
  </si>
  <si>
    <t>MARKSANS</t>
  </si>
  <si>
    <t>Marksans Pharma Limited</t>
  </si>
  <si>
    <t>NSE%3AMUTHOOTMF</t>
  </si>
  <si>
    <t>https://in.tradingview.com/chart/ofQQfXOP/?symbol=NSE%3AMARKSANS</t>
  </si>
  <si>
    <t>https://in.tradingview.com/chart/bXJLby4L/?symbol=NSE%3AMARKSANS</t>
  </si>
  <si>
    <t>MARUTI</t>
  </si>
  <si>
    <t>Maruti Suzuki India Limited</t>
  </si>
  <si>
    <t>NSE%3AMVGJL</t>
  </si>
  <si>
    <t>https://in.tradingview.com/chart/ofQQfXOP/?symbol=NSE%3AMARUTI</t>
  </si>
  <si>
    <t>https://in.tradingview.com/chart/bXJLby4L/?symbol=NSE%3AMARUTI</t>
  </si>
  <si>
    <t>MASFIN</t>
  </si>
  <si>
    <t>MAS Financial Services Ltd</t>
  </si>
  <si>
    <t>NSE%3ANACLIND</t>
  </si>
  <si>
    <t>https://in.tradingview.com/chart/ofQQfXOP/?symbol=NSE%3AMASFIN</t>
  </si>
  <si>
    <t>https://in.tradingview.com/chart/bXJLby4L/?symbol=NSE%3AMASFIN</t>
  </si>
  <si>
    <t>MASKINVEST</t>
  </si>
  <si>
    <t>Mask Investments Limited</t>
  </si>
  <si>
    <t>NSE%3ANAGAFERT</t>
  </si>
  <si>
    <t>https://in.tradingview.com/chart/ofQQfXOP/?symbol=NSE%3AMASKINVEST</t>
  </si>
  <si>
    <t>https://in.tradingview.com/chart/bXJLby4L/?symbol=NSE%3AMASKINVEST</t>
  </si>
  <si>
    <t>MASTEK</t>
  </si>
  <si>
    <t>Mastek Limited</t>
  </si>
  <si>
    <t>NSE%3ANAGREEKCAP</t>
  </si>
  <si>
    <t>https://in.tradingview.com/chart/ofQQfXOP/?symbol=NSE%3AMASTEK</t>
  </si>
  <si>
    <t>https://in.tradingview.com/chart/bXJLby4L/?symbol=NSE%3AMASTEK</t>
  </si>
  <si>
    <t>MASTERTR</t>
  </si>
  <si>
    <t>Master Trust Ltd</t>
  </si>
  <si>
    <t>NSE%3ANAGREEKEXP</t>
  </si>
  <si>
    <t>https://in.tradingview.com/chart/ofQQfXOP/?symbol=NSE%3AMASTERTR</t>
  </si>
  <si>
    <t>https://in.tradingview.com/chart/bXJLby4L/?symbol=NSE%3AMASTERTR</t>
  </si>
  <si>
    <t>MATRIMONY</t>
  </si>
  <si>
    <t>Matrimony.com Ltd</t>
  </si>
  <si>
    <t>NSE%3ANAHARCAP</t>
  </si>
  <si>
    <t>https://in.tradingview.com/chart/ofQQfXOP/?symbol=NSE%3AMATRIMONY</t>
  </si>
  <si>
    <t>https://in.tradingview.com/chart/bXJLby4L/?symbol=NSE%3AMATRIMONY</t>
  </si>
  <si>
    <t>MAWANASUG</t>
  </si>
  <si>
    <t>Mawana Sugars Limited</t>
  </si>
  <si>
    <t>NSE%3ANAHARINDUS</t>
  </si>
  <si>
    <t>https://in.tradingview.com/chart/ofQQfXOP/?symbol=NSE%3AMAWANASUG</t>
  </si>
  <si>
    <t>https://in.tradingview.com/chart/bXJLby4L/?symbol=NSE%3AMAWANASUG</t>
  </si>
  <si>
    <t>MAXESTATES</t>
  </si>
  <si>
    <t>Max Estates Ltd</t>
  </si>
  <si>
    <t>NSE%3ANAHARPOLY</t>
  </si>
  <si>
    <t>https://in.tradingview.com/chart/ofQQfXOP/?symbol=NSE%3AMAXESTATES</t>
  </si>
  <si>
    <t>https://in.tradingview.com/chart/bXJLby4L/?symbol=NSE%3AMAXESTATES</t>
  </si>
  <si>
    <t>MFSL</t>
  </si>
  <si>
    <t>Max Financial Services Limited</t>
  </si>
  <si>
    <t>NSE%3ANAHARSPING</t>
  </si>
  <si>
    <t>https://in.tradingview.com/chart/ofQQfXOP/?symbol=NSE%3AMFSL</t>
  </si>
  <si>
    <t>https://in.tradingview.com/chart/bXJLby4L/?symbol=NSE%3AMFSL</t>
  </si>
  <si>
    <t>MAXHEALTH</t>
  </si>
  <si>
    <t>Max Healthcare Institute Ltd</t>
  </si>
  <si>
    <t>NSE%3ANARMADA</t>
  </si>
  <si>
    <t>https://in.tradingview.com/chart/ofQQfXOP/?symbol=NSE%3AMAXHEALTH</t>
  </si>
  <si>
    <t>https://in.tradingview.com/chart/bXJLby4L/?symbol=NSE%3AMAXHEALTH</t>
  </si>
  <si>
    <t>MAXIND</t>
  </si>
  <si>
    <t>Max India Ltd</t>
  </si>
  <si>
    <t>NSE%3ANATCAPSUQ</t>
  </si>
  <si>
    <t>https://in.tradingview.com/chart/ofQQfXOP/?symbol=NSE%3AMAXIND</t>
  </si>
  <si>
    <t>https://in.tradingview.com/chart/bXJLby4L/?symbol=NSE%3AMAXIND</t>
  </si>
  <si>
    <t>MAYURUNIQ</t>
  </si>
  <si>
    <t>Mayur Uniquoters Ltd</t>
  </si>
  <si>
    <t>NSE%3ANATCOPHARM</t>
  </si>
  <si>
    <t>https://in.tradingview.com/chart/ofQQfXOP/?symbol=NSE%3AMAYURUNIQ</t>
  </si>
  <si>
    <t>https://in.tradingview.com/chart/bXJLby4L/?symbol=NSE%3AMAYURUNIQ</t>
  </si>
  <si>
    <t>MAZDOCK</t>
  </si>
  <si>
    <t>Mazagon Dock Shipbuilders Ltd</t>
  </si>
  <si>
    <t>NSE%3ANATHBIOGEN</t>
  </si>
  <si>
    <t>https://in.tradingview.com/chart/ofQQfXOP/?symbol=NSE%3AMAZDOCK</t>
  </si>
  <si>
    <t>https://in.tradingview.com/chart/bXJLby4L/?symbol=NSE%3AMAZDOCK</t>
  </si>
  <si>
    <t>MAZDA</t>
  </si>
  <si>
    <t>Mazda Limited</t>
  </si>
  <si>
    <t>NSE%3ANATIONALUM</t>
  </si>
  <si>
    <t>https://in.tradingview.com/chart/ofQQfXOP/?symbol=NSE%3AMAZDA</t>
  </si>
  <si>
    <t>https://in.tradingview.com/chart/bXJLby4L/?symbol=NSE%3AMAZDA</t>
  </si>
  <si>
    <t>MBLINFRA</t>
  </si>
  <si>
    <t>Mbl Infrastructures Limited</t>
  </si>
  <si>
    <t>NSE%3ANAUKRI</t>
  </si>
  <si>
    <t>https://in.tradingview.com/chart/ofQQfXOP/?symbol=NSE%3AMBLINFRA</t>
  </si>
  <si>
    <t>https://in.tradingview.com/chart/bXJLby4L/?symbol=NSE%3AMBLINFRA</t>
  </si>
  <si>
    <t>MCLEODRUSS</t>
  </si>
  <si>
    <t>Mcleod Russel India Limited</t>
  </si>
  <si>
    <t>NSE%3ANAVA</t>
  </si>
  <si>
    <t>https://in.tradingview.com/chart/ofQQfXOP/?symbol=NSE%3AMCLEODRUSS</t>
  </si>
  <si>
    <t>https://in.tradingview.com/chart/bXJLby4L/?symbol=NSE%3AMCLEODRUSS</t>
  </si>
  <si>
    <t>MEDIASSIST</t>
  </si>
  <si>
    <t>Medi Assist Healthcare Services Ltd</t>
  </si>
  <si>
    <t>NSE%3ANAVINFLUOR</t>
  </si>
  <si>
    <t>https://in.tradingview.com/chart/ofQQfXOP/?symbol=NSE%3AMEDIASSIST</t>
  </si>
  <si>
    <t>https://in.tradingview.com/chart/bXJLby4L/?symbol=NSE%3AMEDIASSIST</t>
  </si>
  <si>
    <t>MEDICAMEQ</t>
  </si>
  <si>
    <t>Medicamen Biotech Ltd</t>
  </si>
  <si>
    <t>NSE%3ANAVKARCORP</t>
  </si>
  <si>
    <t>https://in.tradingview.com/chart/ofQQfXOP/?symbol=NSE%3AMEDICAMEQ</t>
  </si>
  <si>
    <t>https://in.tradingview.com/chart/bXJLby4L/?symbol=NSE%3AMEDICAMEQ</t>
  </si>
  <si>
    <t>MEDICO</t>
  </si>
  <si>
    <t>Medico Remedies Ltd</t>
  </si>
  <si>
    <t>NSE%3ANAVKARURB</t>
  </si>
  <si>
    <t>https://in.tradingview.com/chart/ofQQfXOP/?symbol=NSE%3AMEDICO</t>
  </si>
  <si>
    <t>https://in.tradingview.com/chart/bXJLby4L/?symbol=NSE%3AMEDICO</t>
  </si>
  <si>
    <t>MEDPLUS</t>
  </si>
  <si>
    <t>Medplus Health Services Ltd</t>
  </si>
  <si>
    <t>NSE%3ANAVNETEDUL</t>
  </si>
  <si>
    <t>https://in.tradingview.com/chart/ofQQfXOP/?symbol=NSE%3AMEDPLUS</t>
  </si>
  <si>
    <t>https://in.tradingview.com/chart/bXJLby4L/?symbol=NSE%3AMEDPLUS</t>
  </si>
  <si>
    <t>MEGASOFT</t>
  </si>
  <si>
    <t>Megasoft Limited</t>
  </si>
  <si>
    <t>NSE%3ANAZARA</t>
  </si>
  <si>
    <t>https://in.tradingview.com/chart/ofQQfXOP/?symbol=NSE%3AMEGASOFT</t>
  </si>
  <si>
    <t>https://in.tradingview.com/chart/bXJLby4L/?symbol=NSE%3AMEGASOFT</t>
  </si>
  <si>
    <t>MEGASTAR</t>
  </si>
  <si>
    <t>Megastar Foods Ltd</t>
  </si>
  <si>
    <t>NSE%3ANBCC</t>
  </si>
  <si>
    <t>https://in.tradingview.com/chart/ofQQfXOP/?symbol=NSE%3AMEGASTAR</t>
  </si>
  <si>
    <t>https://in.tradingview.com/chart/bXJLby4L/?symbol=NSE%3AMEGASTAR</t>
  </si>
  <si>
    <t>MOL</t>
  </si>
  <si>
    <t>Meghmani Organics Ltd</t>
  </si>
  <si>
    <t>NSE%3ANBIFIN</t>
  </si>
  <si>
    <t>https://in.tradingview.com/chart/ofQQfXOP/?symbol=NSE%3AMOL</t>
  </si>
  <si>
    <t>https://in.tradingview.com/chart/bXJLby4L/?symbol=NSE%3AMOL</t>
  </si>
  <si>
    <t>MENONBE</t>
  </si>
  <si>
    <t>Menon Bearings Limited</t>
  </si>
  <si>
    <t>NSE%3ANCC</t>
  </si>
  <si>
    <t>https://in.tradingview.com/chart/ofQQfXOP/?symbol=NSE%3AMENONBE</t>
  </si>
  <si>
    <t>https://in.tradingview.com/chart/bXJLby4L/?symbol=NSE%3AMENONBE</t>
  </si>
  <si>
    <t>METROBRAND</t>
  </si>
  <si>
    <t>Metro Brands Ltd</t>
  </si>
  <si>
    <t>NSE%3ANCLIND</t>
  </si>
  <si>
    <t>https://in.tradingview.com/chart/ofQQfXOP/?symbol=NSE%3AMETROBRAND</t>
  </si>
  <si>
    <t>https://in.tradingview.com/chart/bXJLby4L/?symbol=NSE%3AMETROBRAND</t>
  </si>
  <si>
    <t>METROPOLIS</t>
  </si>
  <si>
    <t>Metropolis Healthcare Ltd</t>
  </si>
  <si>
    <t>NSE%3ANDGL</t>
  </si>
  <si>
    <t>https://in.tradingview.com/chart/ofQQfXOP/?symbol=NSE%3AMETROPOLIS</t>
  </si>
  <si>
    <t>https://in.tradingview.com/chart/bXJLby4L/?symbol=NSE%3AMETROPOLIS</t>
  </si>
  <si>
    <t>MICEL</t>
  </si>
  <si>
    <t>MIC Electronics Ltd</t>
  </si>
  <si>
    <t>NSE%3ANDL</t>
  </si>
  <si>
    <t>https://in.tradingview.com/chart/ofQQfXOP/?symbol=NSE%3AMICEL</t>
  </si>
  <si>
    <t>https://in.tradingview.com/chart/bXJLby4L/?symbol=NSE%3AMICEL</t>
  </si>
  <si>
    <t>MIDWESTLTD</t>
  </si>
  <si>
    <t>Midwest Ltd</t>
  </si>
  <si>
    <t>NSE%3ANDLVENTURE</t>
  </si>
  <si>
    <t>https://in.tradingview.com/chart/ofQQfXOP/?symbol=NSE%3AMIDWESTLTD</t>
  </si>
  <si>
    <t>https://in.tradingview.com/chart/bXJLby4L/?symbol=NSE%3AMIDWESTLTD</t>
  </si>
  <si>
    <t>MINDACORP</t>
  </si>
  <si>
    <t>Minda Corporation Limited</t>
  </si>
  <si>
    <t>NSE%3ANDRAUTO</t>
  </si>
  <si>
    <t>https://in.tradingview.com/chart/ofQQfXOP/?symbol=NSE%3AMINDACORP</t>
  </si>
  <si>
    <t>https://in.tradingview.com/chart/bXJLby4L/?symbol=NSE%3AMINDACORP</t>
  </si>
  <si>
    <t>MINDTECK</t>
  </si>
  <si>
    <t>Mindteck (india) Limited</t>
  </si>
  <si>
    <t>NSE%3ANDTV</t>
  </si>
  <si>
    <t>https://in.tradingview.com/chart/ofQQfXOP/?symbol=NSE%3AMINDTECK</t>
  </si>
  <si>
    <t>https://in.tradingview.com/chart/bXJLby4L/?symbol=NSE%3AMINDTECK</t>
  </si>
  <si>
    <t>MIDSMALL</t>
  </si>
  <si>
    <t>Mirae AN Midsmallcap400 Momentum Quality 100 ETF</t>
  </si>
  <si>
    <t>NSE%3ANECCLTD</t>
  </si>
  <si>
    <t>https://in.tradingview.com/chart/ofQQfXOP/?symbol=NSE%3AMIDSMALL</t>
  </si>
  <si>
    <t>https://in.tradingview.com/chart/bXJLby4L/?symbol=NSE%3AMIDSMALL</t>
  </si>
  <si>
    <t>EQUAL200</t>
  </si>
  <si>
    <t>Mirae Asset BSE 200 Equal Weight ETF</t>
  </si>
  <si>
    <t>NSE%3ANECLIFE</t>
  </si>
  <si>
    <t>https://in.tradingview.com/chart/ofQQfXOP/?symbol=NSE%3AEQUAL200</t>
  </si>
  <si>
    <t>https://in.tradingview.com/chart/bXJLby4L/?symbol=NSE%3AEQUAL200</t>
  </si>
  <si>
    <t>SELECTIPO</t>
  </si>
  <si>
    <t>Mirae Asset BSE Select IPO ETF</t>
  </si>
  <si>
    <t>NSE%3ANELCAST</t>
  </si>
  <si>
    <t>https://in.tradingview.com/chart/ofQQfXOP/?symbol=NSE%3ASELECTIPO</t>
  </si>
  <si>
    <t>https://in.tradingview.com/chart/bXJLby4L/?symbol=NSE%3ASELECTIPO</t>
  </si>
  <si>
    <t>GOLDETF</t>
  </si>
  <si>
    <t>Mirae Asset Gold ETF</t>
  </si>
  <si>
    <t>NSE%3ANELCO</t>
  </si>
  <si>
    <t>https://in.tradingview.com/chart/ofQQfXOP/?symbol=NSE%3AGOLDETF</t>
  </si>
  <si>
    <t>https://in.tradingview.com/chart/bXJLby4L/?symbol=NSE%3AGOLDETF</t>
  </si>
  <si>
    <t>MAHKTECH</t>
  </si>
  <si>
    <t>Mirae Asset Hang Seng TECH ETF</t>
  </si>
  <si>
    <t>NSE%3ANEOGEN</t>
  </si>
  <si>
    <t>https://in.tradingview.com/chart/ofQQfXOP/?symbol=NSE%3AMAHKTECH</t>
  </si>
  <si>
    <t>https://in.tradingview.com/chart/bXJLby4L/?symbol=NSE%3AMAHKTECH</t>
  </si>
  <si>
    <t>ESG</t>
  </si>
  <si>
    <t>Mirae Asset Nifty 100 ESG Sector Leaders ETF</t>
  </si>
  <si>
    <t>NSE%3ANESCO</t>
  </si>
  <si>
    <t>https://in.tradingview.com/chart/ofQQfXOP/?symbol=NSE%3AESG</t>
  </si>
  <si>
    <t>https://in.tradingview.com/chart/bXJLby4L/?symbol=NSE%3AESG</t>
  </si>
  <si>
    <t>LOWVOL</t>
  </si>
  <si>
    <t>Mirae Asset Nifty 100 Low Volatility 30 ETF</t>
  </si>
  <si>
    <t>NSE%3ANESTLEIND</t>
  </si>
  <si>
    <t>https://in.tradingview.com/chart/ofQQfXOP/?symbol=NSE%3ALOWVOL</t>
  </si>
  <si>
    <t>https://in.tradingview.com/chart/bXJLby4L/?symbol=NSE%3ALOWVOL</t>
  </si>
  <si>
    <t>LIQUID</t>
  </si>
  <si>
    <t>Mirae Asset Nifty 1D Rate Liquid ETF</t>
  </si>
  <si>
    <t>NSE%3ANETF</t>
  </si>
  <si>
    <t>https://in.tradingview.com/chart/ofQQfXOP/?symbol=NSE%3ALIQUID</t>
  </si>
  <si>
    <t>https://in.tradingview.com/chart/bXJLby4L/?symbol=NSE%3ALIQUID</t>
  </si>
  <si>
    <t>LIQUIDPLUS</t>
  </si>
  <si>
    <t>Mirae Asset Nifty 1D Rate Liquid ETF-Growth</t>
  </si>
  <si>
    <t>NSE%3ANETWEB</t>
  </si>
  <si>
    <t>https://in.tradingview.com/chart/ofQQfXOP/?symbol=NSE%3ALIQUIDPLUS</t>
  </si>
  <si>
    <t>https://in.tradingview.com/chart/bXJLby4L/?symbol=NSE%3ALIQUIDPLUS</t>
  </si>
  <si>
    <t>ALPHAETF</t>
  </si>
  <si>
    <t>Mirae Asset Nifty 200 Alpha 30 ETF</t>
  </si>
  <si>
    <t>NSE%3ANETWORK18</t>
  </si>
  <si>
    <t>https://in.tradingview.com/chart/ofQQfXOP/?symbol=NSE%3AALPHAETF</t>
  </si>
  <si>
    <t>https://in.tradingview.com/chart/bXJLby4L/?symbol=NSE%3AALPHAETF</t>
  </si>
  <si>
    <t>GSEC10YEAR</t>
  </si>
  <si>
    <t>Mirae Asset Nifty 8-13 Yr G-Sec ETF</t>
  </si>
  <si>
    <t>NSE%3ANEULANDLAB</t>
  </si>
  <si>
    <t>https://in.tradingview.com/chart/ofQQfXOP/?symbol=NSE%3AGSEC10YEAR</t>
  </si>
  <si>
    <t>https://in.tradingview.com/chart/bXJLby4L/?symbol=NSE%3AGSEC10YEAR</t>
  </si>
  <si>
    <t>BANKETF</t>
  </si>
  <si>
    <t>Mirae Asset Nifty Bank ETF</t>
  </si>
  <si>
    <t>NSE%3ANEWGEN</t>
  </si>
  <si>
    <t>https://in.tradingview.com/chart/ofQQfXOP/?symbol=NSE%3ABANKETF</t>
  </si>
  <si>
    <t>https://in.tradingview.com/chart/bXJLby4L/?symbol=NSE%3ABANKETF</t>
  </si>
  <si>
    <t>EVINDIA</t>
  </si>
  <si>
    <t>Mirae Asset Nifty EV and New Age Automotive ETF</t>
  </si>
  <si>
    <t>NSE%3ANEXT30ADD</t>
  </si>
  <si>
    <t>https://in.tradingview.com/chart/ofQQfXOP/?symbol=NSE%3AEVINDIA</t>
  </si>
  <si>
    <t>https://in.tradingview.com/chart/bXJLby4L/?symbol=NSE%3AEVINDIA</t>
  </si>
  <si>
    <t>BFSI</t>
  </si>
  <si>
    <t>Mirae Asset Nifty Financial Services ETF - RG</t>
  </si>
  <si>
    <t>NSE%3ANEXT50</t>
  </si>
  <si>
    <t>https://in.tradingview.com/chart/ofQQfXOP/?symbol=NSE%3ABFSI</t>
  </si>
  <si>
    <t>https://in.tradingview.com/chart/bXJLby4L/?symbol=NSE%3ABFSI</t>
  </si>
  <si>
    <t>INTERNET</t>
  </si>
  <si>
    <t>Mirae Asset Nifty India Internet ETF</t>
  </si>
  <si>
    <t>NSE%3ANEXT50IETF</t>
  </si>
  <si>
    <t>https://in.tradingview.com/chart/ofQQfXOP/?symbol=NSE%3AINTERNET</t>
  </si>
  <si>
    <t>https://in.tradingview.com/chart/bXJLby4L/?symbol=NSE%3AINTERNET</t>
  </si>
  <si>
    <t>MAKEINDIA</t>
  </si>
  <si>
    <t>Mirae Asset Nifty India Manufacturing ETF</t>
  </si>
  <si>
    <t>NSE%3ANEXTMEDIA</t>
  </si>
  <si>
    <t>https://in.tradingview.com/chart/ofQQfXOP/?symbol=NSE%3AMAKEINDIA</t>
  </si>
  <si>
    <t>https://in.tradingview.com/chart/bXJLby4L/?symbol=NSE%3AMAKEINDIA</t>
  </si>
  <si>
    <t>CONSUMER</t>
  </si>
  <si>
    <t>Mirae Asset Nifty India New Age Consumption ETF</t>
  </si>
  <si>
    <t>NSE%3ANFL</t>
  </si>
  <si>
    <t>https://in.tradingview.com/chart/ofQQfXOP/?symbol=NSE%3ACONSUMER</t>
  </si>
  <si>
    <t>https://in.tradingview.com/chart/bXJLby4L/?symbol=NSE%3ACONSUMER</t>
  </si>
  <si>
    <t>ITETF</t>
  </si>
  <si>
    <t>Mirae Asset Nifty IT ETF</t>
  </si>
  <si>
    <t>NSE%3ANGIL</t>
  </si>
  <si>
    <t>https://in.tradingview.com/chart/ofQQfXOP/?symbol=NSE%3AITETF</t>
  </si>
  <si>
    <t>https://in.tradingview.com/chart/bXJLby4L/?symbol=NSE%3AITETF</t>
  </si>
  <si>
    <t>METAL</t>
  </si>
  <si>
    <t>Mirae Asset Nifty Metal ETF</t>
  </si>
  <si>
    <t>NSE%3ANH</t>
  </si>
  <si>
    <t>https://in.tradingview.com/chart/ofQQfXOP/?symbol=NSE%3AMETAL</t>
  </si>
  <si>
    <t>https://in.tradingview.com/chart/bXJLby4L/?symbol=NSE%3AMETAL</t>
  </si>
  <si>
    <t>MIDCAPETF</t>
  </si>
  <si>
    <t>Mirae Asset Nifty Midcap 150 ETF</t>
  </si>
  <si>
    <t>NSE%3ANHPC</t>
  </si>
  <si>
    <t>https://in.tradingview.com/chart/ofQQfXOP/?symbol=NSE%3AMIDCAPETF</t>
  </si>
  <si>
    <t>https://in.tradingview.com/chart/bXJLby4L/?symbol=NSE%3AMIDCAPETF</t>
  </si>
  <si>
    <t>NEXT50</t>
  </si>
  <si>
    <t>Mirae Asset Nifty Next 50 ETF</t>
  </si>
  <si>
    <t>NSE%3ANIACL</t>
  </si>
  <si>
    <t>https://in.tradingview.com/chart/ofQQfXOP/?symbol=NSE%3ANEXT50</t>
  </si>
  <si>
    <t>https://in.tradingview.com/chart/bXJLby4L/?symbol=NSE%3ANEXT50</t>
  </si>
  <si>
    <t>BANKPSU</t>
  </si>
  <si>
    <t>Mirae Asset Nifty PSU Bank ETF</t>
  </si>
  <si>
    <t>NSE%3ANIBE</t>
  </si>
  <si>
    <t>https://in.tradingview.com/chart/ofQQfXOP/?symbol=NSE%3ABANKPSU</t>
  </si>
  <si>
    <t>https://in.tradingview.com/chart/bXJLby4L/?symbol=NSE%3ABANKPSU</t>
  </si>
  <si>
    <t>SMALLCAP</t>
  </si>
  <si>
    <t>Mirae Asset Nifty Smallcap 250 Momen.Quali. 100ETF</t>
  </si>
  <si>
    <t>NSE%3ANIBL</t>
  </si>
  <si>
    <t>https://in.tradingview.com/chart/ofQQfXOP/?symbol=NSE%3ASMALLCAP</t>
  </si>
  <si>
    <t>https://in.tradingview.com/chart/bXJLby4L/?symbol=NSE%3ASMALLCAP</t>
  </si>
  <si>
    <t>EQUAL50</t>
  </si>
  <si>
    <t>Mirae Asset Nifty50 Equal Weight ETF</t>
  </si>
  <si>
    <t>NSE%3ANIF100BEES</t>
  </si>
  <si>
    <t>https://in.tradingview.com/chart/ofQQfXOP/?symbol=NSE%3AEQUAL50</t>
  </si>
  <si>
    <t>https://in.tradingview.com/chart/bXJLby4L/?symbol=NSE%3AEQUAL50</t>
  </si>
  <si>
    <t>MULTICAP</t>
  </si>
  <si>
    <t>Mirae Asset Nifty500 Multicap 50:25:25 ETF</t>
  </si>
  <si>
    <t>NSE%3ANIF100IETF</t>
  </si>
  <si>
    <t>https://in.tradingview.com/chart/ofQQfXOP/?symbol=NSE%3AMULTICAP</t>
  </si>
  <si>
    <t>https://in.tradingview.com/chart/bXJLby4L/?symbol=NSE%3AMULTICAP</t>
  </si>
  <si>
    <t>MAFANG</t>
  </si>
  <si>
    <t>Mirae Asset NYSE FANG+ ETF</t>
  </si>
  <si>
    <t>NSE%3ANIF10GETF</t>
  </si>
  <si>
    <t>https://in.tradingview.com/chart/ofQQfXOP/?symbol=NSE%3AMAFANG</t>
  </si>
  <si>
    <t>https://in.tradingview.com/chart/bXJLby4L/?symbol=NSE%3AMAFANG</t>
  </si>
  <si>
    <t>MASPTOP50</t>
  </si>
  <si>
    <t>Mirae Asset S&amp;P 500 Top 50 ETF</t>
  </si>
  <si>
    <t>NSE%3ANIF5GETF</t>
  </si>
  <si>
    <t>https://in.tradingview.com/chart/ofQQfXOP/?symbol=NSE%3AMASPTOP50</t>
  </si>
  <si>
    <t>https://in.tradingview.com/chart/bXJLby4L/?symbol=NSE%3AMASPTOP50</t>
  </si>
  <si>
    <t>SENSEXETF</t>
  </si>
  <si>
    <t>Mirae Asset S&amp;P BSE Sensex ETF</t>
  </si>
  <si>
    <t>NSE%3ANIFITETF</t>
  </si>
  <si>
    <t>https://in.tradingview.com/chart/ofQQfXOP/?symbol=NSE%3ASENSEXETF</t>
  </si>
  <si>
    <t>https://in.tradingview.com/chart/bXJLby4L/?symbol=NSE%3ASENSEXETF</t>
  </si>
  <si>
    <t>SILVERAG</t>
  </si>
  <si>
    <t>Mirae Asset Silver ETF</t>
  </si>
  <si>
    <t>NSE%3ANIFMID150</t>
  </si>
  <si>
    <t>https://in.tradingview.com/chart/ofQQfXOP/?symbol=NSE%3ASILVERAG</t>
  </si>
  <si>
    <t>https://in.tradingview.com/chart/bXJLby4L/?symbol=NSE%3ASILVERAG</t>
  </si>
  <si>
    <t>MIRCELECTR</t>
  </si>
  <si>
    <t>Mirc Electronics Limited</t>
  </si>
  <si>
    <t>NSE%3ANIFTY1</t>
  </si>
  <si>
    <t>https://in.tradingview.com/chart/ofQQfXOP/?symbol=NSE%3AMIRCELECTR</t>
  </si>
  <si>
    <t>https://in.tradingview.com/chart/bXJLby4L/?symbol=NSE%3AMIRCELECTR</t>
  </si>
  <si>
    <t>MIRZAINT</t>
  </si>
  <si>
    <t>Mirza International Limited</t>
  </si>
  <si>
    <t>NSE%3ANIFTY100EW</t>
  </si>
  <si>
    <t>https://in.tradingview.com/chart/ofQQfXOP/?symbol=NSE%3AMIRZAINT</t>
  </si>
  <si>
    <t>https://in.tradingview.com/chart/bXJLby4L/?symbol=NSE%3AMIRZAINT</t>
  </si>
  <si>
    <t>MIDHANI</t>
  </si>
  <si>
    <t>Mishra Dhatu Nigam Ltd</t>
  </si>
  <si>
    <t>NSE%3ANIFTY50ADD</t>
  </si>
  <si>
    <t>https://in.tradingview.com/chart/ofQQfXOP/?symbol=NSE%3AMIDHANI</t>
  </si>
  <si>
    <t>https://in.tradingview.com/chart/bXJLby4L/?symbol=NSE%3AMIDHANI</t>
  </si>
  <si>
    <t>MITCON</t>
  </si>
  <si>
    <t>Mitcon Consultancy &amp; Engineering Services Ltd</t>
  </si>
  <si>
    <t>NSE%3ANIFTYBEES</t>
  </si>
  <si>
    <t>https://in.tradingview.com/chart/ofQQfXOP/?symbol=NSE%3AMITCON</t>
  </si>
  <si>
    <t>https://in.tradingview.com/chart/bXJLby4L/?symbol=NSE%3AMITCON</t>
  </si>
  <si>
    <t>MMFL</t>
  </si>
  <si>
    <t>Mm Forgings Limited</t>
  </si>
  <si>
    <t>NSE%3ANIFTYBETF</t>
  </si>
  <si>
    <t>https://in.tradingview.com/chart/ofQQfXOP/?symbol=NSE%3AMMFL</t>
  </si>
  <si>
    <t>https://in.tradingview.com/chart/bXJLby4L/?symbol=NSE%3AMMFL</t>
  </si>
  <si>
    <t>MMP</t>
  </si>
  <si>
    <t>MMP Industries Ltd</t>
  </si>
  <si>
    <t>NSE%3ANIFTYETF</t>
  </si>
  <si>
    <t>https://in.tradingview.com/chart/ofQQfXOP/?symbol=NSE%3AMMP</t>
  </si>
  <si>
    <t>https://in.tradingview.com/chart/bXJLby4L/?symbol=NSE%3AMMP</t>
  </si>
  <si>
    <t>MMTC</t>
  </si>
  <si>
    <t>Mmtc Limited</t>
  </si>
  <si>
    <t>NSE%3ANIFTYIETF</t>
  </si>
  <si>
    <t>https://in.tradingview.com/chart/ofQQfXOP/?symbol=NSE%3AMMTC</t>
  </si>
  <si>
    <t>https://in.tradingview.com/chart/bXJLby4L/?symbol=NSE%3AMMTC</t>
  </si>
  <si>
    <t>MODTHREAD</t>
  </si>
  <si>
    <t>Modern Threads (I) Ltd</t>
  </si>
  <si>
    <t>NSE%3ANIFTYQLITY</t>
  </si>
  <si>
    <t>https://in.tradingview.com/chart/ofQQfXOP/?symbol=NSE%3AMODTHREAD</t>
  </si>
  <si>
    <t>https://in.tradingview.com/chart/bXJLby4L/?symbol=NSE%3AMODTHREAD</t>
  </si>
  <si>
    <t>MODIRUBBER</t>
  </si>
  <si>
    <t>Modi Rubber Ltd</t>
  </si>
  <si>
    <t>NSE%3ANIITLTD</t>
  </si>
  <si>
    <t>https://in.tradingview.com/chart/ofQQfXOP/?symbol=NSE%3AMODIRUBBER</t>
  </si>
  <si>
    <t>https://in.tradingview.com/chart/bXJLby4L/?symbol=NSE%3AMODIRUBBER</t>
  </si>
  <si>
    <t>MODIS</t>
  </si>
  <si>
    <t>Modis Navnirman Ltd</t>
  </si>
  <si>
    <t>NSE%3ANIITMTS</t>
  </si>
  <si>
    <t>https://in.tradingview.com/chart/ofQQfXOP/?symbol=NSE%3AMODIS</t>
  </si>
  <si>
    <t>https://in.tradingview.com/chart/bXJLby4L/?symbol=NSE%3AMODIS</t>
  </si>
  <si>
    <t>MODISONLTD</t>
  </si>
  <si>
    <t>Modison Ltd</t>
  </si>
  <si>
    <t>NSE%3ANILAINFRA</t>
  </si>
  <si>
    <t>https://in.tradingview.com/chart/ofQQfXOP/?symbol=NSE%3AMODISONLTD</t>
  </si>
  <si>
    <t>https://in.tradingview.com/chart/bXJLby4L/?symbol=NSE%3AMODISONLTD</t>
  </si>
  <si>
    <t>MOHITIND</t>
  </si>
  <si>
    <t>Mohit Industries Limited</t>
  </si>
  <si>
    <t>NSE%3ANILKAMAL</t>
  </si>
  <si>
    <t>https://in.tradingview.com/chart/ofQQfXOP/?symbol=NSE%3AMOHITIND</t>
  </si>
  <si>
    <t>https://in.tradingview.com/chart/bXJLby4L/?symbol=NSE%3AMOHITIND</t>
  </si>
  <si>
    <t>MOIL</t>
  </si>
  <si>
    <t>Moil Limited</t>
  </si>
  <si>
    <t>NSE%3ANINSYS</t>
  </si>
  <si>
    <t>https://in.tradingview.com/chart/ofQQfXOP/?symbol=NSE%3AMOIL</t>
  </si>
  <si>
    <t>https://in.tradingview.com/chart/bXJLby4L/?symbol=NSE%3AMOIL</t>
  </si>
  <si>
    <t>MOKSH</t>
  </si>
  <si>
    <t>Moksh Ornaments Ltd</t>
  </si>
  <si>
    <t>NSE%3ANIPPOBATRY</t>
  </si>
  <si>
    <t>https://in.tradingview.com/chart/ofQQfXOP/?symbol=NSE%3AMOKSH</t>
  </si>
  <si>
    <t>https://in.tradingview.com/chart/bXJLby4L/?symbol=NSE%3AMOKSH</t>
  </si>
  <si>
    <t>MOLDTKPAC</t>
  </si>
  <si>
    <t>Mold-tek Packaging Limited</t>
  </si>
  <si>
    <t>NSE%3ANIRAJ</t>
  </si>
  <si>
    <t>https://in.tradingview.com/chart/ofQQfXOP/?symbol=NSE%3AMOLDTKPAC</t>
  </si>
  <si>
    <t>https://in.tradingview.com/chart/bXJLby4L/?symbol=NSE%3AMOLDTKPAC</t>
  </si>
  <si>
    <t>MOLDTECH</t>
  </si>
  <si>
    <t>Mold-tek Technologies Limited</t>
  </si>
  <si>
    <t>NSE%3ANITCO</t>
  </si>
  <si>
    <t>https://in.tradingview.com/chart/ofQQfXOP/?symbol=NSE%3AMOLDTECH</t>
  </si>
  <si>
    <t>https://in.tradingview.com/chart/bXJLby4L/?symbol=NSE%3AMOLDTECH</t>
  </si>
  <si>
    <t>MOMGF</t>
  </si>
  <si>
    <t>NSE%3ANITINSPIN</t>
  </si>
  <si>
    <t>https://in.tradingview.com/chart/ofQQfXOP/?symbol=NSE%3AMOMGF</t>
  </si>
  <si>
    <t>https://in.tradingview.com/chart/bXJLby4L/?symbol=NSE%3AMOMGF</t>
  </si>
  <si>
    <t>MONARCH</t>
  </si>
  <si>
    <t>Monarch Networth Capital Ltd</t>
  </si>
  <si>
    <t>NSE%3ANITIRAJ</t>
  </si>
  <si>
    <t>https://in.tradingview.com/chart/ofQQfXOP/?symbol=NSE%3AMONARCH</t>
  </si>
  <si>
    <t>https://in.tradingview.com/chart/bXJLby4L/?symbol=NSE%3AMONARCH</t>
  </si>
  <si>
    <t>MONEYBOXX</t>
  </si>
  <si>
    <t>Moneyboxx Finance Ltd</t>
  </si>
  <si>
    <t>NSE%3ANIVABUPA</t>
  </si>
  <si>
    <t>https://in.tradingview.com/chart/ofQQfXOP/?symbol=NSE%3AMONEYBOXX</t>
  </si>
  <si>
    <t>https://in.tradingview.com/chart/bXJLby4L/?symbol=NSE%3AMONEYBOXX</t>
  </si>
  <si>
    <t>MONTECARLO</t>
  </si>
  <si>
    <t>Monte Carlo Fashions Limited</t>
  </si>
  <si>
    <t>NSE%3ANKIND</t>
  </si>
  <si>
    <t>https://in.tradingview.com/chart/ofQQfXOP/?symbol=NSE%3AMONTECARLO</t>
  </si>
  <si>
    <t>https://in.tradingview.com/chart/bXJLby4L/?symbol=NSE%3AMONTECARLO</t>
  </si>
  <si>
    <t>MORARJEE</t>
  </si>
  <si>
    <t>Morarjee Textiles Limited</t>
  </si>
  <si>
    <t>NSE%3ANLCINDIA</t>
  </si>
  <si>
    <t>https://in.tradingview.com/chart/ofQQfXOP/?symbol=NSE%3AMORARJEE</t>
  </si>
  <si>
    <t>https://in.tradingview.com/chart/bXJLby4L/?symbol=NSE%3AMORARJEE</t>
  </si>
  <si>
    <t>MOREPENLAB</t>
  </si>
  <si>
    <t>Morepen Laboratories Limited</t>
  </si>
  <si>
    <t>NSE%3ANMDC</t>
  </si>
  <si>
    <t>https://in.tradingview.com/chart/ofQQfXOP/?symbol=NSE%3AMOREPENLAB</t>
  </si>
  <si>
    <t>https://in.tradingview.com/chart/bXJLby4L/?symbol=NSE%3AMOREPENLAB</t>
  </si>
  <si>
    <t>MOSCHIP</t>
  </si>
  <si>
    <t>Moschip Technologies Ltd</t>
  </si>
  <si>
    <t>NSE%3ANOCIL</t>
  </si>
  <si>
    <t>https://in.tradingview.com/chart/ofQQfXOP/?symbol=NSE%3AMOSCHIP</t>
  </si>
  <si>
    <t>https://in.tradingview.com/chart/bXJLby4L/?symbol=NSE%3AMOSCHIP</t>
  </si>
  <si>
    <t>MOTHERSON</t>
  </si>
  <si>
    <t>Motherson Sumi Systems Limited</t>
  </si>
  <si>
    <t>NSE%3ANOIDATOLL</t>
  </si>
  <si>
    <t>https://in.tradingview.com/chart/ofQQfXOP/?symbol=NSE%3AMOTHERSON</t>
  </si>
  <si>
    <t>https://in.tradingview.com/chart/bXJLby4L/?symbol=NSE%3AMOTHERSON</t>
  </si>
  <si>
    <t>MSUMI</t>
  </si>
  <si>
    <t>Motherson Sumi Wiring India Ltd</t>
  </si>
  <si>
    <t>NSE%3ANORBTEAEXP</t>
  </si>
  <si>
    <t>https://in.tradingview.com/chart/ofQQfXOP/?symbol=NSE%3AMSUMI</t>
  </si>
  <si>
    <t>https://in.tradingview.com/chart/bXJLby4L/?symbol=NSE%3AMSUMI</t>
  </si>
  <si>
    <t>MOGSEC</t>
  </si>
  <si>
    <t>Motilal Oswal 5 Year G-Sec ETF</t>
  </si>
  <si>
    <t>NSE%3ANORTHARC</t>
  </si>
  <si>
    <t>https://in.tradingview.com/chart/ofQQfXOP/?symbol=NSE%3AMOGSEC</t>
  </si>
  <si>
    <t>https://in.tradingview.com/chart/bXJLby4L/?symbol=NSE%3AMOGSEC</t>
  </si>
  <si>
    <t>MOINFRA</t>
  </si>
  <si>
    <t>Motilal Oswal BSE India Infrastructure ETF</t>
  </si>
  <si>
    <t>NSE%3ANOVAAGRI</t>
  </si>
  <si>
    <t>https://in.tradingview.com/chart/ofQQfXOP/?symbol=NSE%3AMOINFRA</t>
  </si>
  <si>
    <t>https://in.tradingview.com/chart/bXJLby4L/?symbol=NSE%3AMOINFRA</t>
  </si>
  <si>
    <t>MOIPO</t>
  </si>
  <si>
    <t>Motilal Oswal BSE Select IPO ETF</t>
  </si>
  <si>
    <t>NSE%3ANPBET</t>
  </si>
  <si>
    <t>https://in.tradingview.com/chart/ofQQfXOP/?symbol=NSE%3AMOIPO</t>
  </si>
  <si>
    <t>https://in.tradingview.com/chart/bXJLby4L/?symbol=NSE%3AMOIPO</t>
  </si>
  <si>
    <t>MOTILALOFS</t>
  </si>
  <si>
    <t>Motilal Oswal Financial Services Limited</t>
  </si>
  <si>
    <t>NSE%3ANRAIL</t>
  </si>
  <si>
    <t>https://in.tradingview.com/chart/ofQQfXOP/?symbol=NSE%3AMOTILALOFS</t>
  </si>
  <si>
    <t>https://in.tradingview.com/chart/bXJLby4L/?symbol=NSE%3AMOTILALOFS</t>
  </si>
  <si>
    <t>MOGOLD</t>
  </si>
  <si>
    <t>Motilal Oswal Gold ETF</t>
  </si>
  <si>
    <t>NSE%3ANRBBEARING</t>
  </si>
  <si>
    <t>https://in.tradingview.com/chart/ofQQfXOP/?symbol=NSE%3AMOGOLD</t>
  </si>
  <si>
    <t>https://in.tradingview.com/chart/bXJLby4L/?symbol=NSE%3AMOGOLD</t>
  </si>
  <si>
    <t>MOM50</t>
  </si>
  <si>
    <t>Motilal Oswal M50 ETF</t>
  </si>
  <si>
    <t>NSE%3ANRL</t>
  </si>
  <si>
    <t>https://in.tradingview.com/chart/ofQQfXOP/?symbol=NSE%3AMOM50</t>
  </si>
  <si>
    <t>https://in.tradingview.com/chart/bXJLby4L/?symbol=NSE%3AMOM50</t>
  </si>
  <si>
    <t>MOM100</t>
  </si>
  <si>
    <t>Motilal Oswal Midcap 100 ETF</t>
  </si>
  <si>
    <t>NSE%3ANSIL</t>
  </si>
  <si>
    <t>https://in.tradingview.com/chart/ofQQfXOP/?symbol=NSE%3AMOM100</t>
  </si>
  <si>
    <t>https://in.tradingview.com/chart/bXJLby4L/?symbol=NSE%3AMOM100</t>
  </si>
  <si>
    <t>MON100</t>
  </si>
  <si>
    <t>Motilal Oswal NASDAQ 100 ETF</t>
  </si>
  <si>
    <t>NSE%3ANSLNISP</t>
  </si>
  <si>
    <t>https://in.tradingview.com/chart/ofQQfXOP/?symbol=NSE%3AMON100</t>
  </si>
  <si>
    <t>https://in.tradingview.com/chart/bXJLby4L/?symbol=NSE%3AMON100</t>
  </si>
  <si>
    <t>MONQ50</t>
  </si>
  <si>
    <t>Motilal Oswal Nasdaq Q 50 ETF</t>
  </si>
  <si>
    <t>NSE%3ANTPC</t>
  </si>
  <si>
    <t>https://in.tradingview.com/chart/ofQQfXOP/?symbol=NSE%3AMONQ50</t>
  </si>
  <si>
    <t>https://in.tradingview.com/chart/bXJLby4L/?symbol=NSE%3AMONQ50</t>
  </si>
  <si>
    <t>MONIFTY100</t>
  </si>
  <si>
    <t>Motilal Oswal Nifty 100 ETF</t>
  </si>
  <si>
    <t>NSE%3ANTPCGREEN</t>
  </si>
  <si>
    <t>https://in.tradingview.com/chart/ofQQfXOP/?symbol=NSE%3AMONIFTY100</t>
  </si>
  <si>
    <t>https://in.tradingview.com/chart/bXJLby4L/?symbol=NSE%3AMONIFTY100</t>
  </si>
  <si>
    <t>MOMOMENTUM</t>
  </si>
  <si>
    <t>Motilal Oswal Nifty 200 Momentum 30 ETF</t>
  </si>
  <si>
    <t>NSE%3ANUCLEUS</t>
  </si>
  <si>
    <t>https://in.tradingview.com/chart/ofQQfXOP/?symbol=NSE%3AMOMOMENTUM</t>
  </si>
  <si>
    <t>https://in.tradingview.com/chart/bXJLby4L/?symbol=NSE%3AMOMOMENTUM</t>
  </si>
  <si>
    <t>MON50EQUAL</t>
  </si>
  <si>
    <t>Motilal Oswal Nifty 50 Equal Weight ETF</t>
  </si>
  <si>
    <t>NSE%3ANURECA</t>
  </si>
  <si>
    <t>https://in.tradingview.com/chart/ofQQfXOP/?symbol=NSE%3AMON50EQUAL</t>
  </si>
  <si>
    <t>https://in.tradingview.com/chart/bXJLby4L/?symbol=NSE%3AMON50EQUAL</t>
  </si>
  <si>
    <t>MONIFTY500</t>
  </si>
  <si>
    <t>Motilal Oswal Nifty 500 ETF</t>
  </si>
  <si>
    <t>NSE%3ANUVAMA</t>
  </si>
  <si>
    <t>https://in.tradingview.com/chart/ofQQfXOP/?symbol=NSE%3AMONIFTY500</t>
  </si>
  <si>
    <t>https://in.tradingview.com/chart/bXJLby4L/?symbol=NSE%3AMONIFTY500</t>
  </si>
  <si>
    <t>MOMENTUM50</t>
  </si>
  <si>
    <t>Motilal Oswal Nifty 500 Momentum 50 ETF</t>
  </si>
  <si>
    <t>NSE%3ANUVOCO</t>
  </si>
  <si>
    <t>https://in.tradingview.com/chart/ofQQfXOP/?symbol=NSE%3AMOMENTUM50</t>
  </si>
  <si>
    <t>https://in.tradingview.com/chart/bXJLby4L/?symbol=NSE%3AMOMENTUM50</t>
  </si>
  <si>
    <t>MOALPHA50</t>
  </si>
  <si>
    <t>Motilal Oswal Nifty Alpha 50 ETF</t>
  </si>
  <si>
    <t>NSE%3ANV20</t>
  </si>
  <si>
    <t>https://in.tradingview.com/chart/ofQQfXOP/?symbol=NSE%3AMOALPHA50</t>
  </si>
  <si>
    <t>https://in.tradingview.com/chart/bXJLby4L/?symbol=NSE%3AMOALPHA50</t>
  </si>
  <si>
    <t>MOCAPITAL</t>
  </si>
  <si>
    <t>Motilal Oswal Nifty Capital Market ETF</t>
  </si>
  <si>
    <t>NSE%3ANV20BEES</t>
  </si>
  <si>
    <t>https://in.tradingview.com/chart/ofQQfXOP/?symbol=NSE%3AMOCAPITAL</t>
  </si>
  <si>
    <t>https://in.tradingview.com/chart/bXJLby4L/?symbol=NSE%3AMOCAPITAL</t>
  </si>
  <si>
    <t>MOENERGY</t>
  </si>
  <si>
    <t>Motilal Oswal Nifty Energy ETF</t>
  </si>
  <si>
    <t>NSE%3ANV20IETF</t>
  </si>
  <si>
    <t>https://in.tradingview.com/chart/ofQQfXOP/?symbol=NSE%3AMOENERGY</t>
  </si>
  <si>
    <t>https://in.tradingview.com/chart/bXJLby4L/?symbol=NSE%3AMOENERGY</t>
  </si>
  <si>
    <t>MODEFENCE</t>
  </si>
  <si>
    <t>Motilal Oswal Nifty India Defence ETF</t>
  </si>
  <si>
    <t>NSE%3ANYKAA</t>
  </si>
  <si>
    <t>https://in.tradingview.com/chart/ofQQfXOP/?symbol=NSE%3AMODEFENCE</t>
  </si>
  <si>
    <t>https://in.tradingview.com/chart/bXJLby4L/?symbol=NSE%3AMODEFENCE</t>
  </si>
  <si>
    <t>MOTOUR</t>
  </si>
  <si>
    <t>Motilal Oswal Nifty India Tourism ETF</t>
  </si>
  <si>
    <t>NSE%3AOAL</t>
  </si>
  <si>
    <t>https://in.tradingview.com/chart/ofQQfXOP/?symbol=NSE%3AMOTOUR</t>
  </si>
  <si>
    <t>https://in.tradingview.com/chart/bXJLby4L/?symbol=NSE%3AMOTOUR</t>
  </si>
  <si>
    <t>MOMIDMTM</t>
  </si>
  <si>
    <t>Motilal Oswal Nifty Midcap150 Momentum 50 ETF</t>
  </si>
  <si>
    <t>NSE%3AOBCL</t>
  </si>
  <si>
    <t>https://in.tradingview.com/chart/ofQQfXOP/?symbol=NSE%3AMOMIDMTM</t>
  </si>
  <si>
    <t>https://in.tradingview.com/chart/bXJLby4L/?symbol=NSE%3AMOMIDMTM</t>
  </si>
  <si>
    <t>MONEXT50</t>
  </si>
  <si>
    <t>Motilal Oswal Nifty Next 50 ETF</t>
  </si>
  <si>
    <t>NSE%3AOBEROIRLTY</t>
  </si>
  <si>
    <t>https://in.tradingview.com/chart/ofQQfXOP/?symbol=NSE%3AMONEXT50</t>
  </si>
  <si>
    <t>https://in.tradingview.com/chart/bXJLby4L/?symbol=NSE%3AMONEXT50</t>
  </si>
  <si>
    <t>MOPSE</t>
  </si>
  <si>
    <t>Motilal Oswal Nifty PSE ETF</t>
  </si>
  <si>
    <t>BSE%3AOCCL</t>
  </si>
  <si>
    <t>https://in.tradingview.com/chart/ofQQfXOP/?symbol=NSE%3AMOPSE</t>
  </si>
  <si>
    <t>https://in.tradingview.com/chart/bXJLby4L/?symbol=NSE%3AMOPSE</t>
  </si>
  <si>
    <t>MOREALTY</t>
  </si>
  <si>
    <t>Motilal Oswal Nifty Realty ETF</t>
  </si>
  <si>
    <t>NSE%3AOCCLLTD</t>
  </si>
  <si>
    <t>https://in.tradingview.com/chart/ofQQfXOP/?symbol=NSE%3AMOREALTY</t>
  </si>
  <si>
    <t>https://in.tradingview.com/chart/bXJLby4L/?symbol=NSE%3AMOREALTY</t>
  </si>
  <si>
    <t>MOSERVICE</t>
  </si>
  <si>
    <t>Motilal Oswal Nifty Services Sector ETF</t>
  </si>
  <si>
    <t>NSE%3AODIGMA</t>
  </si>
  <si>
    <t>https://in.tradingview.com/chart/ofQQfXOP/?symbol=NSE%3AMOSERVICE</t>
  </si>
  <si>
    <t>https://in.tradingview.com/chart/bXJLby4L/?symbol=NSE%3AMOSERVICE</t>
  </si>
  <si>
    <t>MOSMALL250</t>
  </si>
  <si>
    <t>Motilal Oswal Nifty Smallcap 250 ETF</t>
  </si>
  <si>
    <t>NSE%3AOFSS</t>
  </si>
  <si>
    <t>https://in.tradingview.com/chart/ofQQfXOP/?symbol=NSE%3AMOSMALL250</t>
  </si>
  <si>
    <t>https://in.tradingview.com/chart/bXJLby4L/?symbol=NSE%3AMOSMALL250</t>
  </si>
  <si>
    <t>MOVALUE</t>
  </si>
  <si>
    <t>Motilal Oswal S&amp;P BSE Enhanced Value ETF Fund</t>
  </si>
  <si>
    <t>NSE%3AOIL</t>
  </si>
  <si>
    <t>https://in.tradingview.com/chart/ofQQfXOP/?symbol=NSE%3AMOVALUE</t>
  </si>
  <si>
    <t>https://in.tradingview.com/chart/bXJLby4L/?symbol=NSE%3AMOVALUE</t>
  </si>
  <si>
    <t>MOHEALTH</t>
  </si>
  <si>
    <t>Motilal Oswal S&amp;P BSE Healthcare ETF</t>
  </si>
  <si>
    <t>NSE%3AOILCOUNTUB</t>
  </si>
  <si>
    <t>https://in.tradingview.com/chart/ofQQfXOP/?symbol=NSE%3AMOHEALTH</t>
  </si>
  <si>
    <t>https://in.tradingview.com/chart/bXJLby4L/?symbol=NSE%3AMOHEALTH</t>
  </si>
  <si>
    <t>MOLOWVOL</t>
  </si>
  <si>
    <t>Motilal Oswal S&amp;P BSE Low Volatility ETF</t>
  </si>
  <si>
    <t>NSE%3AOILIETF</t>
  </si>
  <si>
    <t>https://in.tradingview.com/chart/ofQQfXOP/?symbol=NSE%3AMOLOWVOL</t>
  </si>
  <si>
    <t>https://in.tradingview.com/chart/bXJLby4L/?symbol=NSE%3AMOLOWVOL</t>
  </si>
  <si>
    <t>MOQUALITY</t>
  </si>
  <si>
    <t>Motilal Oswal S&amp;P BSE Quality ETF Fund</t>
  </si>
  <si>
    <t>NSE%3AOLAELEC</t>
  </si>
  <si>
    <t>https://in.tradingview.com/chart/ofQQfXOP/?symbol=NSE%3AMOQUALITY</t>
  </si>
  <si>
    <t>https://in.tradingview.com/chart/bXJLby4L/?symbol=NSE%3AMOQUALITY</t>
  </si>
  <si>
    <t>MOSILVER</t>
  </si>
  <si>
    <t>Motilal Oswal Silver ETF</t>
  </si>
  <si>
    <t>NSE%3AOLECTRA</t>
  </si>
  <si>
    <t>https://in.tradingview.com/chart/ofQQfXOP/?symbol=NSE%3AMOSILVER</t>
  </si>
  <si>
    <t>https://in.tradingview.com/chart/bXJLby4L/?symbol=NSE%3AMOSILVER</t>
  </si>
  <si>
    <t>MOTISONS</t>
  </si>
  <si>
    <t>Motisons Jewellers Ltd</t>
  </si>
  <si>
    <t>NSE%3AOMAXAUTO</t>
  </si>
  <si>
    <t>https://in.tradingview.com/chart/ofQQfXOP/?symbol=NSE%3AMOTISONS</t>
  </si>
  <si>
    <t>https://in.tradingview.com/chart/bXJLby4L/?symbol=NSE%3AMOTISONS</t>
  </si>
  <si>
    <t>MPHASIS</t>
  </si>
  <si>
    <t>Mphasis Limited</t>
  </si>
  <si>
    <t>NSE%3AOMAXE</t>
  </si>
  <si>
    <t>https://in.tradingview.com/chart/ofQQfXOP/?symbol=NSE%3AMPHASIS</t>
  </si>
  <si>
    <t>https://in.tradingview.com/chart/bXJLby4L/?symbol=NSE%3AMPHASIS</t>
  </si>
  <si>
    <t>MPSLTD</t>
  </si>
  <si>
    <t>Mps Limited</t>
  </si>
  <si>
    <t>NSE%3AOMINFRAL</t>
  </si>
  <si>
    <t>https://in.tradingview.com/chart/ofQQfXOP/?symbol=NSE%3AMPSLTD</t>
  </si>
  <si>
    <t>https://in.tradingview.com/chart/bXJLby4L/?symbol=NSE%3AMPSLTD</t>
  </si>
  <si>
    <t>MRF</t>
  </si>
  <si>
    <t>Mrf Limited</t>
  </si>
  <si>
    <t>NSE%3AOMKARCHEM</t>
  </si>
  <si>
    <t>https://in.tradingview.com/chart/ofQQfXOP/?symbol=NSE%3AMRF</t>
  </si>
  <si>
    <t>https://in.tradingview.com/chart/bXJLby4L/?symbol=NSE%3AMRF</t>
  </si>
  <si>
    <t>BECTORFOOD</t>
  </si>
  <si>
    <t>Mrs Bectors Food Specialities Ltd</t>
  </si>
  <si>
    <t>NSE%3AONELIFECAP</t>
  </si>
  <si>
    <t>https://in.tradingview.com/chart/ofQQfXOP/?symbol=NSE%3ABECTORFOOD</t>
  </si>
  <si>
    <t>https://in.tradingview.com/chart/bXJLby4L/?symbol=NSE%3ABECTORFOOD</t>
  </si>
  <si>
    <t>MSPL</t>
  </si>
  <si>
    <t>Msp Steel &amp; Power Limited</t>
  </si>
  <si>
    <t>NSE%3AONEPOINT</t>
  </si>
  <si>
    <t>https://in.tradingview.com/chart/ofQQfXOP/?symbol=NSE%3AMSPL</t>
  </si>
  <si>
    <t>https://in.tradingview.com/chart/bXJLby4L/?symbol=NSE%3AMSPL</t>
  </si>
  <si>
    <t>MSTCLTD</t>
  </si>
  <si>
    <t>MSTC Ltd</t>
  </si>
  <si>
    <t>NSE%3AONESOURCE</t>
  </si>
  <si>
    <t>https://in.tradingview.com/chart/ofQQfXOP/?symbol=NSE%3AMSTCLTD</t>
  </si>
  <si>
    <t>https://in.tradingview.com/chart/bXJLby4L/?symbol=NSE%3AMSTCLTD</t>
  </si>
  <si>
    <t>MTARTECH</t>
  </si>
  <si>
    <t>MTAR Technologies Ltd</t>
  </si>
  <si>
    <t>NSE%3AONGC</t>
  </si>
  <si>
    <t>https://in.tradingview.com/chart/ofQQfXOP/?symbol=NSE%3AMTARTECH</t>
  </si>
  <si>
    <t>https://in.tradingview.com/chart/bXJLby4L/?symbol=NSE%3AMTARTECH</t>
  </si>
  <si>
    <t>MUFIN</t>
  </si>
  <si>
    <t>Mufin Green Finance Ltd</t>
  </si>
  <si>
    <t>NSE%3AONMOBILE</t>
  </si>
  <si>
    <t>https://in.tradingview.com/chart/ofQQfXOP/?symbol=NSE%3AMUFIN</t>
  </si>
  <si>
    <t>https://in.tradingview.com/chart/bXJLby4L/?symbol=NSE%3AMUFIN</t>
  </si>
  <si>
    <t>MUKANDLTD</t>
  </si>
  <si>
    <t>Mukand Limited</t>
  </si>
  <si>
    <t>NSE%3AONWARDTEC</t>
  </si>
  <si>
    <t>https://in.tradingview.com/chart/ofQQfXOP/?symbol=NSE%3AMUKANDLTD</t>
  </si>
  <si>
    <t>https://in.tradingview.com/chart/bXJLby4L/?symbol=NSE%3AMUKANDLTD</t>
  </si>
  <si>
    <t>MUKKA</t>
  </si>
  <si>
    <t>Mukka Proteins Ltd</t>
  </si>
  <si>
    <t>NSE%3AOPTIEMUS</t>
  </si>
  <si>
    <t>https://in.tradingview.com/chart/ofQQfXOP/?symbol=NSE%3AMUKKA</t>
  </si>
  <si>
    <t>https://in.tradingview.com/chart/bXJLby4L/?symbol=NSE%3AMUKKA</t>
  </si>
  <si>
    <t>MUKTAARTS</t>
  </si>
  <si>
    <t>Mukta Arts Limited</t>
  </si>
  <si>
    <t>NSE%3AORBTEXP</t>
  </si>
  <si>
    <t>https://in.tradingview.com/chart/ofQQfXOP/?symbol=NSE%3AMUKTAARTS</t>
  </si>
  <si>
    <t>https://in.tradingview.com/chart/bXJLby4L/?symbol=NSE%3AMUKTAARTS</t>
  </si>
  <si>
    <t>MCX</t>
  </si>
  <si>
    <t>Multi Commodity Exchange Of India Limited</t>
  </si>
  <si>
    <t>NSE%3AORCHASP</t>
  </si>
  <si>
    <t>https://in.tradingview.com/chart/ofQQfXOP/?symbol=NSE%3AMCX</t>
  </si>
  <si>
    <t>https://in.tradingview.com/chart/bXJLby4L/?symbol=NSE%3AMCX</t>
  </si>
  <si>
    <t>MUNJALAU</t>
  </si>
  <si>
    <t>Munjal Auto Industries Limited</t>
  </si>
  <si>
    <t>NSE%3AORCHPHARMA</t>
  </si>
  <si>
    <t>https://in.tradingview.com/chart/ofQQfXOP/?symbol=NSE%3AMUNJALAU</t>
  </si>
  <si>
    <t>https://in.tradingview.com/chart/bXJLby4L/?symbol=NSE%3AMUNJALAU</t>
  </si>
  <si>
    <t>MUNJALSHOW</t>
  </si>
  <si>
    <t>Munjal Showa Limited</t>
  </si>
  <si>
    <t>NSE%3AORICONENT</t>
  </si>
  <si>
    <t>https://in.tradingview.com/chart/ofQQfXOP/?symbol=NSE%3AMUNJALSHOW</t>
  </si>
  <si>
    <t>https://in.tradingview.com/chart/bXJLby4L/?symbol=NSE%3AMUNJALSHOW</t>
  </si>
  <si>
    <t>MURUDCERA</t>
  </si>
  <si>
    <t>Murudeshwar Ceramics Limited</t>
  </si>
  <si>
    <t>NSE%3AORIENTALTL</t>
  </si>
  <si>
    <t>https://in.tradingview.com/chart/ofQQfXOP/?symbol=NSE%3AMURUDCERA</t>
  </si>
  <si>
    <t>https://in.tradingview.com/chart/bXJLby4L/?symbol=NSE%3AMURUDCERA</t>
  </si>
  <si>
    <t>RADIOCITY</t>
  </si>
  <si>
    <t>Music Broadcast</t>
  </si>
  <si>
    <t>NSE%3AORIENTBELL</t>
  </si>
  <si>
    <t>https://in.tradingview.com/chart/ofQQfXOP/?symbol=NSE%3ARADIOCITY</t>
  </si>
  <si>
    <t>https://in.tradingview.com/chart/bXJLby4L/?symbol=NSE%3ARADIOCITY</t>
  </si>
  <si>
    <t>MUTHOOTCAP</t>
  </si>
  <si>
    <t>Muthoot Capital Services Limited</t>
  </si>
  <si>
    <t>NSE%3AORIENTCEM</t>
  </si>
  <si>
    <t>https://in.tradingview.com/chart/ofQQfXOP/?symbol=NSE%3AMUTHOOTCAP</t>
  </si>
  <si>
    <t>https://in.tradingview.com/chart/bXJLby4L/?symbol=NSE%3AMUTHOOTCAP</t>
  </si>
  <si>
    <t>MUTHOOTFIN</t>
  </si>
  <si>
    <t>Muthoot Finance Limited</t>
  </si>
  <si>
    <t>NSE%3AORIENTCER</t>
  </si>
  <si>
    <t>https://in.tradingview.com/chart/ofQQfXOP/?symbol=NSE%3AMUTHOOTFIN</t>
  </si>
  <si>
    <t>https://in.tradingview.com/chart/bXJLby4L/?symbol=NSE%3AMUTHOOTFIN</t>
  </si>
  <si>
    <t>MUTHOOTMF</t>
  </si>
  <si>
    <t>Muthoot Microfin Ltd</t>
  </si>
  <si>
    <t>NSE%3AORIENTELEC</t>
  </si>
  <si>
    <t>https://in.tradingview.com/chart/ofQQfXOP/?symbol=NSE%3AMUTHOOTMF</t>
  </si>
  <si>
    <t>https://in.tradingview.com/chart/bXJLby4L/?symbol=NSE%3AMUTHOOTMF</t>
  </si>
  <si>
    <t>NRAIL</t>
  </si>
  <si>
    <t>N R Agarwal Industries Ltd</t>
  </si>
  <si>
    <t>NSE%3AORIENTHOT</t>
  </si>
  <si>
    <t>https://in.tradingview.com/chart/ofQQfXOP/?symbol=NSE%3ANRAIL</t>
  </si>
  <si>
    <t>https://in.tradingview.com/chart/bXJLby4L/?symbol=NSE%3ANRAIL</t>
  </si>
  <si>
    <t>NBIFIN</t>
  </si>
  <si>
    <t>N. B. I. Industrial Finance Company Limited</t>
  </si>
  <si>
    <t>NSE%3AORIENTLTD</t>
  </si>
  <si>
    <t>https://in.tradingview.com/chart/ofQQfXOP/?symbol=NSE%3ANBIFIN</t>
  </si>
  <si>
    <t>https://in.tradingview.com/chart/bXJLby4L/?symbol=NSE%3ANBIFIN</t>
  </si>
  <si>
    <t>NACLIND</t>
  </si>
  <si>
    <t>NACL Industries Ltd</t>
  </si>
  <si>
    <t>NSE%3AORIENTPPR</t>
  </si>
  <si>
    <t>https://in.tradingview.com/chart/ofQQfXOP/?symbol=NSE%3ANACLIND</t>
  </si>
  <si>
    <t>https://in.tradingview.com/chart/bXJLby4L/?symbol=NSE%3ANACLIND</t>
  </si>
  <si>
    <t>NDGL</t>
  </si>
  <si>
    <t>Naga Dhunseri Group Limited</t>
  </si>
  <si>
    <t>NSE%3AORIENTTECH</t>
  </si>
  <si>
    <t>https://in.tradingview.com/chart/ofQQfXOP/?symbol=NSE%3ANDGL</t>
  </si>
  <si>
    <t>https://in.tradingview.com/chart/bXJLby4L/?symbol=NSE%3ANDGL</t>
  </si>
  <si>
    <t>NAGREEKCAP</t>
  </si>
  <si>
    <t>Nagreeka Capital &amp; Infrastructure Limited</t>
  </si>
  <si>
    <t>NSE%3AORISSAMINE</t>
  </si>
  <si>
    <t>https://in.tradingview.com/chart/ofQQfXOP/?symbol=NSE%3ANAGREEKCAP</t>
  </si>
  <si>
    <t>https://in.tradingview.com/chart/bXJLby4L/?symbol=NSE%3ANAGREEKCAP</t>
  </si>
  <si>
    <t>NAGREEKEXP</t>
  </si>
  <si>
    <t>Nagreeka Exports Limited</t>
  </si>
  <si>
    <t>NSE%3AORTINGLOBE</t>
  </si>
  <si>
    <t>https://in.tradingview.com/chart/ofQQfXOP/?symbol=NSE%3ANAGREEKEXP</t>
  </si>
  <si>
    <t>https://in.tradingview.com/chart/bXJLby4L/?symbol=NSE%3ANAGREEKEXP</t>
  </si>
  <si>
    <t>NAHARCAP</t>
  </si>
  <si>
    <t>Nahar Capital And Financial Services Limited</t>
  </si>
  <si>
    <t>NSE%3AOSIAHYPER</t>
  </si>
  <si>
    <t>https://in.tradingview.com/chart/ofQQfXOP/?symbol=NSE%3ANAHARCAP</t>
  </si>
  <si>
    <t>https://in.tradingview.com/chart/bXJLby4L/?symbol=NSE%3ANAHARCAP</t>
  </si>
  <si>
    <t>NAHARINDUS</t>
  </si>
  <si>
    <t>Nahar Industrial Enterprises Limited</t>
  </si>
  <si>
    <t>NSE%3AOSWALAGRO</t>
  </si>
  <si>
    <t>https://in.tradingview.com/chart/ofQQfXOP/?symbol=NSE%3ANAHARINDUS</t>
  </si>
  <si>
    <t>https://in.tradingview.com/chart/bXJLby4L/?symbol=NSE%3ANAHARINDUS</t>
  </si>
  <si>
    <t>NAHARPOLY</t>
  </si>
  <si>
    <t>Nahar Poly Films Limited</t>
  </si>
  <si>
    <t>NSE%3AOSWALGREEN</t>
  </si>
  <si>
    <t>https://in.tradingview.com/chart/ofQQfXOP/?symbol=NSE%3ANAHARPOLY</t>
  </si>
  <si>
    <t>https://in.tradingview.com/chart/bXJLby4L/?symbol=NSE%3ANAHARPOLY</t>
  </si>
  <si>
    <t>NAHARSPING</t>
  </si>
  <si>
    <t>Nahar Spinning Mills Limited</t>
  </si>
  <si>
    <t>NSE%3AOSWALSEEDS</t>
  </si>
  <si>
    <t>https://in.tradingview.com/chart/ofQQfXOP/?symbol=NSE%3ANAHARSPING</t>
  </si>
  <si>
    <t>https://in.tradingview.com/chart/bXJLby4L/?symbol=NSE%3ANAHARSPING</t>
  </si>
  <si>
    <t>NGIL</t>
  </si>
  <si>
    <t>Nakoda Group of Industries Ltd</t>
  </si>
  <si>
    <t>NSE%3APAGEIND</t>
  </si>
  <si>
    <t>https://in.tradingview.com/chart/ofQQfXOP/?symbol=NSE%3ANGIL</t>
  </si>
  <si>
    <t>https://in.tradingview.com/chart/bXJLby4L/?symbol=NSE%3ANGIL</t>
  </si>
  <si>
    <t>NSIL</t>
  </si>
  <si>
    <t>Nalwa Sons Investments Limited</t>
  </si>
  <si>
    <t>NSE%3APAISALO</t>
  </si>
  <si>
    <t>https://in.tradingview.com/chart/ofQQfXOP/?symbol=NSE%3ANSIL</t>
  </si>
  <si>
    <t>https://in.tradingview.com/chart/bXJLby4L/?symbol=NSE%3ANSIL</t>
  </si>
  <si>
    <t>JAIPURKURT</t>
  </si>
  <si>
    <t>Nandani Creation Ltd</t>
  </si>
  <si>
    <t>NSE%3APAKKA</t>
  </si>
  <si>
    <t>https://in.tradingview.com/chart/ofQQfXOP/?symbol=NSE%3AJAIPURKURT</t>
  </si>
  <si>
    <t>https://in.tradingview.com/chart/bXJLby4L/?symbol=NSE%3AJAIPURKURT</t>
  </si>
  <si>
    <t>NH</t>
  </si>
  <si>
    <t>Narayana Hrudayalaya Ltd.</t>
  </si>
  <si>
    <t>NSE%3APALASHSECU</t>
  </si>
  <si>
    <t>https://in.tradingview.com/chart/ofQQfXOP/?symbol=NSE%3ANH</t>
  </si>
  <si>
    <t>https://in.tradingview.com/chart/bXJLby4L/?symbol=NSE%3ANH</t>
  </si>
  <si>
    <t>NARMADA</t>
  </si>
  <si>
    <t>Narmada Agrobase Ltd</t>
  </si>
  <si>
    <t>NSE%3APALREDTEC</t>
  </si>
  <si>
    <t>https://in.tradingview.com/chart/ofQQfXOP/?symbol=NSE%3ANARMADA</t>
  </si>
  <si>
    <t>https://in.tradingview.com/chart/bXJLby4L/?symbol=NSE%3ANARMADA</t>
  </si>
  <si>
    <t>NATCOPHARM</t>
  </si>
  <si>
    <t>Natco Pharma Limited</t>
  </si>
  <si>
    <t>NSE%3APANACEABIO</t>
  </si>
  <si>
    <t>https://in.tradingview.com/chart/ofQQfXOP/?symbol=NSE%3ANATCOPHARM</t>
  </si>
  <si>
    <t>https://in.tradingview.com/chart/bXJLby4L/?symbol=NSE%3ANATCOPHARM</t>
  </si>
  <si>
    <t>NATHBIOGEN</t>
  </si>
  <si>
    <t>Nath Bio-genes (india) Limited</t>
  </si>
  <si>
    <t>NSE%3APANACHE</t>
  </si>
  <si>
    <t>https://in.tradingview.com/chart/ofQQfXOP/?symbol=NSE%3ANATHBIOGEN</t>
  </si>
  <si>
    <t>https://in.tradingview.com/chart/bXJLby4L/?symbol=NSE%3ANATHBIOGEN</t>
  </si>
  <si>
    <t>NATIONALUM</t>
  </si>
  <si>
    <t>National Aluminium Company Limited</t>
  </si>
  <si>
    <t>NSE%3APANAMAPET</t>
  </si>
  <si>
    <t>https://in.tradingview.com/chart/ofQQfXOP/?symbol=NSE%3ANATIONALUM</t>
  </si>
  <si>
    <t>https://in.tradingview.com/chart/bXJLby4L/?symbol=NSE%3ANATIONALUM</t>
  </si>
  <si>
    <t>NFL</t>
  </si>
  <si>
    <t>National Fertilizers Limited</t>
  </si>
  <si>
    <t>NSE%3APAR</t>
  </si>
  <si>
    <t>https://in.tradingview.com/chart/ofQQfXOP/?symbol=NSE%3ANFL</t>
  </si>
  <si>
    <t>https://in.tradingview.com/chart/bXJLby4L/?symbol=NSE%3ANFL</t>
  </si>
  <si>
    <t>NATCAPSUQ</t>
  </si>
  <si>
    <t>Natural Capsules Ltd</t>
  </si>
  <si>
    <t>NSE%3APARACABLES</t>
  </si>
  <si>
    <t>https://in.tradingview.com/chart/ofQQfXOP/?symbol=NSE%3ANATCAPSUQ</t>
  </si>
  <si>
    <t>https://in.tradingview.com/chart/bXJLby4L/?symbol=NSE%3ANATCAPSUQ</t>
  </si>
  <si>
    <t>NAVA</t>
  </si>
  <si>
    <t>Nava Ltd</t>
  </si>
  <si>
    <t>NSE%3APARADEEP</t>
  </si>
  <si>
    <t>https://in.tradingview.com/chart/ofQQfXOP/?symbol=NSE%3ANAVA</t>
  </si>
  <si>
    <t>https://in.tradingview.com/chart/bXJLby4L/?symbol=NSE%3ANAVA</t>
  </si>
  <si>
    <t>NAVINFLUOR</t>
  </si>
  <si>
    <t>Navin Fluorine International Limited</t>
  </si>
  <si>
    <t>NSE%3APARAGMILK</t>
  </si>
  <si>
    <t>https://in.tradingview.com/chart/ofQQfXOP/?symbol=NSE%3ANAVINFLUOR</t>
  </si>
  <si>
    <t>https://in.tradingview.com/chart/bXJLby4L/?symbol=NSE%3ANAVINFLUOR</t>
  </si>
  <si>
    <t>NAVKARCORP</t>
  </si>
  <si>
    <t>Navkar Corporation Limited</t>
  </si>
  <si>
    <t>NSE%3APARAS</t>
  </si>
  <si>
    <t>https://in.tradingview.com/chart/ofQQfXOP/?symbol=NSE%3ANAVKARCORP</t>
  </si>
  <si>
    <t>https://in.tradingview.com/chart/bXJLby4L/?symbol=NSE%3ANAVKARCORP</t>
  </si>
  <si>
    <t>NAVNETEDUL</t>
  </si>
  <si>
    <t>Navneet Education Limited</t>
  </si>
  <si>
    <t>NSE%3APARASPETRO</t>
  </si>
  <si>
    <t>https://in.tradingview.com/chart/ofQQfXOP/?symbol=NSE%3ANAVNETEDUL</t>
  </si>
  <si>
    <t>https://in.tradingview.com/chart/bXJLby4L/?symbol=NSE%3ANAVNETEDUL</t>
  </si>
  <si>
    <t>NAZARA</t>
  </si>
  <si>
    <t>Nazara Technologies Ltd</t>
  </si>
  <si>
    <t>NSE%3APARKHOTELS</t>
  </si>
  <si>
    <t>https://in.tradingview.com/chart/ofQQfXOP/?symbol=NSE%3ANAZARA</t>
  </si>
  <si>
    <t>https://in.tradingview.com/chart/bXJLby4L/?symbol=NSE%3ANAZARA</t>
  </si>
  <si>
    <t>NBCC</t>
  </si>
  <si>
    <t>Nbcc (india) Limited</t>
  </si>
  <si>
    <t>NSE%3APARSVNATH</t>
  </si>
  <si>
    <t>https://in.tradingview.com/chart/ofQQfXOP/?symbol=NSE%3ANBCC</t>
  </si>
  <si>
    <t>https://in.tradingview.com/chart/bXJLby4L/?symbol=NSE%3ANBCC</t>
  </si>
  <si>
    <t>NCC</t>
  </si>
  <si>
    <t>Ncc Limited</t>
  </si>
  <si>
    <t>NSE%3APASUPTAC</t>
  </si>
  <si>
    <t>https://in.tradingview.com/chart/ofQQfXOP/?symbol=NSE%3ANCC</t>
  </si>
  <si>
    <t>https://in.tradingview.com/chart/bXJLby4L/?symbol=NSE%3ANCC</t>
  </si>
  <si>
    <t>NCLIND</t>
  </si>
  <si>
    <t>Ncl Industries Limited</t>
  </si>
  <si>
    <t>NSE%3APATANJALI</t>
  </si>
  <si>
    <t>https://in.tradingview.com/chart/ofQQfXOP/?symbol=NSE%3ANCLIND</t>
  </si>
  <si>
    <t>https://in.tradingview.com/chart/bXJLby4L/?symbol=NSE%3ANCLIND</t>
  </si>
  <si>
    <t>NDLVENTURE</t>
  </si>
  <si>
    <t>NDL Ventures Ltd</t>
  </si>
  <si>
    <t>NSE%3APATELENG</t>
  </si>
  <si>
    <t>https://in.tradingview.com/chart/ofQQfXOP/?symbol=NSE%3ANDLVENTURE</t>
  </si>
  <si>
    <t>https://in.tradingview.com/chart/bXJLby4L/?symbol=NSE%3ANDLVENTURE</t>
  </si>
  <si>
    <t>NDRAUTO</t>
  </si>
  <si>
    <t>NDR Auto Components Ltd</t>
  </si>
  <si>
    <t>NSE%3APATINTLOG</t>
  </si>
  <si>
    <t>https://in.tradingview.com/chart/ofQQfXOP/?symbol=NSE%3ANDRAUTO</t>
  </si>
  <si>
    <t>https://in.tradingview.com/chart/bXJLby4L/?symbol=NSE%3ANDRAUTO</t>
  </si>
  <si>
    <t>NECLIFE</t>
  </si>
  <si>
    <t>Nectar Lifesciences Limited</t>
  </si>
  <si>
    <t>NSE%3APAVNAIND</t>
  </si>
  <si>
    <t>https://in.tradingview.com/chart/ofQQfXOP/?symbol=NSE%3ANECLIFE</t>
  </si>
  <si>
    <t>https://in.tradingview.com/chart/bXJLby4L/?symbol=NSE%3ANECLIFE</t>
  </si>
  <si>
    <t>NELCAST</t>
  </si>
  <si>
    <t>Nelcast Limited</t>
  </si>
  <si>
    <t>NSE%3APAYTM</t>
  </si>
  <si>
    <t>https://in.tradingview.com/chart/ofQQfXOP/?symbol=NSE%3ANELCAST</t>
  </si>
  <si>
    <t>https://in.tradingview.com/chart/bXJLby4L/?symbol=NSE%3ANELCAST</t>
  </si>
  <si>
    <t>NELCO</t>
  </si>
  <si>
    <t>Nelco Limited</t>
  </si>
  <si>
    <t>NSE%3APCBL</t>
  </si>
  <si>
    <t>https://in.tradingview.com/chart/ofQQfXOP/?symbol=NSE%3ANELCO</t>
  </si>
  <si>
    <t>https://in.tradingview.com/chart/bXJLby4L/?symbol=NSE%3ANELCO</t>
  </si>
  <si>
    <t>NEOGEN</t>
  </si>
  <si>
    <t>Neogen Chemicals Ltd</t>
  </si>
  <si>
    <t>NSE%3APCJEWELLER</t>
  </si>
  <si>
    <t>https://in.tradingview.com/chart/ofQQfXOP/?symbol=NSE%3ANEOGEN</t>
  </si>
  <si>
    <t>https://in.tradingview.com/chart/bXJLby4L/?symbol=NSE%3ANEOGEN</t>
  </si>
  <si>
    <t>NESCO</t>
  </si>
  <si>
    <t>Nesco Limited</t>
  </si>
  <si>
    <t>NSE%3APDMJEPAPER</t>
  </si>
  <si>
    <t>https://in.tradingview.com/chart/ofQQfXOP/?symbol=NSE%3ANESCO</t>
  </si>
  <si>
    <t>https://in.tradingview.com/chart/bXJLby4L/?symbol=NSE%3ANESCO</t>
  </si>
  <si>
    <t>NESTLEIND</t>
  </si>
  <si>
    <t>Nestle India Limited</t>
  </si>
  <si>
    <t>NSE%3APDSL</t>
  </si>
  <si>
    <t>https://in.tradingview.com/chart/ofQQfXOP/?symbol=NSE%3ANESTLEIND</t>
  </si>
  <si>
    <t>https://in.tradingview.com/chart/bXJLby4L/?symbol=NSE%3ANESTLEIND</t>
  </si>
  <si>
    <t>NETWEB</t>
  </si>
  <si>
    <t>Netweb Technologies India Ltd</t>
  </si>
  <si>
    <t>NSE%3APEARLPOLY</t>
  </si>
  <si>
    <t>https://in.tradingview.com/chart/ofQQfXOP/?symbol=NSE%3ANETWEB</t>
  </si>
  <si>
    <t>https://in.tradingview.com/chart/bXJLby4L/?symbol=NSE%3ANETWEB</t>
  </si>
  <si>
    <t>NPST</t>
  </si>
  <si>
    <t>Network People Services Technologies Ltd</t>
  </si>
  <si>
    <t>NSE%3APEL</t>
  </si>
  <si>
    <t>https://in.tradingview.com/chart/ofQQfXOP/?symbol=NSE%3ANPST</t>
  </si>
  <si>
    <t>https://in.tradingview.com/chart/bXJLby4L/?symbol=NSE%3ANPST</t>
  </si>
  <si>
    <t>NETWORK18</t>
  </si>
  <si>
    <t>Network18 Media &amp; Investments Limited</t>
  </si>
  <si>
    <t>NSE%3APENIND</t>
  </si>
  <si>
    <t>https://in.tradingview.com/chart/ofQQfXOP/?symbol=NSE%3ANETWORK18</t>
  </si>
  <si>
    <t>https://in.tradingview.com/chart/bXJLby4L/?symbol=NSE%3ANETWORK18</t>
  </si>
  <si>
    <t>NEULANDLAB</t>
  </si>
  <si>
    <t>Neuland Laboratories Limited</t>
  </si>
  <si>
    <t>NSE%3APERSISTENT</t>
  </si>
  <si>
    <t>https://in.tradingview.com/chart/ofQQfXOP/?symbol=NSE%3ANEULANDLAB</t>
  </si>
  <si>
    <t>https://in.tradingview.com/chart/bXJLby4L/?symbol=NSE%3ANEULANDLAB</t>
  </si>
  <si>
    <t>NDTV</t>
  </si>
  <si>
    <t>New Delhi Television Limited</t>
  </si>
  <si>
    <t>NSE%3APETRONET</t>
  </si>
  <si>
    <t>https://in.tradingview.com/chart/ofQQfXOP/?symbol=NSE%3ANDTV</t>
  </si>
  <si>
    <t>https://in.tradingview.com/chart/bXJLby4L/?symbol=NSE%3ANDTV</t>
  </si>
  <si>
    <t>NIACL</t>
  </si>
  <si>
    <t>New India Assurance Company Ltd</t>
  </si>
  <si>
    <t>NSE%3APFC</t>
  </si>
  <si>
    <t>https://in.tradingview.com/chart/ofQQfXOP/?symbol=NSE%3ANIACL</t>
  </si>
  <si>
    <t>https://in.tradingview.com/chart/bXJLby4L/?symbol=NSE%3ANIACL</t>
  </si>
  <si>
    <t>NEWGEN</t>
  </si>
  <si>
    <t>Newgen Software Technologies Ltd</t>
  </si>
  <si>
    <t>NSE%3APFIZER</t>
  </si>
  <si>
    <t>https://in.tradingview.com/chart/ofQQfXOP/?symbol=NSE%3ANEWGEN</t>
  </si>
  <si>
    <t>https://in.tradingview.com/chart/bXJLby4L/?symbol=NSE%3ANEWGEN</t>
  </si>
  <si>
    <t>NEXTMEDIA</t>
  </si>
  <si>
    <t>Next Mediaworks Limited</t>
  </si>
  <si>
    <t>NSE%3APFOCUS</t>
  </si>
  <si>
    <t>https://in.tradingview.com/chart/ofQQfXOP/?symbol=NSE%3ANEXTMEDIA</t>
  </si>
  <si>
    <t>https://in.tradingview.com/chart/bXJLby4L/?symbol=NSE%3ANEXTMEDIA</t>
  </si>
  <si>
    <t>NGLFINE</t>
  </si>
  <si>
    <t>NGL Fine Chem Ltd</t>
  </si>
  <si>
    <t>NSE%3APFS</t>
  </si>
  <si>
    <t>https://in.tradingview.com/chart/ofQQfXOP/?symbol=NSE%3ANGLFINE</t>
  </si>
  <si>
    <t>https://in.tradingview.com/chart/bXJLby4L/?symbol=NSE%3ANGLFINE</t>
  </si>
  <si>
    <t>NHPC</t>
  </si>
  <si>
    <t>Nhpc Limited</t>
  </si>
  <si>
    <t>NSE%3APGEL</t>
  </si>
  <si>
    <t>https://in.tradingview.com/chart/ofQQfXOP/?symbol=NSE%3ANHPC</t>
  </si>
  <si>
    <t>https://in.tradingview.com/chart/bXJLby4L/?symbol=NSE%3ANHPC</t>
  </si>
  <si>
    <t>NIBE</t>
  </si>
  <si>
    <t>NIBE Ltd</t>
  </si>
  <si>
    <t>NSE%3APGHH</t>
  </si>
  <si>
    <t>https://in.tradingview.com/chart/ofQQfXOP/?symbol=NSE%3ANIBE</t>
  </si>
  <si>
    <t>https://in.tradingview.com/chart/bXJLby4L/?symbol=NSE%3ANIBE</t>
  </si>
  <si>
    <t>NIFTY</t>
  </si>
  <si>
    <t>NSE%3APGHL</t>
  </si>
  <si>
    <t>https://in.tradingview.com/chart/ofQQfXOP/?symbol=NSE%3ANIFTY</t>
  </si>
  <si>
    <t>https://in.tradingview.com/chart/bXJLby4L/?symbol=NSE%3ANIFTY</t>
  </si>
  <si>
    <t>CNXIT</t>
  </si>
  <si>
    <t>Nifty IT</t>
  </si>
  <si>
    <t>NSE%3APGIL</t>
  </si>
  <si>
    <t>https://in.tradingview.com/chart/ofQQfXOP/?symbol=NSE%3ACNXIT</t>
  </si>
  <si>
    <t>https://in.tradingview.com/chart/bXJLby4L/?symbol=NSE%3ACNXIT</t>
  </si>
  <si>
    <t>NIFTYMIDCAP150</t>
  </si>
  <si>
    <t>Nifty midcap 150</t>
  </si>
  <si>
    <t>NSE%3APHARMABEES</t>
  </si>
  <si>
    <t>https://in.tradingview.com/chart/ofQQfXOP/?symbol=NSE%3ANIFTYMIDCAP150</t>
  </si>
  <si>
    <t>https://in.tradingview.com/chart/bXJLby4L/?symbol=NSE%3ANIFTYMIDCAP150</t>
  </si>
  <si>
    <t>NIFTYTOTALMKT</t>
  </si>
  <si>
    <t>Nifty Total Market</t>
  </si>
  <si>
    <t>NSE%3APHOENIXLTD</t>
  </si>
  <si>
    <t>https://in.tradingview.com/chart/ofQQfXOP/?symbol=NSE%3ANIFTYTOTALMKT</t>
  </si>
  <si>
    <t>https://in.tradingview.com/chart/bXJLby4L/?symbol=NSE%3ANIFTYTOTALMKT</t>
  </si>
  <si>
    <t>NIFTY1</t>
  </si>
  <si>
    <t>NSE%3APIDILITIND</t>
  </si>
  <si>
    <t>https://in.tradingview.com/chart/ofQQfXOP/?symbol=NSE%3ANIFTY1</t>
  </si>
  <si>
    <t>https://in.tradingview.com/chart/bXJLby4L/?symbol=NSE%3ANIFTY1</t>
  </si>
  <si>
    <t>NIFTY100</t>
  </si>
  <si>
    <t>NSE%3APIGL</t>
  </si>
  <si>
    <t>https://in.tradingview.com/chart/ofQQfXOP/?symbol=NSE%3ANIFTY100</t>
  </si>
  <si>
    <t>https://in.tradingview.com/chart/bXJLby4L/?symbol=NSE%3ANIFTY100</t>
  </si>
  <si>
    <t>NIFTY100EQLWGT</t>
  </si>
  <si>
    <t>NSE%3APIIND</t>
  </si>
  <si>
    <t>https://in.tradingview.com/chart/ofQQfXOP/?symbol=NSE%3ANIFTY100EQLWGT</t>
  </si>
  <si>
    <t>https://in.tradingview.com/chart/bXJLby4L/?symbol=NSE%3ANIFTY100EQLWGT</t>
  </si>
  <si>
    <t>NIFTY100ESG</t>
  </si>
  <si>
    <t>NSE%3APILANIINVS</t>
  </si>
  <si>
    <t>https://in.tradingview.com/chart/ofQQfXOP/?symbol=NSE%3ANIFTY100ESG</t>
  </si>
  <si>
    <t>https://in.tradingview.com/chart/bXJLby4L/?symbol=NSE%3ANIFTY100ESG</t>
  </si>
  <si>
    <t>NIFTY100ESGSECLDR</t>
  </si>
  <si>
    <t>NSE%3APILITA</t>
  </si>
  <si>
    <t>https://in.tradingview.com/chart/ofQQfXOP/?symbol=NSE%3ANIFTY100ESGSECLDR</t>
  </si>
  <si>
    <t>https://in.tradingview.com/chart/bXJLby4L/?symbol=NSE%3ANIFTY100ESGSECLDR</t>
  </si>
  <si>
    <t>NIFTY100LIQ15</t>
  </si>
  <si>
    <t>NSE%3APIONEEREMB</t>
  </si>
  <si>
    <t>https://in.tradingview.com/chart/ofQQfXOP/?symbol=NSE%3ANIFTY100LIQ15</t>
  </si>
  <si>
    <t>https://in.tradingview.com/chart/bXJLby4L/?symbol=NSE%3ANIFTY100LIQ15</t>
  </si>
  <si>
    <t>NIFTY100LOWVOL30</t>
  </si>
  <si>
    <t>NSE%3APITTIENG</t>
  </si>
  <si>
    <t>https://in.tradingview.com/chart/ofQQfXOP/?symbol=NSE%3ANIFTY100LOWVOL30</t>
  </si>
  <si>
    <t>https://in.tradingview.com/chart/bXJLby4L/?symbol=NSE%3ANIFTY100LOWVOL30</t>
  </si>
  <si>
    <t>NIFTY200</t>
  </si>
  <si>
    <t>NSE%3APIXTRANS</t>
  </si>
  <si>
    <t>https://in.tradingview.com/chart/ofQQfXOP/?symbol=NSE%3ANIFTY200</t>
  </si>
  <si>
    <t>https://in.tradingview.com/chart/bXJLby4L/?symbol=NSE%3ANIFTY200</t>
  </si>
  <si>
    <t>NIFTY200ALPHA30</t>
  </si>
  <si>
    <t>NSE%3APKTEA</t>
  </si>
  <si>
    <t>https://in.tradingview.com/chart/ofQQfXOP/?symbol=NSE%3ANIFTY200ALPHA30</t>
  </si>
  <si>
    <t>https://in.tradingview.com/chart/bXJLby4L/?symbol=NSE%3ANIFTY200ALPHA30</t>
  </si>
  <si>
    <t>NIFTY200MOMENTM30</t>
  </si>
  <si>
    <t>NSE%3APLASTIBLEN</t>
  </si>
  <si>
    <t>https://in.tradingview.com/chart/ofQQfXOP/?symbol=NSE%3ANIFTY200MOMENTM30</t>
  </si>
  <si>
    <t>https://in.tradingview.com/chart/bXJLby4L/?symbol=NSE%3ANIFTY200MOMENTM30</t>
  </si>
  <si>
    <t>NIFTY200QUALITY30</t>
  </si>
  <si>
    <t>NSE%3APLATIND</t>
  </si>
  <si>
    <t>https://in.tradingview.com/chart/ofQQfXOP/?symbol=NSE%3ANIFTY200QUALITY30</t>
  </si>
  <si>
    <t>https://in.tradingview.com/chart/bXJLby4L/?symbol=NSE%3ANIFTY200QUALITY30</t>
  </si>
  <si>
    <t>NV20</t>
  </si>
  <si>
    <t>Nifty50 Value 20</t>
  </si>
  <si>
    <t>NSE%3APLAZACABLE</t>
  </si>
  <si>
    <t>https://in.tradingview.com/chart/ofQQfXOP/?symbol=NSE%3ANV20</t>
  </si>
  <si>
    <t>https://in.tradingview.com/chart/bXJLby4L/?symbol=NSE%3ANV20</t>
  </si>
  <si>
    <t>NIFTY500</t>
  </si>
  <si>
    <t>NSE%3APNB</t>
  </si>
  <si>
    <t>https://in.tradingview.com/chart/ofQQfXOP/?symbol=NSE%3ANIFTY500</t>
  </si>
  <si>
    <t>https://in.tradingview.com/chart/bXJLby4L/?symbol=NSE%3ANIFTY500</t>
  </si>
  <si>
    <t>NIFTY500MOMENTM50</t>
  </si>
  <si>
    <t>NSE%3APNBGILTS</t>
  </si>
  <si>
    <t>https://in.tradingview.com/chart/ofQQfXOP/?symbol=NSE%3ANIFTY500MOMENTM50</t>
  </si>
  <si>
    <t>https://in.tradingview.com/chart/bXJLby4L/?symbol=NSE%3ANIFTY500MOMENTM50</t>
  </si>
  <si>
    <t>NIFTY500MULTICAP</t>
  </si>
  <si>
    <t>NSE%3APNBHOUSING</t>
  </si>
  <si>
    <t>https://in.tradingview.com/chart/ofQQfXOP/?symbol=NSE%3ANIFTY500MULTICAP</t>
  </si>
  <si>
    <t>https://in.tradingview.com/chart/bXJLby4L/?symbol=NSE%3ANIFTY500MULTICAP</t>
  </si>
  <si>
    <t>NIFTY50DIVPOINT</t>
  </si>
  <si>
    <t>NSE%3APNC</t>
  </si>
  <si>
    <t>https://in.tradingview.com/chart/ofQQfXOP/?symbol=NSE%3ANIFTY50DIVPOINT</t>
  </si>
  <si>
    <t>https://in.tradingview.com/chart/bXJLby4L/?symbol=NSE%3ANIFTY50DIVPOINT</t>
  </si>
  <si>
    <t>NIFTY50EQLWGT</t>
  </si>
  <si>
    <t>NSE%3APNCINFRA</t>
  </si>
  <si>
    <t>https://in.tradingview.com/chart/ofQQfXOP/?symbol=NSE%3ANIFTY50EQLWGT</t>
  </si>
  <si>
    <t>https://in.tradingview.com/chart/bXJLby4L/?symbol=NSE%3ANIFTY50EQLWGT</t>
  </si>
  <si>
    <t>NIFTY50PR1XINV</t>
  </si>
  <si>
    <t>NSE%3APNGJL</t>
  </si>
  <si>
    <t>https://in.tradingview.com/chart/ofQQfXOP/?symbol=NSE%3ANIFTY50PR1XINV</t>
  </si>
  <si>
    <t>https://in.tradingview.com/chart/bXJLby4L/?symbol=NSE%3ANIFTY50PR1XINV</t>
  </si>
  <si>
    <t>NIFTY50PR2XLEV</t>
  </si>
  <si>
    <t>NSE%3APOCL</t>
  </si>
  <si>
    <t>https://in.tradingview.com/chart/ofQQfXOP/?symbol=NSE%3ANIFTY50PR2XLEV</t>
  </si>
  <si>
    <t>https://in.tradingview.com/chart/bXJLby4L/?symbol=NSE%3ANIFTY50PR2XLEV</t>
  </si>
  <si>
    <t>NIFTY50TR1XINV</t>
  </si>
  <si>
    <t>NSE%3APODDARMENT</t>
  </si>
  <si>
    <t>https://in.tradingview.com/chart/ofQQfXOP/?symbol=NSE%3ANIFTY50TR1XINV</t>
  </si>
  <si>
    <t>https://in.tradingview.com/chart/bXJLby4L/?symbol=NSE%3ANIFTY50TR1XINV</t>
  </si>
  <si>
    <t>NIFTY50TR2XLEV</t>
  </si>
  <si>
    <t>NSE%3APOKARNA</t>
  </si>
  <si>
    <t>https://in.tradingview.com/chart/ofQQfXOP/?symbol=NSE%3ANIFTY50TR2XLEV</t>
  </si>
  <si>
    <t>https://in.tradingview.com/chart/bXJLby4L/?symbol=NSE%3ANIFTY50TR2XLEV</t>
  </si>
  <si>
    <t>NIFTY50VALUE20</t>
  </si>
  <si>
    <t>NSE%3APOLICYBZR</t>
  </si>
  <si>
    <t>https://in.tradingview.com/chart/ofQQfXOP/?symbol=NSE%3ANIFTY50VALUE20</t>
  </si>
  <si>
    <t>https://in.tradingview.com/chart/bXJLby4L/?symbol=NSE%3ANIFTY50VALUE20</t>
  </si>
  <si>
    <t>NIFTY50VALUE30</t>
  </si>
  <si>
    <t>NSE%3APOLYCAB</t>
  </si>
  <si>
    <t>https://in.tradingview.com/chart/ofQQfXOP/?symbol=NSE%3ANIFTY50VALUE30</t>
  </si>
  <si>
    <t>https://in.tradingview.com/chart/bXJLby4L/?symbol=NSE%3ANIFTY50VALUE30</t>
  </si>
  <si>
    <t>NIFTYALPHA50</t>
  </si>
  <si>
    <t>NSE%3APOLYMED</t>
  </si>
  <si>
    <t>https://in.tradingview.com/chart/ofQQfXOP/?symbol=NSE%3ANIFTYALPHA50</t>
  </si>
  <si>
    <t>https://in.tradingview.com/chart/bXJLby4L/?symbol=NSE%3ANIFTYALPHA50</t>
  </si>
  <si>
    <t>NIFTYALPHALOWVOL</t>
  </si>
  <si>
    <t>NSE%3APOLYPLEX</t>
  </si>
  <si>
    <t>https://in.tradingview.com/chart/ofQQfXOP/?symbol=NSE%3ANIFTYALPHALOWVOL</t>
  </si>
  <si>
    <t>https://in.tradingview.com/chart/bXJLby4L/?symbol=NSE%3ANIFTYALPHALOWVOL</t>
  </si>
  <si>
    <t>NIFTYAUTO</t>
  </si>
  <si>
    <t>NSE%3APONNIERODE</t>
  </si>
  <si>
    <t>https://in.tradingview.com/chart/ofQQfXOP/?symbol=NSE%3ANIFTYAUTO</t>
  </si>
  <si>
    <t>https://in.tradingview.com/chart/bXJLby4L/?symbol=NSE%3ANIFTYAUTO</t>
  </si>
  <si>
    <t>NIFTYBEES</t>
  </si>
  <si>
    <t>NSE%3APOONAWALLA</t>
  </si>
  <si>
    <t>https://in.tradingview.com/chart/ofQQfXOP/?symbol=NSE%3ANIFTYBEES</t>
  </si>
  <si>
    <t>https://in.tradingview.com/chart/bXJLby4L/?symbol=NSE%3ANIFTYBEES</t>
  </si>
  <si>
    <t>NIFTYCAPITALMKT</t>
  </si>
  <si>
    <t>NSE%3APOWERGRID</t>
  </si>
  <si>
    <t>https://in.tradingview.com/chart/ofQQfXOP/?symbol=NSE%3ANIFTYCAPITALMKT</t>
  </si>
  <si>
    <t>https://in.tradingview.com/chart/bXJLby4L/?symbol=NSE%3ANIFTYCAPITALMKT</t>
  </si>
  <si>
    <t>NIFTYCOMMODITIES</t>
  </si>
  <si>
    <t>NSE%3APOWERINDIA</t>
  </si>
  <si>
    <t>https://in.tradingview.com/chart/ofQQfXOP/?symbol=NSE%3ANIFTYCOMMODITIES</t>
  </si>
  <si>
    <t>https://in.tradingview.com/chart/bXJLby4L/?symbol=NSE%3ANIFTYCOMMODITIES</t>
  </si>
  <si>
    <t>NIFTYCONSUMPTION</t>
  </si>
  <si>
    <t>NSE%3APOWERMECH</t>
  </si>
  <si>
    <t>https://in.tradingview.com/chart/ofQQfXOP/?symbol=NSE%3ANIFTYCONSUMPTION</t>
  </si>
  <si>
    <t>https://in.tradingview.com/chart/bXJLby4L/?symbol=NSE%3ANIFTYCONSUMPTION</t>
  </si>
  <si>
    <t>NIFTYCONSURDURBL</t>
  </si>
  <si>
    <t>NSE%3APPAP</t>
  </si>
  <si>
    <t>https://in.tradingview.com/chart/ofQQfXOP/?symbol=NSE%3ANIFTYCONSURDURBL</t>
  </si>
  <si>
    <t>https://in.tradingview.com/chart/bXJLby4L/?symbol=NSE%3ANIFTYCONSURDURBL</t>
  </si>
  <si>
    <t>NIFTYCPSE</t>
  </si>
  <si>
    <t>NSE%3APPL</t>
  </si>
  <si>
    <t>https://in.tradingview.com/chart/ofQQfXOP/?symbol=NSE%3ANIFTYCPSE</t>
  </si>
  <si>
    <t>https://in.tradingview.com/chart/bXJLby4L/?symbol=NSE%3ANIFTYCPSE</t>
  </si>
  <si>
    <t>NIFTYDIVOPPS50</t>
  </si>
  <si>
    <t>NSE%3APPLPHARMA</t>
  </si>
  <si>
    <t>https://in.tradingview.com/chart/ofQQfXOP/?symbol=NSE%3ANIFTYDIVOPPS50</t>
  </si>
  <si>
    <t>https://in.tradingview.com/chart/bXJLby4L/?symbol=NSE%3ANIFTYDIVOPPS50</t>
  </si>
  <si>
    <t>NIFTYETF</t>
  </si>
  <si>
    <t>NSE%3APRAENG</t>
  </si>
  <si>
    <t>https://in.tradingview.com/chart/ofQQfXOP/?symbol=NSE%3ANIFTYETF</t>
  </si>
  <si>
    <t>https://in.tradingview.com/chart/bXJLby4L/?symbol=NSE%3ANIFTYETF</t>
  </si>
  <si>
    <t>NIFTYFINSERVICE</t>
  </si>
  <si>
    <t>NSE%3APRAJIND</t>
  </si>
  <si>
    <t>https://in.tradingview.com/chart/ofQQfXOP/?symbol=NSE%3ANIFTYFINSERVICE</t>
  </si>
  <si>
    <t>https://in.tradingview.com/chart/bXJLby4L/?symbol=NSE%3ANIFTYFINSERVICE</t>
  </si>
  <si>
    <t>NIFTYFINSRV2550</t>
  </si>
  <si>
    <t>NSE%3APRAKASH</t>
  </si>
  <si>
    <t>https://in.tradingview.com/chart/ofQQfXOP/?symbol=NSE%3ANIFTYFINSRV2550</t>
  </si>
  <si>
    <t>https://in.tradingview.com/chart/bXJLby4L/?symbol=NSE%3ANIFTYFINSRV2550</t>
  </si>
  <si>
    <t>NIFTYFMCG</t>
  </si>
  <si>
    <t>NSE%3APRAKASHSTL</t>
  </si>
  <si>
    <t>https://in.tradingview.com/chart/ofQQfXOP/?symbol=NSE%3ANIFTYFMCG</t>
  </si>
  <si>
    <t>https://in.tradingview.com/chart/bXJLby4L/?symbol=NSE%3ANIFTYFMCG</t>
  </si>
  <si>
    <t>NIFTYGROWSECT15</t>
  </si>
  <si>
    <t>NSE%3APRAXIS</t>
  </si>
  <si>
    <t>https://in.tradingview.com/chart/ofQQfXOP/?symbol=NSE%3ANIFTYGROWSECT15</t>
  </si>
  <si>
    <t>https://in.tradingview.com/chart/bXJLby4L/?symbol=NSE%3ANIFTYGROWSECT15</t>
  </si>
  <si>
    <t>NIFTYGS10YR</t>
  </si>
  <si>
    <t>NSE%3APRECAM</t>
  </si>
  <si>
    <t>https://in.tradingview.com/chart/ofQQfXOP/?symbol=NSE%3ANIFTYGS10YR</t>
  </si>
  <si>
    <t>https://in.tradingview.com/chart/bXJLby4L/?symbol=NSE%3ANIFTYGS10YR</t>
  </si>
  <si>
    <t>NIFTYGS10YRCLN</t>
  </si>
  <si>
    <t>NSE%3APRECOT</t>
  </si>
  <si>
    <t>https://in.tradingview.com/chart/ofQQfXOP/?symbol=NSE%3ANIFTYGS10YRCLN</t>
  </si>
  <si>
    <t>https://in.tradingview.com/chart/bXJLby4L/?symbol=NSE%3ANIFTYGS10YRCLN</t>
  </si>
  <si>
    <t>NIFTYGS1115YR</t>
  </si>
  <si>
    <t>NSE%3APRECWIRE</t>
  </si>
  <si>
    <t>https://in.tradingview.com/chart/ofQQfXOP/?symbol=NSE%3ANIFTYGS1115YR</t>
  </si>
  <si>
    <t>https://in.tradingview.com/chart/bXJLby4L/?symbol=NSE%3ANIFTYGS1115YR</t>
  </si>
  <si>
    <t>NIFTYGS15YRPLUS</t>
  </si>
  <si>
    <t>NSE%3APREMEXPLN</t>
  </si>
  <si>
    <t>https://in.tradingview.com/chart/ofQQfXOP/?symbol=NSE%3ANIFTYGS15YRPLUS</t>
  </si>
  <si>
    <t>https://in.tradingview.com/chart/bXJLby4L/?symbol=NSE%3ANIFTYGS15YRPLUS</t>
  </si>
  <si>
    <t>NIFTYGS48YR</t>
  </si>
  <si>
    <t>NSE%3APREMIER</t>
  </si>
  <si>
    <t>https://in.tradingview.com/chart/ofQQfXOP/?symbol=NSE%3ANIFTYGS48YR</t>
  </si>
  <si>
    <t>https://in.tradingview.com/chart/bXJLby4L/?symbol=NSE%3ANIFTYGS48YR</t>
  </si>
  <si>
    <t>NIFTYGS813YR</t>
  </si>
  <si>
    <t>NSE%3APREMIERENE</t>
  </si>
  <si>
    <t>https://in.tradingview.com/chart/ofQQfXOP/?symbol=NSE%3ANIFTYGS813YR</t>
  </si>
  <si>
    <t>https://in.tradingview.com/chart/bXJLby4L/?symbol=NSE%3ANIFTYGS813YR</t>
  </si>
  <si>
    <t>NIFTYGSCOMPSITE</t>
  </si>
  <si>
    <t>NSE%3APREMIERPOL</t>
  </si>
  <si>
    <t>https://in.tradingview.com/chart/ofQQfXOP/?symbol=NSE%3ANIFTYGSCOMPSITE</t>
  </si>
  <si>
    <t>https://in.tradingview.com/chart/bXJLby4L/?symbol=NSE%3ANIFTYGSCOMPSITE</t>
  </si>
  <si>
    <t>NIFTYHEALTHCARE</t>
  </si>
  <si>
    <t>NSE%3APRESTIGE</t>
  </si>
  <si>
    <t>https://in.tradingview.com/chart/ofQQfXOP/?symbol=NSE%3ANIFTYHEALTHCARE</t>
  </si>
  <si>
    <t>https://in.tradingview.com/chart/bXJLby4L/?symbol=NSE%3ANIFTYHEALTHCARE</t>
  </si>
  <si>
    <t>NIFTYIETF</t>
  </si>
  <si>
    <t>NSE%3APRICOLLTD</t>
  </si>
  <si>
    <t>https://in.tradingview.com/chart/ofQQfXOP/?symbol=NSE%3ANIFTYIETF</t>
  </si>
  <si>
    <t>https://in.tradingview.com/chart/bXJLby4L/?symbol=NSE%3ANIFTYIETF</t>
  </si>
  <si>
    <t>NIFTYINDDEFENCE</t>
  </si>
  <si>
    <t>NSE%3APRIMESECU</t>
  </si>
  <si>
    <t>https://in.tradingview.com/chart/ofQQfXOP/?symbol=NSE%3ANIFTYINDDEFENCE</t>
  </si>
  <si>
    <t>https://in.tradingview.com/chart/bXJLby4L/?symbol=NSE%3ANIFTYINDDEFENCE</t>
  </si>
  <si>
    <t>NIFTYINDDIGITAL</t>
  </si>
  <si>
    <t>NSE%3APRINCEPIPE</t>
  </si>
  <si>
    <t>https://in.tradingview.com/chart/ofQQfXOP/?symbol=NSE%3ANIFTYINDDIGITAL</t>
  </si>
  <si>
    <t>https://in.tradingview.com/chart/bXJLby4L/?symbol=NSE%3ANIFTYINDDIGITAL</t>
  </si>
  <si>
    <t>NIFTYINDIAMFG</t>
  </si>
  <si>
    <t>NSE%3APRITI</t>
  </si>
  <si>
    <t>https://in.tradingview.com/chart/ofQQfXOP/?symbol=NSE%3ANIFTYINDIAMFG</t>
  </si>
  <si>
    <t>https://in.tradingview.com/chart/bXJLby4L/?symbol=NSE%3ANIFTYINDIAMFG</t>
  </si>
  <si>
    <t>NIFTYINDTOURISM</t>
  </si>
  <si>
    <t>NSE%3APRITIKAUTO</t>
  </si>
  <si>
    <t>https://in.tradingview.com/chart/ofQQfXOP/?symbol=NSE%3ANIFTYINDTOURISM</t>
  </si>
  <si>
    <t>https://in.tradingview.com/chart/bXJLby4L/?symbol=NSE%3ANIFTYINDTOURISM</t>
  </si>
  <si>
    <t>NIFTYLARGEMID250</t>
  </si>
  <si>
    <t>NSE%3APRIVISCL</t>
  </si>
  <si>
    <t>https://in.tradingview.com/chart/ofQQfXOP/?symbol=NSE%3ANIFTYLARGEMID250</t>
  </si>
  <si>
    <t>https://in.tradingview.com/chart/bXJLby4L/?symbol=NSE%3ANIFTYLARGEMID250</t>
  </si>
  <si>
    <t>NIFTYM150MOMNTM50</t>
  </si>
  <si>
    <t>NSE%3APROTEAN</t>
  </si>
  <si>
    <t>https://in.tradingview.com/chart/ofQQfXOP/?symbol=NSE%3ANIFTYM150MOMNTM50</t>
  </si>
  <si>
    <t>https://in.tradingview.com/chart/bXJLby4L/?symbol=NSE%3ANIFTYM150MOMNTM50</t>
  </si>
  <si>
    <t>NIFTYM150QLTY50</t>
  </si>
  <si>
    <t>NSE%3APROZONER</t>
  </si>
  <si>
    <t>https://in.tradingview.com/chart/ofQQfXOP/?symbol=NSE%3ANIFTYM150QLTY50</t>
  </si>
  <si>
    <t>https://in.tradingview.com/chart/bXJLby4L/?symbol=NSE%3ANIFTYM150QLTY50</t>
  </si>
  <si>
    <t>NIFTYMEDIA</t>
  </si>
  <si>
    <t>NSE%3APRSMJOHNSN</t>
  </si>
  <si>
    <t>https://in.tradingview.com/chart/ofQQfXOP/?symbol=NSE%3ANIFTYMEDIA</t>
  </si>
  <si>
    <t>https://in.tradingview.com/chart/bXJLby4L/?symbol=NSE%3ANIFTYMEDIA</t>
  </si>
  <si>
    <t>NIFTYMETAL</t>
  </si>
  <si>
    <t>NSE%3APRUDENT</t>
  </si>
  <si>
    <t>https://in.tradingview.com/chart/ofQQfXOP/?symbol=NSE%3ANIFTYMETAL</t>
  </si>
  <si>
    <t>https://in.tradingview.com/chart/bXJLby4L/?symbol=NSE%3ANIFTYMETAL</t>
  </si>
  <si>
    <t>NIFTYMICROCAP250</t>
  </si>
  <si>
    <t>NSE%3APSB</t>
  </si>
  <si>
    <t>https://in.tradingview.com/chart/ofQQfXOP/?symbol=NSE%3ANIFTYMICROCAP250</t>
  </si>
  <si>
    <t>https://in.tradingview.com/chart/bXJLby4L/?symbol=NSE%3ANIFTYMICROCAP250</t>
  </si>
  <si>
    <t>NIFTYMIDCAP50</t>
  </si>
  <si>
    <t>NSE%3APSPPROJECT</t>
  </si>
  <si>
    <t>https://in.tradingview.com/chart/ofQQfXOP/?symbol=NSE%3ANIFTYMIDCAP50</t>
  </si>
  <si>
    <t>https://in.tradingview.com/chart/bXJLby4L/?symbol=NSE%3ANIFTYMIDCAP50</t>
  </si>
  <si>
    <t>NIFTYMIDLIQ15</t>
  </si>
  <si>
    <t>NSE%3APSUBANK</t>
  </si>
  <si>
    <t>https://in.tradingview.com/chart/ofQQfXOP/?symbol=NSE%3ANIFTYMIDLIQ15</t>
  </si>
  <si>
    <t>https://in.tradingview.com/chart/bXJLby4L/?symbol=NSE%3ANIFTYMIDLIQ15</t>
  </si>
  <si>
    <t>NIFTYMIDSELECT</t>
  </si>
  <si>
    <t>NSE%3APSUBANKADD</t>
  </si>
  <si>
    <t>https://in.tradingview.com/chart/ofQQfXOP/?symbol=NSE%3ANIFTYMIDSELECT</t>
  </si>
  <si>
    <t>https://in.tradingview.com/chart/bXJLby4L/?symbol=NSE%3ANIFTYMIDSELECT</t>
  </si>
  <si>
    <t>NIFTYMIDSMALLCAP400</t>
  </si>
  <si>
    <t>NSE%3APSUBNKBEES</t>
  </si>
  <si>
    <t>https://in.tradingview.com/chart/ofQQfXOP/?symbol=NSE%3ANIFTYMIDSMALLCAP400</t>
  </si>
  <si>
    <t>https://in.tradingview.com/chart/bXJLby4L/?symbol=NSE%3ANIFTYMIDSMALLCAP400</t>
  </si>
  <si>
    <t>NIFTYMIDSMLHLTH</t>
  </si>
  <si>
    <t>NSE%3APSUBNKIETF</t>
  </si>
  <si>
    <t>https://in.tradingview.com/chart/ofQQfXOP/?symbol=NSE%3ANIFTYMIDSMLHLTH</t>
  </si>
  <si>
    <t>https://in.tradingview.com/chart/bXJLby4L/?symbol=NSE%3ANIFTYMIDSMLHLTH</t>
  </si>
  <si>
    <t>NIFTYMS400MQ100</t>
  </si>
  <si>
    <t>NSE%3APTC</t>
  </si>
  <si>
    <t>https://in.tradingview.com/chart/ofQQfXOP/?symbol=NSE%3ANIFTYMS400MQ100</t>
  </si>
  <si>
    <t>https://in.tradingview.com/chart/bXJLby4L/?symbol=NSE%3ANIFTYMS400MQ100</t>
  </si>
  <si>
    <t>NIFTYMULTIINFRA</t>
  </si>
  <si>
    <t>NSE%3APTCIL</t>
  </si>
  <si>
    <t>https://in.tradingview.com/chart/ofQQfXOP/?symbol=NSE%3ANIFTYMULTIINFRA</t>
  </si>
  <si>
    <t>https://in.tradingview.com/chart/bXJLby4L/?symbol=NSE%3ANIFTYMULTIINFRA</t>
  </si>
  <si>
    <t>NIFTYMULTIMFG</t>
  </si>
  <si>
    <t>NSE%3APTL</t>
  </si>
  <si>
    <t>https://in.tradingview.com/chart/ofQQfXOP/?symbol=NSE%3ANIFTYMULTIMFG</t>
  </si>
  <si>
    <t>https://in.tradingview.com/chart/bXJLby4L/?symbol=NSE%3ANIFTYMULTIMFG</t>
  </si>
  <si>
    <t>NIFTYOILANDGAS</t>
  </si>
  <si>
    <t>NSE%3APUNJABCHEM</t>
  </si>
  <si>
    <t>https://in.tradingview.com/chart/ofQQfXOP/?symbol=NSE%3ANIFTYOILANDGAS</t>
  </si>
  <si>
    <t>https://in.tradingview.com/chart/bXJLby4L/?symbol=NSE%3ANIFTYOILANDGAS</t>
  </si>
  <si>
    <t>NIFTYPSUBANK</t>
  </si>
  <si>
    <t>NSE%3APURVA</t>
  </si>
  <si>
    <t>https://in.tradingview.com/chart/ofQQfXOP/?symbol=NSE%3ANIFTYPSUBANK</t>
  </si>
  <si>
    <t>https://in.tradingview.com/chart/bXJLby4L/?symbol=NSE%3ANIFTYPSUBANK</t>
  </si>
  <si>
    <t>NIFTYPVTBANK</t>
  </si>
  <si>
    <t>NSE%3APVP</t>
  </si>
  <si>
    <t>https://in.tradingview.com/chart/ofQQfXOP/?symbol=NSE%3ANIFTYPVTBANK</t>
  </si>
  <si>
    <t>https://in.tradingview.com/chart/bXJLby4L/?symbol=NSE%3ANIFTYPVTBANK</t>
  </si>
  <si>
    <t>NIFTYSERVSECTOR</t>
  </si>
  <si>
    <t>NSE%3APVRINOX</t>
  </si>
  <si>
    <t>https://in.tradingview.com/chart/ofQQfXOP/?symbol=NSE%3ANIFTYSERVSECTOR</t>
  </si>
  <si>
    <t>https://in.tradingview.com/chart/bXJLby4L/?symbol=NSE%3ANIFTYSERVSECTOR</t>
  </si>
  <si>
    <t>NIFTYSMALLCAP250</t>
  </si>
  <si>
    <t>NSE%3APVSL</t>
  </si>
  <si>
    <t>https://in.tradingview.com/chart/ofQQfXOP/?symbol=NSE%3ANIFTYSMALLCAP250</t>
  </si>
  <si>
    <t>https://in.tradingview.com/chart/bXJLby4L/?symbol=NSE%3ANIFTYSMALLCAP250</t>
  </si>
  <si>
    <t>NIFTYSMALLCAP50</t>
  </si>
  <si>
    <t>NSE%3APVTBANIETF</t>
  </si>
  <si>
    <t>https://in.tradingview.com/chart/ofQQfXOP/?symbol=NSE%3ANIFTYSMALLCAP50</t>
  </si>
  <si>
    <t>https://in.tradingview.com/chart/bXJLby4L/?symbol=NSE%3ANIFTYSMALLCAP50</t>
  </si>
  <si>
    <t>NIFTYSML250MQ100</t>
  </si>
  <si>
    <t>NSE%3APVTBANKADD</t>
  </si>
  <si>
    <t>https://in.tradingview.com/chart/ofQQfXOP/?symbol=NSE%3ANIFTYSML250MQ100</t>
  </si>
  <si>
    <t>https://in.tradingview.com/chart/bXJLby4L/?symbol=NSE%3ANIFTYSML250MQ100</t>
  </si>
  <si>
    <t>NIFTYTATA25CAP</t>
  </si>
  <si>
    <t>NSE%3APYRAMID</t>
  </si>
  <si>
    <t>https://in.tradingview.com/chart/ofQQfXOP/?symbol=NSE%3ANIFTYTATA25CAP</t>
  </si>
  <si>
    <t>https://in.tradingview.com/chart/bXJLby4L/?symbol=NSE%3ANIFTYTATA25CAP</t>
  </si>
  <si>
    <t>NIFTYTOP10EW</t>
  </si>
  <si>
    <t>NSE%3AQGOLDHALF</t>
  </si>
  <si>
    <t>https://in.tradingview.com/chart/ofQQfXOP/?symbol=NSE%3ANIFTYTOP10EW</t>
  </si>
  <si>
    <t>https://in.tradingview.com/chart/bXJLby4L/?symbol=NSE%3ANIFTYTOP10EW</t>
  </si>
  <si>
    <t>NIITMTS</t>
  </si>
  <si>
    <t>NIIT Learning Systems Ltd</t>
  </si>
  <si>
    <t>NSE%3AQNIFTY</t>
  </si>
  <si>
    <t>https://in.tradingview.com/chart/ofQQfXOP/?symbol=NSE%3ANIITMTS</t>
  </si>
  <si>
    <t>https://in.tradingview.com/chart/bXJLby4L/?symbol=NSE%3ANIITMTS</t>
  </si>
  <si>
    <t>NIITLTD</t>
  </si>
  <si>
    <t>Niit Limited</t>
  </si>
  <si>
    <t>NSE%3AQPOWER</t>
  </si>
  <si>
    <t>https://in.tradingview.com/chart/ofQQfXOP/?symbol=NSE%3ANIITLTD</t>
  </si>
  <si>
    <t>https://in.tradingview.com/chart/bXJLby4L/?symbol=NSE%3ANIITLTD</t>
  </si>
  <si>
    <t>NILAINFRA</t>
  </si>
  <si>
    <t>Nila Infrastructures Limited</t>
  </si>
  <si>
    <t>NSE%3AQUADFUTURE</t>
  </si>
  <si>
    <t>https://in.tradingview.com/chart/ofQQfXOP/?symbol=NSE%3ANILAINFRA</t>
  </si>
  <si>
    <t>https://in.tradingview.com/chart/bXJLby4L/?symbol=NSE%3ANILAINFRA</t>
  </si>
  <si>
    <t>NILASPACES</t>
  </si>
  <si>
    <t>Nila Spaces Ltd</t>
  </si>
  <si>
    <t>NSE%3AQUAL30IETF</t>
  </si>
  <si>
    <t>https://in.tradingview.com/chart/ofQQfXOP/?symbol=NSE%3ANILASPACES</t>
  </si>
  <si>
    <t>https://in.tradingview.com/chart/bXJLby4L/?symbol=NSE%3ANILASPACES</t>
  </si>
  <si>
    <t>NILKAMAL</t>
  </si>
  <si>
    <t>Nilkamal Limited</t>
  </si>
  <si>
    <t>NSE%3AQUESS</t>
  </si>
  <si>
    <t>https://in.tradingview.com/chart/ofQQfXOP/?symbol=NSE%3ANILKAMAL</t>
  </si>
  <si>
    <t>https://in.tradingview.com/chart/bXJLby4L/?symbol=NSE%3ANILKAMAL</t>
  </si>
  <si>
    <t>NINSYS</t>
  </si>
  <si>
    <t>NINtec Systems Ltd</t>
  </si>
  <si>
    <t>NSE%3AQUICKHEAL</t>
  </si>
  <si>
    <t>https://in.tradingview.com/chart/ofQQfXOP/?symbol=NSE%3ANINSYS</t>
  </si>
  <si>
    <t>https://in.tradingview.com/chart/bXJLby4L/?symbol=NSE%3ANINSYS</t>
  </si>
  <si>
    <t>SNXT30BEES</t>
  </si>
  <si>
    <t>Nippon India BSE Sensex Next 30 ETF</t>
  </si>
  <si>
    <t>NSE%3ARACE</t>
  </si>
  <si>
    <t>https://in.tradingview.com/chart/ofQQfXOP/?symbol=NSE%3ASNXT30BEES</t>
  </si>
  <si>
    <t>https://in.tradingview.com/chart/bXJLby4L/?symbol=NSE%3ASNXT30BEES</t>
  </si>
  <si>
    <t>DIVOPPBEES</t>
  </si>
  <si>
    <t>Nippon India ETF  Nifty Dividend Opportunities 50</t>
  </si>
  <si>
    <t>NSE%3ARACLGEAR</t>
  </si>
  <si>
    <t>https://in.tradingview.com/chart/ofQQfXOP/?symbol=NSE%3ADIVOPPBEES</t>
  </si>
  <si>
    <t>https://in.tradingview.com/chart/bXJLby4L/?symbol=NSE%3ADIVOPPBEES</t>
  </si>
  <si>
    <t>GILT5YBEES</t>
  </si>
  <si>
    <t>Nippon India ETF 5 Year Gilt</t>
  </si>
  <si>
    <t>NSE%3ARADAAN</t>
  </si>
  <si>
    <t>https://in.tradingview.com/chart/ofQQfXOP/?symbol=NSE%3AGILT5YBEES</t>
  </si>
  <si>
    <t>https://in.tradingview.com/chart/bXJLby4L/?symbol=NSE%3AGILT5YBEES</t>
  </si>
  <si>
    <t>BANKBEES</t>
  </si>
  <si>
    <t>Nippon India ETF Bank Bees</t>
  </si>
  <si>
    <t>NSE%3ARADHIKAJWE</t>
  </si>
  <si>
    <t>https://in.tradingview.com/chart/ofQQfXOP/?symbol=NSE%3ABANKBEES</t>
  </si>
  <si>
    <t>https://in.tradingview.com/chart/bXJLby4L/?symbol=NSE%3ABANKBEES</t>
  </si>
  <si>
    <t>GOLDBEES</t>
  </si>
  <si>
    <t>Nippon India ETF Gold Bees</t>
  </si>
  <si>
    <t>NSE%3ARADIANTCMS</t>
  </si>
  <si>
    <t>https://in.tradingview.com/chart/ofQQfXOP/?symbol=NSE%3AGOLDBEES</t>
  </si>
  <si>
    <t>https://in.tradingview.com/chart/bXJLby4L/?symbol=NSE%3AGOLDBEES</t>
  </si>
  <si>
    <t>HNGSNGBEES</t>
  </si>
  <si>
    <t>Nippon India ETF Hang Seng Bees</t>
  </si>
  <si>
    <t>NSE%3ARADICO</t>
  </si>
  <si>
    <t>https://in.tradingview.com/chart/ofQQfXOP/?symbol=NSE%3AHNGSNGBEES</t>
  </si>
  <si>
    <t>https://in.tradingview.com/chart/bXJLby4L/?symbol=NSE%3AHNGSNGBEES</t>
  </si>
  <si>
    <t>INFRABEES</t>
  </si>
  <si>
    <t>Nippon India ETF Infra BeES</t>
  </si>
  <si>
    <t>NSE%3ARADIOCITY</t>
  </si>
  <si>
    <t>https://in.tradingview.com/chart/ofQQfXOP/?symbol=NSE%3AINFRABEES</t>
  </si>
  <si>
    <t>https://in.tradingview.com/chart/bXJLby4L/?symbol=NSE%3AINFRABEES</t>
  </si>
  <si>
    <t>JUNIORBEES</t>
  </si>
  <si>
    <t>Nippon India ETF Junior BeES</t>
  </si>
  <si>
    <t>NSE%3ARAILTEL</t>
  </si>
  <si>
    <t>https://in.tradingview.com/chart/ofQQfXOP/?symbol=NSE%3AJUNIORBEES</t>
  </si>
  <si>
    <t>https://in.tradingview.com/chart/bXJLby4L/?symbol=NSE%3AJUNIORBEES</t>
  </si>
  <si>
    <t>LIQUIDBEES</t>
  </si>
  <si>
    <t>Nippon India ETF Liquid BeES</t>
  </si>
  <si>
    <t>NSE%3ARAIN</t>
  </si>
  <si>
    <t>https://in.tradingview.com/chart/ofQQfXOP/?symbol=NSE%3ALIQUIDBEES</t>
  </si>
  <si>
    <t>https://in.tradingview.com/chart/bXJLby4L/?symbol=NSE%3ALIQUIDBEES</t>
  </si>
  <si>
    <t>NIF100BEES</t>
  </si>
  <si>
    <t>Nippon India ETF NIFTY 100</t>
  </si>
  <si>
    <t>NSE%3ARAINBOW</t>
  </si>
  <si>
    <t>https://in.tradingview.com/chart/ofQQfXOP/?symbol=NSE%3ANIF100BEES</t>
  </si>
  <si>
    <t>https://in.tradingview.com/chart/bXJLby4L/?symbol=NSE%3ANIF100BEES</t>
  </si>
  <si>
    <t>NV20BEES</t>
  </si>
  <si>
    <t>Nippon India ETF Nifty 50 Value 20</t>
  </si>
  <si>
    <t>NSE%3ARAJESHEXPO</t>
  </si>
  <si>
    <t>https://in.tradingview.com/chart/ofQQfXOP/?symbol=NSE%3ANV20BEES</t>
  </si>
  <si>
    <t>https://in.tradingview.com/chart/bXJLby4L/?symbol=NSE%3ANV20BEES</t>
  </si>
  <si>
    <t>LTGILTBEES</t>
  </si>
  <si>
    <t>Nippon India ETF Nifty 8-13 yr G-Sec LongTerm Gilt</t>
  </si>
  <si>
    <t>NSE%3ARAJMET</t>
  </si>
  <si>
    <t>https://in.tradingview.com/chart/ofQQfXOP/?symbol=NSE%3ALTGILTBEES</t>
  </si>
  <si>
    <t>https://in.tradingview.com/chart/bXJLby4L/?symbol=NSE%3ALTGILTBEES</t>
  </si>
  <si>
    <t>CONSUMBEES</t>
  </si>
  <si>
    <t>Nippon India ETF Nifty India Consumption</t>
  </si>
  <si>
    <t>NSE%3ARAJRATAN</t>
  </si>
  <si>
    <t>https://in.tradingview.com/chart/ofQQfXOP/?symbol=NSE%3ACONSUMBEES</t>
  </si>
  <si>
    <t>https://in.tradingview.com/chart/bXJLby4L/?symbol=NSE%3ACONSUMBEES</t>
  </si>
  <si>
    <t>ITBEES</t>
  </si>
  <si>
    <t>Nippon India ETF Nifty IT</t>
  </si>
  <si>
    <t>NSE%3ARAJRILTD</t>
  </si>
  <si>
    <t>https://in.tradingview.com/chart/ofQQfXOP/?symbol=NSE%3AITBEES</t>
  </si>
  <si>
    <t>https://in.tradingview.com/chart/bXJLby4L/?symbol=NSE%3AITBEES</t>
  </si>
  <si>
    <t>MID150BEES</t>
  </si>
  <si>
    <t>Nippon India ETF Nifty Midcap 150</t>
  </si>
  <si>
    <t>NSE%3ARAJSREESUG</t>
  </si>
  <si>
    <t>https://in.tradingview.com/chart/ofQQfXOP/?symbol=NSE%3AMID150BEES</t>
  </si>
  <si>
    <t>https://in.tradingview.com/chart/bXJLby4L/?symbol=NSE%3AMID150BEES</t>
  </si>
  <si>
    <t>SDL26BEES</t>
  </si>
  <si>
    <t>Nippon India ETF Nifty SDL-2026 Maturity</t>
  </si>
  <si>
    <t>NSE%3ARAJTV</t>
  </si>
  <si>
    <t>https://in.tradingview.com/chart/ofQQfXOP/?symbol=NSE%3ASDL26BEES</t>
  </si>
  <si>
    <t>https://in.tradingview.com/chart/bXJLby4L/?symbol=NSE%3ASDL26BEES</t>
  </si>
  <si>
    <t>PSUBNKBEES</t>
  </si>
  <si>
    <t>Nippon India ETF PSU Bank Bees</t>
  </si>
  <si>
    <t>NSE%3ARALLIS</t>
  </si>
  <si>
    <t>https://in.tradingview.com/chart/ofQQfXOP/?symbol=NSE%3APSUBNKBEES</t>
  </si>
  <si>
    <t>https://in.tradingview.com/chart/bXJLby4L/?symbol=NSE%3APSUBNKBEES</t>
  </si>
  <si>
    <t>SHARIABEES</t>
  </si>
  <si>
    <t>Nippon India ETF Shariah BeES</t>
  </si>
  <si>
    <t>NSE%3ARAMANEWS</t>
  </si>
  <si>
    <t>https://in.tradingview.com/chart/ofQQfXOP/?symbol=NSE%3ASHARIABEES</t>
  </si>
  <si>
    <t>https://in.tradingview.com/chart/bXJLby4L/?symbol=NSE%3ASHARIABEES</t>
  </si>
  <si>
    <t>LIQGRWBEES</t>
  </si>
  <si>
    <t>Nippon India Nifty 1D Rate Liquid ETF - Growth</t>
  </si>
  <si>
    <t>NSE%3ARAMAPHO</t>
  </si>
  <si>
    <t>https://in.tradingview.com/chart/ofQQfXOP/?symbol=NSE%3ALIQGRWBEES</t>
  </si>
  <si>
    <t>https://in.tradingview.com/chart/bXJLby4L/?symbol=NSE%3ALIQGRWBEES</t>
  </si>
  <si>
    <t>AUTOBEES</t>
  </si>
  <si>
    <t>Nippon India Nifty Auto ETF</t>
  </si>
  <si>
    <t>NSE%3ARAMASTEEL</t>
  </si>
  <si>
    <t>https://in.tradingview.com/chart/ofQQfXOP/?symbol=NSE%3AAUTOBEES</t>
  </si>
  <si>
    <t>https://in.tradingview.com/chart/bXJLby4L/?symbol=NSE%3AAUTOBEES</t>
  </si>
  <si>
    <t>MANUFGBEES</t>
  </si>
  <si>
    <t>Nippon India Nifty India Manufacturing ETF</t>
  </si>
  <si>
    <t>NSE%3ARAMCOCEM</t>
  </si>
  <si>
    <t>https://in.tradingview.com/chart/ofQQfXOP/?symbol=NSE%3AMANUFGBEES</t>
  </si>
  <si>
    <t>https://in.tradingview.com/chart/bXJLby4L/?symbol=NSE%3AMANUFGBEES</t>
  </si>
  <si>
    <t>PHARMABEES</t>
  </si>
  <si>
    <t>Nippon India NIFTY Pharma ETF Growth Plan</t>
  </si>
  <si>
    <t>NSE%3ARAMCOIND</t>
  </si>
  <si>
    <t>https://in.tradingview.com/chart/ofQQfXOP/?symbol=NSE%3APHARMABEES</t>
  </si>
  <si>
    <t>https://in.tradingview.com/chart/bXJLby4L/?symbol=NSE%3APHARMABEES</t>
  </si>
  <si>
    <t>SILVERBEES</t>
  </si>
  <si>
    <t>Nippon India Silver ETF</t>
  </si>
  <si>
    <t>NSE%3ARAMCOSYS</t>
  </si>
  <si>
    <t>https://in.tradingview.com/chart/ofQQfXOP/?symbol=NSE%3ASILVERBEES</t>
  </si>
  <si>
    <t>https://in.tradingview.com/chart/bXJLby4L/?symbol=NSE%3ASILVERBEES</t>
  </si>
  <si>
    <t>NAM-INDIA</t>
  </si>
  <si>
    <t>Nippon Life India Asset Management Ltd</t>
  </si>
  <si>
    <t>NSE%3ARAMKY</t>
  </si>
  <si>
    <t>https://in.tradingview.com/chart/ofQQfXOP/?symbol=NSE%3ANAM-INDIA</t>
  </si>
  <si>
    <t>https://in.tradingview.com/chart/bXJLby4L/?symbol=NSE%3ANAM-INDIA</t>
  </si>
  <si>
    <t>NIRAJ</t>
  </si>
  <si>
    <t>Niraj Cement Structurals Ltd</t>
  </si>
  <si>
    <t>NSE%3ARAMRAT</t>
  </si>
  <si>
    <t>https://in.tradingview.com/chart/ofQQfXOP/?symbol=NSE%3ANIRAJ</t>
  </si>
  <si>
    <t>https://in.tradingview.com/chart/bXJLby4L/?symbol=NSE%3ANIRAJ</t>
  </si>
  <si>
    <t>NIRAJISPAT</t>
  </si>
  <si>
    <t>Niraj Ispat Industries Limited</t>
  </si>
  <si>
    <t>NSE%3ARANASUG</t>
  </si>
  <si>
    <t>https://in.tradingview.com/chart/ofQQfXOP/?symbol=NSE%3ANIRAJISPAT</t>
  </si>
  <si>
    <t>https://in.tradingview.com/chart/bXJLby4L/?symbol=NSE%3ANIRAJISPAT</t>
  </si>
  <si>
    <t>NITCO</t>
  </si>
  <si>
    <t>Nitco Limited</t>
  </si>
  <si>
    <t>NSE%3ARANEHOLDIN</t>
  </si>
  <si>
    <t>https://in.tradingview.com/chart/ofQQfXOP/?symbol=NSE%3ANITCO</t>
  </si>
  <si>
    <t>https://in.tradingview.com/chart/bXJLby4L/?symbol=NSE%3ANITCO</t>
  </si>
  <si>
    <t>NITINSPIN</t>
  </si>
  <si>
    <t>Nitin Spinners Limited</t>
  </si>
  <si>
    <t>NSE%3ARATEGAIN</t>
  </si>
  <si>
    <t>https://in.tradingview.com/chart/ofQQfXOP/?symbol=NSE%3ANITINSPIN</t>
  </si>
  <si>
    <t>https://in.tradingview.com/chart/bXJLby4L/?symbol=NSE%3ANITINSPIN</t>
  </si>
  <si>
    <t>NITIRAJ</t>
  </si>
  <si>
    <t>Nitiraj Engineers Ltd</t>
  </si>
  <si>
    <t>NSE%3ARATNAMANI</t>
  </si>
  <si>
    <t>https://in.tradingview.com/chart/ofQQfXOP/?symbol=NSE%3ANITIRAJ</t>
  </si>
  <si>
    <t>https://in.tradingview.com/chart/bXJLby4L/?symbol=NSE%3ANITIRAJ</t>
  </si>
  <si>
    <t>NIVABUPA</t>
  </si>
  <si>
    <t>Niva Bupa Health Insurance Company Ltd</t>
  </si>
  <si>
    <t>NSE%3ARATNAVEER</t>
  </si>
  <si>
    <t>https://in.tradingview.com/chart/ofQQfXOP/?symbol=NSE%3ANIVABUPA</t>
  </si>
  <si>
    <t>https://in.tradingview.com/chart/bXJLby4L/?symbol=NSE%3ANIVABUPA</t>
  </si>
  <si>
    <t>NKIND</t>
  </si>
  <si>
    <t>Nk Industries Limited</t>
  </si>
  <si>
    <t>NSE%3ARAYMOND</t>
  </si>
  <si>
    <t>https://in.tradingview.com/chart/ofQQfXOP/?symbol=NSE%3ANKIND</t>
  </si>
  <si>
    <t>https://in.tradingview.com/chart/bXJLby4L/?symbol=NSE%3ANKIND</t>
  </si>
  <si>
    <t>NLCINDIA</t>
  </si>
  <si>
    <t>Nlc India Limited</t>
  </si>
  <si>
    <t>NSE%3ARAYMONDLSL</t>
  </si>
  <si>
    <t>https://in.tradingview.com/chart/ofQQfXOP/?symbol=NSE%3ANLCINDIA</t>
  </si>
  <si>
    <t>https://in.tradingview.com/chart/bXJLby4L/?symbol=NSE%3ANLCINDIA</t>
  </si>
  <si>
    <t>NMDC</t>
  </si>
  <si>
    <t>Nmdc Limited</t>
  </si>
  <si>
    <t>NSE%3ARBA</t>
  </si>
  <si>
    <t>https://in.tradingview.com/chart/ofQQfXOP/?symbol=NSE%3ANMDC</t>
  </si>
  <si>
    <t>https://in.tradingview.com/chart/bXJLby4L/?symbol=NSE%3ANMDC</t>
  </si>
  <si>
    <t>NSLNISP</t>
  </si>
  <si>
    <t>NMDC Steel Ltd</t>
  </si>
  <si>
    <t>NSE%3ARBLBANK</t>
  </si>
  <si>
    <t>https://in.tradingview.com/chart/ofQQfXOP/?symbol=NSE%3ANSLNISP</t>
  </si>
  <si>
    <t>https://in.tradingview.com/chart/bXJLby4L/?symbol=NSE%3ANSLNISP</t>
  </si>
  <si>
    <t>NOCIL</t>
  </si>
  <si>
    <t>Nocil Limited</t>
  </si>
  <si>
    <t>NSE%3ARBZJEWEL</t>
  </si>
  <si>
    <t>https://in.tradingview.com/chart/ofQQfXOP/?symbol=NSE%3ANOCIL</t>
  </si>
  <si>
    <t>https://in.tradingview.com/chart/bXJLby4L/?symbol=NSE%3ANOCIL</t>
  </si>
  <si>
    <t>NORBTEAEXP</t>
  </si>
  <si>
    <t>Norben Tea &amp; Exports Limited</t>
  </si>
  <si>
    <t>NSE%3ARCF</t>
  </si>
  <si>
    <t>https://in.tradingview.com/chart/ofQQfXOP/?symbol=NSE%3ANORBTEAEXP</t>
  </si>
  <si>
    <t>https://in.tradingview.com/chart/bXJLby4L/?symbol=NSE%3ANORBTEAEXP</t>
  </si>
  <si>
    <t>NECCLTD</t>
  </si>
  <si>
    <t>North Eastern Carrying Corporation Limited</t>
  </si>
  <si>
    <t>NSE%3ARECLTD</t>
  </si>
  <si>
    <t>https://in.tradingview.com/chart/ofQQfXOP/?symbol=NSE%3ANECCLTD</t>
  </si>
  <si>
    <t>https://in.tradingview.com/chart/bXJLby4L/?symbol=NSE%3ANECCLTD</t>
  </si>
  <si>
    <t>NORTHARC</t>
  </si>
  <si>
    <t>Northern ARC Capital Ltd</t>
  </si>
  <si>
    <t>NSE%3AREDINGTON</t>
  </si>
  <si>
    <t>https://in.tradingview.com/chart/ofQQfXOP/?symbol=NSE%3ANORTHARC</t>
  </si>
  <si>
    <t>https://in.tradingview.com/chart/bXJLby4L/?symbol=NSE%3ANORTHARC</t>
  </si>
  <si>
    <t>NOVAAGRI</t>
  </si>
  <si>
    <t>Nova Agritech Ltd</t>
  </si>
  <si>
    <t>NSE%3AREDTAPE</t>
  </si>
  <si>
    <t>https://in.tradingview.com/chart/ofQQfXOP/?symbol=NSE%3ANOVAAGRI</t>
  </si>
  <si>
    <t>https://in.tradingview.com/chart/bXJLby4L/?symbol=NSE%3ANOVAAGRI</t>
  </si>
  <si>
    <t>NRBBEARING</t>
  </si>
  <si>
    <t>Nrb Bearing Limited</t>
  </si>
  <si>
    <t>NSE%3AREFEX</t>
  </si>
  <si>
    <t>https://in.tradingview.com/chart/ofQQfXOP/?symbol=NSE%3ANRBBEARING</t>
  </si>
  <si>
    <t>https://in.tradingview.com/chart/bXJLby4L/?symbol=NSE%3ANRBBEARING</t>
  </si>
  <si>
    <t>NIBL</t>
  </si>
  <si>
    <t>Nrb Industrial Bearings Limited</t>
  </si>
  <si>
    <t>NSE%3AREGENCERAM</t>
  </si>
  <si>
    <t>https://in.tradingview.com/chart/ofQQfXOP/?symbol=NSE%3ANIBL</t>
  </si>
  <si>
    <t>https://in.tradingview.com/chart/bXJLby4L/?symbol=NSE%3ANIBL</t>
  </si>
  <si>
    <t>NTPCGREEN</t>
  </si>
  <si>
    <t>NTPC Green Energy Ltd</t>
  </si>
  <si>
    <t>NSE%3ARELAXO</t>
  </si>
  <si>
    <t>https://in.tradingview.com/chart/ofQQfXOP/?symbol=NSE%3ANTPCGREEN</t>
  </si>
  <si>
    <t>https://in.tradingview.com/chart/bXJLby4L/?symbol=NSE%3ANTPCGREEN</t>
  </si>
  <si>
    <t>NTPC</t>
  </si>
  <si>
    <t>Ntpc Limited</t>
  </si>
  <si>
    <t>NSE%3ARELCHEMQ</t>
  </si>
  <si>
    <t>https://in.tradingview.com/chart/ofQQfXOP/?symbol=NSE%3ANTPC</t>
  </si>
  <si>
    <t>https://in.tradingview.com/chart/bXJLby4L/?symbol=NSE%3ANTPC</t>
  </si>
  <si>
    <t>NUCLEUS</t>
  </si>
  <si>
    <t>Nucleus Software Exports Limited</t>
  </si>
  <si>
    <t>NSE%3ARELIABLE</t>
  </si>
  <si>
    <t>https://in.tradingview.com/chart/ofQQfXOP/?symbol=NSE%3ANUCLEUS</t>
  </si>
  <si>
    <t>https://in.tradingview.com/chart/bXJLby4L/?symbol=NSE%3ANUCLEUS</t>
  </si>
  <si>
    <t>NRL</t>
  </si>
  <si>
    <t>Nupur Recyclers Ltd</t>
  </si>
  <si>
    <t>NSE%3ARELIANCE</t>
  </si>
  <si>
    <t>https://in.tradingview.com/chart/ofQQfXOP/?symbol=NSE%3ANRL</t>
  </si>
  <si>
    <t>https://in.tradingview.com/chart/bXJLby4L/?symbol=NSE%3ANRL</t>
  </si>
  <si>
    <t>NURECA</t>
  </si>
  <si>
    <t>Nureca Ltd</t>
  </si>
  <si>
    <t>NSE%3ARELIGARE</t>
  </si>
  <si>
    <t>https://in.tradingview.com/chart/ofQQfXOP/?symbol=NSE%3ANURECA</t>
  </si>
  <si>
    <t>https://in.tradingview.com/chart/bXJLby4L/?symbol=NSE%3ANURECA</t>
  </si>
  <si>
    <t>NUVAMA</t>
  </si>
  <si>
    <t>Nuvama Wealth Management Ltd</t>
  </si>
  <si>
    <t>NSE%3ARELINFRA</t>
  </si>
  <si>
    <t>https://in.tradingview.com/chart/ofQQfXOP/?symbol=NSE%3ANUVAMA</t>
  </si>
  <si>
    <t>https://in.tradingview.com/chart/bXJLby4L/?symbol=NSE%3ANUVAMA</t>
  </si>
  <si>
    <t>NUVOCO</t>
  </si>
  <si>
    <t>Nuvoco Vistas Corporation Ltd</t>
  </si>
  <si>
    <t>NSE%3ARELTD</t>
  </si>
  <si>
    <t>https://in.tradingview.com/chart/ofQQfXOP/?symbol=NSE%3ANUVOCO</t>
  </si>
  <si>
    <t>https://in.tradingview.com/chart/bXJLby4L/?symbol=NSE%3ANUVOCO</t>
  </si>
  <si>
    <t>OBEROIRLTY</t>
  </si>
  <si>
    <t>Oberoi Realty Limited</t>
  </si>
  <si>
    <t>NSE%3AREMSONSIND</t>
  </si>
  <si>
    <t>https://in.tradingview.com/chart/ofQQfXOP/?symbol=NSE%3AOBEROIRLTY</t>
  </si>
  <si>
    <t>https://in.tradingview.com/chart/bXJLby4L/?symbol=NSE%3AOBEROIRLTY</t>
  </si>
  <si>
    <t>OCCLLTD</t>
  </si>
  <si>
    <t>OCCL Ltd</t>
  </si>
  <si>
    <t>NSE%3ARENUKA</t>
  </si>
  <si>
    <t>https://in.tradingview.com/chart/ofQQfXOP/?symbol=NSE%3AOCCLLTD</t>
  </si>
  <si>
    <t>https://in.tradingview.com/chart/bXJLby4L/?symbol=NSE%3AOCCLLTD</t>
  </si>
  <si>
    <t>ODIGMA</t>
  </si>
  <si>
    <t>Odigma Consultancy Solutions Ltd</t>
  </si>
  <si>
    <t>NSE%3AREPCOHOME</t>
  </si>
  <si>
    <t>https://in.tradingview.com/chart/ofQQfXOP/?symbol=NSE%3AODIGMA</t>
  </si>
  <si>
    <t>https://in.tradingview.com/chart/bXJLby4L/?symbol=NSE%3AODIGMA</t>
  </si>
  <si>
    <t>ONGC</t>
  </si>
  <si>
    <t>Oil &amp; Natural Gas Corporation Limited</t>
  </si>
  <si>
    <t>NSE%3AREPL</t>
  </si>
  <si>
    <t>https://in.tradingview.com/chart/ofQQfXOP/?symbol=NSE%3AONGC</t>
  </si>
  <si>
    <t>https://in.tradingview.com/chart/bXJLby4L/?symbol=NSE%3AONGC</t>
  </si>
  <si>
    <t>OILCOUNTUB</t>
  </si>
  <si>
    <t>Oil Country Tubular Limited</t>
  </si>
  <si>
    <t>NSE%3AREPRO</t>
  </si>
  <si>
    <t>https://in.tradingview.com/chart/ofQQfXOP/?symbol=NSE%3AOILCOUNTUB</t>
  </si>
  <si>
    <t>https://in.tradingview.com/chart/bXJLby4L/?symbol=NSE%3AOILCOUNTUB</t>
  </si>
  <si>
    <t>OIL</t>
  </si>
  <si>
    <t>Oil India Limited</t>
  </si>
  <si>
    <t>NSE%3ARESPONIND</t>
  </si>
  <si>
    <t>https://in.tradingview.com/chart/ofQQfXOP/?symbol=NSE%3AOIL</t>
  </si>
  <si>
    <t>https://in.tradingview.com/chart/bXJLby4L/?symbol=NSE%3AOIL</t>
  </si>
  <si>
    <t>OLAELEC</t>
  </si>
  <si>
    <t>Ola Electric Mobility Ltd</t>
  </si>
  <si>
    <t>NSE%3ARETAIL</t>
  </si>
  <si>
    <t>https://in.tradingview.com/chart/ofQQfXOP/?symbol=NSE%3AOLAELEC</t>
  </si>
  <si>
    <t>https://in.tradingview.com/chart/bXJLby4L/?symbol=NSE%3AOLAELEC</t>
  </si>
  <si>
    <t>OLECTRA</t>
  </si>
  <si>
    <t>Olectra Greentech Ltd</t>
  </si>
  <si>
    <t>NSE%3ARGL</t>
  </si>
  <si>
    <t>https://in.tradingview.com/chart/ofQQfXOP/?symbol=NSE%3AOLECTRA</t>
  </si>
  <si>
    <t>https://in.tradingview.com/chart/bXJLby4L/?symbol=NSE%3AOLECTRA</t>
  </si>
  <si>
    <t>OMFREIGHT</t>
  </si>
  <si>
    <t>Om Freight Forwarders Ltd</t>
  </si>
  <si>
    <t>NSE%3ARHFL</t>
  </si>
  <si>
    <t>https://in.tradingview.com/chart/ofQQfXOP/?symbol=NSE%3AOMFREIGHT</t>
  </si>
  <si>
    <t>https://in.tradingview.com/chart/bXJLby4L/?symbol=NSE%3AOMFREIGHT</t>
  </si>
  <si>
    <t>OMINFRAL</t>
  </si>
  <si>
    <t>Om Infra Ltd</t>
  </si>
  <si>
    <t>NSE%3ARHIM</t>
  </si>
  <si>
    <t>https://in.tradingview.com/chart/ofQQfXOP/?symbol=NSE%3AOMINFRAL</t>
  </si>
  <si>
    <t>https://in.tradingview.com/chart/bXJLby4L/?symbol=NSE%3AOMINFRAL</t>
  </si>
  <si>
    <t>OMAXAUTO</t>
  </si>
  <si>
    <t>Omax Autos Limited</t>
  </si>
  <si>
    <t>NSE%3ARHL</t>
  </si>
  <si>
    <t>https://in.tradingview.com/chart/ofQQfXOP/?symbol=NSE%3AOMAXAUTO</t>
  </si>
  <si>
    <t>https://in.tradingview.com/chart/bXJLby4L/?symbol=NSE%3AOMAXAUTO</t>
  </si>
  <si>
    <t>OMAXE</t>
  </si>
  <si>
    <t>Omaxe Limited</t>
  </si>
  <si>
    <t>NSE%3ARICOAUTO</t>
  </si>
  <si>
    <t>https://in.tradingview.com/chart/ofQQfXOP/?symbol=NSE%3AOMAXE</t>
  </si>
  <si>
    <t>https://in.tradingview.com/chart/bXJLby4L/?symbol=NSE%3AOMAXE</t>
  </si>
  <si>
    <t>OMKARCHEM</t>
  </si>
  <si>
    <t>Omkar Speciality Chemicals Limited</t>
  </si>
  <si>
    <t>NSE%3ARIIL</t>
  </si>
  <si>
    <t>https://in.tradingview.com/chart/ofQQfXOP/?symbol=NSE%3AOMKARCHEM</t>
  </si>
  <si>
    <t>https://in.tradingview.com/chart/bXJLby4L/?symbol=NSE%3AOMKARCHEM</t>
  </si>
  <si>
    <t>PAYTM</t>
  </si>
  <si>
    <t>One 97 Communications Ltd</t>
  </si>
  <si>
    <t>NSE%3ARISHABH</t>
  </si>
  <si>
    <t>https://in.tradingview.com/chart/ofQQfXOP/?symbol=NSE%3APAYTM</t>
  </si>
  <si>
    <t>https://in.tradingview.com/chart/bXJLby4L/?symbol=NSE%3APAYTM</t>
  </si>
  <si>
    <t>MOBIKWIK</t>
  </si>
  <si>
    <t>One Mobikwik Systems Ltd</t>
  </si>
  <si>
    <t>NSE%3ARITCO</t>
  </si>
  <si>
    <t>https://in.tradingview.com/chart/ofQQfXOP/?symbol=NSE%3AMOBIKWIK</t>
  </si>
  <si>
    <t>https://in.tradingview.com/chart/bXJLby4L/?symbol=NSE%3AMOBIKWIK</t>
  </si>
  <si>
    <t>ONEPOINT</t>
  </si>
  <si>
    <t>One Point One Solutions Ltd</t>
  </si>
  <si>
    <t>NSE%3ARITES</t>
  </si>
  <si>
    <t>https://in.tradingview.com/chart/ofQQfXOP/?symbol=NSE%3AONEPOINT</t>
  </si>
  <si>
    <t>https://in.tradingview.com/chart/bXJLby4L/?symbol=NSE%3AONEPOINT</t>
  </si>
  <si>
    <t>ONELIFECAP</t>
  </si>
  <si>
    <t>Onelife Capital Advisors Limited</t>
  </si>
  <si>
    <t>NSE%3ARKDL</t>
  </si>
  <si>
    <t>https://in.tradingview.com/chart/ofQQfXOP/?symbol=NSE%3AONELIFECAP</t>
  </si>
  <si>
    <t>https://in.tradingview.com/chart/bXJLby4L/?symbol=NSE%3AONELIFECAP</t>
  </si>
  <si>
    <t>ONESOURCE</t>
  </si>
  <si>
    <t>OneSource Specialty Pharma Ltd</t>
  </si>
  <si>
    <t>NSE%3ARKEC</t>
  </si>
  <si>
    <t>https://in.tradingview.com/chart/ofQQfXOP/?symbol=NSE%3AONESOURCE</t>
  </si>
  <si>
    <t>https://in.tradingview.com/chart/bXJLby4L/?symbol=NSE%3AONESOURCE</t>
  </si>
  <si>
    <t>ONMOBILE</t>
  </si>
  <si>
    <t>Onmobile Global Limited</t>
  </si>
  <si>
    <t>NSE%3ARKFORGE</t>
  </si>
  <si>
    <t>https://in.tradingview.com/chart/ofQQfXOP/?symbol=NSE%3AONMOBILE</t>
  </si>
  <si>
    <t>https://in.tradingview.com/chart/bXJLby4L/?symbol=NSE%3AONMOBILE</t>
  </si>
  <si>
    <t>ONWARDTEC</t>
  </si>
  <si>
    <t>Onward Technologies Limited</t>
  </si>
  <si>
    <t>NSE%3ARKSWAMY</t>
  </si>
  <si>
    <t>https://in.tradingview.com/chart/ofQQfXOP/?symbol=NSE%3AONWARDTEC</t>
  </si>
  <si>
    <t>https://in.tradingview.com/chart/bXJLby4L/?symbol=NSE%3AONWARDTEC</t>
  </si>
  <si>
    <t>OPTIEMUS</t>
  </si>
  <si>
    <t>Optiemus Infracom Ltd</t>
  </si>
  <si>
    <t>NSE%3ARML</t>
  </si>
  <si>
    <t>https://in.tradingview.com/chart/ofQQfXOP/?symbol=NSE%3AOPTIEMUS</t>
  </si>
  <si>
    <t>https://in.tradingview.com/chart/bXJLby4L/?symbol=NSE%3AOPTIEMUS</t>
  </si>
  <si>
    <t>OFSS</t>
  </si>
  <si>
    <t>Oracle Financial Services Software Limited</t>
  </si>
  <si>
    <t>NSE%3AROHLTD</t>
  </si>
  <si>
    <t>https://in.tradingview.com/chart/ofQQfXOP/?symbol=NSE%3AOFSS</t>
  </si>
  <si>
    <t>https://in.tradingview.com/chart/bXJLby4L/?symbol=NSE%3AOFSS</t>
  </si>
  <si>
    <t>ORBTEXP</t>
  </si>
  <si>
    <t>Orbit Exports Limited</t>
  </si>
  <si>
    <t>NSE%3AROLEXRINGS</t>
  </si>
  <si>
    <t>https://in.tradingview.com/chart/ofQQfXOP/?symbol=NSE%3AORBTEXP</t>
  </si>
  <si>
    <t>https://in.tradingview.com/chart/bXJLby4L/?symbol=NSE%3AORBTEXP</t>
  </si>
  <si>
    <t>ORCHPHARMA</t>
  </si>
  <si>
    <t>Orchid Pharma Ltd</t>
  </si>
  <si>
    <t>NSE%3AROLLT</t>
  </si>
  <si>
    <t>https://in.tradingview.com/chart/ofQQfXOP/?symbol=NSE%3AORCHPHARMA</t>
  </si>
  <si>
    <t>https://in.tradingview.com/chart/bXJLby4L/?symbol=NSE%3AORCHPHARMA</t>
  </si>
  <si>
    <t>ORICONENT</t>
  </si>
  <si>
    <t>Oricon Enterprises Limited</t>
  </si>
  <si>
    <t>NSE%3AROLTA</t>
  </si>
  <si>
    <t>https://in.tradingview.com/chart/ofQQfXOP/?symbol=NSE%3AORICONENT</t>
  </si>
  <si>
    <t>https://in.tradingview.com/chart/bXJLby4L/?symbol=NSE%3AORICONENT</t>
  </si>
  <si>
    <t>ORIENTBELL</t>
  </si>
  <si>
    <t>Orient Bell Limited</t>
  </si>
  <si>
    <t>NSE%3AROML</t>
  </si>
  <si>
    <t>https://in.tradingview.com/chart/ofQQfXOP/?symbol=NSE%3AORIENTBELL</t>
  </si>
  <si>
    <t>https://in.tradingview.com/chart/bXJLby4L/?symbol=NSE%3AORIENTBELL</t>
  </si>
  <si>
    <t>ORIENTCEM</t>
  </si>
  <si>
    <t>Orient Cement Limited</t>
  </si>
  <si>
    <t>NSE%3AROSSARI</t>
  </si>
  <si>
    <t>https://in.tradingview.com/chart/ofQQfXOP/?symbol=NSE%3AORIENTCEM</t>
  </si>
  <si>
    <t>https://in.tradingview.com/chart/bXJLby4L/?symbol=NSE%3AORIENTCEM</t>
  </si>
  <si>
    <t>ORIENTCER</t>
  </si>
  <si>
    <t>Orient Ceratech Ltd</t>
  </si>
  <si>
    <t>NSE%3AROSSELLIND</t>
  </si>
  <si>
    <t>https://in.tradingview.com/chart/ofQQfXOP/?symbol=NSE%3AORIENTCER</t>
  </si>
  <si>
    <t>https://in.tradingview.com/chart/bXJLby4L/?symbol=NSE%3AORIENTCER</t>
  </si>
  <si>
    <t>ORIENTELEC</t>
  </si>
  <si>
    <t>Orient Electric Ltd</t>
  </si>
  <si>
    <t>NSE%3AROSSTECH</t>
  </si>
  <si>
    <t>https://in.tradingview.com/chart/ofQQfXOP/?symbol=NSE%3AORIENTELEC</t>
  </si>
  <si>
    <t>https://in.tradingview.com/chart/bXJLby4L/?symbol=NSE%3AORIENTELEC</t>
  </si>
  <si>
    <t>GREENPOWER</t>
  </si>
  <si>
    <t>Orient Green Power Company Limited</t>
  </si>
  <si>
    <t>NSE%3AROTO</t>
  </si>
  <si>
    <t>https://in.tradingview.com/chart/ofQQfXOP/?symbol=NSE%3AGREENPOWER</t>
  </si>
  <si>
    <t>https://in.tradingview.com/chart/bXJLby4L/?symbol=NSE%3AGREENPOWER</t>
  </si>
  <si>
    <t>ORIENTPPR</t>
  </si>
  <si>
    <t>Orient Paper &amp; Industries Limited</t>
  </si>
  <si>
    <t>NSE%3AROUTE</t>
  </si>
  <si>
    <t>https://in.tradingview.com/chart/ofQQfXOP/?symbol=NSE%3AORIENTPPR</t>
  </si>
  <si>
    <t>https://in.tradingview.com/chart/bXJLby4L/?symbol=NSE%3AORIENTPPR</t>
  </si>
  <si>
    <t>ORIENTLTD</t>
  </si>
  <si>
    <t>Orient Press Limited</t>
  </si>
  <si>
    <t>NSE%3ARPEL</t>
  </si>
  <si>
    <t>https://in.tradingview.com/chart/ofQQfXOP/?symbol=NSE%3AORIENTLTD</t>
  </si>
  <si>
    <t>https://in.tradingview.com/chart/bXJLby4L/?symbol=NSE%3AORIENTLTD</t>
  </si>
  <si>
    <t>ORIENTTECH</t>
  </si>
  <si>
    <t>Orient Technologies Ltd</t>
  </si>
  <si>
    <t>NSE%3ARPGLIFE</t>
  </si>
  <si>
    <t>https://in.tradingview.com/chart/ofQQfXOP/?symbol=NSE%3AORIENTTECH</t>
  </si>
  <si>
    <t>https://in.tradingview.com/chart/bXJLby4L/?symbol=NSE%3AORIENTTECH</t>
  </si>
  <si>
    <t>OAL</t>
  </si>
  <si>
    <t>Oriental Aromatics Ltd</t>
  </si>
  <si>
    <t>NSE%3ARPOWER</t>
  </si>
  <si>
    <t>https://in.tradingview.com/chart/ofQQfXOP/?symbol=NSE%3AOAL</t>
  </si>
  <si>
    <t>https://in.tradingview.com/chart/bXJLby4L/?symbol=NSE%3AOAL</t>
  </si>
  <si>
    <t>ORIENTHOT</t>
  </si>
  <si>
    <t>Oriental Hotels Limited</t>
  </si>
  <si>
    <t>NSE%3ARPPINFRA</t>
  </si>
  <si>
    <t>https://in.tradingview.com/chart/ofQQfXOP/?symbol=NSE%3AORIENTHOT</t>
  </si>
  <si>
    <t>https://in.tradingview.com/chart/bXJLby4L/?symbol=NSE%3AORIENTHOT</t>
  </si>
  <si>
    <t>ORIENTALTL</t>
  </si>
  <si>
    <t>Oriental Trimex Limited</t>
  </si>
  <si>
    <t>NSE%3ARPPL</t>
  </si>
  <si>
    <t>https://in.tradingview.com/chart/ofQQfXOP/?symbol=NSE%3AORIENTALTL</t>
  </si>
  <si>
    <t>https://in.tradingview.com/chart/bXJLby4L/?symbol=NSE%3AORIENTALTL</t>
  </si>
  <si>
    <t>OBCL</t>
  </si>
  <si>
    <t>Orissa Bengal Carrier Ltd</t>
  </si>
  <si>
    <t>NSE%3ARPSGVENT</t>
  </si>
  <si>
    <t>https://in.tradingview.com/chart/ofQQfXOP/?symbol=NSE%3AOBCL</t>
  </si>
  <si>
    <t>https://in.tradingview.com/chart/bXJLby4L/?symbol=NSE%3AOBCL</t>
  </si>
  <si>
    <t>ORKLAINDIA</t>
  </si>
  <si>
    <t>Orkla India Ltd</t>
  </si>
  <si>
    <t>NSE%3ARPTECH</t>
  </si>
  <si>
    <t>https://in.tradingview.com/chart/ofQQfXOP/?symbol=NSE%3AORKLAINDIA</t>
  </si>
  <si>
    <t>https://in.tradingview.com/chart/bXJLby4L/?symbol=NSE%3AORKLAINDIA</t>
  </si>
  <si>
    <t>ORTINGLOBE</t>
  </si>
  <si>
    <t>Ortin Laboratories Ltd</t>
  </si>
  <si>
    <t>NSE%3ARRKABEL</t>
  </si>
  <si>
    <t>https://in.tradingview.com/chart/ofQQfXOP/?symbol=NSE%3AORTINGLOBE</t>
  </si>
  <si>
    <t>https://in.tradingview.com/chart/bXJLby4L/?symbol=NSE%3AORTINGLOBE</t>
  </si>
  <si>
    <t>OSIAHYPER</t>
  </si>
  <si>
    <t>Osia Hyper Retail Ltd</t>
  </si>
  <si>
    <t>NSE%3ARSSOFTWARE</t>
  </si>
  <si>
    <t>https://in.tradingview.com/chart/ofQQfXOP/?symbol=NSE%3AOSIAHYPER</t>
  </si>
  <si>
    <t>https://in.tradingview.com/chart/bXJLby4L/?symbol=NSE%3AOSIAHYPER</t>
  </si>
  <si>
    <t>OSWALAGRO</t>
  </si>
  <si>
    <t>Oswal Agro Mills Ltd</t>
  </si>
  <si>
    <t>NSE%3ARSWM</t>
  </si>
  <si>
    <t>https://in.tradingview.com/chart/ofQQfXOP/?symbol=NSE%3AOSWALAGRO</t>
  </si>
  <si>
    <t>https://in.tradingview.com/chart/bXJLby4L/?symbol=NSE%3AOSWALAGRO</t>
  </si>
  <si>
    <t>OSWALGREEN</t>
  </si>
  <si>
    <t>Oswal Green Tech Ltd</t>
  </si>
  <si>
    <t>NSE%3ARSYSTEMS</t>
  </si>
  <si>
    <t>https://in.tradingview.com/chart/ofQQfXOP/?symbol=NSE%3AOSWALGREEN</t>
  </si>
  <si>
    <t>https://in.tradingview.com/chart/bXJLby4L/?symbol=NSE%3AOSWALGREEN</t>
  </si>
  <si>
    <t>OSWALPUMPS</t>
  </si>
  <si>
    <t>NSE%3ARTNINDIA</t>
  </si>
  <si>
    <t>https://in.tradingview.com/chart/ofQQfXOP/?symbol=NSE%3AOSWALPUMPS</t>
  </si>
  <si>
    <t>https://in.tradingview.com/chart/bXJLby4L/?symbol=NSE%3AOSWALPUMPS</t>
  </si>
  <si>
    <t>PNGJL</t>
  </si>
  <si>
    <t>P N Gadgil Jewellers Ltd</t>
  </si>
  <si>
    <t>NSE%3ARTNPOWER</t>
  </si>
  <si>
    <t>https://in.tradingview.com/chart/ofQQfXOP/?symbol=NSE%3APNGJL</t>
  </si>
  <si>
    <t>https://in.tradingview.com/chart/bXJLby4L/?symbol=NSE%3APNGJL</t>
  </si>
  <si>
    <t>PACEDIGITK</t>
  </si>
  <si>
    <t>Pace Digitek Ltd</t>
  </si>
  <si>
    <t>NSE%3ARUBFILA</t>
  </si>
  <si>
    <t>https://in.tradingview.com/chart/ofQQfXOP/?symbol=NSE%3APACEDIGITK</t>
  </si>
  <si>
    <t>https://in.tradingview.com/chart/bXJLby4L/?symbol=NSE%3APACEDIGITK</t>
  </si>
  <si>
    <t>PAGEIND</t>
  </si>
  <si>
    <t>Page Industries Limited</t>
  </si>
  <si>
    <t>NSE%3ARUBYMILLS</t>
  </si>
  <si>
    <t>https://in.tradingview.com/chart/ofQQfXOP/?symbol=NSE%3APAGEIND</t>
  </si>
  <si>
    <t>https://in.tradingview.com/chart/bXJLby4L/?symbol=NSE%3APAGEIND</t>
  </si>
  <si>
    <t>PAISALO</t>
  </si>
  <si>
    <t>Paisalo Digital Ltd</t>
  </si>
  <si>
    <t>NSE%3ARUCHINFRA</t>
  </si>
  <si>
    <t>https://in.tradingview.com/chart/ofQQfXOP/?symbol=NSE%3APAISALO</t>
  </si>
  <si>
    <t>https://in.tradingview.com/chart/bXJLby4L/?symbol=NSE%3APAISALO</t>
  </si>
  <si>
    <t>PAKKA</t>
  </si>
  <si>
    <t>Pakka Ltd</t>
  </si>
  <si>
    <t>NSE%3ARUCHIRA</t>
  </si>
  <si>
    <t>https://in.tradingview.com/chart/ofQQfXOP/?symbol=NSE%3APAKKA</t>
  </si>
  <si>
    <t>https://in.tradingview.com/chart/bXJLby4L/?symbol=NSE%3APAKKA</t>
  </si>
  <si>
    <t>PALASHSECU</t>
  </si>
  <si>
    <t>Palash Securities</t>
  </si>
  <si>
    <t>NSE%3ARUPA</t>
  </si>
  <si>
    <t>https://in.tradingview.com/chart/ofQQfXOP/?symbol=NSE%3APALASHSECU</t>
  </si>
  <si>
    <t>https://in.tradingview.com/chart/bXJLby4L/?symbol=NSE%3APALASHSECU</t>
  </si>
  <si>
    <t>PALREDTEC</t>
  </si>
  <si>
    <t>Palred Technologies Limited</t>
  </si>
  <si>
    <t>NSE%3ARUSHIL</t>
  </si>
  <si>
    <t>https://in.tradingview.com/chart/ofQQfXOP/?symbol=NSE%3APALREDTEC</t>
  </si>
  <si>
    <t>https://in.tradingview.com/chart/bXJLby4L/?symbol=NSE%3APALREDTEC</t>
  </si>
  <si>
    <t>PANACEABIO</t>
  </si>
  <si>
    <t>Panacea Biotec Limited</t>
  </si>
  <si>
    <t>NSE%3ARUSTOMJEE</t>
  </si>
  <si>
    <t>https://in.tradingview.com/chart/ofQQfXOP/?symbol=NSE%3APANACEABIO</t>
  </si>
  <si>
    <t>https://in.tradingview.com/chart/bXJLby4L/?symbol=NSE%3APANACEABIO</t>
  </si>
  <si>
    <t>PANACHE</t>
  </si>
  <si>
    <t>Panache Digilife Ltd</t>
  </si>
  <si>
    <t>NSE%3ARVHL</t>
  </si>
  <si>
    <t>https://in.tradingview.com/chart/ofQQfXOP/?symbol=NSE%3APANACHE</t>
  </si>
  <si>
    <t>https://in.tradingview.com/chart/bXJLby4L/?symbol=NSE%3APANACHE</t>
  </si>
  <si>
    <t>PANAMAPET</t>
  </si>
  <si>
    <t>Panama Petrochem Limited</t>
  </si>
  <si>
    <t>NSE%3ARVNL</t>
  </si>
  <si>
    <t>https://in.tradingview.com/chart/ofQQfXOP/?symbol=NSE%3APANAMAPET</t>
  </si>
  <si>
    <t>https://in.tradingview.com/chart/bXJLby4L/?symbol=NSE%3APANAMAPET</t>
  </si>
  <si>
    <t>PANSARI</t>
  </si>
  <si>
    <t>Pansari Developers Ltd</t>
  </si>
  <si>
    <t>NSE%3ARVTH</t>
  </si>
  <si>
    <t>https://in.tradingview.com/chart/ofQQfXOP/?symbol=NSE%3APANSARI</t>
  </si>
  <si>
    <t>https://in.tradingview.com/chart/bXJLby4L/?symbol=NSE%3APANSARI</t>
  </si>
  <si>
    <t>PAR</t>
  </si>
  <si>
    <t>Par Drugs &amp; Chemicals Ltd</t>
  </si>
  <si>
    <t>NSE%3AS_SPOWER</t>
  </si>
  <si>
    <t>https://in.tradingview.com/chart/ofQQfXOP/?symbol=NSE%3APAR</t>
  </si>
  <si>
    <t>https://in.tradingview.com/chart/bXJLby4L/?symbol=NSE%3APAR</t>
  </si>
  <si>
    <t>PARADEEP</t>
  </si>
  <si>
    <t>Paradeep Phosphates Ltd</t>
  </si>
  <si>
    <t>NSE%3ASADBHIN</t>
  </si>
  <si>
    <t>https://in.tradingview.com/chart/ofQQfXOP/?symbol=NSE%3APARADEEP</t>
  </si>
  <si>
    <t>https://in.tradingview.com/chart/bXJLby4L/?symbol=NSE%3APARADEEP</t>
  </si>
  <si>
    <t>PARAGMILK</t>
  </si>
  <si>
    <t>Parag Milk Foods Limited</t>
  </si>
  <si>
    <t>NSE%3ASADHNANIQ</t>
  </si>
  <si>
    <t>https://in.tradingview.com/chart/ofQQfXOP/?symbol=NSE%3APARAGMILK</t>
  </si>
  <si>
    <t>https://in.tradingview.com/chart/bXJLby4L/?symbol=NSE%3APARAGMILK</t>
  </si>
  <si>
    <t>PARACABLES</t>
  </si>
  <si>
    <t>Paramount Communications Limited</t>
  </si>
  <si>
    <t>NSE%3ASAFARI</t>
  </si>
  <si>
    <t>https://in.tradingview.com/chart/ofQQfXOP/?symbol=NSE%3APARACABLES</t>
  </si>
  <si>
    <t>https://in.tradingview.com/chart/bXJLby4L/?symbol=NSE%3APARACABLES</t>
  </si>
  <si>
    <t>PARAS</t>
  </si>
  <si>
    <t>Paras Defence and Space Technologies Ltd</t>
  </si>
  <si>
    <t>NSE%3ASAGARDEEP</t>
  </si>
  <si>
    <t>https://in.tradingview.com/chart/ofQQfXOP/?symbol=NSE%3APARAS</t>
  </si>
  <si>
    <t>https://in.tradingview.com/chart/bXJLby4L/?symbol=NSE%3APARAS</t>
  </si>
  <si>
    <t>PARSVNATH</t>
  </si>
  <si>
    <t>Parsvnath Developers Limited</t>
  </si>
  <si>
    <t>NSE%3ASAGCEM</t>
  </si>
  <si>
    <t>https://in.tradingview.com/chart/ofQQfXOP/?symbol=NSE%3APARSVNATH</t>
  </si>
  <si>
    <t>https://in.tradingview.com/chart/bXJLby4L/?symbol=NSE%3APARSVNATH</t>
  </si>
  <si>
    <t>PASHUPATI</t>
  </si>
  <si>
    <t>Pashupati Cotspin Ltd</t>
  </si>
  <si>
    <t>NSE%3ASAGILITY</t>
  </si>
  <si>
    <t>https://in.tradingview.com/chart/ofQQfXOP/?symbol=NSE%3APASHUPATI</t>
  </si>
  <si>
    <t>https://in.tradingview.com/chart/bXJLby4L/?symbol=NSE%3APASHUPATI</t>
  </si>
  <si>
    <t>PASUPTAC</t>
  </si>
  <si>
    <t>Pasupati Acrylon Ltd</t>
  </si>
  <si>
    <t>NSE%3ASAHYADRI</t>
  </si>
  <si>
    <t>https://in.tradingview.com/chart/ofQQfXOP/?symbol=NSE%3APASUPTAC</t>
  </si>
  <si>
    <t>https://in.tradingview.com/chart/bXJLby4L/?symbol=NSE%3APASUPTAC</t>
  </si>
  <si>
    <t>PATANJALI</t>
  </si>
  <si>
    <t>Patanjali Foods Ltd</t>
  </si>
  <si>
    <t>NSE%3ASAIL</t>
  </si>
  <si>
    <t>https://in.tradingview.com/chart/ofQQfXOP/?symbol=NSE%3APATANJALI</t>
  </si>
  <si>
    <t>https://in.tradingview.com/chart/bXJLby4L/?symbol=NSE%3APATANJALI</t>
  </si>
  <si>
    <t>PATELENG</t>
  </si>
  <si>
    <t>Patel Engineering Limited</t>
  </si>
  <si>
    <t>NSE%3ASAILIFE</t>
  </si>
  <si>
    <t>https://in.tradingview.com/chart/ofQQfXOP/?symbol=NSE%3APATELENG</t>
  </si>
  <si>
    <t>https://in.tradingview.com/chart/bXJLby4L/?symbol=NSE%3APATELENG</t>
  </si>
  <si>
    <t>PATINTLOG</t>
  </si>
  <si>
    <t>Patel Integrated Logistics Limited</t>
  </si>
  <si>
    <t>NSE%3ASAKAR</t>
  </si>
  <si>
    <t>https://in.tradingview.com/chart/ofQQfXOP/?symbol=NSE%3APATINTLOG</t>
  </si>
  <si>
    <t>https://in.tradingview.com/chart/bXJLby4L/?symbol=NSE%3APATINTLOG</t>
  </si>
  <si>
    <t>PATELRMART</t>
  </si>
  <si>
    <t>Patel Retail Ltd</t>
  </si>
  <si>
    <t>NSE%3ASAKHTISUG</t>
  </si>
  <si>
    <t>https://in.tradingview.com/chart/ofQQfXOP/?symbol=NSE%3APATELRMART</t>
  </si>
  <si>
    <t>https://in.tradingview.com/chart/bXJLby4L/?symbol=NSE%3APATELRMART</t>
  </si>
  <si>
    <t>PAVNAIND</t>
  </si>
  <si>
    <t>Pavna Industries Ltd</t>
  </si>
  <si>
    <t>NSE%3ASAKSOFT</t>
  </si>
  <si>
    <t>https://in.tradingview.com/chart/ofQQfXOP/?symbol=NSE%3APAVNAIND</t>
  </si>
  <si>
    <t>https://in.tradingview.com/chart/bXJLby4L/?symbol=NSE%3APAVNAIND</t>
  </si>
  <si>
    <t>POLICYBZR</t>
  </si>
  <si>
    <t>PB Fintech Ltd</t>
  </si>
  <si>
    <t>NSE%3ASALASAR</t>
  </si>
  <si>
    <t>https://in.tradingview.com/chart/ofQQfXOP/?symbol=NSE%3APOLICYBZR</t>
  </si>
  <si>
    <t>https://in.tradingview.com/chart/bXJLby4L/?symbol=NSE%3APOLICYBZR</t>
  </si>
  <si>
    <t>PCJEWELLER</t>
  </si>
  <si>
    <t>Pc Jeweller Limited</t>
  </si>
  <si>
    <t>NSE%3ASALONA</t>
  </si>
  <si>
    <t>https://in.tradingview.com/chart/ofQQfXOP/?symbol=NSE%3APCJEWELLER</t>
  </si>
  <si>
    <t>https://in.tradingview.com/chart/bXJLby4L/?symbol=NSE%3APCJEWELLER</t>
  </si>
  <si>
    <t>PCBL</t>
  </si>
  <si>
    <t>PCBL Ltd</t>
  </si>
  <si>
    <t>NSE%3ASALSTEEL</t>
  </si>
  <si>
    <t>https://in.tradingview.com/chart/ofQQfXOP/?symbol=NSE%3APCBL</t>
  </si>
  <si>
    <t>https://in.tradingview.com/chart/bXJLby4L/?symbol=NSE%3APCBL</t>
  </si>
  <si>
    <t>PDSL</t>
  </si>
  <si>
    <t>PDS Ltd</t>
  </si>
  <si>
    <t>NSE%3ASALZERELEC</t>
  </si>
  <si>
    <t>https://in.tradingview.com/chart/ofQQfXOP/?symbol=NSE%3APDSL</t>
  </si>
  <si>
    <t>https://in.tradingview.com/chart/bXJLby4L/?symbol=NSE%3APDSL</t>
  </si>
  <si>
    <t>PGIL</t>
  </si>
  <si>
    <t>Pearl Global Industries Limited</t>
  </si>
  <si>
    <t>NSE%3ASAMHI</t>
  </si>
  <si>
    <t>https://in.tradingview.com/chart/ofQQfXOP/?symbol=NSE%3APGIL</t>
  </si>
  <si>
    <t>https://in.tradingview.com/chart/bXJLby4L/?symbol=NSE%3APGIL</t>
  </si>
  <si>
    <t>PEARLPOLY</t>
  </si>
  <si>
    <t>Pearl Polymers Limited</t>
  </si>
  <si>
    <t>NSE%3ASAMMAANCAP</t>
  </si>
  <si>
    <t>https://in.tradingview.com/chart/ofQQfXOP/?symbol=NSE%3APEARLPOLY</t>
  </si>
  <si>
    <t>https://in.tradingview.com/chart/bXJLby4L/?symbol=NSE%3APEARLPOLY</t>
  </si>
  <si>
    <t>PENINLAND</t>
  </si>
  <si>
    <t>Peninsula Land Limited</t>
  </si>
  <si>
    <t>NSE%3ASAMPANN</t>
  </si>
  <si>
    <t>https://in.tradingview.com/chart/ofQQfXOP/?symbol=NSE%3APENINLAND</t>
  </si>
  <si>
    <t>https://in.tradingview.com/chart/bXJLby4L/?symbol=NSE%3APENINLAND</t>
  </si>
  <si>
    <t>PENIND</t>
  </si>
  <si>
    <t>Pennar Industries Limited</t>
  </si>
  <si>
    <t>NSE%3ASANATHAN</t>
  </si>
  <si>
    <t>https://in.tradingview.com/chart/ofQQfXOP/?symbol=NSE%3APENIND</t>
  </si>
  <si>
    <t>https://in.tradingview.com/chart/bXJLby4L/?symbol=NSE%3APENIND</t>
  </si>
  <si>
    <t>PERSISTENT</t>
  </si>
  <si>
    <t>Persistent Systems Limited</t>
  </si>
  <si>
    <t>NSE%3ASANCO</t>
  </si>
  <si>
    <t>https://in.tradingview.com/chart/ofQQfXOP/?symbol=NSE%3APERSISTENT</t>
  </si>
  <si>
    <t>https://in.tradingview.com/chart/bXJLby4L/?symbol=NSE%3APERSISTENT</t>
  </si>
  <si>
    <t>PETRONET</t>
  </si>
  <si>
    <t>Petronet Lng Limited</t>
  </si>
  <si>
    <t>NSE%3ASANDESH</t>
  </si>
  <si>
    <t>https://in.tradingview.com/chart/ofQQfXOP/?symbol=NSE%3APETRONET</t>
  </si>
  <si>
    <t>https://in.tradingview.com/chart/bXJLby4L/?symbol=NSE%3APETRONET</t>
  </si>
  <si>
    <t>PFIZER</t>
  </si>
  <si>
    <t>Pfizer Limited</t>
  </si>
  <si>
    <t>NSE%3ASANDHAR</t>
  </si>
  <si>
    <t>https://in.tradingview.com/chart/ofQQfXOP/?symbol=NSE%3APFIZER</t>
  </si>
  <si>
    <t>https://in.tradingview.com/chart/bXJLby4L/?symbol=NSE%3APFIZER</t>
  </si>
  <si>
    <t>PGEL</t>
  </si>
  <si>
    <t>Pg Electroplast Limited</t>
  </si>
  <si>
    <t>NSE%3ASANDUMA</t>
  </si>
  <si>
    <t>https://in.tradingview.com/chart/ofQQfXOP/?symbol=NSE%3APGEL</t>
  </si>
  <si>
    <t>https://in.tradingview.com/chart/bXJLby4L/?symbol=NSE%3APGEL</t>
  </si>
  <si>
    <t>PWL</t>
  </si>
  <si>
    <t>Physicswallah Ltd</t>
  </si>
  <si>
    <t>NSE%3ASANGAMIND</t>
  </si>
  <si>
    <t>https://in.tradingview.com/chart/ofQQfXOP/?symbol=NSE%3APWL</t>
  </si>
  <si>
    <t>https://in.tradingview.com/chart/bXJLby4L/?symbol=NSE%3APWL</t>
  </si>
  <si>
    <t>PIIND</t>
  </si>
  <si>
    <t>Pi Industries Limited</t>
  </si>
  <si>
    <t>NSE%3ASANGHIIND</t>
  </si>
  <si>
    <t>https://in.tradingview.com/chart/ofQQfXOP/?symbol=NSE%3APIIND</t>
  </si>
  <si>
    <t>https://in.tradingview.com/chart/bXJLby4L/?symbol=NSE%3APIIND</t>
  </si>
  <si>
    <t>PICCADIL</t>
  </si>
  <si>
    <t>Piccadily Agro Industries Ltd</t>
  </si>
  <si>
    <t>NSE%3ASANGHVIMOV</t>
  </si>
  <si>
    <t>https://in.tradingview.com/chart/ofQQfXOP/?symbol=NSE%3APICCADIL</t>
  </si>
  <si>
    <t>https://in.tradingview.com/chart/bXJLby4L/?symbol=NSE%3APICCADIL</t>
  </si>
  <si>
    <t>PIDILITIND</t>
  </si>
  <si>
    <t>Pidilite Industries Limited</t>
  </si>
  <si>
    <t>NSE%3ASANGINITA</t>
  </si>
  <si>
    <t>https://in.tradingview.com/chart/ofQQfXOP/?symbol=NSE%3APIDILITIND</t>
  </si>
  <si>
    <t>https://in.tradingview.com/chart/bXJLby4L/?symbol=NSE%3APIDILITIND</t>
  </si>
  <si>
    <t>PILITA</t>
  </si>
  <si>
    <t>Pil Italica Lifestyle Limited</t>
  </si>
  <si>
    <t>NSE%3ASANOFI</t>
  </si>
  <si>
    <t>https://in.tradingview.com/chart/ofQQfXOP/?symbol=NSE%3APILITA</t>
  </si>
  <si>
    <t>https://in.tradingview.com/chart/bXJLby4L/?symbol=NSE%3APILITA</t>
  </si>
  <si>
    <t>PILANIINVS</t>
  </si>
  <si>
    <t>Pilani Investment And Industries Corporation Limited</t>
  </si>
  <si>
    <t>NSE%3ASANOFICONR</t>
  </si>
  <si>
    <t>https://in.tradingview.com/chart/ofQQfXOP/?symbol=NSE%3APILANIINVS</t>
  </si>
  <si>
    <t>https://in.tradingview.com/chart/bXJLby4L/?symbol=NSE%3APILANIINVS</t>
  </si>
  <si>
    <t>PINELABS</t>
  </si>
  <si>
    <t>NSE%3ASANSERA</t>
  </si>
  <si>
    <t>https://in.tradingview.com/chart/ofQQfXOP/?symbol=NSE%3APINELABS</t>
  </si>
  <si>
    <t>https://in.tradingview.com/chart/bXJLby4L/?symbol=NSE%3APINELABS</t>
  </si>
  <si>
    <t>PIONEEREMB</t>
  </si>
  <si>
    <t>Pioneer Embroideries Limited</t>
  </si>
  <si>
    <t>NSE%3ASANSTAR</t>
  </si>
  <si>
    <t>https://in.tradingview.com/chart/ofQQfXOP/?symbol=NSE%3APIONEEREMB</t>
  </si>
  <si>
    <t>https://in.tradingview.com/chart/bXJLby4L/?symbol=NSE%3APIONEEREMB</t>
  </si>
  <si>
    <t>PPLPHARMA</t>
  </si>
  <si>
    <t>Piramal Pharma Ltd</t>
  </si>
  <si>
    <t>NSE%3ASANWARIA</t>
  </si>
  <si>
    <t>https://in.tradingview.com/chart/ofQQfXOP/?symbol=NSE%3APPLPHARMA</t>
  </si>
  <si>
    <t>https://in.tradingview.com/chart/bXJLby4L/?symbol=NSE%3APPLPHARMA</t>
  </si>
  <si>
    <t>PIRAMALFIN</t>
  </si>
  <si>
    <t>NSE%3ASAPPHIRE</t>
  </si>
  <si>
    <t>https://in.tradingview.com/chart/ofQQfXOP/?symbol=NSE%3APIRAMALFIN</t>
  </si>
  <si>
    <t>https://in.tradingview.com/chart/bXJLby4L/?symbol=NSE%3APIRAMALFIN</t>
  </si>
  <si>
    <t>PITTIENG</t>
  </si>
  <si>
    <t>Pitti Engineering Ltd</t>
  </si>
  <si>
    <t>NSE%3ASARDAEN</t>
  </si>
  <si>
    <t>https://in.tradingview.com/chart/ofQQfXOP/?symbol=NSE%3APITTIENG</t>
  </si>
  <si>
    <t>https://in.tradingview.com/chart/bXJLby4L/?symbol=NSE%3APITTIENG</t>
  </si>
  <si>
    <t>PIXTRANS</t>
  </si>
  <si>
    <t>Pix Transmission Ltd</t>
  </si>
  <si>
    <t>NSE%3ASAREGAMA</t>
  </si>
  <si>
    <t>https://in.tradingview.com/chart/ofQQfXOP/?symbol=NSE%3APIXTRANS</t>
  </si>
  <si>
    <t>https://in.tradingview.com/chart/bXJLby4L/?symbol=NSE%3APIXTRANS</t>
  </si>
  <si>
    <t>PLASTIBLEN</t>
  </si>
  <si>
    <t>Plastiblends India Limited</t>
  </si>
  <si>
    <t>NSE%3ASARLAPOLY</t>
  </si>
  <si>
    <t>https://in.tradingview.com/chart/ofQQfXOP/?symbol=NSE%3APLASTIBLEN</t>
  </si>
  <si>
    <t>https://in.tradingview.com/chart/bXJLby4L/?symbol=NSE%3APLASTIBLEN</t>
  </si>
  <si>
    <t>PLATIND</t>
  </si>
  <si>
    <t>Platinum Industries Ltd</t>
  </si>
  <si>
    <t>NSE%3ASARVESHWAR</t>
  </si>
  <si>
    <t>https://in.tradingview.com/chart/ofQQfXOP/?symbol=NSE%3APLATIND</t>
  </si>
  <si>
    <t>https://in.tradingview.com/chart/bXJLby4L/?symbol=NSE%3APLATIND</t>
  </si>
  <si>
    <t>PLAZACABLE</t>
  </si>
  <si>
    <t>Plaza Wires Ltd</t>
  </si>
  <si>
    <t>NSE%3ASASKEN</t>
  </si>
  <si>
    <t>https://in.tradingview.com/chart/ofQQfXOP/?symbol=NSE%3APLAZACABLE</t>
  </si>
  <si>
    <t>https://in.tradingview.com/chart/bXJLby4L/?symbol=NSE%3APLAZACABLE</t>
  </si>
  <si>
    <t>PNBGILTS</t>
  </si>
  <si>
    <t>Pnb Gilts Limited</t>
  </si>
  <si>
    <t>NSE%3ASASTASUNDR</t>
  </si>
  <si>
    <t>https://in.tradingview.com/chart/ofQQfXOP/?symbol=NSE%3APNBGILTS</t>
  </si>
  <si>
    <t>https://in.tradingview.com/chart/bXJLby4L/?symbol=NSE%3APNBGILTS</t>
  </si>
  <si>
    <t>PNBHOUSING</t>
  </si>
  <si>
    <t>Pnb Housing Finance Limited</t>
  </si>
  <si>
    <t>NSE%3ASATIA</t>
  </si>
  <si>
    <t>https://in.tradingview.com/chart/ofQQfXOP/?symbol=NSE%3APNBHOUSING</t>
  </si>
  <si>
    <t>https://in.tradingview.com/chart/bXJLby4L/?symbol=NSE%3APNBHOUSING</t>
  </si>
  <si>
    <t>PNCINFRA</t>
  </si>
  <si>
    <t>Pnc Infratech Limited</t>
  </si>
  <si>
    <t>NSE%3ASATIN</t>
  </si>
  <si>
    <t>https://in.tradingview.com/chart/ofQQfXOP/?symbol=NSE%3APNCINFRA</t>
  </si>
  <si>
    <t>https://in.tradingview.com/chart/bXJLby4L/?symbol=NSE%3APNCINFRA</t>
  </si>
  <si>
    <t>PODDARMENT</t>
  </si>
  <si>
    <t>Poddar Pigments Limited</t>
  </si>
  <si>
    <t>NSE%3ASAURASHCEM</t>
  </si>
  <si>
    <t>https://in.tradingview.com/chart/ofQQfXOP/?symbol=NSE%3APODDARMENT</t>
  </si>
  <si>
    <t>https://in.tradingview.com/chart/bXJLby4L/?symbol=NSE%3APODDARMENT</t>
  </si>
  <si>
    <t>POKARNA</t>
  </si>
  <si>
    <t>Pokarna Limited</t>
  </si>
  <si>
    <t>NSE%3ASBC</t>
  </si>
  <si>
    <t>https://in.tradingview.com/chart/ofQQfXOP/?symbol=NSE%3APOKARNA</t>
  </si>
  <si>
    <t>https://in.tradingview.com/chart/bXJLby4L/?symbol=NSE%3APOKARNA</t>
  </si>
  <si>
    <t>POLYMED</t>
  </si>
  <si>
    <t>Poly Medicure Limited</t>
  </si>
  <si>
    <t>NSE%3ASBCL</t>
  </si>
  <si>
    <t>https://in.tradingview.com/chart/ofQQfXOP/?symbol=NSE%3APOLYMED</t>
  </si>
  <si>
    <t>https://in.tradingview.com/chart/bXJLby4L/?symbol=NSE%3APOLYMED</t>
  </si>
  <si>
    <t>POLYCAB</t>
  </si>
  <si>
    <t>Polycab India Ltd</t>
  </si>
  <si>
    <t>NSE%3ASBFC</t>
  </si>
  <si>
    <t>https://in.tradingview.com/chart/ofQQfXOP/?symbol=NSE%3APOLYCAB</t>
  </si>
  <si>
    <t>https://in.tradingview.com/chart/bXJLby4L/?symbol=NSE%3APOLYCAB</t>
  </si>
  <si>
    <t>POLYPLEX</t>
  </si>
  <si>
    <t>Polyplex Corporation Limited</t>
  </si>
  <si>
    <t>NSE%3ASBICARD</t>
  </si>
  <si>
    <t>https://in.tradingview.com/chart/ofQQfXOP/?symbol=NSE%3APOLYPLEX</t>
  </si>
  <si>
    <t>https://in.tradingview.com/chart/bXJLby4L/?symbol=NSE%3APOLYPLEX</t>
  </si>
  <si>
    <t>POCL</t>
  </si>
  <si>
    <t>Pondy Oxides &amp; Chemicals Ltd</t>
  </si>
  <si>
    <t>NSE%3ASBIETFCON</t>
  </si>
  <si>
    <t>https://in.tradingview.com/chart/ofQQfXOP/?symbol=NSE%3APOCL</t>
  </si>
  <si>
    <t>https://in.tradingview.com/chart/bXJLby4L/?symbol=NSE%3APOCL</t>
  </si>
  <si>
    <t>PONNIERODE</t>
  </si>
  <si>
    <t>Ponni Sugars (erode) Limited</t>
  </si>
  <si>
    <t>NSE%3ASBIETFIT</t>
  </si>
  <si>
    <t>https://in.tradingview.com/chart/ofQQfXOP/?symbol=NSE%3APONNIERODE</t>
  </si>
  <si>
    <t>https://in.tradingview.com/chart/bXJLby4L/?symbol=NSE%3APONNIERODE</t>
  </si>
  <si>
    <t>POONAWALLA</t>
  </si>
  <si>
    <t>Poonawalla Fincorp Ltd</t>
  </si>
  <si>
    <t>NSE%3ASBIETFPB</t>
  </si>
  <si>
    <t>https://in.tradingview.com/chart/ofQQfXOP/?symbol=NSE%3APOONAWALLA</t>
  </si>
  <si>
    <t>https://in.tradingview.com/chart/bXJLby4L/?symbol=NSE%3APOONAWALLA</t>
  </si>
  <si>
    <t>PVSL</t>
  </si>
  <si>
    <t>Popular Vehicles &amp; Services Ltd</t>
  </si>
  <si>
    <t>NSE%3ASBIETFQLTY</t>
  </si>
  <si>
    <t>https://in.tradingview.com/chart/ofQQfXOP/?symbol=NSE%3APVSL</t>
  </si>
  <si>
    <t>https://in.tradingview.com/chart/bXJLby4L/?symbol=NSE%3APVSL</t>
  </si>
  <si>
    <t>PIGL</t>
  </si>
  <si>
    <t>Power &amp; Instrumentation (Gujarat) Ltd</t>
  </si>
  <si>
    <t>NSE%3ASBILIFE</t>
  </si>
  <si>
    <t>https://in.tradingview.com/chart/ofQQfXOP/?symbol=NSE%3APIGL</t>
  </si>
  <si>
    <t>https://in.tradingview.com/chart/bXJLby4L/?symbol=NSE%3APIGL</t>
  </si>
  <si>
    <t>PFC</t>
  </si>
  <si>
    <t>Power Finance Corporation Limited</t>
  </si>
  <si>
    <t>NSE%3ASBIN</t>
  </si>
  <si>
    <t>https://in.tradingview.com/chart/ofQQfXOP/?symbol=NSE%3APFC</t>
  </si>
  <si>
    <t>https://in.tradingview.com/chart/bXJLby4L/?symbol=NSE%3APFC</t>
  </si>
  <si>
    <t>POWERGRID</t>
  </si>
  <si>
    <t>Power Grid Corporation Of India Limited</t>
  </si>
  <si>
    <t>NSE%3ASBINEQWETF</t>
  </si>
  <si>
    <t>https://in.tradingview.com/chart/ofQQfXOP/?symbol=NSE%3APOWERGRID</t>
  </si>
  <si>
    <t>https://in.tradingview.com/chart/bXJLby4L/?symbol=NSE%3APOWERGRID</t>
  </si>
  <si>
    <t>POWERMECH</t>
  </si>
  <si>
    <t>Power Mech Projects Limited</t>
  </si>
  <si>
    <t>NSE%3ASBISILVER</t>
  </si>
  <si>
    <t>https://in.tradingview.com/chart/ofQQfXOP/?symbol=NSE%3APOWERMECH</t>
  </si>
  <si>
    <t>https://in.tradingview.com/chart/bXJLby4L/?symbol=NSE%3APOWERMECH</t>
  </si>
  <si>
    <t>PPAP</t>
  </si>
  <si>
    <t>Ppap Automotive Limited</t>
  </si>
  <si>
    <t>NSE%3ASCHAEFFLER</t>
  </si>
  <si>
    <t>https://in.tradingview.com/chart/ofQQfXOP/?symbol=NSE%3APPAP</t>
  </si>
  <si>
    <t>https://in.tradingview.com/chart/bXJLby4L/?symbol=NSE%3APPAP</t>
  </si>
  <si>
    <t>PRABHA</t>
  </si>
  <si>
    <t>Prabha Energy Ltd</t>
  </si>
  <si>
    <t>NSE%3ASCHAND</t>
  </si>
  <si>
    <t>https://in.tradingview.com/chart/ofQQfXOP/?symbol=NSE%3APRABHA</t>
  </si>
  <si>
    <t>https://in.tradingview.com/chart/bXJLby4L/?symbol=NSE%3APRABHA</t>
  </si>
  <si>
    <t>PRAJIND</t>
  </si>
  <si>
    <t>Praj Industries Limited</t>
  </si>
  <si>
    <t>NSE%3ASCHNEIDER</t>
  </si>
  <si>
    <t>https://in.tradingview.com/chart/ofQQfXOP/?symbol=NSE%3APRAJIND</t>
  </si>
  <si>
    <t>https://in.tradingview.com/chart/bXJLby4L/?symbol=NSE%3APRAJIND</t>
  </si>
  <si>
    <t>PRAENG</t>
  </si>
  <si>
    <t>Prajay Engineers Syndicate Limited</t>
  </si>
  <si>
    <t>NSE%3ASCI</t>
  </si>
  <si>
    <t>https://in.tradingview.com/chart/ofQQfXOP/?symbol=NSE%3APRAENG</t>
  </si>
  <si>
    <t>https://in.tradingview.com/chart/bXJLby4L/?symbol=NSE%3APRAENG</t>
  </si>
  <si>
    <t>PRAKASH</t>
  </si>
  <si>
    <t>Prakash Industries Limited</t>
  </si>
  <si>
    <t>NSE%3ASCILAL</t>
  </si>
  <si>
    <t>https://in.tradingview.com/chart/ofQQfXOP/?symbol=NSE%3APRAKASH</t>
  </si>
  <si>
    <t>https://in.tradingview.com/chart/bXJLby4L/?symbol=NSE%3APRAKASH</t>
  </si>
  <si>
    <t>PPL</t>
  </si>
  <si>
    <t>Prakash Pipes Ltd</t>
  </si>
  <si>
    <t>NSE%3ASCPL</t>
  </si>
  <si>
    <t>https://in.tradingview.com/chart/ofQQfXOP/?symbol=NSE%3APPL</t>
  </si>
  <si>
    <t>https://in.tradingview.com/chart/bXJLby4L/?symbol=NSE%3APPL</t>
  </si>
  <si>
    <t>DIAMONDYD</t>
  </si>
  <si>
    <t>Prataap Snacks Ltd</t>
  </si>
  <si>
    <t>NSE%3ASDBL</t>
  </si>
  <si>
    <t>https://in.tradingview.com/chart/ofQQfXOP/?symbol=NSE%3ADIAMONDYD</t>
  </si>
  <si>
    <t>https://in.tradingview.com/chart/bXJLby4L/?symbol=NSE%3ADIAMONDYD</t>
  </si>
  <si>
    <t>PRAXIS</t>
  </si>
  <si>
    <t>Praxis Home Retail Ltd</t>
  </si>
  <si>
    <t>NSE%3ASDL26BEES</t>
  </si>
  <si>
    <t>https://in.tradingview.com/chart/ofQQfXOP/?symbol=NSE%3APRAXIS</t>
  </si>
  <si>
    <t>https://in.tradingview.com/chart/bXJLby4L/?symbol=NSE%3APRAXIS</t>
  </si>
  <si>
    <t>PRECAM</t>
  </si>
  <si>
    <t>Precision Camshafts Limited</t>
  </si>
  <si>
    <t>NSE%3ASEAMECLTD</t>
  </si>
  <si>
    <t>https://in.tradingview.com/chart/ofQQfXOP/?symbol=NSE%3APRECAM</t>
  </si>
  <si>
    <t>https://in.tradingview.com/chart/bXJLby4L/?symbol=NSE%3APRECAM</t>
  </si>
  <si>
    <t>PRECWIRE</t>
  </si>
  <si>
    <t>Precision Wires India Limited</t>
  </si>
  <si>
    <t>NSE%3ASECMARK</t>
  </si>
  <si>
    <t>https://in.tradingview.com/chart/ofQQfXOP/?symbol=NSE%3APRECWIRE</t>
  </si>
  <si>
    <t>https://in.tradingview.com/chart/bXJLby4L/?symbol=NSE%3APRECWIRE</t>
  </si>
  <si>
    <t>PRECOT</t>
  </si>
  <si>
    <t>Precot Meridian Limited</t>
  </si>
  <si>
    <t>NSE%3ASECURKLOUD</t>
  </si>
  <si>
    <t>https://in.tradingview.com/chart/ofQQfXOP/?symbol=NSE%3APRECOT</t>
  </si>
  <si>
    <t>https://in.tradingview.com/chart/bXJLby4L/?symbol=NSE%3APRECOT</t>
  </si>
  <si>
    <t>PREMIERENE</t>
  </si>
  <si>
    <t>Premier Energies Ltd</t>
  </si>
  <si>
    <t>NSE%3ASEJALLTD</t>
  </si>
  <si>
    <t>https://in.tradingview.com/chart/ofQQfXOP/?symbol=NSE%3APREMIERENE</t>
  </si>
  <si>
    <t>https://in.tradingview.com/chart/bXJLby4L/?symbol=NSE%3APREMIERENE</t>
  </si>
  <si>
    <t>PREMEXPLN</t>
  </si>
  <si>
    <t>Premier Explosives Limited</t>
  </si>
  <si>
    <t>NSE%3ASELMC</t>
  </si>
  <si>
    <t>https://in.tradingview.com/chart/ofQQfXOP/?symbol=NSE%3APREMEXPLN</t>
  </si>
  <si>
    <t>https://in.tradingview.com/chart/bXJLby4L/?symbol=NSE%3APREMEXPLN</t>
  </si>
  <si>
    <t>PREMIERPOL</t>
  </si>
  <si>
    <t>Premier Polyfilm Limited</t>
  </si>
  <si>
    <t>NSE%3ASENCO</t>
  </si>
  <si>
    <t>https://in.tradingview.com/chart/ofQQfXOP/?symbol=NSE%3APREMIERPOL</t>
  </si>
  <si>
    <t>https://in.tradingview.com/chart/bXJLby4L/?symbol=NSE%3APREMIERPOL</t>
  </si>
  <si>
    <t>PRESTIGE</t>
  </si>
  <si>
    <t>Prestige Estates Projects Limited</t>
  </si>
  <si>
    <t>NSE%3ASENORES</t>
  </si>
  <si>
    <t>https://in.tradingview.com/chart/ofQQfXOP/?symbol=NSE%3APRESTIGE</t>
  </si>
  <si>
    <t>https://in.tradingview.com/chart/bXJLby4L/?symbol=NSE%3APRESTIGE</t>
  </si>
  <si>
    <t>PRICOLLTD</t>
  </si>
  <si>
    <t>Pricol Ltd.</t>
  </si>
  <si>
    <t>NSE%3ASENSEXADD</t>
  </si>
  <si>
    <t>https://in.tradingview.com/chart/ofQQfXOP/?symbol=NSE%3APRICOLLTD</t>
  </si>
  <si>
    <t>https://in.tradingview.com/chart/bXJLby4L/?symbol=NSE%3APRICOLLTD</t>
  </si>
  <si>
    <t>PFOCUS</t>
  </si>
  <si>
    <t>Prime Focus Limited</t>
  </si>
  <si>
    <t>NSE%3ASENSEXETF</t>
  </si>
  <si>
    <t>https://in.tradingview.com/chart/ofQQfXOP/?symbol=NSE%3APFOCUS</t>
  </si>
  <si>
    <t>https://in.tradingview.com/chart/bXJLby4L/?symbol=NSE%3APFOCUS</t>
  </si>
  <si>
    <t>PRIMESECU</t>
  </si>
  <si>
    <t>Prime Securities Limited</t>
  </si>
  <si>
    <t>NSE%3ASENSEXIETF</t>
  </si>
  <si>
    <t>https://in.tradingview.com/chart/ofQQfXOP/?symbol=NSE%3APRIMESECU</t>
  </si>
  <si>
    <t>https://in.tradingview.com/chart/bXJLby4L/?symbol=NSE%3APRIMESECU</t>
  </si>
  <si>
    <t>PRIMO</t>
  </si>
  <si>
    <t>Primo Chemicals Ltd</t>
  </si>
  <si>
    <t>NSE%3ASEPC</t>
  </si>
  <si>
    <t>https://in.tradingview.com/chart/ofQQfXOP/?symbol=NSE%3APRIMO</t>
  </si>
  <si>
    <t>https://in.tradingview.com/chart/bXJLby4L/?symbol=NSE%3APRIMO</t>
  </si>
  <si>
    <t>PRINCEPIPE</t>
  </si>
  <si>
    <t>Prince Pipes &amp; Fittings Ltd</t>
  </si>
  <si>
    <t>NSE%3ASEQUENT</t>
  </si>
  <si>
    <t>https://in.tradingview.com/chart/ofQQfXOP/?symbol=NSE%3APRINCEPIPE</t>
  </si>
  <si>
    <t>https://in.tradingview.com/chart/bXJLby4L/?symbol=NSE%3APRINCEPIPE</t>
  </si>
  <si>
    <t>PRSMJOHNSN</t>
  </si>
  <si>
    <t>Prism Johnson Ltd</t>
  </si>
  <si>
    <t>NSE%3ASERVOTECH</t>
  </si>
  <si>
    <t>https://in.tradingview.com/chart/ofQQfXOP/?symbol=NSE%3APRSMJOHNSN</t>
  </si>
  <si>
    <t>https://in.tradingview.com/chart/bXJLby4L/?symbol=NSE%3APRSMJOHNSN</t>
  </si>
  <si>
    <t>PRITI</t>
  </si>
  <si>
    <t>Priti International Ltd</t>
  </si>
  <si>
    <t>NSE%3ASESHAPAPER</t>
  </si>
  <si>
    <t>https://in.tradingview.com/chart/ofQQfXOP/?symbol=NSE%3APRITI</t>
  </si>
  <si>
    <t>https://in.tradingview.com/chart/bXJLby4L/?symbol=NSE%3APRITI</t>
  </si>
  <si>
    <t>PRITIKAUTO</t>
  </si>
  <si>
    <t>Pritika Auto Industries Ltd</t>
  </si>
  <si>
    <t>NSE%3ASETCO</t>
  </si>
  <si>
    <t>https://in.tradingview.com/chart/ofQQfXOP/?symbol=NSE%3APRITIKAUTO</t>
  </si>
  <si>
    <t>https://in.tradingview.com/chart/bXJLby4L/?symbol=NSE%3APRITIKAUTO</t>
  </si>
  <si>
    <t>PNC</t>
  </si>
  <si>
    <t>Pritish Nandy Communications Limited</t>
  </si>
  <si>
    <t>NSE%3ASETF10GILT</t>
  </si>
  <si>
    <t>https://in.tradingview.com/chart/ofQQfXOP/?symbol=NSE%3APNC</t>
  </si>
  <si>
    <t>https://in.tradingview.com/chart/bXJLby4L/?symbol=NSE%3APNC</t>
  </si>
  <si>
    <t>PRIVISCL</t>
  </si>
  <si>
    <t>Privi Speciality Chemicals Ltd</t>
  </si>
  <si>
    <t>NSE%3ASETFGOLD</t>
  </si>
  <si>
    <t>https://in.tradingview.com/chart/ofQQfXOP/?symbol=NSE%3APRIVISCL</t>
  </si>
  <si>
    <t>https://in.tradingview.com/chart/bXJLby4L/?symbol=NSE%3APRIVISCL</t>
  </si>
  <si>
    <t>PGHL</t>
  </si>
  <si>
    <t>Procter &amp; Gamble Health Ltd</t>
  </si>
  <si>
    <t>NSE%3ASETFNIF50</t>
  </si>
  <si>
    <t>https://in.tradingview.com/chart/ofQQfXOP/?symbol=NSE%3APGHL</t>
  </si>
  <si>
    <t>https://in.tradingview.com/chart/bXJLby4L/?symbol=NSE%3APGHL</t>
  </si>
  <si>
    <t>PGHH</t>
  </si>
  <si>
    <t>Procter &amp; Gamble Hygiene And Health Care Limited</t>
  </si>
  <si>
    <t>NSE%3ASETFNIFBK</t>
  </si>
  <si>
    <t>https://in.tradingview.com/chart/ofQQfXOP/?symbol=NSE%3APGHH</t>
  </si>
  <si>
    <t>https://in.tradingview.com/chart/bXJLby4L/?symbol=NSE%3APGHH</t>
  </si>
  <si>
    <t>PROSTARM</t>
  </si>
  <si>
    <t>Prostarm Info Systems Ltd</t>
  </si>
  <si>
    <t>NSE%3ASETFNN50</t>
  </si>
  <si>
    <t>https://in.tradingview.com/chart/ofQQfXOP/?symbol=NSE%3APROSTARM</t>
  </si>
  <si>
    <t>https://in.tradingview.com/chart/bXJLby4L/?symbol=NSE%3APROSTARM</t>
  </si>
  <si>
    <t>PROTEAN</t>
  </si>
  <si>
    <t>Protean eGov Technologies Ltd</t>
  </si>
  <si>
    <t>NSE%3ASETUINFRA</t>
  </si>
  <si>
    <t>https://in.tradingview.com/chart/ofQQfXOP/?symbol=NSE%3APROTEAN</t>
  </si>
  <si>
    <t>https://in.tradingview.com/chart/bXJLby4L/?symbol=NSE%3APROTEAN</t>
  </si>
  <si>
    <t>PROZONER</t>
  </si>
  <si>
    <t>Prozone Realty Ltd</t>
  </si>
  <si>
    <t>NSE%3ASEYAIND</t>
  </si>
  <si>
    <t>https://in.tradingview.com/chart/ofQQfXOP/?symbol=NSE%3APROZONER</t>
  </si>
  <si>
    <t>https://in.tradingview.com/chart/bXJLby4L/?symbol=NSE%3APROZONER</t>
  </si>
  <si>
    <t>PRUDENT</t>
  </si>
  <si>
    <t>Prudent Corporate Advisory Services Ltd</t>
  </si>
  <si>
    <t>NSE%3ASFL</t>
  </si>
  <si>
    <t>https://in.tradingview.com/chart/ofQQfXOP/?symbol=NSE%3APRUDENT</t>
  </si>
  <si>
    <t>https://in.tradingview.com/chart/bXJLby4L/?symbol=NSE%3APRUDENT</t>
  </si>
  <si>
    <t>PRUDMOULI</t>
  </si>
  <si>
    <t>Prudential Sugar Corporation Ltd</t>
  </si>
  <si>
    <t>NSE%3ASGIL</t>
  </si>
  <si>
    <t>https://in.tradingview.com/chart/ofQQfXOP/?symbol=NSE%3APRUDMOULI</t>
  </si>
  <si>
    <t>https://in.tradingview.com/chart/bXJLby4L/?symbol=NSE%3APRUDMOULI</t>
  </si>
  <si>
    <t>PSPPROJECT</t>
  </si>
  <si>
    <t>PSP Projects</t>
  </si>
  <si>
    <t>NSE%3ASGL</t>
  </si>
  <si>
    <t>https://in.tradingview.com/chart/ofQQfXOP/?symbol=NSE%3APSPPROJECT</t>
  </si>
  <si>
    <t>https://in.tradingview.com/chart/bXJLby4L/?symbol=NSE%3APSPPROJECT</t>
  </si>
  <si>
    <t>PFS</t>
  </si>
  <si>
    <t>Ptc India Financial Services Limited</t>
  </si>
  <si>
    <t>NSE%3ASGLTL</t>
  </si>
  <si>
    <t>https://in.tradingview.com/chart/ofQQfXOP/?symbol=NSE%3APFS</t>
  </si>
  <si>
    <t>https://in.tradingview.com/chart/bXJLby4L/?symbol=NSE%3APFS</t>
  </si>
  <si>
    <t>PTC</t>
  </si>
  <si>
    <t>Ptc India Limited</t>
  </si>
  <si>
    <t>NSE%3ASHAH</t>
  </si>
  <si>
    <t>https://in.tradingview.com/chart/ofQQfXOP/?symbol=NSE%3APTC</t>
  </si>
  <si>
    <t>https://in.tradingview.com/chart/bXJLby4L/?symbol=NSE%3APTC</t>
  </si>
  <si>
    <t>PTCIL</t>
  </si>
  <si>
    <t>PTC Industries Ltd</t>
  </si>
  <si>
    <t>NSE%3ASHAHALLOYS</t>
  </si>
  <si>
    <t>https://in.tradingview.com/chart/ofQQfXOP/?symbol=NSE%3APTCIL</t>
  </si>
  <si>
    <t>https://in.tradingview.com/chart/bXJLby4L/?symbol=NSE%3APTCIL</t>
  </si>
  <si>
    <t>PTL</t>
  </si>
  <si>
    <t>Ptl Enterprises Limited</t>
  </si>
  <si>
    <t>NSE%3ASHAILY</t>
  </si>
  <si>
    <t>https://in.tradingview.com/chart/ofQQfXOP/?symbol=NSE%3APTL</t>
  </si>
  <si>
    <t>https://in.tradingview.com/chart/bXJLby4L/?symbol=NSE%3APTL</t>
  </si>
  <si>
    <t>PDMJEPAPER</t>
  </si>
  <si>
    <t>Pudumjee Paper Products Limited</t>
  </si>
  <si>
    <t>NSE%3ASHAKTIPUMP</t>
  </si>
  <si>
    <t>https://in.tradingview.com/chart/ofQQfXOP/?symbol=NSE%3APDMJEPAPER</t>
  </si>
  <si>
    <t>https://in.tradingview.com/chart/bXJLby4L/?symbol=NSE%3APDMJEPAPER</t>
  </si>
  <si>
    <t>PSB</t>
  </si>
  <si>
    <t>Punjab &amp; Sind Bank</t>
  </si>
  <si>
    <t>NSE%3ASHALBY</t>
  </si>
  <si>
    <t>https://in.tradingview.com/chart/ofQQfXOP/?symbol=NSE%3APSB</t>
  </si>
  <si>
    <t>https://in.tradingview.com/chart/bXJLby4L/?symbol=NSE%3APSB</t>
  </si>
  <si>
    <t>PUNJABCHEM</t>
  </si>
  <si>
    <t>Punjab Chemicals &amp; Crop Protection Limited</t>
  </si>
  <si>
    <t>NSE%3ASHALPAINTS</t>
  </si>
  <si>
    <t>https://in.tradingview.com/chart/ofQQfXOP/?symbol=NSE%3APUNJABCHEM</t>
  </si>
  <si>
    <t>https://in.tradingview.com/chart/bXJLby4L/?symbol=NSE%3APUNJABCHEM</t>
  </si>
  <si>
    <t>PNB</t>
  </si>
  <si>
    <t>Punjab National Bank</t>
  </si>
  <si>
    <t>NSE%3ASHANKARA</t>
  </si>
  <si>
    <t>https://in.tradingview.com/chart/ofQQfXOP/?symbol=NSE%3APNB</t>
  </si>
  <si>
    <t>https://in.tradingview.com/chart/bXJLby4L/?symbol=NSE%3APNB</t>
  </si>
  <si>
    <t>PURVA</t>
  </si>
  <si>
    <t>Puravankara Projects Limited</t>
  </si>
  <si>
    <t>NSE%3ASHANTI</t>
  </si>
  <si>
    <t>https://in.tradingview.com/chart/ofQQfXOP/?symbol=NSE%3APURVA</t>
  </si>
  <si>
    <t>https://in.tradingview.com/chart/bXJLby4L/?symbol=NSE%3APURVA</t>
  </si>
  <si>
    <t>PVP</t>
  </si>
  <si>
    <t>Pvp Ventures Limited</t>
  </si>
  <si>
    <t>NSE%3ASHANTIGEAR</t>
  </si>
  <si>
    <t>https://in.tradingview.com/chart/ofQQfXOP/?symbol=NSE%3APVP</t>
  </si>
  <si>
    <t>https://in.tradingview.com/chart/bXJLby4L/?symbol=NSE%3APVP</t>
  </si>
  <si>
    <t>PVRINOX</t>
  </si>
  <si>
    <t>PVR Inox Ltd</t>
  </si>
  <si>
    <t>NSE%3ASHARDACROP</t>
  </si>
  <si>
    <t>https://in.tradingview.com/chart/ofQQfXOP/?symbol=NSE%3APVRINOX</t>
  </si>
  <si>
    <t>https://in.tradingview.com/chart/bXJLby4L/?symbol=NSE%3APVRINOX</t>
  </si>
  <si>
    <t>PYRAMID</t>
  </si>
  <si>
    <t>Pyramid Technoplast Ltd</t>
  </si>
  <si>
    <t>NSE%3ASHARDAMOTR</t>
  </si>
  <si>
    <t>https://in.tradingview.com/chart/ofQQfXOP/?symbol=NSE%3APYRAMID</t>
  </si>
  <si>
    <t>https://in.tradingview.com/chart/bXJLby4L/?symbol=NSE%3APYRAMID</t>
  </si>
  <si>
    <t>QNIFTY</t>
  </si>
  <si>
    <t>NSE%3ASHAREINDIA</t>
  </si>
  <si>
    <t>https://in.tradingview.com/chart/ofQQfXOP/?symbol=NSE%3AQNIFTY</t>
  </si>
  <si>
    <t>https://in.tradingview.com/chart/bXJLby4L/?symbol=NSE%3AQNIFTY</t>
  </si>
  <si>
    <t>QUADFUTURE</t>
  </si>
  <si>
    <t>Quadrant Future Tek Ltd</t>
  </si>
  <si>
    <t>NSE%3ASHARIABEES</t>
  </si>
  <si>
    <t>https://in.tradingview.com/chart/ofQQfXOP/?symbol=NSE%3AQUADFUTURE</t>
  </si>
  <si>
    <t>https://in.tradingview.com/chart/bXJLby4L/?symbol=NSE%3AQUADFUTURE</t>
  </si>
  <si>
    <t>QPOWER</t>
  </si>
  <si>
    <t>Quality Power Electrical Equipments Ltd</t>
  </si>
  <si>
    <t>NSE%3ASHEKHAWATI</t>
  </si>
  <si>
    <t>https://in.tradingview.com/chart/ofQQfXOP/?symbol=NSE%3AQPOWER</t>
  </si>
  <si>
    <t>https://in.tradingview.com/chart/bXJLby4L/?symbol=NSE%3AQPOWER</t>
  </si>
  <si>
    <t>QGOLDHALF</t>
  </si>
  <si>
    <t>Quantum Gold Fund ETF</t>
  </si>
  <si>
    <t>NSE%3ASHEMAROO</t>
  </si>
  <si>
    <t>https://in.tradingview.com/chart/ofQQfXOP/?symbol=NSE%3AQGOLDHALF</t>
  </si>
  <si>
    <t>https://in.tradingview.com/chart/bXJLby4L/?symbol=NSE%3AQGOLDHALF</t>
  </si>
  <si>
    <t>QUESS</t>
  </si>
  <si>
    <t>Quess Corp Limited</t>
  </si>
  <si>
    <t>NSE%3ASHILPAMED</t>
  </si>
  <si>
    <t>https://in.tradingview.com/chart/ofQQfXOP/?symbol=NSE%3AQUESS</t>
  </si>
  <si>
    <t>https://in.tradingview.com/chart/bXJLby4L/?symbol=NSE%3AQUESS</t>
  </si>
  <si>
    <t>QUICKHEAL</t>
  </si>
  <si>
    <t>Quick Heal Technologies Limited</t>
  </si>
  <si>
    <t>NSE%3ASHIVALIK</t>
  </si>
  <si>
    <t>https://in.tradingview.com/chart/ofQQfXOP/?symbol=NSE%3AQUICKHEAL</t>
  </si>
  <si>
    <t>https://in.tradingview.com/chart/bXJLby4L/?symbol=NSE%3AQUICKHEAL</t>
  </si>
  <si>
    <t>RKSWAMY</t>
  </si>
  <si>
    <t>R K Swamy Ltd</t>
  </si>
  <si>
    <t>NSE%3ASHIVAMAUTO</t>
  </si>
  <si>
    <t>https://in.tradingview.com/chart/ofQQfXOP/?symbol=NSE%3ARKSWAMY</t>
  </si>
  <si>
    <t>https://in.tradingview.com/chart/bXJLby4L/?symbol=NSE%3ARKSWAMY</t>
  </si>
  <si>
    <t>RMDRIP</t>
  </si>
  <si>
    <t>R M Drip &amp; Sprinklers Systems Ltd</t>
  </si>
  <si>
    <t>NSE%3ASHIVAMILLS</t>
  </si>
  <si>
    <t>https://in.tradingview.com/chart/ofQQfXOP/?symbol=NSE%3ARMDRIP</t>
  </si>
  <si>
    <t>https://in.tradingview.com/chart/bXJLby4L/?symbol=NSE%3ARMDRIP</t>
  </si>
  <si>
    <t>RRKABEL</t>
  </si>
  <si>
    <t>R R Kabel Ltd</t>
  </si>
  <si>
    <t>NSE%3ASHIVATEX</t>
  </si>
  <si>
    <t>https://in.tradingview.com/chart/ofQQfXOP/?symbol=NSE%3ARRKABEL</t>
  </si>
  <si>
    <t>https://in.tradingview.com/chart/bXJLby4L/?symbol=NSE%3ARRKABEL</t>
  </si>
  <si>
    <t>RSYSTEMS</t>
  </si>
  <si>
    <t>R Systems International Limited</t>
  </si>
  <si>
    <t>NSE%3ASHK</t>
  </si>
  <si>
    <t>https://in.tradingview.com/chart/ofQQfXOP/?symbol=NSE%3ARSYSTEMS</t>
  </si>
  <si>
    <t>https://in.tradingview.com/chart/bXJLby4L/?symbol=NSE%3ARSYSTEMS</t>
  </si>
  <si>
    <t>RSSOFTWARE</t>
  </si>
  <si>
    <t>R. S. Software (india) Limited</t>
  </si>
  <si>
    <t>NSE%3ASHOPERSTOP</t>
  </si>
  <si>
    <t>https://in.tradingview.com/chart/ofQQfXOP/?symbol=NSE%3ARSSOFTWARE</t>
  </si>
  <si>
    <t>https://in.tradingview.com/chart/bXJLby4L/?symbol=NSE%3ARSSOFTWARE</t>
  </si>
  <si>
    <t>RPPINFRA</t>
  </si>
  <si>
    <t>R.p.p. Infra Projects Limited</t>
  </si>
  <si>
    <t>NSE%3ASHREDIGCEM</t>
  </si>
  <si>
    <t>https://in.tradingview.com/chart/ofQQfXOP/?symbol=NSE%3ARPPINFRA</t>
  </si>
  <si>
    <t>https://in.tradingview.com/chart/bXJLby4L/?symbol=NSE%3ARPPINFRA</t>
  </si>
  <si>
    <t>RNBDENIMS</t>
  </si>
  <si>
    <t>R&amp;B Denims Ltd</t>
  </si>
  <si>
    <t>NSE%3ASHREECEM</t>
  </si>
  <si>
    <t>https://in.tradingview.com/chart/ofQQfXOP/?symbol=NSE%3ARNBDENIMS</t>
  </si>
  <si>
    <t>https://in.tradingview.com/chart/bXJLby4L/?symbol=NSE%3ARNBDENIMS</t>
  </si>
  <si>
    <t>RACE</t>
  </si>
  <si>
    <t>Race Eco Chain Ltd</t>
  </si>
  <si>
    <t>NSE%3ASHREEPUSHK</t>
  </si>
  <si>
    <t>https://in.tradingview.com/chart/ofQQfXOP/?symbol=NSE%3ARACE</t>
  </si>
  <si>
    <t>https://in.tradingview.com/chart/bXJLby4L/?symbol=NSE%3ARACE</t>
  </si>
  <si>
    <t>RACLGEAR</t>
  </si>
  <si>
    <t>RACL Geartech Ltd</t>
  </si>
  <si>
    <t>NSE%3ASHRENIK</t>
  </si>
  <si>
    <t>https://in.tradingview.com/chart/ofQQfXOP/?symbol=NSE%3ARACLGEAR</t>
  </si>
  <si>
    <t>https://in.tradingview.com/chart/bXJLby4L/?symbol=NSE%3ARACLGEAR</t>
  </si>
  <si>
    <t>RADHIKAJWE</t>
  </si>
  <si>
    <t>Radhika Jeweltech Ltd</t>
  </si>
  <si>
    <t>NSE%3ASHREYANIND</t>
  </si>
  <si>
    <t>https://in.tradingview.com/chart/ofQQfXOP/?symbol=NSE%3ARADHIKAJWE</t>
  </si>
  <si>
    <t>https://in.tradingview.com/chart/bXJLby4L/?symbol=NSE%3ARADHIKAJWE</t>
  </si>
  <si>
    <t>RADIANTCMS</t>
  </si>
  <si>
    <t>Radiant Cash Management Services Ltd</t>
  </si>
  <si>
    <t>NSE%3ASHRIPISTON</t>
  </si>
  <si>
    <t>https://in.tradingview.com/chart/ofQQfXOP/?symbol=NSE%3ARADIANTCMS</t>
  </si>
  <si>
    <t>https://in.tradingview.com/chart/bXJLby4L/?symbol=NSE%3ARADIANTCMS</t>
  </si>
  <si>
    <t>RADICO</t>
  </si>
  <si>
    <t>Radico Khaitan Limited</t>
  </si>
  <si>
    <t>NSE%3ASHRIRAMFIN</t>
  </si>
  <si>
    <t>https://in.tradingview.com/chart/ofQQfXOP/?symbol=NSE%3ARADICO</t>
  </si>
  <si>
    <t>https://in.tradingview.com/chart/bXJLby4L/?symbol=NSE%3ARADICO</t>
  </si>
  <si>
    <t>RPEL</t>
  </si>
  <si>
    <t>Raghav Productivity Enhancers Ltd</t>
  </si>
  <si>
    <t>NSE%3ASHRIRAMPPS</t>
  </si>
  <si>
    <t>https://in.tradingview.com/chart/ofQQfXOP/?symbol=NSE%3ARPEL</t>
  </si>
  <si>
    <t>https://in.tradingview.com/chart/bXJLby4L/?symbol=NSE%3ARPEL</t>
  </si>
  <si>
    <t>RVNL</t>
  </si>
  <si>
    <t>Rail Vikas Nigam Ltd</t>
  </si>
  <si>
    <t>NSE%3ASHYAMCENT</t>
  </si>
  <si>
    <t>https://in.tradingview.com/chart/ofQQfXOP/?symbol=NSE%3ARVNL</t>
  </si>
  <si>
    <t>https://in.tradingview.com/chart/bXJLby4L/?symbol=NSE%3ARVNL</t>
  </si>
  <si>
    <t>RAILTEL</t>
  </si>
  <si>
    <t>Railtel Corporation of India Ltd</t>
  </si>
  <si>
    <t>NSE%3ASHYAMMETL</t>
  </si>
  <si>
    <t>https://in.tradingview.com/chart/ofQQfXOP/?symbol=NSE%3ARAILTEL</t>
  </si>
  <si>
    <t>https://in.tradingview.com/chart/bXJLby4L/?symbol=NSE%3ARAILTEL</t>
  </si>
  <si>
    <t>RAIN</t>
  </si>
  <si>
    <t>Rain Industries Limited</t>
  </si>
  <si>
    <t>NSE%3ASHYAMTEL</t>
  </si>
  <si>
    <t>https://in.tradingview.com/chart/ofQQfXOP/?symbol=NSE%3ARAIN</t>
  </si>
  <si>
    <t>https://in.tradingview.com/chart/bXJLby4L/?symbol=NSE%3ARAIN</t>
  </si>
  <si>
    <t>RAINBOW</t>
  </si>
  <si>
    <t>Rainbow Childrens Medicare Ltd</t>
  </si>
  <si>
    <t>NSE%3ASICALLOG</t>
  </si>
  <si>
    <t>https://in.tradingview.com/chart/ofQQfXOP/?symbol=NSE%3ARAINBOW</t>
  </si>
  <si>
    <t>https://in.tradingview.com/chart/bXJLby4L/?symbol=NSE%3ARAINBOW</t>
  </si>
  <si>
    <t>ROML</t>
  </si>
  <si>
    <t>Raj Oil Mills Ltd</t>
  </si>
  <si>
    <t>NSE%3ASIEMENS</t>
  </si>
  <si>
    <t>https://in.tradingview.com/chart/ofQQfXOP/?symbol=NSE%3AROML</t>
  </si>
  <si>
    <t>https://in.tradingview.com/chart/bXJLby4L/?symbol=NSE%3AROML</t>
  </si>
  <si>
    <t>RAJRILTD</t>
  </si>
  <si>
    <t>Raj Rayon Industries Ltd</t>
  </si>
  <si>
    <t>NSE%3ASIGACHI</t>
  </si>
  <si>
    <t>https://in.tradingview.com/chart/ofQQfXOP/?symbol=NSE%3ARAJRILTD</t>
  </si>
  <si>
    <t>https://in.tradingview.com/chart/bXJLby4L/?symbol=NSE%3ARAJRILTD</t>
  </si>
  <si>
    <t>RAJTV</t>
  </si>
  <si>
    <t>Raj Television Network Limited</t>
  </si>
  <si>
    <t>NSE%3ASIGIND</t>
  </si>
  <si>
    <t>https://in.tradingview.com/chart/ofQQfXOP/?symbol=NSE%3ARAJTV</t>
  </si>
  <si>
    <t>https://in.tradingview.com/chart/bXJLby4L/?symbol=NSE%3ARAJTV</t>
  </si>
  <si>
    <t>ARENTERP</t>
  </si>
  <si>
    <t>Rajdarshan Industries Ltd</t>
  </si>
  <si>
    <t>NSE%3ASIGMA</t>
  </si>
  <si>
    <t>https://in.tradingview.com/chart/ofQQfXOP/?symbol=NSE%3AARENTERP</t>
  </si>
  <si>
    <t>https://in.tradingview.com/chart/bXJLby4L/?symbol=NSE%3AARENTERP</t>
  </si>
  <si>
    <t>RAJESHEXPO</t>
  </si>
  <si>
    <t>Rajesh Exports Limited</t>
  </si>
  <si>
    <t>NSE%3ASIGNATURE</t>
  </si>
  <si>
    <t>https://in.tradingview.com/chart/ofQQfXOP/?symbol=NSE%3ARAJESHEXPO</t>
  </si>
  <si>
    <t>https://in.tradingview.com/chart/bXJLby4L/?symbol=NSE%3ARAJESHEXPO</t>
  </si>
  <si>
    <t>RAJOOENG</t>
  </si>
  <si>
    <t>Rajoo Engineers Ltd</t>
  </si>
  <si>
    <t>NSE%3ASIGNPOST</t>
  </si>
  <si>
    <t>https://in.tradingview.com/chart/ofQQfXOP/?symbol=NSE%3ARAJOOENG</t>
  </si>
  <si>
    <t>https://in.tradingview.com/chart/bXJLby4L/?symbol=NSE%3ARAJOOENG</t>
  </si>
  <si>
    <t>RAJRATAN</t>
  </si>
  <si>
    <t>Rajratan Global Wire Ltd</t>
  </si>
  <si>
    <t>NSE%3ASIKKO</t>
  </si>
  <si>
    <t>https://in.tradingview.com/chart/ofQQfXOP/?symbol=NSE%3ARAJRATAN</t>
  </si>
  <si>
    <t>https://in.tradingview.com/chart/bXJLby4L/?symbol=NSE%3ARAJRATAN</t>
  </si>
  <si>
    <t>RPPL</t>
  </si>
  <si>
    <t>Rajshree Polypack Ltd</t>
  </si>
  <si>
    <t>NSE%3ASIL</t>
  </si>
  <si>
    <t>https://in.tradingview.com/chart/ofQQfXOP/?symbol=NSE%3ARPPL</t>
  </si>
  <si>
    <t>https://in.tradingview.com/chart/bXJLby4L/?symbol=NSE%3ARPPL</t>
  </si>
  <si>
    <t>RAJSREESUG</t>
  </si>
  <si>
    <t>Rajshree Sugars &amp; Chemicals Limited</t>
  </si>
  <si>
    <t>NSE%3ASILGO</t>
  </si>
  <si>
    <t>https://in.tradingview.com/chart/ofQQfXOP/?symbol=NSE%3ARAJSREESUG</t>
  </si>
  <si>
    <t>https://in.tradingview.com/chart/bXJLby4L/?symbol=NSE%3ARAJSREESUG</t>
  </si>
  <si>
    <t>RALLIS</t>
  </si>
  <si>
    <t>Rallis India Limited</t>
  </si>
  <si>
    <t>NSE%3ASILINV</t>
  </si>
  <si>
    <t>https://in.tradingview.com/chart/ofQQfXOP/?symbol=NSE%3ARALLIS</t>
  </si>
  <si>
    <t>https://in.tradingview.com/chart/bXJLby4L/?symbol=NSE%3ARALLIS</t>
  </si>
  <si>
    <t>RAMRAT</t>
  </si>
  <si>
    <t>Ram Ratna Wires Ltd</t>
  </si>
  <si>
    <t>NSE%3ASILLYMONKS</t>
  </si>
  <si>
    <t>https://in.tradingview.com/chart/ofQQfXOP/?symbol=NSE%3ARAMRAT</t>
  </si>
  <si>
    <t>https://in.tradingview.com/chart/bXJLby4L/?symbol=NSE%3ARAMRAT</t>
  </si>
  <si>
    <t>RAMAPHO</t>
  </si>
  <si>
    <t>Rama Phosphates Ltd</t>
  </si>
  <si>
    <t>NSE%3ASILVER</t>
  </si>
  <si>
    <t>https://in.tradingview.com/chart/ofQQfXOP/?symbol=NSE%3ARAMAPHO</t>
  </si>
  <si>
    <t>https://in.tradingview.com/chart/bXJLby4L/?symbol=NSE%3ARAMAPHO</t>
  </si>
  <si>
    <t>RAMASTEEL</t>
  </si>
  <si>
    <t>Rama Steel Tubes Limited</t>
  </si>
  <si>
    <t>NSE%3ASILVER1</t>
  </si>
  <si>
    <t>https://in.tradingview.com/chart/ofQQfXOP/?symbol=NSE%3ARAMASTEEL</t>
  </si>
  <si>
    <t>https://in.tradingview.com/chart/bXJLby4L/?symbol=NSE%3ARAMASTEEL</t>
  </si>
  <si>
    <t>RAMCOIND</t>
  </si>
  <si>
    <t>Ramco Industries Limited</t>
  </si>
  <si>
    <t>NSE%3ASILVERADD</t>
  </si>
  <si>
    <t>https://in.tradingview.com/chart/ofQQfXOP/?symbol=NSE%3ARAMCOIND</t>
  </si>
  <si>
    <t>https://in.tradingview.com/chart/bXJLby4L/?symbol=NSE%3ARAMCOIND</t>
  </si>
  <si>
    <t>RAMCOSYS</t>
  </si>
  <si>
    <t>Ramco Systems Limited</t>
  </si>
  <si>
    <t>NSE%3ASILVERBEES</t>
  </si>
  <si>
    <t>https://in.tradingview.com/chart/ofQQfXOP/?symbol=NSE%3ARAMCOSYS</t>
  </si>
  <si>
    <t>https://in.tradingview.com/chart/bXJLby4L/?symbol=NSE%3ARAMCOSYS</t>
  </si>
  <si>
    <t>RKFORGE</t>
  </si>
  <si>
    <t>Ramkrishna Forgings Limited</t>
  </si>
  <si>
    <t>NSE%3ASILVERETF</t>
  </si>
  <si>
    <t>https://in.tradingview.com/chart/ofQQfXOP/?symbol=NSE%3ARKFORGE</t>
  </si>
  <si>
    <t>https://in.tradingview.com/chart/bXJLby4L/?symbol=NSE%3ARKFORGE</t>
  </si>
  <si>
    <t>RAMKY</t>
  </si>
  <si>
    <t>Ramky Infrastructure Limited</t>
  </si>
  <si>
    <t>NSE%3ASILVERIETF</t>
  </si>
  <si>
    <t>https://in.tradingview.com/chart/ofQQfXOP/?symbol=NSE%3ARAMKY</t>
  </si>
  <si>
    <t>https://in.tradingview.com/chart/bXJLby4L/?symbol=NSE%3ARAMKY</t>
  </si>
  <si>
    <t>RANASUG</t>
  </si>
  <si>
    <t>Rana Sugars Limited</t>
  </si>
  <si>
    <t>NSE%3ASILVERTUC</t>
  </si>
  <si>
    <t>https://in.tradingview.com/chart/ofQQfXOP/?symbol=NSE%3ARANASUG</t>
  </si>
  <si>
    <t>https://in.tradingview.com/chart/bXJLby4L/?symbol=NSE%3ARANASUG</t>
  </si>
  <si>
    <t>RML</t>
  </si>
  <si>
    <t>Rane (madras) Limited</t>
  </si>
  <si>
    <t>NSE%3ASIMBHALS</t>
  </si>
  <si>
    <t>https://in.tradingview.com/chart/ofQQfXOP/?symbol=NSE%3ARML</t>
  </si>
  <si>
    <t>https://in.tradingview.com/chart/bXJLby4L/?symbol=NSE%3ARML</t>
  </si>
  <si>
    <t>RANEHOLDIN</t>
  </si>
  <si>
    <t>Rane Holdings Limited</t>
  </si>
  <si>
    <t>NSE%3ASIMPLEXINF</t>
  </si>
  <si>
    <t>https://in.tradingview.com/chart/ofQQfXOP/?symbol=NSE%3ARANEHOLDIN</t>
  </si>
  <si>
    <t>https://in.tradingview.com/chart/bXJLby4L/?symbol=NSE%3ARANEHOLDIN</t>
  </si>
  <si>
    <t>RPTECH</t>
  </si>
  <si>
    <t>Rashi Peripherals Ltd</t>
  </si>
  <si>
    <t>NSE%3ASINCLAIR</t>
  </si>
  <si>
    <t>https://in.tradingview.com/chart/ofQQfXOP/?symbol=NSE%3ARPTECH</t>
  </si>
  <si>
    <t>https://in.tradingview.com/chart/bXJLby4L/?symbol=NSE%3ARPTECH</t>
  </si>
  <si>
    <t>RCF</t>
  </si>
  <si>
    <t>Rashtriya Chemicals And Fertilizers Limited</t>
  </si>
  <si>
    <t>NSE%3ASINDHUTRAD</t>
  </si>
  <si>
    <t>https://in.tradingview.com/chart/ofQQfXOP/?symbol=NSE%3ARCF</t>
  </si>
  <si>
    <t>https://in.tradingview.com/chart/bXJLby4L/?symbol=NSE%3ARCF</t>
  </si>
  <si>
    <t>RATEGAIN</t>
  </si>
  <si>
    <t>Rategain Travel Technologies Ltd</t>
  </si>
  <si>
    <t>NSE%3ASINTERCOM</t>
  </si>
  <si>
    <t>https://in.tradingview.com/chart/ofQQfXOP/?symbol=NSE%3ARATEGAIN</t>
  </si>
  <si>
    <t>https://in.tradingview.com/chart/bXJLby4L/?symbol=NSE%3ARATEGAIN</t>
  </si>
  <si>
    <t>RATNAMANI</t>
  </si>
  <si>
    <t>Ratnamani Metals &amp; Tubes Limited</t>
  </si>
  <si>
    <t>NSE%3ASIRCA</t>
  </si>
  <si>
    <t>https://in.tradingview.com/chart/ofQQfXOP/?symbol=NSE%3ARATNAMANI</t>
  </si>
  <si>
    <t>https://in.tradingview.com/chart/bXJLby4L/?symbol=NSE%3ARATNAMANI</t>
  </si>
  <si>
    <t>RATNAVEER</t>
  </si>
  <si>
    <t>Ratnaveer Precision Engineering Ltd</t>
  </si>
  <si>
    <t>NSE%3ASIS</t>
  </si>
  <si>
    <t>https://in.tradingview.com/chart/ofQQfXOP/?symbol=NSE%3ARATNAVEER</t>
  </si>
  <si>
    <t>https://in.tradingview.com/chart/bXJLby4L/?symbol=NSE%3ARATNAVEER</t>
  </si>
  <si>
    <t>RTNINDIA</t>
  </si>
  <si>
    <t>RattanIndia Enterprises Ltd</t>
  </si>
  <si>
    <t>NSE%3ASITINET</t>
  </si>
  <si>
    <t>https://in.tradingview.com/chart/ofQQfXOP/?symbol=NSE%3ARTNINDIA</t>
  </si>
  <si>
    <t>https://in.tradingview.com/chart/bXJLby4L/?symbol=NSE%3ARTNINDIA</t>
  </si>
  <si>
    <t>RTNPOWER</t>
  </si>
  <si>
    <t>Rattanindia Power Limited</t>
  </si>
  <si>
    <t>NSE%3ASIYSIL</t>
  </si>
  <si>
    <t>https://in.tradingview.com/chart/ofQQfXOP/?symbol=NSE%3ARTNPOWER</t>
  </si>
  <si>
    <t>https://in.tradingview.com/chart/bXJLby4L/?symbol=NSE%3ARTNPOWER</t>
  </si>
  <si>
    <t>RKDL</t>
  </si>
  <si>
    <t>Ravi Kumar Distilleries Limited</t>
  </si>
  <si>
    <t>NSE%3ASJS</t>
  </si>
  <si>
    <t>https://in.tradingview.com/chart/ofQQfXOP/?symbol=NSE%3ARKDL</t>
  </si>
  <si>
    <t>https://in.tradingview.com/chart/bXJLby4L/?symbol=NSE%3ARKDL</t>
  </si>
  <si>
    <t>RVHL</t>
  </si>
  <si>
    <t>Ravinder Heights Ltd</t>
  </si>
  <si>
    <t>NSE%3ASJVN</t>
  </si>
  <si>
    <t>https://in.tradingview.com/chart/ofQQfXOP/?symbol=NSE%3ARVHL</t>
  </si>
  <si>
    <t>https://in.tradingview.com/chart/bXJLby4L/?symbol=NSE%3ARVHL</t>
  </si>
  <si>
    <t>RELTD</t>
  </si>
  <si>
    <t>Ravindra Energy Ltd</t>
  </si>
  <si>
    <t>NSE%3ASKFINDIA</t>
  </si>
  <si>
    <t>https://in.tradingview.com/chart/ofQQfXOP/?symbol=NSE%3ARELTD</t>
  </si>
  <si>
    <t>https://in.tradingview.com/chart/bXJLby4L/?symbol=NSE%3ARELTD</t>
  </si>
  <si>
    <t>RAYMONDLSL</t>
  </si>
  <si>
    <t>Raymond Lifestyle Ltd</t>
  </si>
  <si>
    <t>NSE%3ASKIPPER</t>
  </si>
  <si>
    <t>https://in.tradingview.com/chart/ofQQfXOP/?symbol=NSE%3ARAYMONDLSL</t>
  </si>
  <si>
    <t>https://in.tradingview.com/chart/bXJLby4L/?symbol=NSE%3ARAYMONDLSL</t>
  </si>
  <si>
    <t>RAYMOND</t>
  </si>
  <si>
    <t>Raymond Limited</t>
  </si>
  <si>
    <t>NSE%3ASKMEGGPROD</t>
  </si>
  <si>
    <t>https://in.tradingview.com/chart/ofQQfXOP/?symbol=NSE%3ARAYMOND</t>
  </si>
  <si>
    <t>https://in.tradingview.com/chart/bXJLby4L/?symbol=NSE%3ARAYMOND</t>
  </si>
  <si>
    <t>RAYMONDREL</t>
  </si>
  <si>
    <t>Raymond Realty Ltd</t>
  </si>
  <si>
    <t>NSE%3ASKYGOLD</t>
  </si>
  <si>
    <t>https://in.tradingview.com/chart/ofQQfXOP/?symbol=NSE%3ARAYMONDREL</t>
  </si>
  <si>
    <t>https://in.tradingview.com/chart/bXJLby4L/?symbol=NSE%3ARAYMONDREL</t>
  </si>
  <si>
    <t>RBLBANK</t>
  </si>
  <si>
    <t>Rbl Bank Limited</t>
  </si>
  <si>
    <t>NSE%3ASMALLCAP</t>
  </si>
  <si>
    <t>https://in.tradingview.com/chart/ofQQfXOP/?symbol=NSE%3ARBLBANK</t>
  </si>
  <si>
    <t>https://in.tradingview.com/chart/bXJLby4L/?symbol=NSE%3ARBLBANK</t>
  </si>
  <si>
    <t>RBZJEWEL</t>
  </si>
  <si>
    <t>RBZ Jewellers Ltd</t>
  </si>
  <si>
    <t>NSE%3ASMARTLINK</t>
  </si>
  <si>
    <t>https://in.tradingview.com/chart/ofQQfXOP/?symbol=NSE%3ARBZJEWEL</t>
  </si>
  <si>
    <t>https://in.tradingview.com/chart/bXJLby4L/?symbol=NSE%3ARBZJEWEL</t>
  </si>
  <si>
    <t>REDINGTON</t>
  </si>
  <si>
    <t>Redington (india) Limited</t>
  </si>
  <si>
    <t>NSE%3ASMCGLOBAL</t>
  </si>
  <si>
    <t>https://in.tradingview.com/chart/ofQQfXOP/?symbol=NSE%3AREDINGTON</t>
  </si>
  <si>
    <t>https://in.tradingview.com/chart/bXJLby4L/?symbol=NSE%3AREDINGTON</t>
  </si>
  <si>
    <t>REDTAPE</t>
  </si>
  <si>
    <t>Redtape Ltd</t>
  </si>
  <si>
    <t>NSE%3ASMLISUZU</t>
  </si>
  <si>
    <t>https://in.tradingview.com/chart/ofQQfXOP/?symbol=NSE%3AREDTAPE</t>
  </si>
  <si>
    <t>https://in.tradingview.com/chart/bXJLby4L/?symbol=NSE%3AREDTAPE</t>
  </si>
  <si>
    <t>REFEX</t>
  </si>
  <si>
    <t>Refex Industries Limited</t>
  </si>
  <si>
    <t>NSE%3ASMLT</t>
  </si>
  <si>
    <t>https://in.tradingview.com/chart/ofQQfXOP/?symbol=NSE%3AREFEX</t>
  </si>
  <si>
    <t>https://in.tradingview.com/chart/bXJLby4L/?symbol=NSE%3AREFEX</t>
  </si>
  <si>
    <t>REGAAL</t>
  </si>
  <si>
    <t>Regaal Resources Ltd</t>
  </si>
  <si>
    <t>NSE%3ASMSLIFE</t>
  </si>
  <si>
    <t>https://in.tradingview.com/chart/ofQQfXOP/?symbol=NSE%3AREGAAL</t>
  </si>
  <si>
    <t>https://in.tradingview.com/chart/bXJLby4L/?symbol=NSE%3AREGAAL</t>
  </si>
  <si>
    <t>REGENCERAM</t>
  </si>
  <si>
    <t>Regency Ceramics Limited</t>
  </si>
  <si>
    <t>NSE%3ASMSPHARMA</t>
  </si>
  <si>
    <t>https://in.tradingview.com/chart/ofQQfXOP/?symbol=NSE%3AREGENCERAM</t>
  </si>
  <si>
    <t>https://in.tradingview.com/chart/bXJLby4L/?symbol=NSE%3AREGENCERAM</t>
  </si>
  <si>
    <t>RELAXO</t>
  </si>
  <si>
    <t>Relaxo Footwears Limited</t>
  </si>
  <si>
    <t>NSE%3ASNOWMAN</t>
  </si>
  <si>
    <t>https://in.tradingview.com/chart/ofQQfXOP/?symbol=NSE%3ARELAXO</t>
  </si>
  <si>
    <t>https://in.tradingview.com/chart/bXJLby4L/?symbol=NSE%3ARELAXO</t>
  </si>
  <si>
    <t>RELIABLE</t>
  </si>
  <si>
    <t>Reliable Data Services Ltd</t>
  </si>
  <si>
    <t>NSE%3ASOBHA</t>
  </si>
  <si>
    <t>https://in.tradingview.com/chart/ofQQfXOP/?symbol=NSE%3ARELIABLE</t>
  </si>
  <si>
    <t>https://in.tradingview.com/chart/bXJLby4L/?symbol=NSE%3ARELIABLE</t>
  </si>
  <si>
    <t>RELCHEMQ</t>
  </si>
  <si>
    <t>Reliance Chemotex Industries Ltd</t>
  </si>
  <si>
    <t>NSE%3ASOLARA</t>
  </si>
  <si>
    <t>https://in.tradingview.com/chart/ofQQfXOP/?symbol=NSE%3ARELCHEMQ</t>
  </si>
  <si>
    <t>https://in.tradingview.com/chart/bXJLby4L/?symbol=NSE%3ARELCHEMQ</t>
  </si>
  <si>
    <t>RIIL</t>
  </si>
  <si>
    <t>Reliance Industrial Infrastructure Limited</t>
  </si>
  <si>
    <t>NSE%3ASOLARINDS</t>
  </si>
  <si>
    <t>https://in.tradingview.com/chart/ofQQfXOP/?symbol=NSE%3ARIIL</t>
  </si>
  <si>
    <t>https://in.tradingview.com/chart/bXJLby4L/?symbol=NSE%3ARIIL</t>
  </si>
  <si>
    <t>RELIANCE</t>
  </si>
  <si>
    <t>Reliance Industries Limited</t>
  </si>
  <si>
    <t>NSE%3ASOMANYCERA</t>
  </si>
  <si>
    <t>https://in.tradingview.com/chart/ofQQfXOP/?symbol=NSE%3ARELIANCE</t>
  </si>
  <si>
    <t>https://in.tradingview.com/chart/bXJLby4L/?symbol=NSE%3ARELIANCE</t>
  </si>
  <si>
    <t>RELINFRA</t>
  </si>
  <si>
    <t>Reliance Infrastructure Limited</t>
  </si>
  <si>
    <t>NSE%3ASOMATEX</t>
  </si>
  <si>
    <t>https://in.tradingview.com/chart/ofQQfXOP/?symbol=NSE%3ARELINFRA</t>
  </si>
  <si>
    <t>https://in.tradingview.com/chart/bXJLby4L/?symbol=NSE%3ARELINFRA</t>
  </si>
  <si>
    <t>RPOWER</t>
  </si>
  <si>
    <t>Reliance Power Limited</t>
  </si>
  <si>
    <t>NSE%3ASOMICONVEY</t>
  </si>
  <si>
    <t>https://in.tradingview.com/chart/ofQQfXOP/?symbol=NSE%3ARPOWER</t>
  </si>
  <si>
    <t>https://in.tradingview.com/chart/bXJLby4L/?symbol=NSE%3ARPOWER</t>
  </si>
  <si>
    <t>RELIGARE</t>
  </si>
  <si>
    <t>Religare Enterprises Limited</t>
  </si>
  <si>
    <t>NSE%3ASONACOMS</t>
  </si>
  <si>
    <t>https://in.tradingview.com/chart/ofQQfXOP/?symbol=NSE%3ARELIGARE</t>
  </si>
  <si>
    <t>https://in.tradingview.com/chart/bXJLby4L/?symbol=NSE%3ARELIGARE</t>
  </si>
  <si>
    <t>REMSONSIND</t>
  </si>
  <si>
    <t>Remsons Industries Limited</t>
  </si>
  <si>
    <t>NSE%3ASONAMLTD</t>
  </si>
  <si>
    <t>https://in.tradingview.com/chart/ofQQfXOP/?symbol=NSE%3AREMSONSIND</t>
  </si>
  <si>
    <t>https://in.tradingview.com/chart/bXJLby4L/?symbol=NSE%3AREMSONSIND</t>
  </si>
  <si>
    <t>RGL</t>
  </si>
  <si>
    <t>Renaissance Global Ltd</t>
  </si>
  <si>
    <t>NSE%3ASONATSOFTW</t>
  </si>
  <si>
    <t>https://in.tradingview.com/chart/ofQQfXOP/?symbol=NSE%3ARGL</t>
  </si>
  <si>
    <t>https://in.tradingview.com/chart/bXJLby4L/?symbol=NSE%3ARGL</t>
  </si>
  <si>
    <t>REPCOHOME</t>
  </si>
  <si>
    <t>Repco Home Finance Limited</t>
  </si>
  <si>
    <t>NSE%3ASOTL</t>
  </si>
  <si>
    <t>https://in.tradingview.com/chart/ofQQfXOP/?symbol=NSE%3AREPCOHOME</t>
  </si>
  <si>
    <t>https://in.tradingview.com/chart/bXJLby4L/?symbol=NSE%3AREPCOHOME</t>
  </si>
  <si>
    <t>REPRO</t>
  </si>
  <si>
    <t>Repro India Limited</t>
  </si>
  <si>
    <t>NSE%3ASOUTHBANK</t>
  </si>
  <si>
    <t>https://in.tradingview.com/chart/ofQQfXOP/?symbol=NSE%3AREPRO</t>
  </si>
  <si>
    <t>https://in.tradingview.com/chart/bXJLby4L/?symbol=NSE%3AREPRO</t>
  </si>
  <si>
    <t>RESPONIND</t>
  </si>
  <si>
    <t>Responsive Industries Limited</t>
  </si>
  <si>
    <t>NSE%3ASOUTHWEST</t>
  </si>
  <si>
    <t>https://in.tradingview.com/chart/ofQQfXOP/?symbol=NSE%3ARESPONIND</t>
  </si>
  <si>
    <t>https://in.tradingview.com/chart/bXJLby4L/?symbol=NSE%3ARESPONIND</t>
  </si>
  <si>
    <t>RBA</t>
  </si>
  <si>
    <t>Restaurant Brands Asia Ltd</t>
  </si>
  <si>
    <t>NSE%3ASPAL</t>
  </si>
  <si>
    <t>https://in.tradingview.com/chart/ofQQfXOP/?symbol=NSE%3ARBA</t>
  </si>
  <si>
    <t>https://in.tradingview.com/chart/bXJLby4L/?symbol=NSE%3ARBA</t>
  </si>
  <si>
    <t>RVTH</t>
  </si>
  <si>
    <t>Revathi Equipment India Ltd</t>
  </si>
  <si>
    <t>NSE%3ASPANDANA</t>
  </si>
  <si>
    <t>https://in.tradingview.com/chart/ofQQfXOP/?symbol=NSE%3ARVTH</t>
  </si>
  <si>
    <t>https://in.tradingview.com/chart/bXJLby4L/?symbol=NSE%3ARVTH</t>
  </si>
  <si>
    <t>RHETAN</t>
  </si>
  <si>
    <t>Rhetan TMT Ltd</t>
  </si>
  <si>
    <t>NSE%3ASPARC</t>
  </si>
  <si>
    <t>https://in.tradingview.com/chart/ofQQfXOP/?symbol=NSE%3ARHETAN</t>
  </si>
  <si>
    <t>https://in.tradingview.com/chart/bXJLby4L/?symbol=NSE%3ARHETAN</t>
  </si>
  <si>
    <t>RHIM</t>
  </si>
  <si>
    <t>RHI Magnesita India Ltd</t>
  </si>
  <si>
    <t>NSE%3ASPCENET</t>
  </si>
  <si>
    <t>https://in.tradingview.com/chart/ofQQfXOP/?symbol=NSE%3ARHIM</t>
  </si>
  <si>
    <t>https://in.tradingview.com/chart/bXJLby4L/?symbol=NSE%3ARHIM</t>
  </si>
  <si>
    <t>RICOAUTO</t>
  </si>
  <si>
    <t>Rico Auto Industries Limited</t>
  </si>
  <si>
    <t>NSE%3ASPECIALITY</t>
  </si>
  <si>
    <t>https://in.tradingview.com/chart/ofQQfXOP/?symbol=NSE%3ARICOAUTO</t>
  </si>
  <si>
    <t>https://in.tradingview.com/chart/bXJLby4L/?symbol=NSE%3ARICOAUTO</t>
  </si>
  <si>
    <t>RISHABH</t>
  </si>
  <si>
    <t>Rishabh Instruments Ltd</t>
  </si>
  <si>
    <t>NSE%3ASPENCERS</t>
  </si>
  <si>
    <t>https://in.tradingview.com/chart/ofQQfXOP/?symbol=NSE%3ARISHABH</t>
  </si>
  <si>
    <t>https://in.tradingview.com/chart/bXJLby4L/?symbol=NSE%3ARISHABH</t>
  </si>
  <si>
    <t>RITCO</t>
  </si>
  <si>
    <t>Ritco Logistics Ltd</t>
  </si>
  <si>
    <t>NSE%3ASPIC</t>
  </si>
  <si>
    <t>https://in.tradingview.com/chart/ofQQfXOP/?symbol=NSE%3ARITCO</t>
  </si>
  <si>
    <t>https://in.tradingview.com/chart/bXJLby4L/?symbol=NSE%3ARITCO</t>
  </si>
  <si>
    <t>RITES</t>
  </si>
  <si>
    <t>Rites Ltd</t>
  </si>
  <si>
    <t>NSE%3ASPLIL</t>
  </si>
  <si>
    <t>https://in.tradingview.com/chart/ofQQfXOP/?symbol=NSE%3ARITES</t>
  </si>
  <si>
    <t>https://in.tradingview.com/chart/bXJLby4L/?symbol=NSE%3ARITES</t>
  </si>
  <si>
    <t>RKEC</t>
  </si>
  <si>
    <t>RKEC Projects Ltd</t>
  </si>
  <si>
    <t>NSE%3ASPLPETRO</t>
  </si>
  <si>
    <t>https://in.tradingview.com/chart/ofQQfXOP/?symbol=NSE%3ARKEC</t>
  </si>
  <si>
    <t>https://in.tradingview.com/chart/bXJLby4L/?symbol=NSE%3ARKEC</t>
  </si>
  <si>
    <t>RHL</t>
  </si>
  <si>
    <t>Robust Hotels Pvt Ltd</t>
  </si>
  <si>
    <t>NSE%3ASPMLINFRA</t>
  </si>
  <si>
    <t>https://in.tradingview.com/chart/ofQQfXOP/?symbol=NSE%3ARHL</t>
  </si>
  <si>
    <t>https://in.tradingview.com/chart/bXJLby4L/?symbol=NSE%3ARHL</t>
  </si>
  <si>
    <t>ROLEXRINGS</t>
  </si>
  <si>
    <t>Rolex Rings Ltd</t>
  </si>
  <si>
    <t>NSE%3ASPORTKING</t>
  </si>
  <si>
    <t>https://in.tradingview.com/chart/ofQQfXOP/?symbol=NSE%3AROLEXRINGS</t>
  </si>
  <si>
    <t>https://in.tradingview.com/chart/bXJLby4L/?symbol=NSE%3AROLEXRINGS</t>
  </si>
  <si>
    <t>ROSSARI</t>
  </si>
  <si>
    <t>Rossari Biotech Ltd</t>
  </si>
  <si>
    <t>NSE%3ASRD</t>
  </si>
  <si>
    <t>https://in.tradingview.com/chart/ofQQfXOP/?symbol=NSE%3AROSSARI</t>
  </si>
  <si>
    <t>https://in.tradingview.com/chart/bXJLby4L/?symbol=NSE%3AROSSARI</t>
  </si>
  <si>
    <t>ROSSELLIND</t>
  </si>
  <si>
    <t>Rossell India Limited</t>
  </si>
  <si>
    <t>NSE%3ASREEL</t>
  </si>
  <si>
    <t>https://in.tradingview.com/chart/ofQQfXOP/?symbol=NSE%3AROSSELLIND</t>
  </si>
  <si>
    <t>https://in.tradingview.com/chart/bXJLby4L/?symbol=NSE%3AROSSELLIND</t>
  </si>
  <si>
    <t>ROSSTECH</t>
  </si>
  <si>
    <t>Rossell Techsys Ltd</t>
  </si>
  <si>
    <t>NSE%3ASRF</t>
  </si>
  <si>
    <t>https://in.tradingview.com/chart/ofQQfXOP/?symbol=NSE%3AROSSTECH</t>
  </si>
  <si>
    <t>https://in.tradingview.com/chart/bXJLby4L/?symbol=NSE%3AROSSTECH</t>
  </si>
  <si>
    <t>ROTO</t>
  </si>
  <si>
    <t>Roto Pumps Ltd</t>
  </si>
  <si>
    <t>NSE%3ASRGHFL</t>
  </si>
  <si>
    <t>https://in.tradingview.com/chart/ofQQfXOP/?symbol=NSE%3AROTO</t>
  </si>
  <si>
    <t>https://in.tradingview.com/chart/bXJLby4L/?symbol=NSE%3AROTO</t>
  </si>
  <si>
    <t>ROUTE</t>
  </si>
  <si>
    <t>Route Mobile Ltd</t>
  </si>
  <si>
    <t>NSE%3ASRHHYPOLTD</t>
  </si>
  <si>
    <t>https://in.tradingview.com/chart/ofQQfXOP/?symbol=NSE%3AROUTE</t>
  </si>
  <si>
    <t>https://in.tradingview.com/chart/bXJLby4L/?symbol=NSE%3AROUTE</t>
  </si>
  <si>
    <t>ROHLTD</t>
  </si>
  <si>
    <t>Royal Orchid Hotels Limited</t>
  </si>
  <si>
    <t>NSE%3ASRM</t>
  </si>
  <si>
    <t>https://in.tradingview.com/chart/ofQQfXOP/?symbol=NSE%3AROHLTD</t>
  </si>
  <si>
    <t>https://in.tradingview.com/chart/bXJLby4L/?symbol=NSE%3AROHLTD</t>
  </si>
  <si>
    <t>RPGLIFE</t>
  </si>
  <si>
    <t>Rpg Life Sciences Limited</t>
  </si>
  <si>
    <t>NSE%3ASRPL</t>
  </si>
  <si>
    <t>https://in.tradingview.com/chart/ofQQfXOP/?symbol=NSE%3ARPGLIFE</t>
  </si>
  <si>
    <t>https://in.tradingview.com/chart/bXJLby4L/?symbol=NSE%3ARPGLIFE</t>
  </si>
  <si>
    <t>RPSGVENT</t>
  </si>
  <si>
    <t>RPSG Ventures Ltd</t>
  </si>
  <si>
    <t>NSE%3ASSDL</t>
  </si>
  <si>
    <t>https://in.tradingview.com/chart/ofQQfXOP/?symbol=NSE%3ARPSGVENT</t>
  </si>
  <si>
    <t>https://in.tradingview.com/chart/bXJLby4L/?symbol=NSE%3ARPSGVENT</t>
  </si>
  <si>
    <t>RSWM</t>
  </si>
  <si>
    <t>Rswm Limited</t>
  </si>
  <si>
    <t>NSE%3ASSWL</t>
  </si>
  <si>
    <t>https://in.tradingview.com/chart/ofQQfXOP/?symbol=NSE%3ARSWM</t>
  </si>
  <si>
    <t>https://in.tradingview.com/chart/bXJLby4L/?symbol=NSE%3ARSWM</t>
  </si>
  <si>
    <t>RUBFILA</t>
  </si>
  <si>
    <t>Rubfila International Ltd</t>
  </si>
  <si>
    <t>NSE%3ASTALLION</t>
  </si>
  <si>
    <t>https://in.tradingview.com/chart/ofQQfXOP/?symbol=NSE%3ARUBFILA</t>
  </si>
  <si>
    <t>https://in.tradingview.com/chart/bXJLby4L/?symbol=NSE%3ARUBFILA</t>
  </si>
  <si>
    <t>RUBICON</t>
  </si>
  <si>
    <t>Rubicon Research Ltd</t>
  </si>
  <si>
    <t>NSE%3ASTANLEY</t>
  </si>
  <si>
    <t>https://in.tradingview.com/chart/ofQQfXOP/?symbol=NSE%3ARUBICON</t>
  </si>
  <si>
    <t>https://in.tradingview.com/chart/bXJLby4L/?symbol=NSE%3ARUBICON</t>
  </si>
  <si>
    <t>RUCHINFRA</t>
  </si>
  <si>
    <t>Ruchi Infrastructure Limited</t>
  </si>
  <si>
    <t>NSE%3ASTAR</t>
  </si>
  <si>
    <t>https://in.tradingview.com/chart/ofQQfXOP/?symbol=NSE%3ARUCHINFRA</t>
  </si>
  <si>
    <t>https://in.tradingview.com/chart/bXJLby4L/?symbol=NSE%3ARUCHINFRA</t>
  </si>
  <si>
    <t>RUCHIRA</t>
  </si>
  <si>
    <t>Ruchira Papers Limited</t>
  </si>
  <si>
    <t>NSE%3ASTARCEMENT</t>
  </si>
  <si>
    <t>https://in.tradingview.com/chart/ofQQfXOP/?symbol=NSE%3ARUCHIRA</t>
  </si>
  <si>
    <t>https://in.tradingview.com/chart/bXJLby4L/?symbol=NSE%3ARUCHIRA</t>
  </si>
  <si>
    <t>REPL</t>
  </si>
  <si>
    <t>Rudrabhishek Enterprises Ltd</t>
  </si>
  <si>
    <t>NSE%3ASTARHEALTH</t>
  </si>
  <si>
    <t>https://in.tradingview.com/chart/ofQQfXOP/?symbol=NSE%3AREPL</t>
  </si>
  <si>
    <t>https://in.tradingview.com/chart/bXJLby4L/?symbol=NSE%3AREPL</t>
  </si>
  <si>
    <t>RUPA</t>
  </si>
  <si>
    <t>Rupa &amp; Company Limited</t>
  </si>
  <si>
    <t>NSE%3ASTARPAPER</t>
  </si>
  <si>
    <t>https://in.tradingview.com/chart/ofQQfXOP/?symbol=NSE%3ARUPA</t>
  </si>
  <si>
    <t>https://in.tradingview.com/chart/bXJLby4L/?symbol=NSE%3ARUPA</t>
  </si>
  <si>
    <t>RECLTD</t>
  </si>
  <si>
    <t>Rural Electrification Corporation Limited</t>
  </si>
  <si>
    <t>NSE%3ASTARTECK</t>
  </si>
  <si>
    <t>https://in.tradingview.com/chart/ofQQfXOP/?symbol=NSE%3ARECLTD</t>
  </si>
  <si>
    <t>https://in.tradingview.com/chart/bXJLby4L/?symbol=NSE%3ARECLTD</t>
  </si>
  <si>
    <t>RUSHIL</t>
  </si>
  <si>
    <t>Rushil Decor Limited</t>
  </si>
  <si>
    <t>NSE%3ASTCINDIA</t>
  </si>
  <si>
    <t>https://in.tradingview.com/chart/ofQQfXOP/?symbol=NSE%3ARUSHIL</t>
  </si>
  <si>
    <t>https://in.tradingview.com/chart/bXJLby4L/?symbol=NSE%3ARUSHIL</t>
  </si>
  <si>
    <t>S&amp;SPOWER</t>
  </si>
  <si>
    <t>S &amp; S Power Switchgear Ltd</t>
  </si>
  <si>
    <t>NSE%3ASTEELCAS</t>
  </si>
  <si>
    <t>https://in.tradingview.com/chart/ofQQfXOP/?symbol=NSE%3AS&amp;SPOWER</t>
  </si>
  <si>
    <t>https://in.tradingview.com/chart/bXJLby4L/?symbol=NSE%3AS&amp;SPOWER</t>
  </si>
  <si>
    <t>SCHAND</t>
  </si>
  <si>
    <t>S Chand and Company Limited</t>
  </si>
  <si>
    <t>NSE%3ASTEELCITY</t>
  </si>
  <si>
    <t>https://in.tradingview.com/chart/ofQQfXOP/?symbol=NSE%3ASCHAND</t>
  </si>
  <si>
    <t>https://in.tradingview.com/chart/bXJLby4L/?symbol=NSE%3ASCHAND</t>
  </si>
  <si>
    <t>SHK</t>
  </si>
  <si>
    <t>S H Kelkar And Company Limited</t>
  </si>
  <si>
    <t>NSE%3ASTEELXIND</t>
  </si>
  <si>
    <t>https://in.tradingview.com/chart/ofQQfXOP/?symbol=NSE%3ASHK</t>
  </si>
  <si>
    <t>https://in.tradingview.com/chart/bXJLby4L/?symbol=NSE%3ASHK</t>
  </si>
  <si>
    <t>SJS</t>
  </si>
  <si>
    <t>S J S Enterprises Ltd</t>
  </si>
  <si>
    <t>NSE%3ASTEL</t>
  </si>
  <si>
    <t>https://in.tradingview.com/chart/ofQQfXOP/?symbol=NSE%3ASJS</t>
  </si>
  <si>
    <t>https://in.tradingview.com/chart/bXJLby4L/?symbol=NSE%3ASJS</t>
  </si>
  <si>
    <t>SPAL</t>
  </si>
  <si>
    <t>S. P. Apparels Limited</t>
  </si>
  <si>
    <t>NSE%3ASTERTOOLS</t>
  </si>
  <si>
    <t>https://in.tradingview.com/chart/ofQQfXOP/?symbol=NSE%3ASPAL</t>
  </si>
  <si>
    <t>https://in.tradingview.com/chart/bXJLby4L/?symbol=NSE%3ASPAL</t>
  </si>
  <si>
    <t>SAATVIKGL</t>
  </si>
  <si>
    <t>NSE%3ASTLTECH</t>
  </si>
  <si>
    <t>https://in.tradingview.com/chart/ofQQfXOP/?symbol=NSE%3ASAATVIKGL</t>
  </si>
  <si>
    <t>https://in.tradingview.com/chart/bXJLby4L/?symbol=NSE%3ASAATVIKGL</t>
  </si>
  <si>
    <t>SABEVENTS</t>
  </si>
  <si>
    <t>Sab Events &amp; Governance Now Media Limited</t>
  </si>
  <si>
    <t>NSE%3ASTOVEKRAFT</t>
  </si>
  <si>
    <t>https://in.tradingview.com/chart/ofQQfXOP/?symbol=NSE%3ASABEVENTS</t>
  </si>
  <si>
    <t>https://in.tradingview.com/chart/bXJLby4L/?symbol=NSE%3ASABEVENTS</t>
  </si>
  <si>
    <t>SADBHAV</t>
  </si>
  <si>
    <t>Sadbhav Engineering Limited</t>
  </si>
  <si>
    <t>NSE%3ASTYLAMIND</t>
  </si>
  <si>
    <t>https://in.tradingview.com/chart/ofQQfXOP/?symbol=NSE%3ASADBHAV</t>
  </si>
  <si>
    <t>https://in.tradingview.com/chart/bXJLby4L/?symbol=NSE%3ASADBHAV</t>
  </si>
  <si>
    <t>SADHNANIQ</t>
  </si>
  <si>
    <t>Sadhana Nitro Chem Ltd</t>
  </si>
  <si>
    <t>NSE%3ASTYLEBAAZA</t>
  </si>
  <si>
    <t>https://in.tradingview.com/chart/ofQQfXOP/?symbol=NSE%3ASADHNANIQ</t>
  </si>
  <si>
    <t>https://in.tradingview.com/chart/bXJLby4L/?symbol=NSE%3ASADHNANIQ</t>
  </si>
  <si>
    <t>SAFARI</t>
  </si>
  <si>
    <t>Safari Industries (India) Ltd</t>
  </si>
  <si>
    <t>NSE%3ASTYRENIX</t>
  </si>
  <si>
    <t>https://in.tradingview.com/chart/ofQQfXOP/?symbol=NSE%3ASAFARI</t>
  </si>
  <si>
    <t>https://in.tradingview.com/chart/bXJLby4L/?symbol=NSE%3ASAFARI</t>
  </si>
  <si>
    <t>SAGCEM</t>
  </si>
  <si>
    <t>Sagar Cements Limited</t>
  </si>
  <si>
    <t>NSE%3ASUBEXLTD</t>
  </si>
  <si>
    <t>https://in.tradingview.com/chart/ofQQfXOP/?symbol=NSE%3ASAGCEM</t>
  </si>
  <si>
    <t>https://in.tradingview.com/chart/bXJLby4L/?symbol=NSE%3ASAGCEM</t>
  </si>
  <si>
    <t>SAGARDEEP</t>
  </si>
  <si>
    <t>Sagardeep Alloys Ltd</t>
  </si>
  <si>
    <t>NSE%3ASUBROS</t>
  </si>
  <si>
    <t>https://in.tradingview.com/chart/ofQQfXOP/?symbol=NSE%3ASAGARDEEP</t>
  </si>
  <si>
    <t>https://in.tradingview.com/chart/bXJLby4L/?symbol=NSE%3ASAGARDEEP</t>
  </si>
  <si>
    <t>SAGILITY</t>
  </si>
  <si>
    <t>Sagility India Ltd</t>
  </si>
  <si>
    <t>NSE%3ASUDARSCHEM</t>
  </si>
  <si>
    <t>https://in.tradingview.com/chart/ofQQfXOP/?symbol=NSE%3ASAGILITY</t>
  </si>
  <si>
    <t>https://in.tradingview.com/chart/bXJLby4L/?symbol=NSE%3ASAGILITY</t>
  </si>
  <si>
    <t>SAHYADRI</t>
  </si>
  <si>
    <t>Sahyadri Industries Ltd</t>
  </si>
  <si>
    <t>NSE%3ASUKHJITS</t>
  </si>
  <si>
    <t>https://in.tradingview.com/chart/ofQQfXOP/?symbol=NSE%3ASAHYADRI</t>
  </si>
  <si>
    <t>https://in.tradingview.com/chart/bXJLby4L/?symbol=NSE%3ASAHYADRI</t>
  </si>
  <si>
    <t>SAILIFE</t>
  </si>
  <si>
    <t>Sai Life Sciences Ltd</t>
  </si>
  <si>
    <t>NSE%3ASULA</t>
  </si>
  <si>
    <t>https://in.tradingview.com/chart/ofQQfXOP/?symbol=NSE%3ASAILIFE</t>
  </si>
  <si>
    <t>https://in.tradingview.com/chart/bXJLby4L/?symbol=NSE%3ASAILIFE</t>
  </si>
  <si>
    <t>KALAMANDIR</t>
  </si>
  <si>
    <t>Sai Silks (Kalamandir) Ltd</t>
  </si>
  <si>
    <t>NSE%3ASUMICHEM</t>
  </si>
  <si>
    <t>https://in.tradingview.com/chart/ofQQfXOP/?symbol=NSE%3AKALAMANDIR</t>
  </si>
  <si>
    <t>https://in.tradingview.com/chart/bXJLby4L/?symbol=NSE%3AKALAMANDIR</t>
  </si>
  <si>
    <t>SAKAR</t>
  </si>
  <si>
    <t>Sakar Healthcare Ltd</t>
  </si>
  <si>
    <t>NSE%3ASUMIT</t>
  </si>
  <si>
    <t>https://in.tradingview.com/chart/ofQQfXOP/?symbol=NSE%3ASAKAR</t>
  </si>
  <si>
    <t>https://in.tradingview.com/chart/bXJLby4L/?symbol=NSE%3ASAKAR</t>
  </si>
  <si>
    <t>SAKSOFT</t>
  </si>
  <si>
    <t>Saksoft Limited</t>
  </si>
  <si>
    <t>NSE%3ASUMMITSEC</t>
  </si>
  <si>
    <t>https://in.tradingview.com/chart/ofQQfXOP/?symbol=NSE%3ASAKSOFT</t>
  </si>
  <si>
    <t>https://in.tradingview.com/chart/bXJLby4L/?symbol=NSE%3ASAKSOFT</t>
  </si>
  <si>
    <t>SAKHTISUG</t>
  </si>
  <si>
    <t>Sakthi Sugars Limited</t>
  </si>
  <si>
    <t>NSE%3ASUNCLAY</t>
  </si>
  <si>
    <t>https://in.tradingview.com/chart/ofQQfXOP/?symbol=NSE%3ASAKHTISUG</t>
  </si>
  <si>
    <t>https://in.tradingview.com/chart/bXJLby4L/?symbol=NSE%3ASAKHTISUG</t>
  </si>
  <si>
    <t>SALSTEEL</t>
  </si>
  <si>
    <t>SAL Steel</t>
  </si>
  <si>
    <t>NSE%3ASUNDARAM</t>
  </si>
  <si>
    <t>https://in.tradingview.com/chart/ofQQfXOP/?symbol=NSE%3ASALSTEEL</t>
  </si>
  <si>
    <t>https://in.tradingview.com/chart/bXJLby4L/?symbol=NSE%3ASALSTEEL</t>
  </si>
  <si>
    <t>SALASAR</t>
  </si>
  <si>
    <t>Salasar Techno Engineering Ltd</t>
  </si>
  <si>
    <t>NSE%3ASUNDARMFIN</t>
  </si>
  <si>
    <t>https://in.tradingview.com/chart/ofQQfXOP/?symbol=NSE%3ASALASAR</t>
  </si>
  <si>
    <t>https://in.tradingview.com/chart/bXJLby4L/?symbol=NSE%3ASALASAR</t>
  </si>
  <si>
    <t>SALONA</t>
  </si>
  <si>
    <t>Salona Cotspin Limited</t>
  </si>
  <si>
    <t>NSE%3ASUNDARMHLD</t>
  </si>
  <si>
    <t>https://in.tradingview.com/chart/ofQQfXOP/?symbol=NSE%3ASALONA</t>
  </si>
  <si>
    <t>https://in.tradingview.com/chart/bXJLby4L/?symbol=NSE%3ASALONA</t>
  </si>
  <si>
    <t>SALZERELEC</t>
  </si>
  <si>
    <t>Salzer Electronics Limited</t>
  </si>
  <si>
    <t>NSE%3ASUNDRMBRAK</t>
  </si>
  <si>
    <t>https://in.tradingview.com/chart/ofQQfXOP/?symbol=NSE%3ASALZERELEC</t>
  </si>
  <si>
    <t>https://in.tradingview.com/chart/bXJLby4L/?symbol=NSE%3ASALZERELEC</t>
  </si>
  <si>
    <t>SAMBHAAV</t>
  </si>
  <si>
    <t>Sambhaav Media Limited</t>
  </si>
  <si>
    <t>NSE%3ASUNDRMFAST</t>
  </si>
  <si>
    <t>https://in.tradingview.com/chart/ofQQfXOP/?symbol=NSE%3ASAMBHAAV</t>
  </si>
  <si>
    <t>https://in.tradingview.com/chart/bXJLby4L/?symbol=NSE%3ASAMBHAAV</t>
  </si>
  <si>
    <t>SAMBHV</t>
  </si>
  <si>
    <t>Sambhv Steel Tubes Ltd</t>
  </si>
  <si>
    <t>NSE%3ASUNFLAG</t>
  </si>
  <si>
    <t>https://in.tradingview.com/chart/ofQQfXOP/?symbol=NSE%3ASAMBHV</t>
  </si>
  <si>
    <t>https://in.tradingview.com/chart/bXJLby4L/?symbol=NSE%3ASAMBHV</t>
  </si>
  <si>
    <t>SAMHI</t>
  </si>
  <si>
    <t>Samhi Hotels Ltd</t>
  </si>
  <si>
    <t>NSE%3ASUNPHARMA</t>
  </si>
  <si>
    <t>https://in.tradingview.com/chart/ofQQfXOP/?symbol=NSE%3ASAMHI</t>
  </si>
  <si>
    <t>https://in.tradingview.com/chart/bXJLby4L/?symbol=NSE%3ASAMHI</t>
  </si>
  <si>
    <t>SAMMAANCAP</t>
  </si>
  <si>
    <t>Sammaan Capital Ltd</t>
  </si>
  <si>
    <t>NSE%3ASUNTECK</t>
  </si>
  <si>
    <t>https://in.tradingview.com/chart/ofQQfXOP/?symbol=NSE%3ASAMMAANCAP</t>
  </si>
  <si>
    <t>https://in.tradingview.com/chart/bXJLby4L/?symbol=NSE%3ASAMMAANCAP</t>
  </si>
  <si>
    <t>SAMPANN</t>
  </si>
  <si>
    <t>Sampann Utpadan India Ltd</t>
  </si>
  <si>
    <t>NSE%3ASUNTV</t>
  </si>
  <si>
    <t>https://in.tradingview.com/chart/ofQQfXOP/?symbol=NSE%3ASAMPANN</t>
  </si>
  <si>
    <t>https://in.tradingview.com/chart/bXJLby4L/?symbol=NSE%3ASAMPANN</t>
  </si>
  <si>
    <t>SANATHAN</t>
  </si>
  <si>
    <t>Sanathan Textiles Ltd</t>
  </si>
  <si>
    <t>NSE%3ASUPERHOUSE</t>
  </si>
  <si>
    <t>https://in.tradingview.com/chart/ofQQfXOP/?symbol=NSE%3ASANATHAN</t>
  </si>
  <si>
    <t>https://in.tradingview.com/chart/bXJLby4L/?symbol=NSE%3ASANATHAN</t>
  </si>
  <si>
    <t>SANDHAR</t>
  </si>
  <si>
    <t>Sandhar Technologies Limited</t>
  </si>
  <si>
    <t>NSE%3ASUPERSPIN</t>
  </si>
  <si>
    <t>https://in.tradingview.com/chart/ofQQfXOP/?symbol=NSE%3ASANDHAR</t>
  </si>
  <si>
    <t>https://in.tradingview.com/chart/bXJLby4L/?symbol=NSE%3ASANDHAR</t>
  </si>
  <si>
    <t>SANDUMA</t>
  </si>
  <si>
    <t>Sandur Manganese &amp; Iron Ores Ltd</t>
  </si>
  <si>
    <t>NSE%3ASUPRAJIT</t>
  </si>
  <si>
    <t>https://in.tradingview.com/chart/ofQQfXOP/?symbol=NSE%3ASANDUMA</t>
  </si>
  <si>
    <t>https://in.tradingview.com/chart/bXJLby4L/?symbol=NSE%3ASANDUMA</t>
  </si>
  <si>
    <t>SANGAMIND</t>
  </si>
  <si>
    <t>Sangam (india) Limited</t>
  </si>
  <si>
    <t>NSE%3ASUPREME</t>
  </si>
  <si>
    <t>https://in.tradingview.com/chart/ofQQfXOP/?symbol=NSE%3ASANGAMIND</t>
  </si>
  <si>
    <t>https://in.tradingview.com/chart/bXJLby4L/?symbol=NSE%3ASANGAMIND</t>
  </si>
  <si>
    <t>SANGHIIND</t>
  </si>
  <si>
    <t>Sanghi Industries Limited</t>
  </si>
  <si>
    <t>NSE%3ASUPREMEIND</t>
  </si>
  <si>
    <t>https://in.tradingview.com/chart/ofQQfXOP/?symbol=NSE%3ASANGHIIND</t>
  </si>
  <si>
    <t>https://in.tradingview.com/chart/bXJLby4L/?symbol=NSE%3ASANGHIIND</t>
  </si>
  <si>
    <t>SANGHVIMOV</t>
  </si>
  <si>
    <t>Sanghvi Movers Limited</t>
  </si>
  <si>
    <t>NSE%3ASUPREMEINF</t>
  </si>
  <si>
    <t>https://in.tradingview.com/chart/ofQQfXOP/?symbol=NSE%3ASANGHVIMOV</t>
  </si>
  <si>
    <t>https://in.tradingview.com/chart/bXJLby4L/?symbol=NSE%3ASANGHVIMOV</t>
  </si>
  <si>
    <t>SANGINITA</t>
  </si>
  <si>
    <t>Sanginita Chemicals Ltd</t>
  </si>
  <si>
    <t>NSE%3ASUPRIYA</t>
  </si>
  <si>
    <t>https://in.tradingview.com/chart/ofQQfXOP/?symbol=NSE%3ASANGINITA</t>
  </si>
  <si>
    <t>https://in.tradingview.com/chart/bXJLby4L/?symbol=NSE%3ASANGINITA</t>
  </si>
  <si>
    <t>SANOFICONR</t>
  </si>
  <si>
    <t>Sanofi Consumer Healthcare India Ltd</t>
  </si>
  <si>
    <t>NSE%3ASURAJEST</t>
  </si>
  <si>
    <t>https://in.tradingview.com/chart/ofQQfXOP/?symbol=NSE%3ASANOFICONR</t>
  </si>
  <si>
    <t>https://in.tradingview.com/chart/bXJLby4L/?symbol=NSE%3ASANOFICONR</t>
  </si>
  <si>
    <t>SANOFI</t>
  </si>
  <si>
    <t>Sanofi India Limited</t>
  </si>
  <si>
    <t>NSE%3ASURAJLTD</t>
  </si>
  <si>
    <t>https://in.tradingview.com/chart/ofQQfXOP/?symbol=NSE%3ASANOFI</t>
  </si>
  <si>
    <t>https://in.tradingview.com/chart/bXJLby4L/?symbol=NSE%3ASANOFI</t>
  </si>
  <si>
    <t>SANSERA</t>
  </si>
  <si>
    <t>Sansera Engineering Ltd</t>
  </si>
  <si>
    <t>NSE%3ASURAKSHA</t>
  </si>
  <si>
    <t>https://in.tradingview.com/chart/ofQQfXOP/?symbol=NSE%3ASANSERA</t>
  </si>
  <si>
    <t>https://in.tradingview.com/chart/bXJLby4L/?symbol=NSE%3ASANSERA</t>
  </si>
  <si>
    <t>SANSTAR</t>
  </si>
  <si>
    <t>Sanstar Ltd</t>
  </si>
  <si>
    <t>NSE%3ASURANASOL</t>
  </si>
  <si>
    <t>https://in.tradingview.com/chart/ofQQfXOP/?symbol=NSE%3ASANSTAR</t>
  </si>
  <si>
    <t>https://in.tradingview.com/chart/bXJLby4L/?symbol=NSE%3ASANSTAR</t>
  </si>
  <si>
    <t>SAPPHIRE</t>
  </si>
  <si>
    <t>Sapphire Foods India Ltd</t>
  </si>
  <si>
    <t>NSE%3ASURANAT_P</t>
  </si>
  <si>
    <t>https://in.tradingview.com/chart/ofQQfXOP/?symbol=NSE%3ASAPPHIRE</t>
  </si>
  <si>
    <t>https://in.tradingview.com/chart/bXJLby4L/?symbol=NSE%3ASAPPHIRE</t>
  </si>
  <si>
    <t>SSDL</t>
  </si>
  <si>
    <t>Saraswati Saree Depot Ltd</t>
  </si>
  <si>
    <t>NSE%3ASURYALAXMI</t>
  </si>
  <si>
    <t>https://in.tradingview.com/chart/ofQQfXOP/?symbol=NSE%3ASSDL</t>
  </si>
  <si>
    <t>https://in.tradingview.com/chart/bXJLby4L/?symbol=NSE%3ASSDL</t>
  </si>
  <si>
    <t>SARDAEN</t>
  </si>
  <si>
    <t>Sarda Energy &amp; Minerals Limited</t>
  </si>
  <si>
    <t>NSE%3ASURYAROSNI</t>
  </si>
  <si>
    <t>https://in.tradingview.com/chart/ofQQfXOP/?symbol=NSE%3ASARDAEN</t>
  </si>
  <si>
    <t>https://in.tradingview.com/chart/bXJLby4L/?symbol=NSE%3ASARDAEN</t>
  </si>
  <si>
    <t>SAREGAMA</t>
  </si>
  <si>
    <t>Saregama India Limited</t>
  </si>
  <si>
    <t>NSE%3ASURYODAY</t>
  </si>
  <si>
    <t>https://in.tradingview.com/chart/ofQQfXOP/?symbol=NSE%3ASAREGAMA</t>
  </si>
  <si>
    <t>https://in.tradingview.com/chart/bXJLby4L/?symbol=NSE%3ASAREGAMA</t>
  </si>
  <si>
    <t>SARLAPOLY</t>
  </si>
  <si>
    <t>Sarla Performance Fibers Limited</t>
  </si>
  <si>
    <t>NSE%3ASUTLEJTEX</t>
  </si>
  <si>
    <t>https://in.tradingview.com/chart/ofQQfXOP/?symbol=NSE%3ASARLAPOLY</t>
  </si>
  <si>
    <t>https://in.tradingview.com/chart/bXJLby4L/?symbol=NSE%3ASARLAPOLY</t>
  </si>
  <si>
    <t>SMLT</t>
  </si>
  <si>
    <t>Sarthak Metals Ltd</t>
  </si>
  <si>
    <t>NSE%3ASUULD</t>
  </si>
  <si>
    <t>https://in.tradingview.com/chart/ofQQfXOP/?symbol=NSE%3ASMLT</t>
  </si>
  <si>
    <t>https://in.tradingview.com/chart/bXJLby4L/?symbol=NSE%3ASMLT</t>
  </si>
  <si>
    <t>SASKEN</t>
  </si>
  <si>
    <t>Sasken Communication Technologies Limited</t>
  </si>
  <si>
    <t>NSE%3ASUVEN</t>
  </si>
  <si>
    <t>https://in.tradingview.com/chart/ofQQfXOP/?symbol=NSE%3ASASKEN</t>
  </si>
  <si>
    <t>https://in.tradingview.com/chart/bXJLby4L/?symbol=NSE%3ASASKEN</t>
  </si>
  <si>
    <t>SASTASUNDR</t>
  </si>
  <si>
    <t>Sastasundar Ventures Limited</t>
  </si>
  <si>
    <t>NSE%3ASUVIDHAA</t>
  </si>
  <si>
    <t>https://in.tradingview.com/chart/ofQQfXOP/?symbol=NSE%3ASASTASUNDR</t>
  </si>
  <si>
    <t>https://in.tradingview.com/chart/bXJLby4L/?symbol=NSE%3ASASTASUNDR</t>
  </si>
  <si>
    <t>SATIA</t>
  </si>
  <si>
    <t>Satia Industries Ltd</t>
  </si>
  <si>
    <t>NSE%3ASUYOG</t>
  </si>
  <si>
    <t>https://in.tradingview.com/chart/ofQQfXOP/?symbol=NSE%3ASATIA</t>
  </si>
  <si>
    <t>https://in.tradingview.com/chart/bXJLby4L/?symbol=NSE%3ASATIA</t>
  </si>
  <si>
    <t>SATIN</t>
  </si>
  <si>
    <t>Satin Creditcare Network Limited</t>
  </si>
  <si>
    <t>NSE%3ASUZLON</t>
  </si>
  <si>
    <t>https://in.tradingview.com/chart/ofQQfXOP/?symbol=NSE%3ASATIN</t>
  </si>
  <si>
    <t>https://in.tradingview.com/chart/bXJLby4L/?symbol=NSE%3ASATIN</t>
  </si>
  <si>
    <t>SAURASHCEM</t>
  </si>
  <si>
    <t>Saurashtra Cement Ltd</t>
  </si>
  <si>
    <t>NSE%3ASVLL</t>
  </si>
  <si>
    <t>https://in.tradingview.com/chart/ofQQfXOP/?symbol=NSE%3ASAURASHCEM</t>
  </si>
  <si>
    <t>https://in.tradingview.com/chart/bXJLby4L/?symbol=NSE%3ASAURASHCEM</t>
  </si>
  <si>
    <t>SOTL</t>
  </si>
  <si>
    <t>Savita Oil Technologies Limited</t>
  </si>
  <si>
    <t>NSE%3ASVPGLOB</t>
  </si>
  <si>
    <t>https://in.tradingview.com/chart/ofQQfXOP/?symbol=NSE%3ASOTL</t>
  </si>
  <si>
    <t>https://in.tradingview.com/chart/bXJLby4L/?symbol=NSE%3ASOTL</t>
  </si>
  <si>
    <t>SBC</t>
  </si>
  <si>
    <t>SBC Exports Ltd</t>
  </si>
  <si>
    <t>NSE%3ASWANCORP</t>
  </si>
  <si>
    <t>https://in.tradingview.com/chart/ofQQfXOP/?symbol=NSE%3ASBC</t>
  </si>
  <si>
    <t>https://in.tradingview.com/chart/bXJLby4L/?symbol=NSE%3ASBC</t>
  </si>
  <si>
    <t>SBFC</t>
  </si>
  <si>
    <t>SBFC Finance Ltd</t>
  </si>
  <si>
    <t>NSE%3ASWARAJENG</t>
  </si>
  <si>
    <t>https://in.tradingview.com/chart/ofQQfXOP/?symbol=NSE%3ASBFC</t>
  </si>
  <si>
    <t>https://in.tradingview.com/chart/bXJLby4L/?symbol=NSE%3ASBFC</t>
  </si>
  <si>
    <t>SBIETFQLTY</t>
  </si>
  <si>
    <t>SBI - ETF Quality</t>
  </si>
  <si>
    <t>NSE%3ASWIGGY</t>
  </si>
  <si>
    <t>https://in.tradingview.com/chart/ofQQfXOP/?symbol=NSE%3ASBIETFQLTY</t>
  </si>
  <si>
    <t>https://in.tradingview.com/chart/bXJLby4L/?symbol=NSE%3ASBIETFQLTY</t>
  </si>
  <si>
    <t>SBIBPB</t>
  </si>
  <si>
    <t>SBI BSE PSU Bank ETF</t>
  </si>
  <si>
    <t>NSE%3ASWSOLAR</t>
  </si>
  <si>
    <t>https://in.tradingview.com/chart/ofQQfXOP/?symbol=NSE%3ASBIBPB</t>
  </si>
  <si>
    <t>https://in.tradingview.com/chart/bXJLby4L/?symbol=NSE%3ASBIBPB</t>
  </si>
  <si>
    <t>SBICARD</t>
  </si>
  <si>
    <t>SBI Cards &amp; Payment Services Ltd</t>
  </si>
  <si>
    <t>NSE%3ASYMPHONY</t>
  </si>
  <si>
    <t>https://in.tradingview.com/chart/ofQQfXOP/?symbol=NSE%3ASBICARD</t>
  </si>
  <si>
    <t>https://in.tradingview.com/chart/bXJLby4L/?symbol=NSE%3ASBICARD</t>
  </si>
  <si>
    <t>SBIETFCON</t>
  </si>
  <si>
    <t>SBI ETF Consumption</t>
  </si>
  <si>
    <t>NSE%3ASYNCOMF</t>
  </si>
  <si>
    <t>https://in.tradingview.com/chart/ofQQfXOP/?symbol=NSE%3ASBIETFCON</t>
  </si>
  <si>
    <t>https://in.tradingview.com/chart/bXJLby4L/?symbol=NSE%3ASBIETFCON</t>
  </si>
  <si>
    <t>SBIETFIT</t>
  </si>
  <si>
    <t>SBI ETF IT</t>
  </si>
  <si>
    <t>NSE%3ASYNGENE</t>
  </si>
  <si>
    <t>https://in.tradingview.com/chart/ofQQfXOP/?symbol=NSE%3ASBIETFIT</t>
  </si>
  <si>
    <t>https://in.tradingview.com/chart/bXJLby4L/?symbol=NSE%3ASBIETFIT</t>
  </si>
  <si>
    <t>SETFNIF50</t>
  </si>
  <si>
    <t>SBI ETF Nifty 50</t>
  </si>
  <si>
    <t>NSE%3ASYRMA</t>
  </si>
  <si>
    <t>https://in.tradingview.com/chart/ofQQfXOP/?symbol=NSE%3ASETFNIF50</t>
  </si>
  <si>
    <t>https://in.tradingview.com/chart/bXJLby4L/?symbol=NSE%3ASETFNIF50</t>
  </si>
  <si>
    <t>SETFNIFBK</t>
  </si>
  <si>
    <t>SBI ETF Nifty Bank</t>
  </si>
  <si>
    <t>NSE%3ATAINWALCHM</t>
  </si>
  <si>
    <t>https://in.tradingview.com/chart/ofQQfXOP/?symbol=NSE%3ASETFNIFBK</t>
  </si>
  <si>
    <t>https://in.tradingview.com/chart/bXJLby4L/?symbol=NSE%3ASETFNIFBK</t>
  </si>
  <si>
    <t>SBIETFPB</t>
  </si>
  <si>
    <t>SBI ETF PRIVATE BANK</t>
  </si>
  <si>
    <t>NSE%3ATAJGVK</t>
  </si>
  <si>
    <t>https://in.tradingview.com/chart/ofQQfXOP/?symbol=NSE%3ASBIETFPB</t>
  </si>
  <si>
    <t>https://in.tradingview.com/chart/bXJLby4L/?symbol=NSE%3ASBIETFPB</t>
  </si>
  <si>
    <t>SETFGOLD</t>
  </si>
  <si>
    <t>SBI Gold ETS</t>
  </si>
  <si>
    <t>NSE%3ATAKE</t>
  </si>
  <si>
    <t>https://in.tradingview.com/chart/ofQQfXOP/?symbol=NSE%3ASETFGOLD</t>
  </si>
  <si>
    <t>https://in.tradingview.com/chart/bXJLby4L/?symbol=NSE%3ASETFGOLD</t>
  </si>
  <si>
    <t>SBILIFE</t>
  </si>
  <si>
    <t>SBI Life Insurance Company Ltd</t>
  </si>
  <si>
    <t>NSE%3ATALBROAUTO</t>
  </si>
  <si>
    <t>https://in.tradingview.com/chart/ofQQfXOP/?symbol=NSE%3ASBILIFE</t>
  </si>
  <si>
    <t>https://in.tradingview.com/chart/bXJLby4L/?symbol=NSE%3ASBILIFE</t>
  </si>
  <si>
    <t>LIQUIDSBI</t>
  </si>
  <si>
    <t>SBI Nifty 1D Rate ETF</t>
  </si>
  <si>
    <t>NSE%3ATANLA</t>
  </si>
  <si>
    <t>https://in.tradingview.com/chart/ofQQfXOP/?symbol=NSE%3ALIQUIDSBI</t>
  </si>
  <si>
    <t>https://in.tradingview.com/chart/bXJLby4L/?symbol=NSE%3ALIQUIDSBI</t>
  </si>
  <si>
    <t>SBILIQETF</t>
  </si>
  <si>
    <t>SBI Nifty 1D Rate Liquid ETF</t>
  </si>
  <si>
    <t>NSE%3ATARACHAND</t>
  </si>
  <si>
    <t>https://in.tradingview.com/chart/ofQQfXOP/?symbol=NSE%3ASBILIQETF</t>
  </si>
  <si>
    <t>https://in.tradingview.com/chart/bXJLby4L/?symbol=NSE%3ASBILIQETF</t>
  </si>
  <si>
    <t>SETFNN50</t>
  </si>
  <si>
    <t>SBI Nifty Next 50</t>
  </si>
  <si>
    <t>NSE%3ATARAPUR</t>
  </si>
  <si>
    <t>https://in.tradingview.com/chart/ofQQfXOP/?symbol=NSE%3ASETFNN50</t>
  </si>
  <si>
    <t>https://in.tradingview.com/chart/bXJLby4L/?symbol=NSE%3ASETFNN50</t>
  </si>
  <si>
    <t>SBINEQWETF</t>
  </si>
  <si>
    <t>SBI Nifty50 Equal Weight ETF</t>
  </si>
  <si>
    <t>NSE%3ATARC</t>
  </si>
  <si>
    <t>https://in.tradingview.com/chart/ofQQfXOP/?symbol=NSE%3ASBINEQWETF</t>
  </si>
  <si>
    <t>https://in.tradingview.com/chart/bXJLby4L/?symbol=NSE%3ASBINEQWETF</t>
  </si>
  <si>
    <t>SBISILVER</t>
  </si>
  <si>
    <t>SBI Silver ETF</t>
  </si>
  <si>
    <t>NSE%3ATARIL</t>
  </si>
  <si>
    <t>https://in.tradingview.com/chart/ofQQfXOP/?symbol=NSE%3ASBISILVER</t>
  </si>
  <si>
    <t>https://in.tradingview.com/chart/bXJLby4L/?symbol=NSE%3ASBISILVER</t>
  </si>
  <si>
    <t>SETF10GILT</t>
  </si>
  <si>
    <t>SBI-ETF 10 Year GILT</t>
  </si>
  <si>
    <t>NSE%3ATARMAT</t>
  </si>
  <si>
    <t>https://in.tradingview.com/chart/ofQQfXOP/?symbol=NSE%3ASETF10GILT</t>
  </si>
  <si>
    <t>https://in.tradingview.com/chart/bXJLby4L/?symbol=NSE%3ASETF10GILT</t>
  </si>
  <si>
    <t>SCHAEFFLER</t>
  </si>
  <si>
    <t>Schaeffler India Ltd</t>
  </si>
  <si>
    <t>NSE%3ATARSONS</t>
  </si>
  <si>
    <t>https://in.tradingview.com/chart/ofQQfXOP/?symbol=NSE%3ASCHAEFFLER</t>
  </si>
  <si>
    <t>https://in.tradingview.com/chart/bXJLby4L/?symbol=NSE%3ASCHAEFFLER</t>
  </si>
  <si>
    <t>THELEELA</t>
  </si>
  <si>
    <t>Schloss Bangalore Ltd</t>
  </si>
  <si>
    <t>NSE%3ATASTYBITE</t>
  </si>
  <si>
    <t>https://in.tradingview.com/chart/ofQQfXOP/?symbol=NSE%3ATHELEELA</t>
  </si>
  <si>
    <t>https://in.tradingview.com/chart/bXJLby4L/?symbol=NSE%3ATHELEELA</t>
  </si>
  <si>
    <t>SCHNEIDER</t>
  </si>
  <si>
    <t>Schneider Electric Infrastructure Limited</t>
  </si>
  <si>
    <t>NSE%3ATATACHEM</t>
  </si>
  <si>
    <t>https://in.tradingview.com/chart/ofQQfXOP/?symbol=NSE%3ASCHNEIDER</t>
  </si>
  <si>
    <t>https://in.tradingview.com/chart/bXJLby4L/?symbol=NSE%3ASCHNEIDER</t>
  </si>
  <si>
    <t>SCODATUBES</t>
  </si>
  <si>
    <t>NSE%3ATATACOMM</t>
  </si>
  <si>
    <t>https://in.tradingview.com/chart/ofQQfXOP/?symbol=NSE%3ASCODATUBES</t>
  </si>
  <si>
    <t>https://in.tradingview.com/chart/bXJLby4L/?symbol=NSE%3ASCODATUBES</t>
  </si>
  <si>
    <t>SEAMECLTD</t>
  </si>
  <si>
    <t>Seamec Limited</t>
  </si>
  <si>
    <t>NSE%3ATATACONSUM</t>
  </si>
  <si>
    <t>https://in.tradingview.com/chart/ofQQfXOP/?symbol=NSE%3ASEAMECLTD</t>
  </si>
  <si>
    <t>https://in.tradingview.com/chart/bXJLby4L/?symbol=NSE%3ASEAMECLTD</t>
  </si>
  <si>
    <t>SECMARK</t>
  </si>
  <si>
    <t>Secmark Consultancy Ltd</t>
  </si>
  <si>
    <t>NSE%3ATATAELXSI</t>
  </si>
  <si>
    <t>https://in.tradingview.com/chart/ofQQfXOP/?symbol=NSE%3ASECMARK</t>
  </si>
  <si>
    <t>https://in.tradingview.com/chart/bXJLby4L/?symbol=NSE%3ASECMARK</t>
  </si>
  <si>
    <t>SECURKLOUD</t>
  </si>
  <si>
    <t>SecureKloud Technologies Ltd</t>
  </si>
  <si>
    <t>NSE%3ATATAGOLD</t>
  </si>
  <si>
    <t>https://in.tradingview.com/chart/ofQQfXOP/?symbol=NSE%3ASECURKLOUD</t>
  </si>
  <si>
    <t>https://in.tradingview.com/chart/bXJLby4L/?symbol=NSE%3ASECURKLOUD</t>
  </si>
  <si>
    <t>SIS</t>
  </si>
  <si>
    <t>Security &amp; Intelligence Services India</t>
  </si>
  <si>
    <t>NSE%3ATATAINVEST</t>
  </si>
  <si>
    <t>https://in.tradingview.com/chart/ofQQfXOP/?symbol=NSE%3ASIS</t>
  </si>
  <si>
    <t>https://in.tradingview.com/chart/bXJLby4L/?symbol=NSE%3ASIS</t>
  </si>
  <si>
    <t>SEJALLTD</t>
  </si>
  <si>
    <t>Sejal Glass Ltd</t>
  </si>
  <si>
    <t>NSE%3ATATAMOTORS</t>
  </si>
  <si>
    <t>https://in.tradingview.com/chart/ofQQfXOP/?symbol=NSE%3ASEJALLTD</t>
  </si>
  <si>
    <t>https://in.tradingview.com/chart/bXJLby4L/?symbol=NSE%3ASEJALLTD</t>
  </si>
  <si>
    <t>SELMC</t>
  </si>
  <si>
    <t>SEL Manufacturing Company Ltd</t>
  </si>
  <si>
    <t>NSE%3ATATAPOWER</t>
  </si>
  <si>
    <t>https://in.tradingview.com/chart/ofQQfXOP/?symbol=NSE%3ASELMC</t>
  </si>
  <si>
    <t>https://in.tradingview.com/chart/bXJLby4L/?symbol=NSE%3ASELMC</t>
  </si>
  <si>
    <t>SEMAC</t>
  </si>
  <si>
    <t>Semac Consultants Ltd</t>
  </si>
  <si>
    <t>NSE%3ATATASTEEL</t>
  </si>
  <si>
    <t>https://in.tradingview.com/chart/ofQQfXOP/?symbol=NSE%3ASEMAC</t>
  </si>
  <si>
    <t>https://in.tradingview.com/chart/bXJLby4L/?symbol=NSE%3ASEMAC</t>
  </si>
  <si>
    <t>SENCO</t>
  </si>
  <si>
    <t>Senco Gold Ltd</t>
  </si>
  <si>
    <t>NSE%3ATATATECH</t>
  </si>
  <si>
    <t>https://in.tradingview.com/chart/ofQQfXOP/?symbol=NSE%3ASENCO</t>
  </si>
  <si>
    <t>https://in.tradingview.com/chart/bXJLby4L/?symbol=NSE%3ASENCO</t>
  </si>
  <si>
    <t>SENORES</t>
  </si>
  <si>
    <t>Senores Pharmaceuticals Ltd</t>
  </si>
  <si>
    <t>NSE%3ATATSILV</t>
  </si>
  <si>
    <t>https://in.tradingview.com/chart/ofQQfXOP/?symbol=NSE%3ASENORES</t>
  </si>
  <si>
    <t>https://in.tradingview.com/chart/bXJLby4L/?symbol=NSE%3ASENORES</t>
  </si>
  <si>
    <t>SEPC</t>
  </si>
  <si>
    <t>SEPC Ltd</t>
  </si>
  <si>
    <t>NSE%3ATATVA</t>
  </si>
  <si>
    <t>https://in.tradingview.com/chart/ofQQfXOP/?symbol=NSE%3ASEPC</t>
  </si>
  <si>
    <t>https://in.tradingview.com/chart/bXJLby4L/?symbol=NSE%3ASEPC</t>
  </si>
  <si>
    <t>SEQUENT</t>
  </si>
  <si>
    <t>Sequent Scientific Limited</t>
  </si>
  <si>
    <t>NSE%3ATBOTEK</t>
  </si>
  <si>
    <t>https://in.tradingview.com/chart/ofQQfXOP/?symbol=NSE%3ASEQUENT</t>
  </si>
  <si>
    <t>https://in.tradingview.com/chart/bXJLby4L/?symbol=NSE%3ASEQUENT</t>
  </si>
  <si>
    <t>SERVOTECH</t>
  </si>
  <si>
    <t>Servotech Power Systems Ltd</t>
  </si>
  <si>
    <t>NSE%3ATBZ</t>
  </si>
  <si>
    <t>https://in.tradingview.com/chart/ofQQfXOP/?symbol=NSE%3ASERVOTECH</t>
  </si>
  <si>
    <t>https://in.tradingview.com/chart/bXJLby4L/?symbol=NSE%3ASERVOTECH</t>
  </si>
  <si>
    <t>STYL</t>
  </si>
  <si>
    <t>Seshaasai Technologies Ltd</t>
  </si>
  <si>
    <t>NSE%3ATCI</t>
  </si>
  <si>
    <t>https://in.tradingview.com/chart/ofQQfXOP/?symbol=NSE%3ASTYL</t>
  </si>
  <si>
    <t>https://in.tradingview.com/chart/bXJLby4L/?symbol=NSE%3ASTYL</t>
  </si>
  <si>
    <t>SESHAPAPER</t>
  </si>
  <si>
    <t>Seshasayee Paper And Boards Limited</t>
  </si>
  <si>
    <t>NSE%3ATCIEXP</t>
  </si>
  <si>
    <t>https://in.tradingview.com/chart/ofQQfXOP/?symbol=NSE%3ASESHAPAPER</t>
  </si>
  <si>
    <t>https://in.tradingview.com/chart/bXJLby4L/?symbol=NSE%3ASESHAPAPER</t>
  </si>
  <si>
    <t>SETCO</t>
  </si>
  <si>
    <t>Setco Automotive Limited</t>
  </si>
  <si>
    <t>NSE%3ATCIFINANCE</t>
  </si>
  <si>
    <t>https://in.tradingview.com/chart/ofQQfXOP/?symbol=NSE%3ASETCO</t>
  </si>
  <si>
    <t>https://in.tradingview.com/chart/bXJLby4L/?symbol=NSE%3ASETCO</t>
  </si>
  <si>
    <t>SEYAIND</t>
  </si>
  <si>
    <t>Seya Industries Ltd</t>
  </si>
  <si>
    <t>NSE%3ATCPLPACK</t>
  </si>
  <si>
    <t>https://in.tradingview.com/chart/ofQQfXOP/?symbol=NSE%3ASEYAIND</t>
  </si>
  <si>
    <t>https://in.tradingview.com/chart/bXJLby4L/?symbol=NSE%3ASEYAIND</t>
  </si>
  <si>
    <t>SGFIN</t>
  </si>
  <si>
    <t>SG Finserve Ltd</t>
  </si>
  <si>
    <t>NSE%3ATCS</t>
  </si>
  <si>
    <t>https://in.tradingview.com/chart/ofQQfXOP/?symbol=NSE%3ASGFIN</t>
  </si>
  <si>
    <t>https://in.tradingview.com/chart/bXJLby4L/?symbol=NSE%3ASGFIN</t>
  </si>
  <si>
    <t>SGMART</t>
  </si>
  <si>
    <t>SG Mart Ltd</t>
  </si>
  <si>
    <t>NSE%3ATDPOWERSYS</t>
  </si>
  <si>
    <t>https://in.tradingview.com/chart/ofQQfXOP/?symbol=NSE%3ASGMART</t>
  </si>
  <si>
    <t>https://in.tradingview.com/chart/bXJLby4L/?symbol=NSE%3ASGMART</t>
  </si>
  <si>
    <t>SHAHALLOYS</t>
  </si>
  <si>
    <t>Shah Alloys Limited</t>
  </si>
  <si>
    <t>NSE%3ATEAMLEASE</t>
  </si>
  <si>
    <t>https://in.tradingview.com/chart/ofQQfXOP/?symbol=NSE%3ASHAHALLOYS</t>
  </si>
  <si>
    <t>https://in.tradingview.com/chart/bXJLby4L/?symbol=NSE%3ASHAHALLOYS</t>
  </si>
  <si>
    <t>SHAILY</t>
  </si>
  <si>
    <t>Shaily Engineering Plastics Ltd</t>
  </si>
  <si>
    <t>NSE%3ATECH</t>
  </si>
  <si>
    <t>https://in.tradingview.com/chart/ofQQfXOP/?symbol=NSE%3ASHAILY</t>
  </si>
  <si>
    <t>https://in.tradingview.com/chart/bXJLby4L/?symbol=NSE%3ASHAILY</t>
  </si>
  <si>
    <t>SHAKTIPUMP</t>
  </si>
  <si>
    <t>Shakti Pumps (india) Limited</t>
  </si>
  <si>
    <t>NSE%3ATECHM</t>
  </si>
  <si>
    <t>https://in.tradingview.com/chart/ofQQfXOP/?symbol=NSE%3ASHAKTIPUMP</t>
  </si>
  <si>
    <t>https://in.tradingview.com/chart/bXJLby4L/?symbol=NSE%3ASHAKTIPUMP</t>
  </si>
  <si>
    <t>SHALBY</t>
  </si>
  <si>
    <t>Shalby Ltd</t>
  </si>
  <si>
    <t>NSE%3ATECHNOE</t>
  </si>
  <si>
    <t>https://in.tradingview.com/chart/ofQQfXOP/?symbol=NSE%3ASHALBY</t>
  </si>
  <si>
    <t>https://in.tradingview.com/chart/bXJLby4L/?symbol=NSE%3ASHALBY</t>
  </si>
  <si>
    <t>SHALPAINTS</t>
  </si>
  <si>
    <t>Shalimar Paints Limited</t>
  </si>
  <si>
    <t>NSE%3ATECILCHEM</t>
  </si>
  <si>
    <t>https://in.tradingview.com/chart/ofQQfXOP/?symbol=NSE%3ASHALPAINTS</t>
  </si>
  <si>
    <t>https://in.tradingview.com/chart/bXJLby4L/?symbol=NSE%3ASHALPAINTS</t>
  </si>
  <si>
    <t>SRD</t>
  </si>
  <si>
    <t>Shankar Lal Rampal Dye-Chem Ltd</t>
  </si>
  <si>
    <t>NSE%3ATEGA</t>
  </si>
  <si>
    <t>https://in.tradingview.com/chart/ofQQfXOP/?symbol=NSE%3ASRD</t>
  </si>
  <si>
    <t>https://in.tradingview.com/chart/bXJLby4L/?symbol=NSE%3ASRD</t>
  </si>
  <si>
    <t>SHANKARA</t>
  </si>
  <si>
    <t>Shankara Building Products</t>
  </si>
  <si>
    <t>NSE%3ATEJASNET</t>
  </si>
  <si>
    <t>https://in.tradingview.com/chart/ofQQfXOP/?symbol=NSE%3ASHANKARA</t>
  </si>
  <si>
    <t>https://in.tradingview.com/chart/bXJLby4L/?symbol=NSE%3ASHANKARA</t>
  </si>
  <si>
    <t>SHANTIGEAR</t>
  </si>
  <si>
    <t>Shanthi Gears Limited</t>
  </si>
  <si>
    <t>NSE%3ATEMBO</t>
  </si>
  <si>
    <t>https://in.tradingview.com/chart/ofQQfXOP/?symbol=NSE%3ASHANTIGEAR</t>
  </si>
  <si>
    <t>https://in.tradingview.com/chart/bXJLby4L/?symbol=NSE%3ASHANTIGEAR</t>
  </si>
  <si>
    <t>SHANTIGOLD</t>
  </si>
  <si>
    <t>Shanti Gold International Ltd</t>
  </si>
  <si>
    <t>NSE%3ATEXINFRA</t>
  </si>
  <si>
    <t>https://in.tradingview.com/chart/ofQQfXOP/?symbol=NSE%3ASHANTIGOLD</t>
  </si>
  <si>
    <t>https://in.tradingview.com/chart/bXJLby4L/?symbol=NSE%3ASHANTIGOLD</t>
  </si>
  <si>
    <t>SHANTI</t>
  </si>
  <si>
    <t>Shanti Overseas (India) Ltd</t>
  </si>
  <si>
    <t>NSE%3ATEXMOPIPES</t>
  </si>
  <si>
    <t>https://in.tradingview.com/chart/ofQQfXOP/?symbol=NSE%3ASHANTI</t>
  </si>
  <si>
    <t>https://in.tradingview.com/chart/bXJLby4L/?symbol=NSE%3ASHANTI</t>
  </si>
  <si>
    <t>SHARDACROP</t>
  </si>
  <si>
    <t>Sharda Cropchem Limited</t>
  </si>
  <si>
    <t>NSE%3ATEXRAIL</t>
  </si>
  <si>
    <t>https://in.tradingview.com/chart/ofQQfXOP/?symbol=NSE%3ASHARDACROP</t>
  </si>
  <si>
    <t>https://in.tradingview.com/chart/bXJLby4L/?symbol=NSE%3ASHARDACROP</t>
  </si>
  <si>
    <t>SHARDAMOTR</t>
  </si>
  <si>
    <t>Sharda Motor Industries Limited</t>
  </si>
  <si>
    <t>NSE%3ATFCILTD</t>
  </si>
  <si>
    <t>https://in.tradingview.com/chart/ofQQfXOP/?symbol=NSE%3ASHARDAMOTR</t>
  </si>
  <si>
    <t>https://in.tradingview.com/chart/bXJLby4L/?symbol=NSE%3ASHARDAMOTR</t>
  </si>
  <si>
    <t>SHAREINDIA</t>
  </si>
  <si>
    <t>Share India Securities Ltd</t>
  </si>
  <si>
    <t>NSE%3ATGBHOTELS</t>
  </si>
  <si>
    <t>https://in.tradingview.com/chart/ofQQfXOP/?symbol=NSE%3ASHAREINDIA</t>
  </si>
  <si>
    <t>https://in.tradingview.com/chart/bXJLby4L/?symbol=NSE%3ASHAREINDIA</t>
  </si>
  <si>
    <t>SFL</t>
  </si>
  <si>
    <t>Sheela Foam Limited</t>
  </si>
  <si>
    <t>NSE%3ATHANGAMAYL</t>
  </si>
  <si>
    <t>https://in.tradingview.com/chart/ofQQfXOP/?symbol=NSE%3ASFL</t>
  </si>
  <si>
    <t>https://in.tradingview.com/chart/bXJLby4L/?symbol=NSE%3ASFL</t>
  </si>
  <si>
    <t>SCPL</t>
  </si>
  <si>
    <t>Sheetal Cool Products Ltd</t>
  </si>
  <si>
    <t>NSE%3ATHEINVEST</t>
  </si>
  <si>
    <t>https://in.tradingview.com/chart/ofQQfXOP/?symbol=NSE%3ASCPL</t>
  </si>
  <si>
    <t>https://in.tradingview.com/chart/bXJLby4L/?symbol=NSE%3ASCPL</t>
  </si>
  <si>
    <t>SHEKHAWATI</t>
  </si>
  <si>
    <t>Shekhawati Industries Ltd</t>
  </si>
  <si>
    <t>NSE%3ATHEJO</t>
  </si>
  <si>
    <t>https://in.tradingview.com/chart/ofQQfXOP/?symbol=NSE%3ASHEKHAWATI</t>
  </si>
  <si>
    <t>https://in.tradingview.com/chart/bXJLby4L/?symbol=NSE%3ASHEKHAWATI</t>
  </si>
  <si>
    <t>SHEMAROO</t>
  </si>
  <si>
    <t>Shemaroo Entertainment Limited</t>
  </si>
  <si>
    <t>NSE%3ATHEMISMED</t>
  </si>
  <si>
    <t>https://in.tradingview.com/chart/ofQQfXOP/?symbol=NSE%3ASHEMAROO</t>
  </si>
  <si>
    <t>https://in.tradingview.com/chart/bXJLby4L/?symbol=NSE%3ASHEMAROO</t>
  </si>
  <si>
    <t>SHILCTECH</t>
  </si>
  <si>
    <t>Shilchar Technologies Ltd</t>
  </si>
  <si>
    <t>NSE%3ATHERMAX</t>
  </si>
  <si>
    <t>https://in.tradingview.com/chart/ofQQfXOP/?symbol=NSE%3ASHILCTECH</t>
  </si>
  <si>
    <t>https://in.tradingview.com/chart/bXJLby4L/?symbol=NSE%3ASHILCTECH</t>
  </si>
  <si>
    <t>SHILPAMED</t>
  </si>
  <si>
    <t>Shilpa Medicare Limited</t>
  </si>
  <si>
    <t>NSE%3ATHOMASCOOK</t>
  </si>
  <si>
    <t>https://in.tradingview.com/chart/ofQQfXOP/?symbol=NSE%3ASHILPAMED</t>
  </si>
  <si>
    <t>https://in.tradingview.com/chart/bXJLby4L/?symbol=NSE%3ASHILPAMED</t>
  </si>
  <si>
    <t>SCILAL</t>
  </si>
  <si>
    <t>Shipping Corporation of India Land &amp; Assets Ltd</t>
  </si>
  <si>
    <t>NSE%3ATHOMASCOTT</t>
  </si>
  <si>
    <t>https://in.tradingview.com/chart/ofQQfXOP/?symbol=NSE%3ASCILAL</t>
  </si>
  <si>
    <t>https://in.tradingview.com/chart/bXJLby4L/?symbol=NSE%3ASCILAL</t>
  </si>
  <si>
    <t>SCI</t>
  </si>
  <si>
    <t>Shipping Corporation Of India Limited</t>
  </si>
  <si>
    <t>NSE%3ATHYROCARE</t>
  </si>
  <si>
    <t>https://in.tradingview.com/chart/ofQQfXOP/?symbol=NSE%3ASCI</t>
  </si>
  <si>
    <t>https://in.tradingview.com/chart/bXJLby4L/?symbol=NSE%3ASCI</t>
  </si>
  <si>
    <t>SHIVAMILLS</t>
  </si>
  <si>
    <t>Shiva Mills Ltd</t>
  </si>
  <si>
    <t>NSE%3ATI</t>
  </si>
  <si>
    <t>https://in.tradingview.com/chart/ofQQfXOP/?symbol=NSE%3ASHIVAMILLS</t>
  </si>
  <si>
    <t>https://in.tradingview.com/chart/bXJLby4L/?symbol=NSE%3ASHIVAMILLS</t>
  </si>
  <si>
    <t>SHIVATEX</t>
  </si>
  <si>
    <t>Shiva Texyarn Ltd</t>
  </si>
  <si>
    <t>NSE%3ATICL</t>
  </si>
  <si>
    <t>https://in.tradingview.com/chart/ofQQfXOP/?symbol=NSE%3ASHIVATEX</t>
  </si>
  <si>
    <t>https://in.tradingview.com/chart/bXJLby4L/?symbol=NSE%3ASHIVATEX</t>
  </si>
  <si>
    <t>SBCL</t>
  </si>
  <si>
    <t>Shivalik Bimetal Controls Ltd</t>
  </si>
  <si>
    <t>NSE%3ATIIL</t>
  </si>
  <si>
    <t>https://in.tradingview.com/chart/ofQQfXOP/?symbol=NSE%3ASBCL</t>
  </si>
  <si>
    <t>https://in.tradingview.com/chart/bXJLby4L/?symbol=NSE%3ASBCL</t>
  </si>
  <si>
    <t>SHIVALIK</t>
  </si>
  <si>
    <t>Shivalik Rasayan Ltd</t>
  </si>
  <si>
    <t>NSE%3ATIINDIA</t>
  </si>
  <si>
    <t>https://in.tradingview.com/chart/ofQQfXOP/?symbol=NSE%3ASHIVALIK</t>
  </si>
  <si>
    <t>https://in.tradingview.com/chart/bXJLby4L/?symbol=NSE%3ASHIVALIK</t>
  </si>
  <si>
    <t>SHIVAMAUTO</t>
  </si>
  <si>
    <t>Shivam Autotech Limited</t>
  </si>
  <si>
    <t>NSE%3ATIJARIA</t>
  </si>
  <si>
    <t>https://in.tradingview.com/chart/ofQQfXOP/?symbol=NSE%3ASHIVAMAUTO</t>
  </si>
  <si>
    <t>https://in.tradingview.com/chart/bXJLby4L/?symbol=NSE%3ASHIVAMAUTO</t>
  </si>
  <si>
    <t>SHOPERSTOP</t>
  </si>
  <si>
    <t>Shoppers Stop Limited</t>
  </si>
  <si>
    <t>NSE%3ATIL</t>
  </si>
  <si>
    <t>https://in.tradingview.com/chart/ofQQfXOP/?symbol=NSE%3ASHOPERSTOP</t>
  </si>
  <si>
    <t>https://in.tradingview.com/chart/bXJLby4L/?symbol=NSE%3ASHOPERSTOP</t>
  </si>
  <si>
    <t>SHRADHA</t>
  </si>
  <si>
    <t>Shradha Infraprojects Ltd</t>
  </si>
  <si>
    <t>NSE%3ATEAMGTY</t>
  </si>
  <si>
    <t>https://in.tradingview.com/chart/ofQQfXOP/?symbol=NSE%3ASHRADHA</t>
  </si>
  <si>
    <t>https://in.tradingview.com/chart/bXJLby4L/?symbol=NSE%3ASHRADHA</t>
  </si>
  <si>
    <t>SHREECEM</t>
  </si>
  <si>
    <t>Shree Cements Limited</t>
  </si>
  <si>
    <t>NSE%3ATIMETECHNO</t>
  </si>
  <si>
    <t>https://in.tradingview.com/chart/ofQQfXOP/?symbol=NSE%3ASHREECEM</t>
  </si>
  <si>
    <t>https://in.tradingview.com/chart/bXJLby4L/?symbol=NSE%3ASHREECEM</t>
  </si>
  <si>
    <t>SHREDIGCEM</t>
  </si>
  <si>
    <t>Shree Digvijay Cement Co. Ltd</t>
  </si>
  <si>
    <t>NSE%3ATIMKEN</t>
  </si>
  <si>
    <t>https://in.tradingview.com/chart/ofQQfXOP/?symbol=NSE%3ASHREDIGCEM</t>
  </si>
  <si>
    <t>https://in.tradingview.com/chart/bXJLby4L/?symbol=NSE%3ASHREDIGCEM</t>
  </si>
  <si>
    <t>SHREEPUSHK</t>
  </si>
  <si>
    <t>Shree Pushkar Chemicals &amp; Fertilisers Limited</t>
  </si>
  <si>
    <t>NSE%3ATIPSFILMS</t>
  </si>
  <si>
    <t>https://in.tradingview.com/chart/ofQQfXOP/?symbol=NSE%3ASHREEPUSHK</t>
  </si>
  <si>
    <t>https://in.tradingview.com/chart/bXJLby4L/?symbol=NSE%3ASHREEPUSHK</t>
  </si>
  <si>
    <t>SHREERAMA</t>
  </si>
  <si>
    <t>Shree Rama Multi-tech Limited</t>
  </si>
  <si>
    <t>NSE%3ATIPSMUSIC</t>
  </si>
  <si>
    <t>https://in.tradingview.com/chart/ofQQfXOP/?symbol=NSE%3ASHREERAMA</t>
  </si>
  <si>
    <t>https://in.tradingview.com/chart/bXJLby4L/?symbol=NSE%3ASHREERAMA</t>
  </si>
  <si>
    <t>RAMANEWS</t>
  </si>
  <si>
    <t>Shree Rama Newsprint Limited</t>
  </si>
  <si>
    <t>NSE%3ATIRUMALCHM</t>
  </si>
  <si>
    <t>https://in.tradingview.com/chart/ofQQfXOP/?symbol=NSE%3ARAMANEWS</t>
  </si>
  <si>
    <t>https://in.tradingview.com/chart/bXJLby4L/?symbol=NSE%3ARAMANEWS</t>
  </si>
  <si>
    <t>RENUKA</t>
  </si>
  <si>
    <t>Shree Renuka Sugars Limited</t>
  </si>
  <si>
    <t>NSE%3ATITAGARH</t>
  </si>
  <si>
    <t>https://in.tradingview.com/chart/ofQQfXOP/?symbol=NSE%3ARENUKA</t>
  </si>
  <si>
    <t>https://in.tradingview.com/chart/bXJLby4L/?symbol=NSE%3ARENUKA</t>
  </si>
  <si>
    <t>BALAJEE</t>
  </si>
  <si>
    <t>Shree Tirupati Balajee Agro Trading Co. Ltd</t>
  </si>
  <si>
    <t>NSE%3ATITAN</t>
  </si>
  <si>
    <t>https://in.tradingview.com/chart/ofQQfXOP/?symbol=NSE%3ABALAJEE</t>
  </si>
  <si>
    <t>https://in.tradingview.com/chart/bXJLby4L/?symbol=NSE%3ABALAJEE</t>
  </si>
  <si>
    <t>SVLL</t>
  </si>
  <si>
    <t>Shree Vasu Logistics Ltd</t>
  </si>
  <si>
    <t>NSE%3ATMB</t>
  </si>
  <si>
    <t>https://in.tradingview.com/chart/ofQQfXOP/?symbol=NSE%3ASVLL</t>
  </si>
  <si>
    <t>https://in.tradingview.com/chart/bXJLby4L/?symbol=NSE%3ASVLL</t>
  </si>
  <si>
    <t>SHREEJISPG</t>
  </si>
  <si>
    <t>Shreeji Shipping Global Ltd</t>
  </si>
  <si>
    <t>NSE%3ATNIDETF</t>
  </si>
  <si>
    <t>https://in.tradingview.com/chart/ofQQfXOP/?symbol=NSE%3ASHREEJISPG</t>
  </si>
  <si>
    <t>https://in.tradingview.com/chart/bXJLby4L/?symbol=NSE%3ASHREEJISPG</t>
  </si>
  <si>
    <t>OSWALSEEDS</t>
  </si>
  <si>
    <t>Shreeoswal Seeds &amp; Chemicals Ltd</t>
  </si>
  <si>
    <t>NSE%3ATNPETRO</t>
  </si>
  <si>
    <t>https://in.tradingview.com/chart/ofQQfXOP/?symbol=NSE%3AOSWALSEEDS</t>
  </si>
  <si>
    <t>https://in.tradingview.com/chart/bXJLby4L/?symbol=NSE%3AOSWALSEEDS</t>
  </si>
  <si>
    <t>SHREYANIND</t>
  </si>
  <si>
    <t>Shreyans Industries Limited</t>
  </si>
  <si>
    <t>NSE%3ATNPL</t>
  </si>
  <si>
    <t>https://in.tradingview.com/chart/ofQQfXOP/?symbol=NSE%3ASHREYANIND</t>
  </si>
  <si>
    <t>https://in.tradingview.com/chart/bXJLby4L/?symbol=NSE%3ASHREYANIND</t>
  </si>
  <si>
    <t>TRANSWORLD</t>
  </si>
  <si>
    <t>Shreyas Shipping &amp; Logistics Ltd</t>
  </si>
  <si>
    <t>NSE%3ATNTELE</t>
  </si>
  <si>
    <t>https://in.tradingview.com/chart/ofQQfXOP/?symbol=NSE%3ATRANSWORLD</t>
  </si>
  <si>
    <t>https://in.tradingview.com/chart/bXJLby4L/?symbol=NSE%3ATRANSWORLD</t>
  </si>
  <si>
    <t>SHRINGARMS</t>
  </si>
  <si>
    <t>Shringar House of Mangalsutra Ltd</t>
  </si>
  <si>
    <t>NSE%3ATOKYOPLAST</t>
  </si>
  <si>
    <t>https://in.tradingview.com/chart/ofQQfXOP/?symbol=NSE%3ASHRINGARMS</t>
  </si>
  <si>
    <t>https://in.tradingview.com/chart/bXJLby4L/?symbol=NSE%3ASHRINGARMS</t>
  </si>
  <si>
    <t>SHRIRAMFIN</t>
  </si>
  <si>
    <t>Shriram Finance Ltd</t>
  </si>
  <si>
    <t>NSE%3ATOLINS</t>
  </si>
  <si>
    <t>https://in.tradingview.com/chart/ofQQfXOP/?symbol=NSE%3ASHRIRAMFIN</t>
  </si>
  <si>
    <t>https://in.tradingview.com/chart/bXJLby4L/?symbol=NSE%3ASHRIRAMFIN</t>
  </si>
  <si>
    <t>LIQUIDSHRI</t>
  </si>
  <si>
    <t>Shriram Nifty 1D Rate Liquid ETF</t>
  </si>
  <si>
    <t>NSE%3ATOP100CASE</t>
  </si>
  <si>
    <t>https://in.tradingview.com/chart/ofQQfXOP/?symbol=NSE%3ALIQUIDSHRI</t>
  </si>
  <si>
    <t>https://in.tradingview.com/chart/bXJLby4L/?symbol=NSE%3ALIQUIDSHRI</t>
  </si>
  <si>
    <t>SHRIPISTON</t>
  </si>
  <si>
    <t>Shriram Pistons &amp; Rings Limited</t>
  </si>
  <si>
    <t>NSE%3ATOP10ADD</t>
  </si>
  <si>
    <t>https://in.tradingview.com/chart/ofQQfXOP/?symbol=NSE%3ASHRIPISTON</t>
  </si>
  <si>
    <t>https://in.tradingview.com/chart/bXJLby4L/?symbol=NSE%3ASHRIPISTON</t>
  </si>
  <si>
    <t>SHRIRAMPPS</t>
  </si>
  <si>
    <t>Shriram Properties Ltd</t>
  </si>
  <si>
    <t>NSE%3ATORNTPHARM</t>
  </si>
  <si>
    <t>https://in.tradingview.com/chart/ofQQfXOP/?symbol=NSE%3ASHRIRAMPPS</t>
  </si>
  <si>
    <t>https://in.tradingview.com/chart/bXJLby4L/?symbol=NSE%3ASHRIRAMPPS</t>
  </si>
  <si>
    <t>SHYAMCENT</t>
  </si>
  <si>
    <t>Shyam Century Ferrous Limited</t>
  </si>
  <si>
    <t>NSE%3ATORNTPOWER</t>
  </si>
  <si>
    <t>https://in.tradingview.com/chart/ofQQfXOP/?symbol=NSE%3ASHYAMCENT</t>
  </si>
  <si>
    <t>https://in.tradingview.com/chart/bXJLby4L/?symbol=NSE%3ASHYAMCENT</t>
  </si>
  <si>
    <t>SHYAMMETL</t>
  </si>
  <si>
    <t>Shyam Metalics &amp; Energy Ltd</t>
  </si>
  <si>
    <t>NSE%3ATOTAL</t>
  </si>
  <si>
    <t>https://in.tradingview.com/chart/ofQQfXOP/?symbol=NSE%3ASHYAMMETL</t>
  </si>
  <si>
    <t>https://in.tradingview.com/chart/bXJLby4L/?symbol=NSE%3ASHYAMMETL</t>
  </si>
  <si>
    <t>SHYAMTEL</t>
  </si>
  <si>
    <t>Shyam Telecom Limited</t>
  </si>
  <si>
    <t>NSE%3ATOUCHWOOD</t>
  </si>
  <si>
    <t>https://in.tradingview.com/chart/ofQQfXOP/?symbol=NSE%3ASHYAMTEL</t>
  </si>
  <si>
    <t>https://in.tradingview.com/chart/bXJLby4L/?symbol=NSE%3ASHYAMTEL</t>
  </si>
  <si>
    <t>SICALLOG</t>
  </si>
  <si>
    <t>Sical Logistics Ltd</t>
  </si>
  <si>
    <t>NSE%3ATPHQ</t>
  </si>
  <si>
    <t>https://in.tradingview.com/chart/ofQQfXOP/?symbol=NSE%3ASICALLOG</t>
  </si>
  <si>
    <t>https://in.tradingview.com/chart/bXJLby4L/?symbol=NSE%3ASICALLOG</t>
  </si>
  <si>
    <t>ENRIN</t>
  </si>
  <si>
    <t>Siemens Energy India Ltd</t>
  </si>
  <si>
    <t>NSE%3ATPLPLASTEH</t>
  </si>
  <si>
    <t>https://in.tradingview.com/chart/ofQQfXOP/?symbol=NSE%3AENRIN</t>
  </si>
  <si>
    <t>https://in.tradingview.com/chart/bXJLby4L/?symbol=NSE%3AENRIN</t>
  </si>
  <si>
    <t>SIEMENS</t>
  </si>
  <si>
    <t>Siemens Limited</t>
  </si>
  <si>
    <t>NSE%3ATRACXN</t>
  </si>
  <si>
    <t>https://in.tradingview.com/chart/ofQQfXOP/?symbol=NSE%3ASIEMENS</t>
  </si>
  <si>
    <t>https://in.tradingview.com/chart/bXJLby4L/?symbol=NSE%3ASIEMENS</t>
  </si>
  <si>
    <t>SIGACHI</t>
  </si>
  <si>
    <t>Sigachi Industries Ltd</t>
  </si>
  <si>
    <t>NSE%3ATRANSRAILL</t>
  </si>
  <si>
    <t>https://in.tradingview.com/chart/ofQQfXOP/?symbol=NSE%3ASIGACHI</t>
  </si>
  <si>
    <t>https://in.tradingview.com/chart/bXJLby4L/?symbol=NSE%3ASIGACHI</t>
  </si>
  <si>
    <t>SIGMA</t>
  </si>
  <si>
    <t>Sigma Solve Ltd</t>
  </si>
  <si>
    <t>NSE%3ATRANSWORLD</t>
  </si>
  <si>
    <t>https://in.tradingview.com/chart/ofQQfXOP/?symbol=NSE%3ASIGMA</t>
  </si>
  <si>
    <t>https://in.tradingview.com/chart/bXJLby4L/?symbol=NSE%3ASIGMA</t>
  </si>
  <si>
    <t>SIGNATURE</t>
  </si>
  <si>
    <t>SignatureGlobal India Ltd</t>
  </si>
  <si>
    <t>NSE%3ATREEHOUSE</t>
  </si>
  <si>
    <t>https://in.tradingview.com/chart/ofQQfXOP/?symbol=NSE%3ASIGNATURE</t>
  </si>
  <si>
    <t>https://in.tradingview.com/chart/bXJLby4L/?symbol=NSE%3ASIGNATURE</t>
  </si>
  <si>
    <t>SIGIND</t>
  </si>
  <si>
    <t>Signet Industries Ltd</t>
  </si>
  <si>
    <t>NSE%3ATREJHARA</t>
  </si>
  <si>
    <t>https://in.tradingview.com/chart/ofQQfXOP/?symbol=NSE%3ASIGIND</t>
  </si>
  <si>
    <t>https://in.tradingview.com/chart/bXJLby4L/?symbol=NSE%3ASIGIND</t>
  </si>
  <si>
    <t>SIGNPOST</t>
  </si>
  <si>
    <t>Signpost India Ltd</t>
  </si>
  <si>
    <t>NSE%3ATREL</t>
  </si>
  <si>
    <t>https://in.tradingview.com/chart/ofQQfXOP/?symbol=NSE%3ASIGNPOST</t>
  </si>
  <si>
    <t>https://in.tradingview.com/chart/bXJLby4L/?symbol=NSE%3ASIGNPOST</t>
  </si>
  <si>
    <t>SILINV</t>
  </si>
  <si>
    <t>Sil Investments Limited</t>
  </si>
  <si>
    <t>NSE%3ATRENT</t>
  </si>
  <si>
    <t>https://in.tradingview.com/chart/ofQQfXOP/?symbol=NSE%3ASILINV</t>
  </si>
  <si>
    <t>https://in.tradingview.com/chart/bXJLby4L/?symbol=NSE%3ASILINV</t>
  </si>
  <si>
    <t>SILGO</t>
  </si>
  <si>
    <t>Silgo Retail Ltd</t>
  </si>
  <si>
    <t>NSE%3ATRF</t>
  </si>
  <si>
    <t>https://in.tradingview.com/chart/ofQQfXOP/?symbol=NSE%3ASILGO</t>
  </si>
  <si>
    <t>https://in.tradingview.com/chart/bXJLby4L/?symbol=NSE%3ASILGO</t>
  </si>
  <si>
    <t>SILLYMONKS</t>
  </si>
  <si>
    <t>Silly Monks Entertainment Ltd</t>
  </si>
  <si>
    <t>NSE%3ATRIDENT</t>
  </si>
  <si>
    <t>https://in.tradingview.com/chart/ofQQfXOP/?symbol=NSE%3ASILLYMONKS</t>
  </si>
  <si>
    <t>https://in.tradingview.com/chart/bXJLby4L/?symbol=NSE%3ASILLYMONKS</t>
  </si>
  <si>
    <t>SILVERTUC</t>
  </si>
  <si>
    <t>Silver Touch Technologies Ltd</t>
  </si>
  <si>
    <t>NSE%3ATRIGYN</t>
  </si>
  <si>
    <t>https://in.tradingview.com/chart/ofQQfXOP/?symbol=NSE%3ASILVERTUC</t>
  </si>
  <si>
    <t>https://in.tradingview.com/chart/bXJLby4L/?symbol=NSE%3ASILVERTUC</t>
  </si>
  <si>
    <t>SIMBHALS</t>
  </si>
  <si>
    <t>Simbhaoli Sugars Limited</t>
  </si>
  <si>
    <t>NSE%3ATRITURBINE</t>
  </si>
  <si>
    <t>https://in.tradingview.com/chart/ofQQfXOP/?symbol=NSE%3ASIMBHALS</t>
  </si>
  <si>
    <t>https://in.tradingview.com/chart/bXJLby4L/?symbol=NSE%3ASIMBHALS</t>
  </si>
  <si>
    <t>SIMPLEXINF</t>
  </si>
  <si>
    <t>Simplex Infrastructures Limited</t>
  </si>
  <si>
    <t>NSE%3ATRIVENI</t>
  </si>
  <si>
    <t>https://in.tradingview.com/chart/ofQQfXOP/?symbol=NSE%3ASIMPLEXINF</t>
  </si>
  <si>
    <t>https://in.tradingview.com/chart/bXJLby4L/?symbol=NSE%3ASIMPLEXINF</t>
  </si>
  <si>
    <t>SINCLAIR</t>
  </si>
  <si>
    <t>Sinclairs Hotels Ltd</t>
  </si>
  <si>
    <t>NSE%3ATRU</t>
  </si>
  <si>
    <t>https://in.tradingview.com/chart/ofQQfXOP/?symbol=NSE%3ASINCLAIR</t>
  </si>
  <si>
    <t>https://in.tradingview.com/chart/bXJLby4L/?symbol=NSE%3ASINCLAIR</t>
  </si>
  <si>
    <t>SINDHUTRAD</t>
  </si>
  <si>
    <t>Sindhu Trade Links Ltd</t>
  </si>
  <si>
    <t>NSE%3ATTKHLTCARE</t>
  </si>
  <si>
    <t>https://in.tradingview.com/chart/ofQQfXOP/?symbol=NSE%3ASINDHUTRAD</t>
  </si>
  <si>
    <t>https://in.tradingview.com/chart/bXJLby4L/?symbol=NSE%3ASINDHUTRAD</t>
  </si>
  <si>
    <t>SINTERCOM</t>
  </si>
  <si>
    <t>Sintercom India Ltd</t>
  </si>
  <si>
    <t>NSE%3ATTKPRESTIG</t>
  </si>
  <si>
    <t>https://in.tradingview.com/chart/ofQQfXOP/?symbol=NSE%3ASINTERCOM</t>
  </si>
  <si>
    <t>https://in.tradingview.com/chart/bXJLby4L/?symbol=NSE%3ASINTERCOM</t>
  </si>
  <si>
    <t>SIRCA</t>
  </si>
  <si>
    <t>Sirca Paints India Ltd</t>
  </si>
  <si>
    <t>NSE%3ATTL</t>
  </si>
  <si>
    <t>https://in.tradingview.com/chart/ofQQfXOP/?symbol=NSE%3ASIRCA</t>
  </si>
  <si>
    <t>https://in.tradingview.com/chart/bXJLby4L/?symbol=NSE%3ASIRCA</t>
  </si>
  <si>
    <t>SIYSIL</t>
  </si>
  <si>
    <t>Siyaram Silk Mills Limited</t>
  </si>
  <si>
    <t>NSE%3ATTML</t>
  </si>
  <si>
    <t>https://in.tradingview.com/chart/ofQQfXOP/?symbol=NSE%3ASIYSIL</t>
  </si>
  <si>
    <t>https://in.tradingview.com/chart/bXJLby4L/?symbol=NSE%3ASIYSIL</t>
  </si>
  <si>
    <t>SJVN</t>
  </si>
  <si>
    <t>Sjvn Limited</t>
  </si>
  <si>
    <t>NSE%3ATVSELECT</t>
  </si>
  <si>
    <t>https://in.tradingview.com/chart/ofQQfXOP/?symbol=NSE%3ASJVN</t>
  </si>
  <si>
    <t>https://in.tradingview.com/chart/bXJLby4L/?symbol=NSE%3ASJVN</t>
  </si>
  <si>
    <t>SKFINDIA</t>
  </si>
  <si>
    <t>Skf India Limited</t>
  </si>
  <si>
    <t>NSE%3ATVSHLTD</t>
  </si>
  <si>
    <t>https://in.tradingview.com/chart/ofQQfXOP/?symbol=NSE%3ASKFINDIA</t>
  </si>
  <si>
    <t>https://in.tradingview.com/chart/bXJLby4L/?symbol=NSE%3ASKFINDIA</t>
  </si>
  <si>
    <t>SKIPPER</t>
  </si>
  <si>
    <t>Skipper Limited</t>
  </si>
  <si>
    <t>NSE%3ATVSMOTOR</t>
  </si>
  <si>
    <t>https://in.tradingview.com/chart/ofQQfXOP/?symbol=NSE%3ASKIPPER</t>
  </si>
  <si>
    <t>https://in.tradingview.com/chart/bXJLby4L/?symbol=NSE%3ASKIPPER</t>
  </si>
  <si>
    <t>SKMEGGPROD</t>
  </si>
  <si>
    <t>Skm Egg Products Export (india) Limited</t>
  </si>
  <si>
    <t>NSE%3ATVSSCS</t>
  </si>
  <si>
    <t>https://in.tradingview.com/chart/ofQQfXOP/?symbol=NSE%3ASKMEGGPROD</t>
  </si>
  <si>
    <t>https://in.tradingview.com/chart/bXJLby4L/?symbol=NSE%3ASKMEGGPROD</t>
  </si>
  <si>
    <t>SKYGOLD</t>
  </si>
  <si>
    <t>Sky Gold Ltd</t>
  </si>
  <si>
    <t>NSE%3ATVSSRICHAK</t>
  </si>
  <si>
    <t>https://in.tradingview.com/chart/ofQQfXOP/?symbol=NSE%3ASKYGOLD</t>
  </si>
  <si>
    <t>https://in.tradingview.com/chart/bXJLby4L/?symbol=NSE%3ASKYGOLD</t>
  </si>
  <si>
    <t>SMALL250</t>
  </si>
  <si>
    <t>NSE%3ATVTODAY</t>
  </si>
  <si>
    <t>https://in.tradingview.com/chart/ofQQfXOP/?symbol=NSE%3ASMALL250</t>
  </si>
  <si>
    <t>https://in.tradingview.com/chart/bXJLby4L/?symbol=NSE%3ASMALL250</t>
  </si>
  <si>
    <t>SMARTLINK</t>
  </si>
  <si>
    <t>Smartlink Network Systems Limited</t>
  </si>
  <si>
    <t>NSE%3AUBL</t>
  </si>
  <si>
    <t>https://in.tradingview.com/chart/ofQQfXOP/?symbol=NSE%3ASMARTLINK</t>
  </si>
  <si>
    <t>https://in.tradingview.com/chart/bXJLby4L/?symbol=NSE%3ASMARTLINK</t>
  </si>
  <si>
    <t>SMARTWORKS</t>
  </si>
  <si>
    <t>Smartworks Coworking Spaces Ltd</t>
  </si>
  <si>
    <t>NSE%3AUCAL</t>
  </si>
  <si>
    <t>https://in.tradingview.com/chart/ofQQfXOP/?symbol=NSE%3ASMARTWORKS</t>
  </si>
  <si>
    <t>https://in.tradingview.com/chart/bXJLby4L/?symbol=NSE%3ASMARTWORKS</t>
  </si>
  <si>
    <t>SMCGLOBAL</t>
  </si>
  <si>
    <t>SMC Global Securities Ltd</t>
  </si>
  <si>
    <t>NSE%3AUCOBANK</t>
  </si>
  <si>
    <t>https://in.tradingview.com/chart/ofQQfXOP/?symbol=NSE%3ASMCGLOBAL</t>
  </si>
  <si>
    <t>https://in.tradingview.com/chart/bXJLby4L/?symbol=NSE%3ASMCGLOBAL</t>
  </si>
  <si>
    <t>SMLMAH</t>
  </si>
  <si>
    <t>SML Mahindra Ltd</t>
  </si>
  <si>
    <t>BSE%3AUDAICEMENT</t>
  </si>
  <si>
    <t>https://in.tradingview.com/chart/ofQQfXOP/?symbol=NSE%3ASMLMAH</t>
  </si>
  <si>
    <t>https://in.tradingview.com/chart/bXJLby4L/?symbol=NSE%3ASMLMAH</t>
  </si>
  <si>
    <t>SMSPHARMA</t>
  </si>
  <si>
    <t>Sms Pharmaceuticals Limited</t>
  </si>
  <si>
    <t>NSE%3AUDS</t>
  </si>
  <si>
    <t>https://in.tradingview.com/chart/ofQQfXOP/?symbol=NSE%3ASMSPHARMA</t>
  </si>
  <si>
    <t>https://in.tradingview.com/chart/bXJLby4L/?symbol=NSE%3ASMSPHARMA</t>
  </si>
  <si>
    <t>SNOWMAN</t>
  </si>
  <si>
    <t>Snowman Logistics Limited</t>
  </si>
  <si>
    <t>NSE%3AUFLEX</t>
  </si>
  <si>
    <t>https://in.tradingview.com/chart/ofQQfXOP/?symbol=NSE%3ASNOWMAN</t>
  </si>
  <si>
    <t>https://in.tradingview.com/chart/bXJLby4L/?symbol=NSE%3ASNOWMAN</t>
  </si>
  <si>
    <t>SOBHA</t>
  </si>
  <si>
    <t>Sobha Limited</t>
  </si>
  <si>
    <t>NSE%3AUFO</t>
  </si>
  <si>
    <t>https://in.tradingview.com/chart/ofQQfXOP/?symbol=NSE%3ASOBHA</t>
  </si>
  <si>
    <t>https://in.tradingview.com/chart/bXJLby4L/?symbol=NSE%3ASOBHA</t>
  </si>
  <si>
    <t>SOFTTECH</t>
  </si>
  <si>
    <t>Softtech Engineers Ltd</t>
  </si>
  <si>
    <t>NSE%3AUGARSUGAR</t>
  </si>
  <si>
    <t>https://in.tradingview.com/chart/ofQQfXOP/?symbol=NSE%3ASOFTTECH</t>
  </si>
  <si>
    <t>https://in.tradingview.com/chart/bXJLby4L/?symbol=NSE%3ASOFTTECH</t>
  </si>
  <si>
    <t>SOLARINDS</t>
  </si>
  <si>
    <t>Solar Industries India Limited</t>
  </si>
  <si>
    <t>NSE%3AUGROCAP</t>
  </si>
  <si>
    <t>https://in.tradingview.com/chart/ofQQfXOP/?symbol=NSE%3ASOLARINDS</t>
  </si>
  <si>
    <t>https://in.tradingview.com/chart/bXJLby4L/?symbol=NSE%3ASOLARINDS</t>
  </si>
  <si>
    <t>SOLARA</t>
  </si>
  <si>
    <t>Solara Active Pharma Sciences Ltd</t>
  </si>
  <si>
    <t>NSE%3AUJJIVANSFB</t>
  </si>
  <si>
    <t>https://in.tradingview.com/chart/ofQQfXOP/?symbol=NSE%3ASOLARA</t>
  </si>
  <si>
    <t>https://in.tradingview.com/chart/bXJLby4L/?symbol=NSE%3ASOLARA</t>
  </si>
  <si>
    <t>SOLARWORLD</t>
  </si>
  <si>
    <t>Solarworld Energy Solutions Ltd</t>
  </si>
  <si>
    <t>NSE%3AULTRACEMCO</t>
  </si>
  <si>
    <t>https://in.tradingview.com/chart/ofQQfXOP/?symbol=NSE%3ASOLARWORLD</t>
  </si>
  <si>
    <t>https://in.tradingview.com/chart/bXJLby4L/?symbol=NSE%3ASOLARWORLD</t>
  </si>
  <si>
    <t>SOLEX</t>
  </si>
  <si>
    <t>Solex Energy Ltd</t>
  </si>
  <si>
    <t>NSE%3AUMAEXPORTS</t>
  </si>
  <si>
    <t>https://in.tradingview.com/chart/ofQQfXOP/?symbol=NSE%3ASOLEX</t>
  </si>
  <si>
    <t>https://in.tradingview.com/chart/bXJLby4L/?symbol=NSE%3ASOLEX</t>
  </si>
  <si>
    <t>SDBL</t>
  </si>
  <si>
    <t>Som Distilleries &amp; Breweries Limited</t>
  </si>
  <si>
    <t>BSE%3AUMANGDAIRY</t>
  </si>
  <si>
    <t>https://in.tradingview.com/chart/ofQQfXOP/?symbol=NSE%3ASDBL</t>
  </si>
  <si>
    <t>https://in.tradingview.com/chart/bXJLby4L/?symbol=NSE%3ASDBL</t>
  </si>
  <si>
    <t>SOMATEX</t>
  </si>
  <si>
    <t>Soma Textiles &amp; Industries Limited</t>
  </si>
  <si>
    <t>NSE%3AUMESLTD</t>
  </si>
  <si>
    <t>https://in.tradingview.com/chart/ofQQfXOP/?symbol=NSE%3ASOMATEX</t>
  </si>
  <si>
    <t>https://in.tradingview.com/chart/bXJLby4L/?symbol=NSE%3ASOMATEX</t>
  </si>
  <si>
    <t>SOMANYCERA</t>
  </si>
  <si>
    <t>Somany Ceramics Limited</t>
  </si>
  <si>
    <t>NSE%3AUNICHEMLAB</t>
  </si>
  <si>
    <t>https://in.tradingview.com/chart/ofQQfXOP/?symbol=NSE%3ASOMANYCERA</t>
  </si>
  <si>
    <t>https://in.tradingview.com/chart/bXJLby4L/?symbol=NSE%3ASOMANYCERA</t>
  </si>
  <si>
    <t>SOMICONVEY</t>
  </si>
  <si>
    <t>Somi Conveyor Beltings Limited</t>
  </si>
  <si>
    <t>NSE%3AUNIDT</t>
  </si>
  <si>
    <t>https://in.tradingview.com/chart/ofQQfXOP/?symbol=NSE%3ASOMICONVEY</t>
  </si>
  <si>
    <t>https://in.tradingview.com/chart/bXJLby4L/?symbol=NSE%3ASOMICONVEY</t>
  </si>
  <si>
    <t>SONACOMS</t>
  </si>
  <si>
    <t>Sona BLW Precision Forgings Ltd</t>
  </si>
  <si>
    <t>NSE%3AUNIECOM</t>
  </si>
  <si>
    <t>https://in.tradingview.com/chart/ofQQfXOP/?symbol=NSE%3ASONACOMS</t>
  </si>
  <si>
    <t>https://in.tradingview.com/chart/bXJLby4L/?symbol=NSE%3ASONACOMS</t>
  </si>
  <si>
    <t>SONAMLTD</t>
  </si>
  <si>
    <t>Sonam Ltd</t>
  </si>
  <si>
    <t>NSE%3AUNIENTER</t>
  </si>
  <si>
    <t>https://in.tradingview.com/chart/ofQQfXOP/?symbol=NSE%3ASONAMLTD</t>
  </si>
  <si>
    <t>https://in.tradingview.com/chart/bXJLby4L/?symbol=NSE%3ASONAMLTD</t>
  </si>
  <si>
    <t>SONATSOFTW</t>
  </si>
  <si>
    <t>Sonata Software Limited</t>
  </si>
  <si>
    <t>NSE%3AUNIINFO</t>
  </si>
  <si>
    <t>https://in.tradingview.com/chart/ofQQfXOP/?symbol=NSE%3ASONATSOFTW</t>
  </si>
  <si>
    <t>https://in.tradingview.com/chart/bXJLby4L/?symbol=NSE%3ASONATSOFTW</t>
  </si>
  <si>
    <t>SOUTHWEST</t>
  </si>
  <si>
    <t>South West Pinnacle Exploration Ltd</t>
  </si>
  <si>
    <t>NSE%3AUNIMECH</t>
  </si>
  <si>
    <t>https://in.tradingview.com/chart/ofQQfXOP/?symbol=NSE%3ASOUTHWEST</t>
  </si>
  <si>
    <t>https://in.tradingview.com/chart/bXJLby4L/?symbol=NSE%3ASOUTHWEST</t>
  </si>
  <si>
    <t>SPIC</t>
  </si>
  <si>
    <t>Southern Petrochemicals Industries Corporation  Limited</t>
  </si>
  <si>
    <t>NSE%3AUNIONBANK</t>
  </si>
  <si>
    <t>https://in.tradingview.com/chart/ofQQfXOP/?symbol=NSE%3ASPIC</t>
  </si>
  <si>
    <t>https://in.tradingview.com/chart/bXJLby4L/?symbol=NSE%3ASPIC</t>
  </si>
  <si>
    <t>SPCENET</t>
  </si>
  <si>
    <t>Spacenet Enterprises India Ltd</t>
  </si>
  <si>
    <t>NSE%3AUNIONGOLD</t>
  </si>
  <si>
    <t>https://in.tradingview.com/chart/ofQQfXOP/?symbol=NSE%3ASPCENET</t>
  </si>
  <si>
    <t>https://in.tradingview.com/chart/bXJLby4L/?symbol=NSE%3ASPCENET</t>
  </si>
  <si>
    <t>SPANDANA</t>
  </si>
  <si>
    <t>Spandana Sphoorty Financial Ltd</t>
  </si>
  <si>
    <t>NSE%3AUNIPARTS</t>
  </si>
  <si>
    <t>https://in.tradingview.com/chart/ofQQfXOP/?symbol=NSE%3ASPANDANA</t>
  </si>
  <si>
    <t>https://in.tradingview.com/chart/bXJLby4L/?symbol=NSE%3ASPANDANA</t>
  </si>
  <si>
    <t>SPECIALITY</t>
  </si>
  <si>
    <t>Speciality Restaurants Limited</t>
  </si>
  <si>
    <t>NSE%3AUNITDSPR</t>
  </si>
  <si>
    <t>https://in.tradingview.com/chart/ofQQfXOP/?symbol=NSE%3ASPECIALITY</t>
  </si>
  <si>
    <t>https://in.tradingview.com/chart/bXJLby4L/?symbol=NSE%3ASPECIALITY</t>
  </si>
  <si>
    <t>SPECTRUM</t>
  </si>
  <si>
    <t>Spectrum Electrical Industries Ltd</t>
  </si>
  <si>
    <t>NSE%3AUNITECH</t>
  </si>
  <si>
    <t>https://in.tradingview.com/chart/ofQQfXOP/?symbol=NSE%3ASPECTRUM</t>
  </si>
  <si>
    <t>https://in.tradingview.com/chart/bXJLby4L/?symbol=NSE%3ASPECTRUM</t>
  </si>
  <si>
    <t>SPENCERS</t>
  </si>
  <si>
    <t>Spencers Retail Ltd</t>
  </si>
  <si>
    <t>NSE%3AUNITEDPOLY</t>
  </si>
  <si>
    <t>https://in.tradingview.com/chart/ofQQfXOP/?symbol=NSE%3ASPENCERS</t>
  </si>
  <si>
    <t>https://in.tradingview.com/chart/bXJLby4L/?symbol=NSE%3ASPENCERS</t>
  </si>
  <si>
    <t>SPLIL</t>
  </si>
  <si>
    <t>Spl Industries Limited</t>
  </si>
  <si>
    <t>NSE%3AUNITEDTEA</t>
  </si>
  <si>
    <t>https://in.tradingview.com/chart/ofQQfXOP/?symbol=NSE%3ASPLIL</t>
  </si>
  <si>
    <t>https://in.tradingview.com/chart/bXJLby4L/?symbol=NSE%3ASPLIL</t>
  </si>
  <si>
    <t>SPMLINFRA</t>
  </si>
  <si>
    <t>Spml Infra Limited</t>
  </si>
  <si>
    <t>NSE%3AUNIVASTU</t>
  </si>
  <si>
    <t>https://in.tradingview.com/chart/ofQQfXOP/?symbol=NSE%3ASPMLINFRA</t>
  </si>
  <si>
    <t>https://in.tradingview.com/chart/bXJLby4L/?symbol=NSE%3ASPMLINFRA</t>
  </si>
  <si>
    <t>SPORTKING</t>
  </si>
  <si>
    <t>Sportking India Ltd</t>
  </si>
  <si>
    <t>NSE%3AUNIVCABLES</t>
  </si>
  <si>
    <t>https://in.tradingview.com/chart/ofQQfXOP/?symbol=NSE%3ASPORTKING</t>
  </si>
  <si>
    <t>https://in.tradingview.com/chart/bXJLby4L/?symbol=NSE%3ASPORTKING</t>
  </si>
  <si>
    <t>SRHHYPOLTD</t>
  </si>
  <si>
    <t>Sree Rayalaseema Hi-strength Hypo Limited</t>
  </si>
  <si>
    <t>NSE%3AUNIVPHOTO</t>
  </si>
  <si>
    <t>https://in.tradingview.com/chart/ofQQfXOP/?symbol=NSE%3ASRHHYPOLTD</t>
  </si>
  <si>
    <t>https://in.tradingview.com/chart/bXJLby4L/?symbol=NSE%3ASRHHYPOLTD</t>
  </si>
  <si>
    <t>SREEL</t>
  </si>
  <si>
    <t>Sreeleathers Limited</t>
  </si>
  <si>
    <t>NSE%3AUNOMINDA</t>
  </si>
  <si>
    <t>https://in.tradingview.com/chart/ofQQfXOP/?symbol=NSE%3ASREEL</t>
  </si>
  <si>
    <t>https://in.tradingview.com/chart/bXJLby4L/?symbol=NSE%3ASREEL</t>
  </si>
  <si>
    <t>SRF</t>
  </si>
  <si>
    <t>Srf Limited</t>
  </si>
  <si>
    <t>NSE%3AUPL</t>
  </si>
  <si>
    <t>https://in.tradingview.com/chart/ofQQfXOP/?symbol=NSE%3ASRF</t>
  </si>
  <si>
    <t>https://in.tradingview.com/chart/bXJLby4L/?symbol=NSE%3ASRF</t>
  </si>
  <si>
    <t>SRGHFL</t>
  </si>
  <si>
    <t>SRG Housing Finance Ltd</t>
  </si>
  <si>
    <t>NSE%3AURAVIDEF</t>
  </si>
  <si>
    <t>https://in.tradingview.com/chart/ofQQfXOP/?symbol=NSE%3ASRGHFL</t>
  </si>
  <si>
    <t>https://in.tradingview.com/chart/bXJLby4L/?symbol=NSE%3ASRGHFL</t>
  </si>
  <si>
    <t>SABTNL</t>
  </si>
  <si>
    <t>Sri Adhikari Brothers Television Network Ltd</t>
  </si>
  <si>
    <t>NSE%3AUSHAMART</t>
  </si>
  <si>
    <t>https://in.tradingview.com/chart/ofQQfXOP/?symbol=NSE%3ASABTNL</t>
  </si>
  <si>
    <t>https://in.tradingview.com/chart/bXJLby4L/?symbol=NSE%3ASABTNL</t>
  </si>
  <si>
    <t>LOTUSDEV</t>
  </si>
  <si>
    <t>Sri Lotus Developers &amp; Realty Ltd</t>
  </si>
  <si>
    <t>NSE%3AUSK</t>
  </si>
  <si>
    <t>https://in.tradingview.com/chart/ofQQfXOP/?symbol=NSE%3ALOTUSDEV</t>
  </si>
  <si>
    <t>https://in.tradingview.com/chart/bXJLby4L/?symbol=NSE%3ALOTUSDEV</t>
  </si>
  <si>
    <t>SRM</t>
  </si>
  <si>
    <t>SRM Contractors Ltd</t>
  </si>
  <si>
    <t>NSE%3AUTIAMC</t>
  </si>
  <si>
    <t>https://in.tradingview.com/chart/ofQQfXOP/?symbol=NSE%3ASRM</t>
  </si>
  <si>
    <t>https://in.tradingview.com/chart/bXJLby4L/?symbol=NSE%3ASRM</t>
  </si>
  <si>
    <t>STALLION</t>
  </si>
  <si>
    <t>Stallion India Fluorochemicals Ltd</t>
  </si>
  <si>
    <t>NSE%3AUTIBANKETF</t>
  </si>
  <si>
    <t>https://in.tradingview.com/chart/ofQQfXOP/?symbol=NSE%3ASTALLION</t>
  </si>
  <si>
    <t>https://in.tradingview.com/chart/bXJLby4L/?symbol=NSE%3ASTALLION</t>
  </si>
  <si>
    <t>SGLTL</t>
  </si>
  <si>
    <t>Standard Glass Lining Technology Ltd</t>
  </si>
  <si>
    <t>NSE%3AUTINEXT50</t>
  </si>
  <si>
    <t>https://in.tradingview.com/chart/ofQQfXOP/?symbol=NSE%3ASGLTL</t>
  </si>
  <si>
    <t>https://in.tradingview.com/chart/bXJLby4L/?symbol=NSE%3ASGLTL</t>
  </si>
  <si>
    <t>SIL</t>
  </si>
  <si>
    <t>Standard Industries Limited</t>
  </si>
  <si>
    <t>NSE%3AUTINIFTETF</t>
  </si>
  <si>
    <t>https://in.tradingview.com/chart/ofQQfXOP/?symbol=NSE%3ASIL</t>
  </si>
  <si>
    <t>https://in.tradingview.com/chart/bXJLby4L/?symbol=NSE%3ASIL</t>
  </si>
  <si>
    <t>STANLEY</t>
  </si>
  <si>
    <t>Stanley Lifestyles Ltd</t>
  </si>
  <si>
    <t>NSE%3AUTISENSETF</t>
  </si>
  <si>
    <t>https://in.tradingview.com/chart/ofQQfXOP/?symbol=NSE%3ASTANLEY</t>
  </si>
  <si>
    <t>https://in.tradingview.com/chart/bXJLby4L/?symbol=NSE%3ASTANLEY</t>
  </si>
  <si>
    <t>STARCEMENT</t>
  </si>
  <si>
    <t>Star Cement Ltd</t>
  </si>
  <si>
    <t>NSE%3AUTISXN50</t>
  </si>
  <si>
    <t>https://in.tradingview.com/chart/ofQQfXOP/?symbol=NSE%3ASTARCEMENT</t>
  </si>
  <si>
    <t>https://in.tradingview.com/chart/bXJLby4L/?symbol=NSE%3ASTARCEMENT</t>
  </si>
  <si>
    <t>STARHEALTH</t>
  </si>
  <si>
    <t>Star Health &amp; Allied Insurance Company Ltd</t>
  </si>
  <si>
    <t>NSE%3AUTKARSHBNK</t>
  </si>
  <si>
    <t>https://in.tradingview.com/chart/ofQQfXOP/?symbol=NSE%3ASTARHEALTH</t>
  </si>
  <si>
    <t>https://in.tradingview.com/chart/bXJLby4L/?symbol=NSE%3ASTARHEALTH</t>
  </si>
  <si>
    <t>STARPAPER</t>
  </si>
  <si>
    <t>Star Paper Mills Limited</t>
  </si>
  <si>
    <t>NSE%3AUTTAMSUGAR</t>
  </si>
  <si>
    <t>https://in.tradingview.com/chart/ofQQfXOP/?symbol=NSE%3ASTARPAPER</t>
  </si>
  <si>
    <t>https://in.tradingview.com/chart/bXJLby4L/?symbol=NSE%3ASTARPAPER</t>
  </si>
  <si>
    <t>STARTECK</t>
  </si>
  <si>
    <t>Startech Finance Ltd</t>
  </si>
  <si>
    <t>NSE%3AUYFINCORP</t>
  </si>
  <si>
    <t>https://in.tradingview.com/chart/ofQQfXOP/?symbol=NSE%3ASTARTECK</t>
  </si>
  <si>
    <t>https://in.tradingview.com/chart/bXJLby4L/?symbol=NSE%3ASTARTECK</t>
  </si>
  <si>
    <t>SBIN</t>
  </si>
  <si>
    <t>State Bank Of India</t>
  </si>
  <si>
    <t>NSE%3AV2RETAIL</t>
  </si>
  <si>
    <t>https://in.tradingview.com/chart/ofQQfXOP/?symbol=NSE%3ASBIN</t>
  </si>
  <si>
    <t>https://in.tradingview.com/chart/bXJLby4L/?symbol=NSE%3ASBIN</t>
  </si>
  <si>
    <t>SAIL</t>
  </si>
  <si>
    <t>Steel Authority Of India Limited</t>
  </si>
  <si>
    <t>NSE%3AVADILALIND</t>
  </si>
  <si>
    <t>https://in.tradingview.com/chart/ofQQfXOP/?symbol=NSE%3ASAIL</t>
  </si>
  <si>
    <t>https://in.tradingview.com/chart/bXJLby4L/?symbol=NSE%3ASAIL</t>
  </si>
  <si>
    <t>STEELCITY</t>
  </si>
  <si>
    <t>Steel City Securities Ltd</t>
  </si>
  <si>
    <t>NSE%3AVAIBHAVGBL</t>
  </si>
  <si>
    <t>https://in.tradingview.com/chart/ofQQfXOP/?symbol=NSE%3ASTEELCITY</t>
  </si>
  <si>
    <t>https://in.tradingview.com/chart/bXJLby4L/?symbol=NSE%3ASTEELCITY</t>
  </si>
  <si>
    <t>STEELXIND</t>
  </si>
  <si>
    <t>Steel Exchange India Ltd</t>
  </si>
  <si>
    <t>NSE%3AVAISHALI</t>
  </si>
  <si>
    <t>https://in.tradingview.com/chart/ofQQfXOP/?symbol=NSE%3ASTEELXIND</t>
  </si>
  <si>
    <t>https://in.tradingview.com/chart/bXJLby4L/?symbol=NSE%3ASTEELXIND</t>
  </si>
  <si>
    <t>SSWL</t>
  </si>
  <si>
    <t>Steel Strips Wheels Limited</t>
  </si>
  <si>
    <t>NSE%3AVAKRANGEE</t>
  </si>
  <si>
    <t>https://in.tradingview.com/chart/ofQQfXOP/?symbol=NSE%3ASSWL</t>
  </si>
  <si>
    <t>https://in.tradingview.com/chart/bXJLby4L/?symbol=NSE%3ASSWL</t>
  </si>
  <si>
    <t>STEELCAS</t>
  </si>
  <si>
    <t>Steelcast Ltd</t>
  </si>
  <si>
    <t>NSE%3AVAL30IETF</t>
  </si>
  <si>
    <t>https://in.tradingview.com/chart/ofQQfXOP/?symbol=NSE%3ASTEELCAS</t>
  </si>
  <si>
    <t>https://in.tradingview.com/chart/bXJLby4L/?symbol=NSE%3ASTEELCAS</t>
  </si>
  <si>
    <t>STEL</t>
  </si>
  <si>
    <t>Stel Holdings Limited</t>
  </si>
  <si>
    <t>NSE%3AVALIANTLAB</t>
  </si>
  <si>
    <t>https://in.tradingview.com/chart/ofQQfXOP/?symbol=NSE%3ASTEL</t>
  </si>
  <si>
    <t>https://in.tradingview.com/chart/bXJLby4L/?symbol=NSE%3ASTEL</t>
  </si>
  <si>
    <t>SWSOLAR</t>
  </si>
  <si>
    <t>Sterling &amp; Wilson Renewable Energy Ltd</t>
  </si>
  <si>
    <t>NSE%3AVALIANTORG</t>
  </si>
  <si>
    <t>https://in.tradingview.com/chart/ofQQfXOP/?symbol=NSE%3ASWSOLAR</t>
  </si>
  <si>
    <t>https://in.tradingview.com/chart/bXJLby4L/?symbol=NSE%3ASWSOLAR</t>
  </si>
  <si>
    <t>STERTOOLS</t>
  </si>
  <si>
    <t>Sterling Tools Limited</t>
  </si>
  <si>
    <t>NSE%3AVARDHACRLC</t>
  </si>
  <si>
    <t>https://in.tradingview.com/chart/ofQQfXOP/?symbol=NSE%3ASTERTOOLS</t>
  </si>
  <si>
    <t>https://in.tradingview.com/chart/bXJLby4L/?symbol=NSE%3ASTERTOOLS</t>
  </si>
  <si>
    <t>STLTECH</t>
  </si>
  <si>
    <t>Sterlite Technologies Limited</t>
  </si>
  <si>
    <t>NSE%3AVARDMNPOLY</t>
  </si>
  <si>
    <t>https://in.tradingview.com/chart/ofQQfXOP/?symbol=NSE%3ASTLTECH</t>
  </si>
  <si>
    <t>https://in.tradingview.com/chart/bXJLby4L/?symbol=NSE%3ASTLTECH</t>
  </si>
  <si>
    <t>SGL</t>
  </si>
  <si>
    <t>Stl Global Limited</t>
  </si>
  <si>
    <t>NSE%3AVARROC</t>
  </si>
  <si>
    <t>https://in.tradingview.com/chart/ofQQfXOP/?symbol=NSE%3ASGL</t>
  </si>
  <si>
    <t>https://in.tradingview.com/chart/bXJLby4L/?symbol=NSE%3ASGL</t>
  </si>
  <si>
    <t>STLNETWORK</t>
  </si>
  <si>
    <t>STL Networks Ltd</t>
  </si>
  <si>
    <t>NSE%3AVASCONEQ</t>
  </si>
  <si>
    <t>https://in.tradingview.com/chart/ofQQfXOP/?symbol=NSE%3ASTLNETWORK</t>
  </si>
  <si>
    <t>https://in.tradingview.com/chart/bXJLby4L/?symbol=NSE%3ASTLNETWORK</t>
  </si>
  <si>
    <t>STOVEKRAFT</t>
  </si>
  <si>
    <t>Stove Kraft Ltd</t>
  </si>
  <si>
    <t>NSE%3AVASWANI</t>
  </si>
  <si>
    <t>https://in.tradingview.com/chart/ofQQfXOP/?symbol=NSE%3ASTOVEKRAFT</t>
  </si>
  <si>
    <t>https://in.tradingview.com/chart/bXJLby4L/?symbol=NSE%3ASTOVEKRAFT</t>
  </si>
  <si>
    <t>STAR</t>
  </si>
  <si>
    <t>Strides Shasun Limited</t>
  </si>
  <si>
    <t>NSE%3AVBL</t>
  </si>
  <si>
    <t>https://in.tradingview.com/chart/ofQQfXOP/?symbol=NSE%3ASTAR</t>
  </si>
  <si>
    <t>https://in.tradingview.com/chart/bXJLby4L/?symbol=NSE%3ASTAR</t>
  </si>
  <si>
    <t>STUDDS</t>
  </si>
  <si>
    <t>NSE%3AVCL</t>
  </si>
  <si>
    <t>https://in.tradingview.com/chart/ofQQfXOP/?symbol=NSE%3ASTUDDS</t>
  </si>
  <si>
    <t>https://in.tradingview.com/chart/bXJLby4L/?symbol=NSE%3ASTUDDS</t>
  </si>
  <si>
    <t>STYLAMIND</t>
  </si>
  <si>
    <t>Stylam Industries Ltd</t>
  </si>
  <si>
    <t>NSE%3AVEDL</t>
  </si>
  <si>
    <t>https://in.tradingview.com/chart/ofQQfXOP/?symbol=NSE%3ASTYLAMIND</t>
  </si>
  <si>
    <t>https://in.tradingview.com/chart/bXJLby4L/?symbol=NSE%3ASTYLAMIND</t>
  </si>
  <si>
    <t>STYRENIX</t>
  </si>
  <si>
    <t>Styrenix Performance Materials Ltd</t>
  </si>
  <si>
    <t>NSE%3AVEEDOL</t>
  </si>
  <si>
    <t>https://in.tradingview.com/chart/ofQQfXOP/?symbol=NSE%3ASTYRENIX</t>
  </si>
  <si>
    <t>https://in.tradingview.com/chart/bXJLby4L/?symbol=NSE%3ASTYRENIX</t>
  </si>
  <si>
    <t>SUBEXLTD</t>
  </si>
  <si>
    <t>Subex Ltd</t>
  </si>
  <si>
    <t>NSE%3AVENKEYS</t>
  </si>
  <si>
    <t>https://in.tradingview.com/chart/ofQQfXOP/?symbol=NSE%3ASUBEXLTD</t>
  </si>
  <si>
    <t>https://in.tradingview.com/chart/bXJLby4L/?symbol=NSE%3ASUBEXLTD</t>
  </si>
  <si>
    <t>SUBROS</t>
  </si>
  <si>
    <t>Subros Limited</t>
  </si>
  <si>
    <t>NSE%3AVENTIVE</t>
  </si>
  <si>
    <t>https://in.tradingview.com/chart/ofQQfXOP/?symbol=NSE%3ASUBROS</t>
  </si>
  <si>
    <t>https://in.tradingview.com/chart/bXJLby4L/?symbol=NSE%3ASUBROS</t>
  </si>
  <si>
    <t>SUDARSCHEM</t>
  </si>
  <si>
    <t>Sudarshan Chemical Industries Limited</t>
  </si>
  <si>
    <t>NSE%3AVENUSPIPES</t>
  </si>
  <si>
    <t>https://in.tradingview.com/chart/ofQQfXOP/?symbol=NSE%3ASUDARSCHEM</t>
  </si>
  <si>
    <t>https://in.tradingview.com/chart/bXJLby4L/?symbol=NSE%3ASUDARSCHEM</t>
  </si>
  <si>
    <t>SUDEEPPHRM</t>
  </si>
  <si>
    <t>Sudeep Pharma Ltd</t>
  </si>
  <si>
    <t>NSE%3AVENUSREM</t>
  </si>
  <si>
    <t>https://in.tradingview.com/chart/ofQQfXOP/?symbol=NSE%3ASUDEEPPHRM</t>
  </si>
  <si>
    <t>https://in.tradingview.com/chart/bXJLby4L/?symbol=NSE%3ASUDEEPPHRM</t>
  </si>
  <si>
    <t>SUKHJITS</t>
  </si>
  <si>
    <t>Sukhjit Starch &amp; Chemicals Ltd</t>
  </si>
  <si>
    <t>NSE%3AVERANDA</t>
  </si>
  <si>
    <t>https://in.tradingview.com/chart/ofQQfXOP/?symbol=NSE%3ASUKHJITS</t>
  </si>
  <si>
    <t>https://in.tradingview.com/chart/bXJLby4L/?symbol=NSE%3ASUKHJITS</t>
  </si>
  <si>
    <t>SULA</t>
  </si>
  <si>
    <t>Sula Vineyards Ltd</t>
  </si>
  <si>
    <t>NSE%3AVESUVIUS</t>
  </si>
  <si>
    <t>https://in.tradingview.com/chart/ofQQfXOP/?symbol=NSE%3ASULA</t>
  </si>
  <si>
    <t>https://in.tradingview.com/chart/bXJLby4L/?symbol=NSE%3ASULA</t>
  </si>
  <si>
    <t>SUMEETINDS</t>
  </si>
  <si>
    <t>Sumeet Industries Limited</t>
  </si>
  <si>
    <t>NSE%3AVETO</t>
  </si>
  <si>
    <t>https://in.tradingview.com/chart/ofQQfXOP/?symbol=NSE%3ASUMEETINDS</t>
  </si>
  <si>
    <t>https://in.tradingview.com/chart/bXJLby4L/?symbol=NSE%3ASUMEETINDS</t>
  </si>
  <si>
    <t>SUMIT</t>
  </si>
  <si>
    <t>Sumit Woods Ltd</t>
  </si>
  <si>
    <t>NSE%3AVGUARD</t>
  </si>
  <si>
    <t>https://in.tradingview.com/chart/ofQQfXOP/?symbol=NSE%3ASUMIT</t>
  </si>
  <si>
    <t>https://in.tradingview.com/chart/bXJLby4L/?symbol=NSE%3ASUMIT</t>
  </si>
  <si>
    <t>SUMICHEM</t>
  </si>
  <si>
    <t>Sumitomo Chemical India Ltd</t>
  </si>
  <si>
    <t>NSE%3AVHL</t>
  </si>
  <si>
    <t>https://in.tradingview.com/chart/ofQQfXOP/?symbol=NSE%3ASUMICHEM</t>
  </si>
  <si>
    <t>https://in.tradingview.com/chart/bXJLby4L/?symbol=NSE%3ASUMICHEM</t>
  </si>
  <si>
    <t>SUMMITSEC</t>
  </si>
  <si>
    <t>Summit Securities Limited</t>
  </si>
  <si>
    <t>NSE%3AVHLTD</t>
  </si>
  <si>
    <t>https://in.tradingview.com/chart/ofQQfXOP/?symbol=NSE%3ASUMMITSEC</t>
  </si>
  <si>
    <t>https://in.tradingview.com/chart/bXJLby4L/?symbol=NSE%3ASUMMITSEC</t>
  </si>
  <si>
    <t>SPARC</t>
  </si>
  <si>
    <t>Sun Pharma Advanced Research Company Limited</t>
  </si>
  <si>
    <t>NSE%3AVIDHIING</t>
  </si>
  <si>
    <t>https://in.tradingview.com/chart/ofQQfXOP/?symbol=NSE%3ASPARC</t>
  </si>
  <si>
    <t>https://in.tradingview.com/chart/bXJLby4L/?symbol=NSE%3ASPARC</t>
  </si>
  <si>
    <t>SUNPHARMA</t>
  </si>
  <si>
    <t>Sun Pharmaceuticals Industries Limited</t>
  </si>
  <si>
    <t>NSE%3AVIJAYA</t>
  </si>
  <si>
    <t>https://in.tradingview.com/chart/ofQQfXOP/?symbol=NSE%3ASUNPHARMA</t>
  </si>
  <si>
    <t>https://in.tradingview.com/chart/bXJLby4L/?symbol=NSE%3ASUNPHARMA</t>
  </si>
  <si>
    <t>SUNTV</t>
  </si>
  <si>
    <t>Sun Tv Network Limited</t>
  </si>
  <si>
    <t>NSE%3AVIJIFIN</t>
  </si>
  <si>
    <t>https://in.tradingview.com/chart/ofQQfXOP/?symbol=NSE%3ASUNTV</t>
  </si>
  <si>
    <t>https://in.tradingview.com/chart/bXJLby4L/?symbol=NSE%3ASUNTV</t>
  </si>
  <si>
    <t>SUNDRMBRAK</t>
  </si>
  <si>
    <t>Sundaram Brake Linings Limited</t>
  </si>
  <si>
    <t>NSE%3AVIKASECO</t>
  </si>
  <si>
    <t>https://in.tradingview.com/chart/ofQQfXOP/?symbol=NSE%3ASUNDRMBRAK</t>
  </si>
  <si>
    <t>https://in.tradingview.com/chart/bXJLby4L/?symbol=NSE%3ASUNDRMBRAK</t>
  </si>
  <si>
    <t>SUNCLAY</t>
  </si>
  <si>
    <t>Sundaram Clayton Ltd</t>
  </si>
  <si>
    <t>NSE%3AVIKASLIFE</t>
  </si>
  <si>
    <t>https://in.tradingview.com/chart/ofQQfXOP/?symbol=NSE%3ASUNCLAY</t>
  </si>
  <si>
    <t>https://in.tradingview.com/chart/bXJLby4L/?symbol=NSE%3ASUNCLAY</t>
  </si>
  <si>
    <t>SUNDARMFIN</t>
  </si>
  <si>
    <t>Sundaram Finance Limited</t>
  </si>
  <si>
    <t>NSE%3AVIMTALABS</t>
  </si>
  <si>
    <t>https://in.tradingview.com/chart/ofQQfXOP/?symbol=NSE%3ASUNDARMFIN</t>
  </si>
  <si>
    <t>https://in.tradingview.com/chart/bXJLby4L/?symbol=NSE%3ASUNDARMFIN</t>
  </si>
  <si>
    <t>SUNDRMFAST</t>
  </si>
  <si>
    <t>Sundram Fasteners Limited</t>
  </si>
  <si>
    <t>NSE%3AVINATIORGA</t>
  </si>
  <si>
    <t>https://in.tradingview.com/chart/ofQQfXOP/?symbol=NSE%3ASUNDRMFAST</t>
  </si>
  <si>
    <t>https://in.tradingview.com/chart/bXJLby4L/?symbol=NSE%3ASUNDRMFAST</t>
  </si>
  <si>
    <t>SUNDROP</t>
  </si>
  <si>
    <t>Sundrop Brands Ltd</t>
  </si>
  <si>
    <t>NSE%3AVINCOFE</t>
  </si>
  <si>
    <t>https://in.tradingview.com/chart/ofQQfXOP/?symbol=NSE%3ASUNDROP</t>
  </si>
  <si>
    <t>https://in.tradingview.com/chart/bXJLby4L/?symbol=NSE%3ASUNDROP</t>
  </si>
  <si>
    <t>SUNFLAG</t>
  </si>
  <si>
    <t>Sunflag Iron And Steel Company Limited</t>
  </si>
  <si>
    <t>NSE%3AVINDHYATEL</t>
  </si>
  <si>
    <t>https://in.tradingview.com/chart/ofQQfXOP/?symbol=NSE%3ASUNFLAG</t>
  </si>
  <si>
    <t>https://in.tradingview.com/chart/bXJLby4L/?symbol=NSE%3ASUNFLAG</t>
  </si>
  <si>
    <t>SUNTECK</t>
  </si>
  <si>
    <t>Sunteck Realty Limited</t>
  </si>
  <si>
    <t>NSE%3AVINEETLAB</t>
  </si>
  <si>
    <t>https://in.tradingview.com/chart/ofQQfXOP/?symbol=NSE%3ASUNTECK</t>
  </si>
  <si>
    <t>https://in.tradingview.com/chart/bXJLby4L/?symbol=NSE%3ASUNTECK</t>
  </si>
  <si>
    <t>SUPERSPIN</t>
  </si>
  <si>
    <t>Super Spinning Mills Limited</t>
  </si>
  <si>
    <t>NSE%3AVINYLINDIA</t>
  </si>
  <si>
    <t>https://in.tradingview.com/chart/ofQQfXOP/?symbol=NSE%3ASUPERSPIN</t>
  </si>
  <si>
    <t>https://in.tradingview.com/chart/bXJLby4L/?symbol=NSE%3ASUPERSPIN</t>
  </si>
  <si>
    <t>SUPERHOUSE</t>
  </si>
  <si>
    <t>Superhouse Limited</t>
  </si>
  <si>
    <t>NSE%3AVIPCLOTHNG</t>
  </si>
  <si>
    <t>https://in.tradingview.com/chart/ofQQfXOP/?symbol=NSE%3ASUPERHOUSE</t>
  </si>
  <si>
    <t>https://in.tradingview.com/chart/bXJLby4L/?symbol=NSE%3ASUPERHOUSE</t>
  </si>
  <si>
    <t>SUPRAJIT</t>
  </si>
  <si>
    <t>Suprajit Engineering Limited</t>
  </si>
  <si>
    <t>NSE%3AVIPIND</t>
  </si>
  <si>
    <t>https://in.tradingview.com/chart/ofQQfXOP/?symbol=NSE%3ASUPRAJIT</t>
  </si>
  <si>
    <t>https://in.tradingview.com/chart/bXJLby4L/?symbol=NSE%3ASUPRAJIT</t>
  </si>
  <si>
    <t>SUPREME</t>
  </si>
  <si>
    <t>Supreme Holdings &amp; Hospitality Ltd</t>
  </si>
  <si>
    <t>NSE%3AVIRINCHI</t>
  </si>
  <si>
    <t>https://in.tradingview.com/chart/ofQQfXOP/?symbol=NSE%3ASUPREME</t>
  </si>
  <si>
    <t>https://in.tradingview.com/chart/bXJLby4L/?symbol=NSE%3ASUPREME</t>
  </si>
  <si>
    <t>SUPREMEIND</t>
  </si>
  <si>
    <t>Supreme Industries Limited</t>
  </si>
  <si>
    <t>NSE%3AVISAKAIND</t>
  </si>
  <si>
    <t>https://in.tradingview.com/chart/ofQQfXOP/?symbol=NSE%3ASUPREMEIND</t>
  </si>
  <si>
    <t>https://in.tradingview.com/chart/bXJLby4L/?symbol=NSE%3ASUPREMEIND</t>
  </si>
  <si>
    <t>SUPREMEINF</t>
  </si>
  <si>
    <t>Supreme Infrastructure India Limited</t>
  </si>
  <si>
    <t>NSE%3AVISASTEEL</t>
  </si>
  <si>
    <t>https://in.tradingview.com/chart/ofQQfXOP/?symbol=NSE%3ASUPREMEINF</t>
  </si>
  <si>
    <t>https://in.tradingview.com/chart/bXJLby4L/?symbol=NSE%3ASUPREMEINF</t>
  </si>
  <si>
    <t>SPLPETRO</t>
  </si>
  <si>
    <t>Supreme Petrochem Ltd</t>
  </si>
  <si>
    <t>NSE%3AVISHNU</t>
  </si>
  <si>
    <t>https://in.tradingview.com/chart/ofQQfXOP/?symbol=NSE%3ASPLPETRO</t>
  </si>
  <si>
    <t>https://in.tradingview.com/chart/bXJLby4L/?symbol=NSE%3ASPLPETRO</t>
  </si>
  <si>
    <t>SUPRIYA</t>
  </si>
  <si>
    <t>Supriya Lifescience Ltd</t>
  </si>
  <si>
    <t>NSE%3AVISHWARAJ</t>
  </si>
  <si>
    <t>https://in.tradingview.com/chart/ofQQfXOP/?symbol=NSE%3ASUPRIYA</t>
  </si>
  <si>
    <t>https://in.tradingview.com/chart/bXJLby4L/?symbol=NSE%3ASUPRIYA</t>
  </si>
  <si>
    <t>SURAJEST</t>
  </si>
  <si>
    <t>Suraj Estate Developers Ltd</t>
  </si>
  <si>
    <t>NSE%3AVIVIDHA</t>
  </si>
  <si>
    <t>https://in.tradingview.com/chart/ofQQfXOP/?symbol=NSE%3ASURAJEST</t>
  </si>
  <si>
    <t>https://in.tradingview.com/chart/bXJLby4L/?symbol=NSE%3ASURAJEST</t>
  </si>
  <si>
    <t>SURAJLTD</t>
  </si>
  <si>
    <t>Suraj Ltd</t>
  </si>
  <si>
    <t>NSE%3AVLEGOV</t>
  </si>
  <si>
    <t>https://in.tradingview.com/chart/ofQQfXOP/?symbol=NSE%3ASURAJLTD</t>
  </si>
  <si>
    <t>https://in.tradingview.com/chart/bXJLby4L/?symbol=NSE%3ASURAJLTD</t>
  </si>
  <si>
    <t>SURAKSHA</t>
  </si>
  <si>
    <t>Suraksha Diagnostic Ltd</t>
  </si>
  <si>
    <t>NSE%3AVLSFINANCE</t>
  </si>
  <si>
    <t>https://in.tradingview.com/chart/ofQQfXOP/?symbol=NSE%3ASURAKSHA</t>
  </si>
  <si>
    <t>https://in.tradingview.com/chart/bXJLby4L/?symbol=NSE%3ASURAKSHA</t>
  </si>
  <si>
    <t>SURANASOL</t>
  </si>
  <si>
    <t>Surana Solar Limited</t>
  </si>
  <si>
    <t>NSE%3AVMART</t>
  </si>
  <si>
    <t>https://in.tradingview.com/chart/ofQQfXOP/?symbol=NSE%3ASURANASOL</t>
  </si>
  <si>
    <t>https://in.tradingview.com/chart/bXJLby4L/?symbol=NSE%3ASURANASOL</t>
  </si>
  <si>
    <t>SURANAT&amp;P</t>
  </si>
  <si>
    <t>Surana Telecom And Power Limited</t>
  </si>
  <si>
    <t>NSE%3AVMM</t>
  </si>
  <si>
    <t>https://in.tradingview.com/chart/ofQQfXOP/?symbol=NSE%3ASURANAT&amp;P</t>
  </si>
  <si>
    <t>https://in.tradingview.com/chart/bXJLby4L/?symbol=NSE%3ASURANAT&amp;P</t>
  </si>
  <si>
    <t>SBGLP</t>
  </si>
  <si>
    <t>Suratwwala Business Group Ltd</t>
  </si>
  <si>
    <t>NSE%3AVOLTAMP</t>
  </si>
  <si>
    <t>https://in.tradingview.com/chart/ofQQfXOP/?symbol=NSE%3ASBGLP</t>
  </si>
  <si>
    <t>https://in.tradingview.com/chart/bXJLby4L/?symbol=NSE%3ASBGLP</t>
  </si>
  <si>
    <t>SURYAROSNI</t>
  </si>
  <si>
    <t>Surya Roshni Limited</t>
  </si>
  <si>
    <t>NSE%3AVOLTAS</t>
  </si>
  <si>
    <t>https://in.tradingview.com/chart/ofQQfXOP/?symbol=NSE%3ASURYAROSNI</t>
  </si>
  <si>
    <t>https://in.tradingview.com/chart/bXJLby4L/?symbol=NSE%3ASURYAROSNI</t>
  </si>
  <si>
    <t>SURYALAXMI</t>
  </si>
  <si>
    <t>Suryalakshmi Cotton Mills Limited</t>
  </si>
  <si>
    <t>NSE%3AVPRPL</t>
  </si>
  <si>
    <t>https://in.tradingview.com/chart/ofQQfXOP/?symbol=NSE%3ASURYALAXMI</t>
  </si>
  <si>
    <t>https://in.tradingview.com/chart/bXJLby4L/?symbol=NSE%3ASURYALAXMI</t>
  </si>
  <si>
    <t>SURYODAY</t>
  </si>
  <si>
    <t>Suryoday Small Finance Bank Ltd</t>
  </si>
  <si>
    <t>NSE%3AVRAJ</t>
  </si>
  <si>
    <t>https://in.tradingview.com/chart/ofQQfXOP/?symbol=NSE%3ASURYODAY</t>
  </si>
  <si>
    <t>https://in.tradingview.com/chart/bXJLby4L/?symbol=NSE%3ASURYODAY</t>
  </si>
  <si>
    <t>SUTLEJTEX</t>
  </si>
  <si>
    <t>Sutlej Textiles And Industries Limited</t>
  </si>
  <si>
    <t>NSE%3AVRLLOG</t>
  </si>
  <si>
    <t>https://in.tradingview.com/chart/ofQQfXOP/?symbol=NSE%3ASUTLEJTEX</t>
  </si>
  <si>
    <t>https://in.tradingview.com/chart/bXJLby4L/?symbol=NSE%3ASUTLEJTEX</t>
  </si>
  <si>
    <t>SUVEN</t>
  </si>
  <si>
    <t>Suven Life Sciences Limited</t>
  </si>
  <si>
    <t>NSE%3AVSSL</t>
  </si>
  <si>
    <t>https://in.tradingview.com/chart/ofQQfXOP/?symbol=NSE%3ASUVEN</t>
  </si>
  <si>
    <t>https://in.tradingview.com/chart/bXJLby4L/?symbol=NSE%3ASUVEN</t>
  </si>
  <si>
    <t>SUYOG</t>
  </si>
  <si>
    <t>Suyog Telematics Ltd</t>
  </si>
  <si>
    <t>NSE%3AVSTIND</t>
  </si>
  <si>
    <t>https://in.tradingview.com/chart/ofQQfXOP/?symbol=NSE%3ASUYOG</t>
  </si>
  <si>
    <t>https://in.tradingview.com/chart/bXJLby4L/?symbol=NSE%3ASUYOG</t>
  </si>
  <si>
    <t>SUZLON</t>
  </si>
  <si>
    <t>Suzlon Energy Limited</t>
  </si>
  <si>
    <t>NSE%3AVSTL</t>
  </si>
  <si>
    <t>https://in.tradingview.com/chart/ofQQfXOP/?symbol=NSE%3ASUZLON</t>
  </si>
  <si>
    <t>https://in.tradingview.com/chart/bXJLby4L/?symbol=NSE%3ASUZLON</t>
  </si>
  <si>
    <t>SWANCORP</t>
  </si>
  <si>
    <t>Swan Corp Ltd</t>
  </si>
  <si>
    <t>NSE%3AVSTTILLERS</t>
  </si>
  <si>
    <t>https://in.tradingview.com/chart/ofQQfXOP/?symbol=NSE%3ASWANCORP</t>
  </si>
  <si>
    <t>https://in.tradingview.com/chart/bXJLby4L/?symbol=NSE%3ASWANCORP</t>
  </si>
  <si>
    <t>SWANDEF</t>
  </si>
  <si>
    <t>Swan Defence and Heavy Industries Ltd</t>
  </si>
  <si>
    <t>NSE%3AVTL</t>
  </si>
  <si>
    <t>https://in.tradingview.com/chart/ofQQfXOP/?symbol=NSE%3ASWANDEF</t>
  </si>
  <si>
    <t>https://in.tradingview.com/chart/bXJLby4L/?symbol=NSE%3ASWANDEF</t>
  </si>
  <si>
    <t>SWARAJENG</t>
  </si>
  <si>
    <t>Swaraj Engines Limited</t>
  </si>
  <si>
    <t>NSE%3AWAAREEENER</t>
  </si>
  <si>
    <t>https://in.tradingview.com/chart/ofQQfXOP/?symbol=NSE%3ASWARAJENG</t>
  </si>
  <si>
    <t>https://in.tradingview.com/chart/bXJLby4L/?symbol=NSE%3ASWARAJENG</t>
  </si>
  <si>
    <t>SWELECTES</t>
  </si>
  <si>
    <t>Swelect Energy Systems Limited</t>
  </si>
  <si>
    <t>NSE%3AWABAG</t>
  </si>
  <si>
    <t>https://in.tradingview.com/chart/ofQQfXOP/?symbol=NSE%3ASWELECTES</t>
  </si>
  <si>
    <t>https://in.tradingview.com/chart/bXJLby4L/?symbol=NSE%3ASWELECTES</t>
  </si>
  <si>
    <t>SWIGGY</t>
  </si>
  <si>
    <t>Swiggy Ltd</t>
  </si>
  <si>
    <t>NSE%3AWALCHANNAG</t>
  </si>
  <si>
    <t>https://in.tradingview.com/chart/ofQQfXOP/?symbol=NSE%3ASWIGGY</t>
  </si>
  <si>
    <t>https://in.tradingview.com/chart/bXJLby4L/?symbol=NSE%3ASWIGGY</t>
  </si>
  <si>
    <t>SYMPHONY</t>
  </si>
  <si>
    <t>Symphony Limited</t>
  </si>
  <si>
    <t>NSE%3AWANBURY</t>
  </si>
  <si>
    <t>https://in.tradingview.com/chart/ofQQfXOP/?symbol=NSE%3ASYMPHONY</t>
  </si>
  <si>
    <t>https://in.tradingview.com/chart/bXJLby4L/?symbol=NSE%3ASYMPHONY</t>
  </si>
  <si>
    <t>SYNCOMF</t>
  </si>
  <si>
    <t>Syncom Formulations (India) Ltd</t>
  </si>
  <si>
    <t>NSE%3AWCIL</t>
  </si>
  <si>
    <t>https://in.tradingview.com/chart/ofQQfXOP/?symbol=NSE%3ASYNCOMF</t>
  </si>
  <si>
    <t>https://in.tradingview.com/chart/bXJLby4L/?symbol=NSE%3ASYNCOMF</t>
  </si>
  <si>
    <t>SGIL</t>
  </si>
  <si>
    <t>Synergy Green Industries Ltd</t>
  </si>
  <si>
    <t>NSE%3AWEALTH</t>
  </si>
  <si>
    <t>https://in.tradingview.com/chart/ofQQfXOP/?symbol=NSE%3ASGIL</t>
  </si>
  <si>
    <t>https://in.tradingview.com/chart/bXJLby4L/?symbol=NSE%3ASGIL</t>
  </si>
  <si>
    <t>SYNGENE</t>
  </si>
  <si>
    <t>Syngene International Limited</t>
  </si>
  <si>
    <t>NSE%3AWEBELSOLAR</t>
  </si>
  <si>
    <t>https://in.tradingview.com/chart/ofQQfXOP/?symbol=NSE%3ASYNGENE</t>
  </si>
  <si>
    <t>https://in.tradingview.com/chart/bXJLby4L/?symbol=NSE%3ASYNGENE</t>
  </si>
  <si>
    <t>SYRMA</t>
  </si>
  <si>
    <t>Syrma SGS Technology Ltd</t>
  </si>
  <si>
    <t>NSE%3AWEIZMANIND</t>
  </si>
  <si>
    <t>https://in.tradingview.com/chart/ofQQfXOP/?symbol=NSE%3ASYRMA</t>
  </si>
  <si>
    <t>https://in.tradingview.com/chart/bXJLby4L/?symbol=NSE%3ASYRMA</t>
  </si>
  <si>
    <t>SYSTMTXC</t>
  </si>
  <si>
    <t>Systematix Corporate Services Ltd</t>
  </si>
  <si>
    <t>NSE%3AWEL</t>
  </si>
  <si>
    <t>https://in.tradingview.com/chart/ofQQfXOP/?symbol=NSE%3ASYSTMTXC</t>
  </si>
  <si>
    <t>https://in.tradingview.com/chart/bXJLby4L/?symbol=NSE%3ASYSTMTXC</t>
  </si>
  <si>
    <t>TTL</t>
  </si>
  <si>
    <t>T T Limited</t>
  </si>
  <si>
    <t>NSE%3AWELCORP</t>
  </si>
  <si>
    <t>https://in.tradingview.com/chart/ofQQfXOP/?symbol=NSE%3ATTL</t>
  </si>
  <si>
    <t>https://in.tradingview.com/chart/bXJLby4L/?symbol=NSE%3ATTL</t>
  </si>
  <si>
    <t>TAINWALCHM</t>
  </si>
  <si>
    <t>Tainwala Chemical And Plastic (i) Limited</t>
  </si>
  <si>
    <t>NSE%3AWELENT</t>
  </si>
  <si>
    <t>https://in.tradingview.com/chart/ofQQfXOP/?symbol=NSE%3ATAINWALCHM</t>
  </si>
  <si>
    <t>https://in.tradingview.com/chart/bXJLby4L/?symbol=NSE%3ATAINWALCHM</t>
  </si>
  <si>
    <t>TAJGVK</t>
  </si>
  <si>
    <t>Taj Gvk Hotels &amp; Resorts Limited</t>
  </si>
  <si>
    <t>NSE%3AWELINV</t>
  </si>
  <si>
    <t>https://in.tradingview.com/chart/ofQQfXOP/?symbol=NSE%3ATAJGVK</t>
  </si>
  <si>
    <t>https://in.tradingview.com/chart/bXJLby4L/?symbol=NSE%3ATAJGVK</t>
  </si>
  <si>
    <t>TAKE</t>
  </si>
  <si>
    <t>Take Solutions Limited</t>
  </si>
  <si>
    <t>NSE%3AWELSPUNLIV</t>
  </si>
  <si>
    <t>https://in.tradingview.com/chart/ofQQfXOP/?symbol=NSE%3ATAKE</t>
  </si>
  <si>
    <t>https://in.tradingview.com/chart/bXJLby4L/?symbol=NSE%3ATAKE</t>
  </si>
  <si>
    <t>TALBROAUTO</t>
  </si>
  <si>
    <t>Talbros Automotive Components Limited</t>
  </si>
  <si>
    <t>NSE%3AWENDT</t>
  </si>
  <si>
    <t>https://in.tradingview.com/chart/ofQQfXOP/?symbol=NSE%3ATALBROAUTO</t>
  </si>
  <si>
    <t>https://in.tradingview.com/chart/bXJLby4L/?symbol=NSE%3ATALBROAUTO</t>
  </si>
  <si>
    <t>TNPL</t>
  </si>
  <si>
    <t>Tamil Nadu Newsprint &amp; Papers Limited</t>
  </si>
  <si>
    <t>NSE%3AWESTLIFE</t>
  </si>
  <si>
    <t>https://in.tradingview.com/chart/ofQQfXOP/?symbol=NSE%3ATNPL</t>
  </si>
  <si>
    <t>https://in.tradingview.com/chart/bXJLby4L/?symbol=NSE%3ATNPL</t>
  </si>
  <si>
    <t>TMB</t>
  </si>
  <si>
    <t>Tamilnad Mercantile Bank Ltd</t>
  </si>
  <si>
    <t>NSE%3AWEWIN</t>
  </si>
  <si>
    <t>https://in.tradingview.com/chart/ofQQfXOP/?symbol=NSE%3ATMB</t>
  </si>
  <si>
    <t>https://in.tradingview.com/chart/bXJLby4L/?symbol=NSE%3ATMB</t>
  </si>
  <si>
    <t>TNPETRO</t>
  </si>
  <si>
    <t>Tamilnadu Petroproducts Limited</t>
  </si>
  <si>
    <t>NSE%3AWHEELS</t>
  </si>
  <si>
    <t>https://in.tradingview.com/chart/ofQQfXOP/?symbol=NSE%3ATNPETRO</t>
  </si>
  <si>
    <t>https://in.tradingview.com/chart/bXJLby4L/?symbol=NSE%3ATNPETRO</t>
  </si>
  <si>
    <t>TNTELE</t>
  </si>
  <si>
    <t>Tamilnadu Telecommunication Limited</t>
  </si>
  <si>
    <t>NSE%3AWHIRLPOOL</t>
  </si>
  <si>
    <t>https://in.tradingview.com/chart/ofQQfXOP/?symbol=NSE%3ATNTELE</t>
  </si>
  <si>
    <t>https://in.tradingview.com/chart/bXJLby4L/?symbol=NSE%3ATNTELE</t>
  </si>
  <si>
    <t>TANLA</t>
  </si>
  <si>
    <t>Tanla Solutions Limited</t>
  </si>
  <si>
    <t>NSE%3AWILLAMAGOR</t>
  </si>
  <si>
    <t>https://in.tradingview.com/chart/ofQQfXOP/?symbol=NSE%3ATANLA</t>
  </si>
  <si>
    <t>https://in.tradingview.com/chart/bXJLby4L/?symbol=NSE%3ATANLA</t>
  </si>
  <si>
    <t>TICL</t>
  </si>
  <si>
    <t>Tantia Constructions Ltd</t>
  </si>
  <si>
    <t>NSE%3AWINDLAS</t>
  </si>
  <si>
    <t>https://in.tradingview.com/chart/ofQQfXOP/?symbol=NSE%3ATICL</t>
  </si>
  <si>
    <t>https://in.tradingview.com/chart/bXJLby4L/?symbol=NSE%3ATICL</t>
  </si>
  <si>
    <t>TARACHAND</t>
  </si>
  <si>
    <t>Tara Chand Infralogistic Solutions Ltd</t>
  </si>
  <si>
    <t>NSE%3AWINDMACHIN</t>
  </si>
  <si>
    <t>https://in.tradingview.com/chart/ofQQfXOP/?symbol=NSE%3ATARACHAND</t>
  </si>
  <si>
    <t>https://in.tradingview.com/chart/bXJLby4L/?symbol=NSE%3ATARACHAND</t>
  </si>
  <si>
    <t>TARAPUR</t>
  </si>
  <si>
    <t>Tarapur Transformers Limited</t>
  </si>
  <si>
    <t>NSE%3AWINSOME</t>
  </si>
  <si>
    <t>https://in.tradingview.com/chart/ofQQfXOP/?symbol=NSE%3ATARAPUR</t>
  </si>
  <si>
    <t>https://in.tradingview.com/chart/bXJLby4L/?symbol=NSE%3ATARAPUR</t>
  </si>
  <si>
    <t>TARMAT</t>
  </si>
  <si>
    <t>Tarmat Limited</t>
  </si>
  <si>
    <t>NSE%3AWIPL</t>
  </si>
  <si>
    <t>https://in.tradingview.com/chart/ofQQfXOP/?symbol=NSE%3ATARMAT</t>
  </si>
  <si>
    <t>https://in.tradingview.com/chart/bXJLby4L/?symbol=NSE%3ATARMAT</t>
  </si>
  <si>
    <t>TARSONS</t>
  </si>
  <si>
    <t>Tarsons Products Ltd</t>
  </si>
  <si>
    <t>NSE%3AWIPRO</t>
  </si>
  <si>
    <t>https://in.tradingview.com/chart/ofQQfXOP/?symbol=NSE%3ATARSONS</t>
  </si>
  <si>
    <t>https://in.tradingview.com/chart/bXJLby4L/?symbol=NSE%3ATARSONS</t>
  </si>
  <si>
    <t>TASTYBITE</t>
  </si>
  <si>
    <t>Tasty Bite Eatables Ltd</t>
  </si>
  <si>
    <t>NSE%3AWOCKPHARMA</t>
  </si>
  <si>
    <t>https://in.tradingview.com/chart/ofQQfXOP/?symbol=NSE%3ATASTYBITE</t>
  </si>
  <si>
    <t>https://in.tradingview.com/chart/bXJLby4L/?symbol=NSE%3ATASTYBITE</t>
  </si>
  <si>
    <t>TATACAP</t>
  </si>
  <si>
    <t>Tata Capital Ltd</t>
  </si>
  <si>
    <t>NSE%3AWONDERLA</t>
  </si>
  <si>
    <t>https://in.tradingview.com/chart/ofQQfXOP/?symbol=NSE%3ATATACAP</t>
  </si>
  <si>
    <t>https://in.tradingview.com/chart/bXJLby4L/?symbol=NSE%3ATATACAP</t>
  </si>
  <si>
    <t>TATACHEM</t>
  </si>
  <si>
    <t>Tata Chemicals Limited</t>
  </si>
  <si>
    <t>NSE%3AWSI</t>
  </si>
  <si>
    <t>https://in.tradingview.com/chart/ofQQfXOP/?symbol=NSE%3ATATACHEM</t>
  </si>
  <si>
    <t>https://in.tradingview.com/chart/bXJLby4L/?symbol=NSE%3ATATACHEM</t>
  </si>
  <si>
    <t>TATACOMM</t>
  </si>
  <si>
    <t>Tata Communications Limited</t>
  </si>
  <si>
    <t>NSE%3AWSTCSTPAPR</t>
  </si>
  <si>
    <t>https://in.tradingview.com/chart/ofQQfXOP/?symbol=NSE%3ATATACOMM</t>
  </si>
  <si>
    <t>https://in.tradingview.com/chart/bXJLby4L/?symbol=NSE%3ATATACOMM</t>
  </si>
  <si>
    <t>TCS</t>
  </si>
  <si>
    <t>Tata Consultancy Services Limited</t>
  </si>
  <si>
    <t>NSE%3AXCHANGING</t>
  </si>
  <si>
    <t>https://in.tradingview.com/chart/ofQQfXOP/?symbol=NSE%3ATCS</t>
  </si>
  <si>
    <t>https://in.tradingview.com/chart/bXJLby4L/?symbol=NSE%3ATCS</t>
  </si>
  <si>
    <t>TATACONSUM</t>
  </si>
  <si>
    <t>TATA Consumer Products Ltd</t>
  </si>
  <si>
    <t>NSE%3AXELPMOC</t>
  </si>
  <si>
    <t>https://in.tradingview.com/chart/ofQQfXOP/?symbol=NSE%3ATATACONSUM</t>
  </si>
  <si>
    <t>https://in.tradingview.com/chart/bXJLby4L/?symbol=NSE%3ATATACONSUM</t>
  </si>
  <si>
    <t>TATAELXSI</t>
  </si>
  <si>
    <t>Tata Elxsi Limited</t>
  </si>
  <si>
    <t>NSE%3AXPROINDIA</t>
  </si>
  <si>
    <t>https://in.tradingview.com/chart/ofQQfXOP/?symbol=NSE%3ATATAELXSI</t>
  </si>
  <si>
    <t>https://in.tradingview.com/chart/bXJLby4L/?symbol=NSE%3ATATAELXSI</t>
  </si>
  <si>
    <t>TATAGOLD</t>
  </si>
  <si>
    <t>Tata Gold Exchange Traded Fund</t>
  </si>
  <si>
    <t>NSE%3AXTGLOBAL</t>
  </si>
  <si>
    <t>https://in.tradingview.com/chart/ofQQfXOP/?symbol=NSE%3ATATAGOLD</t>
  </si>
  <si>
    <t>https://in.tradingview.com/chart/bXJLby4L/?symbol=NSE%3ATATAGOLD</t>
  </si>
  <si>
    <t>TATAINVEST</t>
  </si>
  <si>
    <t>Tata Investment Corporation Limited</t>
  </si>
  <si>
    <t>NSE%3AYAARI</t>
  </si>
  <si>
    <t>https://in.tradingview.com/chart/ofQQfXOP/?symbol=NSE%3ATATAINVEST</t>
  </si>
  <si>
    <t>https://in.tradingview.com/chart/bXJLby4L/?symbol=NSE%3ATATAINVEST</t>
  </si>
  <si>
    <t>TMPV</t>
  </si>
  <si>
    <t>Tata Motors Passenger Vehicles Ltd</t>
  </si>
  <si>
    <t>NSE%3AYASHO</t>
  </si>
  <si>
    <t>https://in.tradingview.com/chart/ofQQfXOP/?symbol=NSE%3ATMPV</t>
  </si>
  <si>
    <t>https://in.tradingview.com/chart/bXJLby4L/?symbol=NSE%3ATMPV</t>
  </si>
  <si>
    <t>NETF</t>
  </si>
  <si>
    <t>Tata Nifty ETF</t>
  </si>
  <si>
    <t>NSE%3AYATHARTH</t>
  </si>
  <si>
    <t>https://in.tradingview.com/chart/ofQQfXOP/?symbol=NSE%3ANETF</t>
  </si>
  <si>
    <t>https://in.tradingview.com/chart/bXJLby4L/?symbol=NSE%3ANETF</t>
  </si>
  <si>
    <t>TNIDETF</t>
  </si>
  <si>
    <t>Tata Nifty India Digital ETF</t>
  </si>
  <si>
    <t>NSE%3AYATRA</t>
  </si>
  <si>
    <t>https://in.tradingview.com/chart/ofQQfXOP/?symbol=NSE%3ATNIDETF</t>
  </si>
  <si>
    <t>https://in.tradingview.com/chart/bXJLby4L/?symbol=NSE%3ATNIDETF</t>
  </si>
  <si>
    <t>NPBET</t>
  </si>
  <si>
    <t>Tata Nifty Private Bank ETF</t>
  </si>
  <si>
    <t>NSE%3AYESBANK</t>
  </si>
  <si>
    <t>https://in.tradingview.com/chart/ofQQfXOP/?symbol=NSE%3ANPBET</t>
  </si>
  <si>
    <t>https://in.tradingview.com/chart/bXJLby4L/?symbol=NSE%3ANPBET</t>
  </si>
  <si>
    <t>TATAPOWER</t>
  </si>
  <si>
    <t>Tata Power Company Limited</t>
  </si>
  <si>
    <t>NSE%3AYUKEN</t>
  </si>
  <si>
    <t>https://in.tradingview.com/chart/ofQQfXOP/?symbol=NSE%3ATATAPOWER</t>
  </si>
  <si>
    <t>https://in.tradingview.com/chart/bXJLby4L/?symbol=NSE%3ATATAPOWER</t>
  </si>
  <si>
    <t>TATSILV</t>
  </si>
  <si>
    <t>Tata Silver Exchange Traded Fund</t>
  </si>
  <si>
    <t>NSE%3AZAGGLE</t>
  </si>
  <si>
    <t>https://in.tradingview.com/chart/ofQQfXOP/?symbol=NSE%3ATATSILV</t>
  </si>
  <si>
    <t>https://in.tradingview.com/chart/bXJLby4L/?symbol=NSE%3ATATSILV</t>
  </si>
  <si>
    <t>TATASTEEL</t>
  </si>
  <si>
    <t>Tata Steel Limited</t>
  </si>
  <si>
    <t>NSE%3AZEEL</t>
  </si>
  <si>
    <t>https://in.tradingview.com/chart/ofQQfXOP/?symbol=NSE%3ATATASTEEL</t>
  </si>
  <si>
    <t>https://in.tradingview.com/chart/bXJLby4L/?symbol=NSE%3ATATASTEEL</t>
  </si>
  <si>
    <t>TATATECH</t>
  </si>
  <si>
    <t>Tata Technologies Ltd</t>
  </si>
  <si>
    <t>NSE%3AZEELEARN</t>
  </si>
  <si>
    <t>https://in.tradingview.com/chart/ofQQfXOP/?symbol=NSE%3ATATATECH</t>
  </si>
  <si>
    <t>https://in.tradingview.com/chart/bXJLby4L/?symbol=NSE%3ATATATECH</t>
  </si>
  <si>
    <t>TTML</t>
  </si>
  <si>
    <t>Tata Teleservices (maharashtra) Limited</t>
  </si>
  <si>
    <t>NSE%3AZEEMEDIA</t>
  </si>
  <si>
    <t>https://in.tradingview.com/chart/ofQQfXOP/?symbol=NSE%3ATTML</t>
  </si>
  <si>
    <t>https://in.tradingview.com/chart/bXJLby4L/?symbol=NSE%3ATTML</t>
  </si>
  <si>
    <t>TATVA</t>
  </si>
  <si>
    <t>Tatva Chintan Pharma Chem Ltd</t>
  </si>
  <si>
    <t>NSE%3AZENITHEXPO</t>
  </si>
  <si>
    <t>https://in.tradingview.com/chart/ofQQfXOP/?symbol=NSE%3ATATVA</t>
  </si>
  <si>
    <t>https://in.tradingview.com/chart/bXJLby4L/?symbol=NSE%3ATATVA</t>
  </si>
  <si>
    <t>TBOTEK</t>
  </si>
  <si>
    <t>TBO Tek Ltd</t>
  </si>
  <si>
    <t>NSE%3AZENITHSTL</t>
  </si>
  <si>
    <t>https://in.tradingview.com/chart/ofQQfXOP/?symbol=NSE%3ATBOTEK</t>
  </si>
  <si>
    <t>https://in.tradingview.com/chart/bXJLby4L/?symbol=NSE%3ATBOTEK</t>
  </si>
  <si>
    <t>TCIEXP</t>
  </si>
  <si>
    <t>Tci Express Limited</t>
  </si>
  <si>
    <t>NSE%3AZENSARTECH</t>
  </si>
  <si>
    <t>https://in.tradingview.com/chart/ofQQfXOP/?symbol=NSE%3ATCIEXP</t>
  </si>
  <si>
    <t>https://in.tradingview.com/chart/bXJLby4L/?symbol=NSE%3ATCIEXP</t>
  </si>
  <si>
    <t>TCIFINANCE</t>
  </si>
  <si>
    <t>Tci Finance Limited</t>
  </si>
  <si>
    <t>NSE%3AZENTEC</t>
  </si>
  <si>
    <t>https://in.tradingview.com/chart/ofQQfXOP/?symbol=NSE%3ATCIFINANCE</t>
  </si>
  <si>
    <t>https://in.tradingview.com/chart/bXJLby4L/?symbol=NSE%3ATCIFINANCE</t>
  </si>
  <si>
    <t>TCPLPACK</t>
  </si>
  <si>
    <t>TCPL Packaging Ltd</t>
  </si>
  <si>
    <t>NSE%3AZFCVINDIA</t>
  </si>
  <si>
    <t>https://in.tradingview.com/chart/ofQQfXOP/?symbol=NSE%3ATCPLPACK</t>
  </si>
  <si>
    <t>https://in.tradingview.com/chart/bXJLby4L/?symbol=NSE%3ATCPLPACK</t>
  </si>
  <si>
    <t>TDPOWERSYS</t>
  </si>
  <si>
    <t>Td Power Systems Limited</t>
  </si>
  <si>
    <t>NSE%3AZIMLAB</t>
  </si>
  <si>
    <t>https://in.tradingview.com/chart/ofQQfXOP/?symbol=NSE%3ATDPOWERSYS</t>
  </si>
  <si>
    <t>https://in.tradingview.com/chart/bXJLby4L/?symbol=NSE%3ATDPOWERSYS</t>
  </si>
  <si>
    <t>TEAMGTY</t>
  </si>
  <si>
    <t>Team India Guaranty Ltd</t>
  </si>
  <si>
    <t>NSE%3AZODIAC</t>
  </si>
  <si>
    <t>https://in.tradingview.com/chart/ofQQfXOP/?symbol=NSE%3ATEAMGTY</t>
  </si>
  <si>
    <t>https://in.tradingview.com/chart/bXJLby4L/?symbol=NSE%3ATEAMGTY</t>
  </si>
  <si>
    <t>TEAMLEASE</t>
  </si>
  <si>
    <t>Teamlease Services Limited</t>
  </si>
  <si>
    <t>NSE%3AZODIACLOTH</t>
  </si>
  <si>
    <t>https://in.tradingview.com/chart/ofQQfXOP/?symbol=NSE%3ATEAMLEASE</t>
  </si>
  <si>
    <t>https://in.tradingview.com/chart/bXJLby4L/?symbol=NSE%3ATEAMLEASE</t>
  </si>
  <si>
    <t>TECHM</t>
  </si>
  <si>
    <t>Tech Mahindra Limited</t>
  </si>
  <si>
    <t>NSE%3AZOTA</t>
  </si>
  <si>
    <t>https://in.tradingview.com/chart/ofQQfXOP/?symbol=NSE%3ATECHM</t>
  </si>
  <si>
    <t>https://in.tradingview.com/chart/bXJLby4L/?symbol=NSE%3ATECHM</t>
  </si>
  <si>
    <t>TECHNOE</t>
  </si>
  <si>
    <t>Techno Electric &amp; Engineering Company Ltd</t>
  </si>
  <si>
    <t>NSE%3AZUARI</t>
  </si>
  <si>
    <t>https://in.tradingview.com/chart/ofQQfXOP/?symbol=NSE%3ATECHNOE</t>
  </si>
  <si>
    <t>https://in.tradingview.com/chart/bXJLby4L/?symbol=NSE%3ATECHNOE</t>
  </si>
  <si>
    <t>TIIL</t>
  </si>
  <si>
    <t>Technocraft Industries (india) Limited</t>
  </si>
  <si>
    <t>NSE%3AZUARIIND</t>
  </si>
  <si>
    <t>https://in.tradingview.com/chart/ofQQfXOP/?symbol=NSE%3ATIIL</t>
  </si>
  <si>
    <t>https://in.tradingview.com/chart/bXJLby4L/?symbol=NSE%3ATIIL</t>
  </si>
  <si>
    <t>TECILCHEM</t>
  </si>
  <si>
    <t>TECIL Chemical &amp; Hydro Power Ltd</t>
  </si>
  <si>
    <t>NSE%3AZYDUSLIFE</t>
  </si>
  <si>
    <t>https://in.tradingview.com/chart/ofQQfXOP/?symbol=NSE%3ATECILCHEM</t>
  </si>
  <si>
    <t>https://in.tradingview.com/chart/bXJLby4L/?symbol=NSE%3ATECILCHEM</t>
  </si>
  <si>
    <t>TEGA</t>
  </si>
  <si>
    <t>Tega Industries Ltd</t>
  </si>
  <si>
    <t>NSE%3AZYDUSWELL</t>
  </si>
  <si>
    <t>https://in.tradingview.com/chart/ofQQfXOP/?symbol=NSE%3ATEGA</t>
  </si>
  <si>
    <t>https://in.tradingview.com/chart/bXJLby4L/?symbol=NSE%3ATEGA</t>
  </si>
  <si>
    <t>TEJASNET</t>
  </si>
  <si>
    <t>Tejas Networks</t>
  </si>
  <si>
    <t>https://in.tradingview.com/chart/ofQQfXOP/?symbol=NSE%3ATEJASNET</t>
  </si>
  <si>
    <t>https://in.tradingview.com/chart/bXJLby4L/?symbol=NSE%3ATEJASNET</t>
  </si>
  <si>
    <t>TEMBO</t>
  </si>
  <si>
    <t>Tembo Global Industries Ltd</t>
  </si>
  <si>
    <t>https://in.tradingview.com/chart/ofQQfXOP/?symbol=NSE%3ATEMBO</t>
  </si>
  <si>
    <t>https://in.tradingview.com/chart/bXJLby4L/?symbol=NSE%3ATEMBO</t>
  </si>
  <si>
    <t>TENNIND</t>
  </si>
  <si>
    <t>Tenneco Clean Air India Ltd</t>
  </si>
  <si>
    <t>https://in.tradingview.com/chart/ofQQfXOP/?symbol=NSE%3ATENNIND</t>
  </si>
  <si>
    <t>https://in.tradingview.com/chart/bXJLby4L/?symbol=NSE%3ATENNIND</t>
  </si>
  <si>
    <t>TERASOFT</t>
  </si>
  <si>
    <t>Tera Software Ltd</t>
  </si>
  <si>
    <t>https://in.tradingview.com/chart/ofQQfXOP/?symbol=NSE%3ATERASOFT</t>
  </si>
  <si>
    <t>https://in.tradingview.com/chart/bXJLby4L/?symbol=NSE%3ATERASOFT</t>
  </si>
  <si>
    <t>TEXINFRA</t>
  </si>
  <si>
    <t>Texmaco Infrastructure &amp; Holdings Limited</t>
  </si>
  <si>
    <t>https://in.tradingview.com/chart/ofQQfXOP/?symbol=NSE%3ATEXINFRA</t>
  </si>
  <si>
    <t>https://in.tradingview.com/chart/bXJLby4L/?symbol=NSE%3ATEXINFRA</t>
  </si>
  <si>
    <t>TEXRAIL</t>
  </si>
  <si>
    <t>Texmaco Rail &amp; Engineering Limited</t>
  </si>
  <si>
    <t>https://in.tradingview.com/chart/ofQQfXOP/?symbol=NSE%3ATEXRAIL</t>
  </si>
  <si>
    <t>https://in.tradingview.com/chart/bXJLby4L/?symbol=NSE%3ATEXRAIL</t>
  </si>
  <si>
    <t>TEXMOPIPES</t>
  </si>
  <si>
    <t>Texmo Pipes And Products Limited</t>
  </si>
  <si>
    <t>https://in.tradingview.com/chart/ofQQfXOP/?symbol=NSE%3ATEXMOPIPES</t>
  </si>
  <si>
    <t>https://in.tradingview.com/chart/bXJLby4L/?symbol=NSE%3ATEXMOPIPES</t>
  </si>
  <si>
    <t>TGBHOTELS</t>
  </si>
  <si>
    <t>Tgb Banquets And Hotels Limited</t>
  </si>
  <si>
    <t>https://in.tradingview.com/chart/ofQQfXOP/?symbol=NSE%3ATGBHOTELS</t>
  </si>
  <si>
    <t>https://in.tradingview.com/chart/bXJLby4L/?symbol=NSE%3ATGBHOTELS</t>
  </si>
  <si>
    <t>THANGAMAYL</t>
  </si>
  <si>
    <t>Thangamayil Jewellery Limited</t>
  </si>
  <si>
    <t>https://in.tradingview.com/chart/ofQQfXOP/?symbol=NSE%3ATHANGAMAYL</t>
  </si>
  <si>
    <t>https://in.tradingview.com/chart/bXJLby4L/?symbol=NSE%3ATHANGAMAYL</t>
  </si>
  <si>
    <t>ANDHRSUGAR</t>
  </si>
  <si>
    <t>The Andhra Sugars Limited</t>
  </si>
  <si>
    <t>https://in.tradingview.com/chart/ofQQfXOP/?symbol=NSE%3AANDHRSUGAR</t>
  </si>
  <si>
    <t>https://in.tradingview.com/chart/bXJLby4L/?symbol=NSE%3AANDHRSUGAR</t>
  </si>
  <si>
    <t>ANUP</t>
  </si>
  <si>
    <t>The Anup Engineering Ltd</t>
  </si>
  <si>
    <t>https://in.tradingview.com/chart/ofQQfXOP/?symbol=NSE%3AANUP</t>
  </si>
  <si>
    <t>https://in.tradingview.com/chart/bXJLby4L/?symbol=NSE%3AANUP</t>
  </si>
  <si>
    <t>BYKE</t>
  </si>
  <si>
    <t>The Byke Hospitality Ltd</t>
  </si>
  <si>
    <t>https://in.tradingview.com/chart/ofQQfXOP/?symbol=NSE%3ABYKE</t>
  </si>
  <si>
    <t>https://in.tradingview.com/chart/bXJLby4L/?symbol=NSE%3ABYKE</t>
  </si>
  <si>
    <t>FEDERALBNK</t>
  </si>
  <si>
    <t>The Federal Bank  Limited</t>
  </si>
  <si>
    <t>https://in.tradingview.com/chart/ofQQfXOP/?symbol=NSE%3AFEDERALBNK</t>
  </si>
  <si>
    <t>https://in.tradingview.com/chart/bXJLby4L/?symbol=NSE%3AFEDERALBNK</t>
  </si>
  <si>
    <t>GESHIP</t>
  </si>
  <si>
    <t>The Great Eastern Shipping Company Limited</t>
  </si>
  <si>
    <t>https://in.tradingview.com/chart/ofQQfXOP/?symbol=NSE%3AGESHIP</t>
  </si>
  <si>
    <t>https://in.tradingview.com/chart/bXJLby4L/?symbol=NSE%3AGESHIP</t>
  </si>
  <si>
    <t>GROBTEA</t>
  </si>
  <si>
    <t>The Grob Tea Company Limited</t>
  </si>
  <si>
    <t>https://in.tradingview.com/chart/ofQQfXOP/?symbol=NSE%3AGROBTEA</t>
  </si>
  <si>
    <t>https://in.tradingview.com/chart/bXJLby4L/?symbol=NSE%3AGROBTEA</t>
  </si>
  <si>
    <t>HITECHGEAR</t>
  </si>
  <si>
    <t>The Hi-tech Gears Limited</t>
  </si>
  <si>
    <t>https://in.tradingview.com/chart/ofQQfXOP/?symbol=NSE%3AHITECHGEAR</t>
  </si>
  <si>
    <t>https://in.tradingview.com/chart/bXJLby4L/?symbol=NSE%3AHITECHGEAR</t>
  </si>
  <si>
    <t>INDIACEM</t>
  </si>
  <si>
    <t>The India Cements Limited</t>
  </si>
  <si>
    <t>https://in.tradingview.com/chart/ofQQfXOP/?symbol=NSE%3AINDIACEM</t>
  </si>
  <si>
    <t>https://in.tradingview.com/chart/bXJLby4L/?symbol=NSE%3AINDIACEM</t>
  </si>
  <si>
    <t>INDHOTEL</t>
  </si>
  <si>
    <t>The Indian Hotels Company Limited</t>
  </si>
  <si>
    <t>https://in.tradingview.com/chart/ofQQfXOP/?symbol=NSE%3AINDHOTEL</t>
  </si>
  <si>
    <t>https://in.tradingview.com/chart/bXJLby4L/?symbol=NSE%3AINDHOTEL</t>
  </si>
  <si>
    <t>THEINVEST</t>
  </si>
  <si>
    <t>The Investment Trust of India Ltd</t>
  </si>
  <si>
    <t>https://in.tradingview.com/chart/ofQQfXOP/?symbol=NSE%3ATHEINVEST</t>
  </si>
  <si>
    <t>https://in.tradingview.com/chart/bXJLby4L/?symbol=NSE%3ATHEINVEST</t>
  </si>
  <si>
    <t>J&amp;KBANK</t>
  </si>
  <si>
    <t>The Jammu &amp; Kashmir Bank Limited</t>
  </si>
  <si>
    <t>https://in.tradingview.com/chart/ofQQfXOP/?symbol=NSE%3AJ&amp;KBANK</t>
  </si>
  <si>
    <t>https://in.tradingview.com/chart/bXJLby4L/?symbol=NSE%3AJ&amp;KBANK</t>
  </si>
  <si>
    <t>KTKBANK</t>
  </si>
  <si>
    <t>The Karnataka Bank Limited</t>
  </si>
  <si>
    <t>https://in.tradingview.com/chart/ofQQfXOP/?symbol=NSE%3AKTKBANK</t>
  </si>
  <si>
    <t>https://in.tradingview.com/chart/bXJLby4L/?symbol=NSE%3AKTKBANK</t>
  </si>
  <si>
    <t>MOTOGENFIN</t>
  </si>
  <si>
    <t>The Motor &amp; General Finance Limited</t>
  </si>
  <si>
    <t>https://in.tradingview.com/chart/ofQQfXOP/?symbol=NSE%3AMOTOGENFIN</t>
  </si>
  <si>
    <t>https://in.tradingview.com/chart/bXJLby4L/?symbol=NSE%3AMOTOGENFIN</t>
  </si>
  <si>
    <t>ORISSAMINE</t>
  </si>
  <si>
    <t>The Orissa Minerals Development Company Limited</t>
  </si>
  <si>
    <t>https://in.tradingview.com/chart/ofQQfXOP/?symbol=NSE%3AORISSAMINE</t>
  </si>
  <si>
    <t>https://in.tradingview.com/chart/bXJLby4L/?symbol=NSE%3AORISSAMINE</t>
  </si>
  <si>
    <t>PKTEA</t>
  </si>
  <si>
    <t>The Peria Karamalai Tea &amp; Produce Company Limited</t>
  </si>
  <si>
    <t>https://in.tradingview.com/chart/ofQQfXOP/?symbol=NSE%3APKTEA</t>
  </si>
  <si>
    <t>https://in.tradingview.com/chart/bXJLby4L/?symbol=NSE%3APKTEA</t>
  </si>
  <si>
    <t>PHOENIXLTD</t>
  </si>
  <si>
    <t>The Phoenix Mills Limited</t>
  </si>
  <si>
    <t>https://in.tradingview.com/chart/ofQQfXOP/?symbol=NSE%3APHOENIXLTD</t>
  </si>
  <si>
    <t>https://in.tradingview.com/chart/bXJLby4L/?symbol=NSE%3APHOENIXLTD</t>
  </si>
  <si>
    <t>RAMCOCEM</t>
  </si>
  <si>
    <t>The Ramco Cements Limited</t>
  </si>
  <si>
    <t>https://in.tradingview.com/chart/ofQQfXOP/?symbol=NSE%3ARAMCOCEM</t>
  </si>
  <si>
    <t>https://in.tradingview.com/chart/bXJLby4L/?symbol=NSE%3ARAMCOCEM</t>
  </si>
  <si>
    <t>RUBYMILLS</t>
  </si>
  <si>
    <t>The Ruby Mills Limited</t>
  </si>
  <si>
    <t>https://in.tradingview.com/chart/ofQQfXOP/?symbol=NSE%3ARUBYMILLS</t>
  </si>
  <si>
    <t>https://in.tradingview.com/chart/bXJLby4L/?symbol=NSE%3ARUBYMILLS</t>
  </si>
  <si>
    <t>SANDESH</t>
  </si>
  <si>
    <t>The Sandesh Limited</t>
  </si>
  <si>
    <t>https://in.tradingview.com/chart/ofQQfXOP/?symbol=NSE%3ASANDESH</t>
  </si>
  <si>
    <t>https://in.tradingview.com/chart/bXJLby4L/?symbol=NSE%3ASANDESH</t>
  </si>
  <si>
    <t>SOUTHBANK</t>
  </si>
  <si>
    <t>The South Indian Bank Limited</t>
  </si>
  <si>
    <t>https://in.tradingview.com/chart/ofQQfXOP/?symbol=NSE%3ASOUTHBANK</t>
  </si>
  <si>
    <t>https://in.tradingview.com/chart/bXJLby4L/?symbol=NSE%3ASOUTHBANK</t>
  </si>
  <si>
    <t>STCINDIA</t>
  </si>
  <si>
    <t>The State Trading Corporation Of India Limited</t>
  </si>
  <si>
    <t>https://in.tradingview.com/chart/ofQQfXOP/?symbol=NSE%3ASTCINDIA</t>
  </si>
  <si>
    <t>https://in.tradingview.com/chart/bXJLby4L/?symbol=NSE%3ASTCINDIA</t>
  </si>
  <si>
    <t>UGARSUGAR</t>
  </si>
  <si>
    <t>The Ugar Sugar Works Limited</t>
  </si>
  <si>
    <t>https://in.tradingview.com/chart/ofQQfXOP/?symbol=NSE%3AUGARSUGAR</t>
  </si>
  <si>
    <t>https://in.tradingview.com/chart/bXJLby4L/?symbol=NSE%3AUGARSUGAR</t>
  </si>
  <si>
    <t>UNITEDTEA</t>
  </si>
  <si>
    <t>The United Nilgiri Tea Estates Company Limited</t>
  </si>
  <si>
    <t>https://in.tradingview.com/chart/ofQQfXOP/?symbol=NSE%3AUNITEDTEA</t>
  </si>
  <si>
    <t>https://in.tradingview.com/chart/bXJLby4L/?symbol=NSE%3AUNITEDTEA</t>
  </si>
  <si>
    <t>THEJO</t>
  </si>
  <si>
    <t>Thejo Engineering Ltd</t>
  </si>
  <si>
    <t>https://in.tradingview.com/chart/ofQQfXOP/?symbol=NSE%3ATHEJO</t>
  </si>
  <si>
    <t>https://in.tradingview.com/chart/bXJLby4L/?symbol=NSE%3ATHEJO</t>
  </si>
  <si>
    <t>THEMISMED</t>
  </si>
  <si>
    <t>Themis Medicare Limited</t>
  </si>
  <si>
    <t>https://in.tradingview.com/chart/ofQQfXOP/?symbol=NSE%3ATHEMISMED</t>
  </si>
  <si>
    <t>https://in.tradingview.com/chart/bXJLby4L/?symbol=NSE%3ATHEMISMED</t>
  </si>
  <si>
    <t>THERMAX</t>
  </si>
  <si>
    <t>Thermax Limited</t>
  </si>
  <si>
    <t>https://in.tradingview.com/chart/ofQQfXOP/?symbol=NSE%3ATHERMAX</t>
  </si>
  <si>
    <t>https://in.tradingview.com/chart/bXJLby4L/?symbol=NSE%3ATHERMAX</t>
  </si>
  <si>
    <t>TIRUMALCHM</t>
  </si>
  <si>
    <t>Thirumalai Chemicals Limited</t>
  </si>
  <si>
    <t>https://in.tradingview.com/chart/ofQQfXOP/?symbol=NSE%3ATIRUMALCHM</t>
  </si>
  <si>
    <t>https://in.tradingview.com/chart/bXJLby4L/?symbol=NSE%3ATIRUMALCHM</t>
  </si>
  <si>
    <t>THOMASCOOK</t>
  </si>
  <si>
    <t>Thomas Cook  (india)  Limited</t>
  </si>
  <si>
    <t>https://in.tradingview.com/chart/ofQQfXOP/?symbol=NSE%3ATHOMASCOOK</t>
  </si>
  <si>
    <t>https://in.tradingview.com/chart/bXJLby4L/?symbol=NSE%3ATHOMASCOOK</t>
  </si>
  <si>
    <t>THOMASCOTT</t>
  </si>
  <si>
    <t>Thomas Scott (india) Limited</t>
  </si>
  <si>
    <t>https://in.tradingview.com/chart/ofQQfXOP/?symbol=NSE%3ATHOMASCOTT</t>
  </si>
  <si>
    <t>https://in.tradingview.com/chart/bXJLby4L/?symbol=NSE%3ATHOMASCOTT</t>
  </si>
  <si>
    <t>THYROCARE</t>
  </si>
  <si>
    <t>Thyrocare Technologies Limited</t>
  </si>
  <si>
    <t>https://in.tradingview.com/chart/ofQQfXOP/?symbol=NSE%3ATHYROCARE</t>
  </si>
  <si>
    <t>https://in.tradingview.com/chart/bXJLby4L/?symbol=NSE%3ATHYROCARE</t>
  </si>
  <si>
    <t>TIGERLOGS</t>
  </si>
  <si>
    <t>Tiger Logistics (India) Ltd</t>
  </si>
  <si>
    <t>https://in.tradingview.com/chart/ofQQfXOP/?symbol=NSE%3ATIGERLOGS</t>
  </si>
  <si>
    <t>https://in.tradingview.com/chart/bXJLby4L/?symbol=NSE%3ATIGERLOGS</t>
  </si>
  <si>
    <t>TIJARIA</t>
  </si>
  <si>
    <t>Tijaria Polypipes Limited</t>
  </si>
  <si>
    <t>https://in.tradingview.com/chart/ofQQfXOP/?symbol=NSE%3ATIJARIA</t>
  </si>
  <si>
    <t>https://in.tradingview.com/chart/bXJLby4L/?symbol=NSE%3ATIJARIA</t>
  </si>
  <si>
    <t>TIL</t>
  </si>
  <si>
    <t>Til Limited</t>
  </si>
  <si>
    <t>https://in.tradingview.com/chart/ofQQfXOP/?symbol=NSE%3ATIL</t>
  </si>
  <si>
    <t>https://in.tradingview.com/chart/bXJLby4L/?symbol=NSE%3ATIL</t>
  </si>
  <si>
    <t>TI</t>
  </si>
  <si>
    <t>Tilaknagar Industries Limited</t>
  </si>
  <si>
    <t>https://in.tradingview.com/chart/ofQQfXOP/?symbol=NSE%3ATI</t>
  </si>
  <si>
    <t>https://in.tradingview.com/chart/bXJLby4L/?symbol=NSE%3ATI</t>
  </si>
  <si>
    <t>TIMETECHNO</t>
  </si>
  <si>
    <t>Time Technoplast Limited</t>
  </si>
  <si>
    <t>https://in.tradingview.com/chart/ofQQfXOP/?symbol=NSE%3ATIMETECHNO</t>
  </si>
  <si>
    <t>https://in.tradingview.com/chart/bXJLby4L/?symbol=NSE%3ATIMETECHNO</t>
  </si>
  <si>
    <t>TIMKEN</t>
  </si>
  <si>
    <t>Timken India Limited</t>
  </si>
  <si>
    <t>https://in.tradingview.com/chart/ofQQfXOP/?symbol=NSE%3ATIMKEN</t>
  </si>
  <si>
    <t>https://in.tradingview.com/chart/bXJLby4L/?symbol=NSE%3ATIMKEN</t>
  </si>
  <si>
    <t>TINNARUBR</t>
  </si>
  <si>
    <t>Tinna Rubber &amp; Infrastructure Ltd</t>
  </si>
  <si>
    <t>https://in.tradingview.com/chart/ofQQfXOP/?symbol=NSE%3ATINNARUBR</t>
  </si>
  <si>
    <t>https://in.tradingview.com/chart/bXJLby4L/?symbol=NSE%3ATINNARUBR</t>
  </si>
  <si>
    <t>TIPSFILMS</t>
  </si>
  <si>
    <t>Tips Films Ltd</t>
  </si>
  <si>
    <t>https://in.tradingview.com/chart/ofQQfXOP/?symbol=NSE%3ATIPSFILMS</t>
  </si>
  <si>
    <t>https://in.tradingview.com/chart/bXJLby4L/?symbol=NSE%3ATIPSFILMS</t>
  </si>
  <si>
    <t>TIPSMUSIC</t>
  </si>
  <si>
    <t>Tips Music Ltd</t>
  </si>
  <si>
    <t>https://in.tradingview.com/chart/ofQQfXOP/?symbol=NSE%3ATIPSMUSIC</t>
  </si>
  <si>
    <t>https://in.tradingview.com/chart/bXJLby4L/?symbol=NSE%3ATIPSMUSIC</t>
  </si>
  <si>
    <t>TIRUPATIFL</t>
  </si>
  <si>
    <t>Tirupati Forge Ltd</t>
  </si>
  <si>
    <t>https://in.tradingview.com/chart/ofQQfXOP/?symbol=NSE%3ATIRUPATIFL</t>
  </si>
  <si>
    <t>https://in.tradingview.com/chart/bXJLby4L/?symbol=NSE%3ATIRUPATIFL</t>
  </si>
  <si>
    <t>TITAGARH</t>
  </si>
  <si>
    <t>Titagarh Rail Systems Ltd</t>
  </si>
  <si>
    <t>https://in.tradingview.com/chart/ofQQfXOP/?symbol=NSE%3ATITAGARH</t>
  </si>
  <si>
    <t>https://in.tradingview.com/chart/bXJLby4L/?symbol=NSE%3ATITAGARH</t>
  </si>
  <si>
    <t>TITAN</t>
  </si>
  <si>
    <t>Titan Company Limited</t>
  </si>
  <si>
    <t>https://in.tradingview.com/chart/ofQQfXOP/?symbol=NSE%3ATITAN</t>
  </si>
  <si>
    <t>https://in.tradingview.com/chart/bXJLby4L/?symbol=NSE%3ATITAN</t>
  </si>
  <si>
    <t>TMCV</t>
  </si>
  <si>
    <t>https://in.tradingview.com/chart/ofQQfXOP/?symbol=NSE%3ATMCV</t>
  </si>
  <si>
    <t>https://in.tradingview.com/chart/bXJLby4L/?symbol=NSE%3ATMCV</t>
  </si>
  <si>
    <t>TOKYOPLAST</t>
  </si>
  <si>
    <t>Tokyo Plast International Limited</t>
  </si>
  <si>
    <t>https://in.tradingview.com/chart/ofQQfXOP/?symbol=NSE%3ATOKYOPLAST</t>
  </si>
  <si>
    <t>https://in.tradingview.com/chart/bXJLby4L/?symbol=NSE%3ATOKYOPLAST</t>
  </si>
  <si>
    <t>TOLINS</t>
  </si>
  <si>
    <t>Tolins Tyres Ltd</t>
  </si>
  <si>
    <t>https://in.tradingview.com/chart/ofQQfXOP/?symbol=NSE%3ATOLINS</t>
  </si>
  <si>
    <t>https://in.tradingview.com/chart/bXJLby4L/?symbol=NSE%3ATOLINS</t>
  </si>
  <si>
    <t>TORNTPHARM</t>
  </si>
  <si>
    <t>Torrent Pharmaceuticals Limited</t>
  </si>
  <si>
    <t>https://in.tradingview.com/chart/ofQQfXOP/?symbol=NSE%3ATORNTPHARM</t>
  </si>
  <si>
    <t>https://in.tradingview.com/chart/bXJLby4L/?symbol=NSE%3ATORNTPHARM</t>
  </si>
  <si>
    <t>TORNTPOWER</t>
  </si>
  <si>
    <t>Torrent Power Limited</t>
  </si>
  <si>
    <t>https://in.tradingview.com/chart/ofQQfXOP/?symbol=NSE%3ATORNTPOWER</t>
  </si>
  <si>
    <t>https://in.tradingview.com/chart/bXJLby4L/?symbol=NSE%3ATORNTPOWER</t>
  </si>
  <si>
    <t>TOTAL</t>
  </si>
  <si>
    <t>Total Transport Systems Ltd</t>
  </si>
  <si>
    <t>https://in.tradingview.com/chart/ofQQfXOP/?symbol=NSE%3ATOTAL</t>
  </si>
  <si>
    <t>https://in.tradingview.com/chart/bXJLby4L/?symbol=NSE%3ATOTAL</t>
  </si>
  <si>
    <t>TOUCHWOOD</t>
  </si>
  <si>
    <t>Touchwood Entertainment Ltd</t>
  </si>
  <si>
    <t>https://in.tradingview.com/chart/ofQQfXOP/?symbol=NSE%3ATOUCHWOOD</t>
  </si>
  <si>
    <t>https://in.tradingview.com/chart/bXJLby4L/?symbol=NSE%3ATOUCHWOOD</t>
  </si>
  <si>
    <t>TFCILTD</t>
  </si>
  <si>
    <t>Tourism Finance Corporation Of India Limited</t>
  </si>
  <si>
    <t>https://in.tradingview.com/chart/ofQQfXOP/?symbol=NSE%3ATFCILTD</t>
  </si>
  <si>
    <t>https://in.tradingview.com/chart/bXJLby4L/?symbol=NSE%3ATFCILTD</t>
  </si>
  <si>
    <t>TPLPLASTEH</t>
  </si>
  <si>
    <t>Tpl Plastech Limited</t>
  </si>
  <si>
    <t>https://in.tradingview.com/chart/ofQQfXOP/?symbol=NSE%3ATPLPLASTEH</t>
  </si>
  <si>
    <t>https://in.tradingview.com/chart/bXJLby4L/?symbol=NSE%3ATPLPLASTEH</t>
  </si>
  <si>
    <t>TRACXN</t>
  </si>
  <si>
    <t>Tracxn Technologies Ltd</t>
  </si>
  <si>
    <t>https://in.tradingview.com/chart/ofQQfXOP/?symbol=NSE%3ATRACXN</t>
  </si>
  <si>
    <t>https://in.tradingview.com/chart/bXJLby4L/?symbol=NSE%3ATRACXN</t>
  </si>
  <si>
    <t>TARIL</t>
  </si>
  <si>
    <t>Transformers &amp; Rectifiers India Ltd</t>
  </si>
  <si>
    <t>https://in.tradingview.com/chart/ofQQfXOP/?symbol=NSE%3ATARIL</t>
  </si>
  <si>
    <t>https://in.tradingview.com/chart/bXJLby4L/?symbol=NSE%3ATARIL</t>
  </si>
  <si>
    <t>TREL</t>
  </si>
  <si>
    <t>TransIndia Real Estate Ltd</t>
  </si>
  <si>
    <t>https://in.tradingview.com/chart/ofQQfXOP/?symbol=NSE%3ATREL</t>
  </si>
  <si>
    <t>https://in.tradingview.com/chart/bXJLby4L/?symbol=NSE%3ATREL</t>
  </si>
  <si>
    <t>TCI</t>
  </si>
  <si>
    <t>Transport Corporation Of India Limited</t>
  </si>
  <si>
    <t>https://in.tradingview.com/chart/ofQQfXOP/?symbol=NSE%3ATCI</t>
  </si>
  <si>
    <t>https://in.tradingview.com/chart/bXJLby4L/?symbol=NSE%3ATCI</t>
  </si>
  <si>
    <t>TRANSRAILL</t>
  </si>
  <si>
    <t>Transrail Lighting Ltd</t>
  </si>
  <si>
    <t>https://in.tradingview.com/chart/ofQQfXOP/?symbol=NSE%3ATRANSRAILL</t>
  </si>
  <si>
    <t>https://in.tradingview.com/chart/bXJLby4L/?symbol=NSE%3ATRANSRAILL</t>
  </si>
  <si>
    <t>TFL</t>
  </si>
  <si>
    <t>Transwarranty Finance Limited</t>
  </si>
  <si>
    <t>https://in.tradingview.com/chart/ofQQfXOP/?symbol=NSE%3ATFL</t>
  </si>
  <si>
    <t>https://in.tradingview.com/chart/bXJLby4L/?symbol=NSE%3ATFL</t>
  </si>
  <si>
    <t>TRAVELFOOD</t>
  </si>
  <si>
    <t>Travel Food Services Ltd</t>
  </si>
  <si>
    <t>https://in.tradingview.com/chart/ofQQfXOP/?symbol=NSE%3ATRAVELFOOD</t>
  </si>
  <si>
    <t>https://in.tradingview.com/chart/bXJLby4L/?symbol=NSE%3ATRAVELFOOD</t>
  </si>
  <si>
    <t>TREEHOUSE</t>
  </si>
  <si>
    <t>Tree House Education &amp; Accessories Limited</t>
  </si>
  <si>
    <t>https://in.tradingview.com/chart/ofQQfXOP/?symbol=NSE%3ATREEHOUSE</t>
  </si>
  <si>
    <t>https://in.tradingview.com/chart/bXJLby4L/?symbol=NSE%3ATREEHOUSE</t>
  </si>
  <si>
    <t>TREJHARA</t>
  </si>
  <si>
    <t>Trejhara Solutions Ltd</t>
  </si>
  <si>
    <t>https://in.tradingview.com/chart/ofQQfXOP/?symbol=NSE%3ATREJHARA</t>
  </si>
  <si>
    <t>https://in.tradingview.com/chart/bXJLby4L/?symbol=NSE%3ATREJHARA</t>
  </si>
  <si>
    <t>TRENT</t>
  </si>
  <si>
    <t>Trent Limited</t>
  </si>
  <si>
    <t>https://in.tradingview.com/chart/ofQQfXOP/?symbol=NSE%3ATRENT</t>
  </si>
  <si>
    <t>https://in.tradingview.com/chart/bXJLby4L/?symbol=NSE%3ATRENT</t>
  </si>
  <si>
    <t>TRF</t>
  </si>
  <si>
    <t>Trf Limited</t>
  </si>
  <si>
    <t>https://in.tradingview.com/chart/ofQQfXOP/?symbol=NSE%3ATRF</t>
  </si>
  <si>
    <t>https://in.tradingview.com/chart/bXJLby4L/?symbol=NSE%3ATRF</t>
  </si>
  <si>
    <t>TBZ</t>
  </si>
  <si>
    <t>Tribhovandas Bhimji Zaveri Limited</t>
  </si>
  <si>
    <t>https://in.tradingview.com/chart/ofQQfXOP/?symbol=NSE%3ATBZ</t>
  </si>
  <si>
    <t>https://in.tradingview.com/chart/bXJLby4L/?symbol=NSE%3ATBZ</t>
  </si>
  <si>
    <t>TRIDENT</t>
  </si>
  <si>
    <t>Trident Limited</t>
  </si>
  <si>
    <t>https://in.tradingview.com/chart/ofQQfXOP/?symbol=NSE%3ATRIDENT</t>
  </si>
  <si>
    <t>https://in.tradingview.com/chart/bXJLby4L/?symbol=NSE%3ATRIDENT</t>
  </si>
  <si>
    <t>TRIGYN</t>
  </si>
  <si>
    <t>Trigyn Technologies Limited</t>
  </si>
  <si>
    <t>https://in.tradingview.com/chart/ofQQfXOP/?symbol=NSE%3ATRIGYN</t>
  </si>
  <si>
    <t>https://in.tradingview.com/chart/bXJLby4L/?symbol=NSE%3ATRIGYN</t>
  </si>
  <si>
    <t>TRIVENI</t>
  </si>
  <si>
    <t>Triveni Engineering &amp; Industries Limited</t>
  </si>
  <si>
    <t>https://in.tradingview.com/chart/ofQQfXOP/?symbol=NSE%3ATRIVENI</t>
  </si>
  <si>
    <t>https://in.tradingview.com/chart/bXJLby4L/?symbol=NSE%3ATRIVENI</t>
  </si>
  <si>
    <t>TRITURBINE</t>
  </si>
  <si>
    <t>Triveni Turbine Limited</t>
  </si>
  <si>
    <t>https://in.tradingview.com/chart/ofQQfXOP/?symbol=NSE%3ATRITURBINE</t>
  </si>
  <si>
    <t>https://in.tradingview.com/chart/bXJLby4L/?symbol=NSE%3ATRITURBINE</t>
  </si>
  <si>
    <t>TRU</t>
  </si>
  <si>
    <t>TruCap Finance Ltd</t>
  </si>
  <si>
    <t>https://in.tradingview.com/chart/ofQQfXOP/?symbol=NSE%3ATRU</t>
  </si>
  <si>
    <t>https://in.tradingview.com/chart/bXJLby4L/?symbol=NSE%3ATRU</t>
  </si>
  <si>
    <t>TSFINV</t>
  </si>
  <si>
    <t>Tsf Investments Ltd</t>
  </si>
  <si>
    <t>https://in.tradingview.com/chart/ofQQfXOP/?symbol=NSE%3ATSFINV</t>
  </si>
  <si>
    <t>https://in.tradingview.com/chart/bXJLby4L/?symbol=NSE%3ATSFINV</t>
  </si>
  <si>
    <t>TTKHLTCARE</t>
  </si>
  <si>
    <t>Ttk Healthcare Limited</t>
  </si>
  <si>
    <t>https://in.tradingview.com/chart/ofQQfXOP/?symbol=NSE%3ATTKHLTCARE</t>
  </si>
  <si>
    <t>https://in.tradingview.com/chart/bXJLby4L/?symbol=NSE%3ATTKHLTCARE</t>
  </si>
  <si>
    <t>TTKPRESTIG</t>
  </si>
  <si>
    <t>Ttk Prestige Limited</t>
  </si>
  <si>
    <t>https://in.tradingview.com/chart/ofQQfXOP/?symbol=NSE%3ATTKPRESTIG</t>
  </si>
  <si>
    <t>https://in.tradingview.com/chart/bXJLby4L/?symbol=NSE%3ATTKPRESTIG</t>
  </si>
  <si>
    <t>TIINDIA</t>
  </si>
  <si>
    <t>Tube Investments of India Ltd</t>
  </si>
  <si>
    <t>https://in.tradingview.com/chart/ofQQfXOP/?symbol=NSE%3ATIINDIA</t>
  </si>
  <si>
    <t>https://in.tradingview.com/chart/bXJLby4L/?symbol=NSE%3ATIINDIA</t>
  </si>
  <si>
    <t>TVTODAY</t>
  </si>
  <si>
    <t>Tv Today Network Limited</t>
  </si>
  <si>
    <t>https://in.tradingview.com/chart/ofQQfXOP/?symbol=NSE%3ATVTODAY</t>
  </si>
  <si>
    <t>https://in.tradingview.com/chart/bXJLby4L/?symbol=NSE%3ATVTODAY</t>
  </si>
  <si>
    <t>TVVISION</t>
  </si>
  <si>
    <t>Tv Vision Limited</t>
  </si>
  <si>
    <t>https://in.tradingview.com/chart/ofQQfXOP/?symbol=NSE%3ATVVISION</t>
  </si>
  <si>
    <t>https://in.tradingview.com/chart/bXJLby4L/?symbol=NSE%3ATVVISION</t>
  </si>
  <si>
    <t>TVSELECT</t>
  </si>
  <si>
    <t>Tvs Electronics Limited</t>
  </si>
  <si>
    <t>https://in.tradingview.com/chart/ofQQfXOP/?symbol=NSE%3ATVSELECT</t>
  </si>
  <si>
    <t>https://in.tradingview.com/chart/bXJLby4L/?symbol=NSE%3ATVSELECT</t>
  </si>
  <si>
    <t>TVSHLTD</t>
  </si>
  <si>
    <t>TVS Holdings Ltd</t>
  </si>
  <si>
    <t>https://in.tradingview.com/chart/ofQQfXOP/?symbol=NSE%3ATVSHLTD</t>
  </si>
  <si>
    <t>https://in.tradingview.com/chart/bXJLby4L/?symbol=NSE%3ATVSHLTD</t>
  </si>
  <si>
    <t>TVSMOTOR</t>
  </si>
  <si>
    <t>Tvs Motor Company Limited</t>
  </si>
  <si>
    <t>https://in.tradingview.com/chart/ofQQfXOP/?symbol=NSE%3ATVSMOTOR</t>
  </si>
  <si>
    <t>https://in.tradingview.com/chart/bXJLby4L/?symbol=NSE%3ATVSMOTOR</t>
  </si>
  <si>
    <t>TVSSRICHAK</t>
  </si>
  <si>
    <t>Tvs Srichakra Limited</t>
  </si>
  <si>
    <t>https://in.tradingview.com/chart/ofQQfXOP/?symbol=NSE%3ATVSSRICHAK</t>
  </si>
  <si>
    <t>https://in.tradingview.com/chart/bXJLby4L/?symbol=NSE%3ATVSSRICHAK</t>
  </si>
  <si>
    <t>TVSSCS</t>
  </si>
  <si>
    <t>TVS Supply Chain Solutions Ltd</t>
  </si>
  <si>
    <t>https://in.tradingview.com/chart/ofQQfXOP/?symbol=NSE%3ATVSSCS</t>
  </si>
  <si>
    <t>https://in.tradingview.com/chart/bXJLby4L/?symbol=NSE%3ATVSSCS</t>
  </si>
  <si>
    <t>21STCENMGM</t>
  </si>
  <si>
    <t>Twenty First Century Management Services Ltd</t>
  </si>
  <si>
    <t>https://in.tradingview.com/chart/ofQQfXOP/?symbol=NSE%3A21STCENMGM</t>
  </si>
  <si>
    <t>https://in.tradingview.com/chart/bXJLby4L/?symbol=NSE%3A21STCENMGM</t>
  </si>
  <si>
    <t>UYFINCORP</t>
  </si>
  <si>
    <t>U. Y. Fincorp Ltd</t>
  </si>
  <si>
    <t>https://in.tradingview.com/chart/ofQQfXOP/?symbol=NSE%3AUYFINCORP</t>
  </si>
  <si>
    <t>https://in.tradingview.com/chart/bXJLby4L/?symbol=NSE%3AUYFINCORP</t>
  </si>
  <si>
    <t>UCAL</t>
  </si>
  <si>
    <t>Ucal Ltd</t>
  </si>
  <si>
    <t>https://in.tradingview.com/chart/ofQQfXOP/?symbol=NSE%3AUCAL</t>
  </si>
  <si>
    <t>https://in.tradingview.com/chart/bXJLby4L/?symbol=NSE%3AUCAL</t>
  </si>
  <si>
    <t>UCOBANK</t>
  </si>
  <si>
    <t>Uco Bank</t>
  </si>
  <si>
    <t>https://in.tradingview.com/chart/ofQQfXOP/?symbol=NSE%3AUCOBANK</t>
  </si>
  <si>
    <t>https://in.tradingview.com/chart/bXJLby4L/?symbol=NSE%3AUCOBANK</t>
  </si>
  <si>
    <t>USK</t>
  </si>
  <si>
    <t>Udayshivakumar Infra Ltd</t>
  </si>
  <si>
    <t>https://in.tradingview.com/chart/ofQQfXOP/?symbol=NSE%3AUSK</t>
  </si>
  <si>
    <t>https://in.tradingview.com/chart/bXJLby4L/?symbol=NSE%3AUSK</t>
  </si>
  <si>
    <t>UFLEX</t>
  </si>
  <si>
    <t>Uflex Limited</t>
  </si>
  <si>
    <t>https://in.tradingview.com/chart/ofQQfXOP/?symbol=NSE%3AUFLEX</t>
  </si>
  <si>
    <t>https://in.tradingview.com/chart/bXJLby4L/?symbol=NSE%3AUFLEX</t>
  </si>
  <si>
    <t>UFO</t>
  </si>
  <si>
    <t>Ufo Moviez India Limited</t>
  </si>
  <si>
    <t>https://in.tradingview.com/chart/ofQQfXOP/?symbol=NSE%3AUFO</t>
  </si>
  <si>
    <t>https://in.tradingview.com/chart/bXJLby4L/?symbol=NSE%3AUFO</t>
  </si>
  <si>
    <t>UGROCAP</t>
  </si>
  <si>
    <t>Ugro Capital Ltd</t>
  </si>
  <si>
    <t>https://in.tradingview.com/chart/ofQQfXOP/?symbol=NSE%3AUGROCAP</t>
  </si>
  <si>
    <t>https://in.tradingview.com/chart/bXJLby4L/?symbol=NSE%3AUGROCAP</t>
  </si>
  <si>
    <t>UEL</t>
  </si>
  <si>
    <t>Ujaas Energy Ltd</t>
  </si>
  <si>
    <t>https://in.tradingview.com/chart/ofQQfXOP/?symbol=NSE%3AUEL</t>
  </si>
  <si>
    <t>https://in.tradingview.com/chart/bXJLby4L/?symbol=NSE%3AUEL</t>
  </si>
  <si>
    <t>UJJIVANSFB</t>
  </si>
  <si>
    <t>Ujjivan Small Finance Bank Ltd</t>
  </si>
  <si>
    <t>https://in.tradingview.com/chart/ofQQfXOP/?symbol=NSE%3AUJJIVANSFB</t>
  </si>
  <si>
    <t>https://in.tradingview.com/chart/bXJLby4L/?symbol=NSE%3AUJJIVANSFB</t>
  </si>
  <si>
    <t>ULTRACEMCO</t>
  </si>
  <si>
    <t>Ultratech Cement Limited</t>
  </si>
  <si>
    <t>https://in.tradingview.com/chart/ofQQfXOP/?symbol=NSE%3AULTRACEMCO</t>
  </si>
  <si>
    <t>https://in.tradingview.com/chart/bXJLby4L/?symbol=NSE%3AULTRACEMCO</t>
  </si>
  <si>
    <t>UMAEXPORTS</t>
  </si>
  <si>
    <t>Uma Exports Ltd</t>
  </si>
  <si>
    <t>https://in.tradingview.com/chart/ofQQfXOP/?symbol=NSE%3AUMAEXPORTS</t>
  </si>
  <si>
    <t>https://in.tradingview.com/chart/bXJLby4L/?symbol=NSE%3AUMAEXPORTS</t>
  </si>
  <si>
    <t>UMIYA-MRO</t>
  </si>
  <si>
    <t>Umiya Buildcon Ltd</t>
  </si>
  <si>
    <t>https://in.tradingview.com/chart/ofQQfXOP/?symbol=NSE%3AUMIYA-MRO</t>
  </si>
  <si>
    <t>https://in.tradingview.com/chart/bXJLby4L/?symbol=NSE%3AUMIYA-MRO</t>
  </si>
  <si>
    <t>UNICHEMLAB</t>
  </si>
  <si>
    <t>Unichem Laboratories Limited</t>
  </si>
  <si>
    <t>https://in.tradingview.com/chart/ofQQfXOP/?symbol=NSE%3AUNICHEMLAB</t>
  </si>
  <si>
    <t>https://in.tradingview.com/chart/bXJLby4L/?symbol=NSE%3AUNICHEMLAB</t>
  </si>
  <si>
    <t>UNIECOM</t>
  </si>
  <si>
    <t>Unicommerce eSolutions Ltd</t>
  </si>
  <si>
    <t>https://in.tradingview.com/chart/ofQQfXOP/?symbol=NSE%3AUNIECOM</t>
  </si>
  <si>
    <t>https://in.tradingview.com/chart/bXJLby4L/?symbol=NSE%3AUNIECOM</t>
  </si>
  <si>
    <t>UNIINFO</t>
  </si>
  <si>
    <t>Uniinfo Telecom Services Ltd</t>
  </si>
  <si>
    <t>https://in.tradingview.com/chart/ofQQfXOP/?symbol=NSE%3AUNIINFO</t>
  </si>
  <si>
    <t>https://in.tradingview.com/chart/bXJLby4L/?symbol=NSE%3AUNIINFO</t>
  </si>
  <si>
    <t>UNIMECH</t>
  </si>
  <si>
    <t>Unimech Aerospace and Manufacturing Ltd</t>
  </si>
  <si>
    <t>https://in.tradingview.com/chart/ofQQfXOP/?symbol=NSE%3AUNIMECH</t>
  </si>
  <si>
    <t>https://in.tradingview.com/chart/bXJLby4L/?symbol=NSE%3AUNIMECH</t>
  </si>
  <si>
    <t>UNIONBANK</t>
  </si>
  <si>
    <t>Union Bank Of India</t>
  </si>
  <si>
    <t>https://in.tradingview.com/chart/ofQQfXOP/?symbol=NSE%3AUNIONBANK</t>
  </si>
  <si>
    <t>https://in.tradingview.com/chart/bXJLby4L/?symbol=NSE%3AUNIONBANK</t>
  </si>
  <si>
    <t>UNIONGOLD</t>
  </si>
  <si>
    <t>Union Gold ETF</t>
  </si>
  <si>
    <t>https://in.tradingview.com/chart/ofQQfXOP/?symbol=NSE%3AUNIONGOLD</t>
  </si>
  <si>
    <t>https://in.tradingview.com/chart/bXJLby4L/?symbol=NSE%3AUNIONGOLD</t>
  </si>
  <si>
    <t>UNIPARTS</t>
  </si>
  <si>
    <t>Uniparts India Ltd</t>
  </si>
  <si>
    <t>https://in.tradingview.com/chart/ofQQfXOP/?symbol=NSE%3AUNIPARTS</t>
  </si>
  <si>
    <t>https://in.tradingview.com/chart/bXJLby4L/?symbol=NSE%3AUNIPARTS</t>
  </si>
  <si>
    <t>UNIENTER</t>
  </si>
  <si>
    <t>Uniphos Enterprises Limited</t>
  </si>
  <si>
    <t>https://in.tradingview.com/chart/ofQQfXOP/?symbol=NSE%3AUNIENTER</t>
  </si>
  <si>
    <t>https://in.tradingview.com/chart/bXJLby4L/?symbol=NSE%3AUNIENTER</t>
  </si>
  <si>
    <t>UNITECH</t>
  </si>
  <si>
    <t>Unitech Limited</t>
  </si>
  <si>
    <t>https://in.tradingview.com/chart/ofQQfXOP/?symbol=NSE%3AUNITECH</t>
  </si>
  <si>
    <t>https://in.tradingview.com/chart/bXJLby4L/?symbol=NSE%3AUNITECH</t>
  </si>
  <si>
    <t>UBL</t>
  </si>
  <si>
    <t>United Breweries Limited</t>
  </si>
  <si>
    <t>https://in.tradingview.com/chart/ofQQfXOP/?symbol=NSE%3AUBL</t>
  </si>
  <si>
    <t>https://in.tradingview.com/chart/bXJLby4L/?symbol=NSE%3AUBL</t>
  </si>
  <si>
    <t>UNIDT</t>
  </si>
  <si>
    <t>United Drilling Tools Ltd</t>
  </si>
  <si>
    <t>https://in.tradingview.com/chart/ofQQfXOP/?symbol=NSE%3AUNIDT</t>
  </si>
  <si>
    <t>https://in.tradingview.com/chart/bXJLby4L/?symbol=NSE%3AUNIDT</t>
  </si>
  <si>
    <t>UFBL</t>
  </si>
  <si>
    <t>United Foodbrands Ltd</t>
  </si>
  <si>
    <t>https://in.tradingview.com/chart/ofQQfXOP/?symbol=NSE%3AUFBL</t>
  </si>
  <si>
    <t>https://in.tradingview.com/chart/bXJLby4L/?symbol=NSE%3AUFBL</t>
  </si>
  <si>
    <t>UNITEDPOLY</t>
  </si>
  <si>
    <t>United Polyfab Gujarat Ltd</t>
  </si>
  <si>
    <t>https://in.tradingview.com/chart/ofQQfXOP/?symbol=NSE%3AUNITEDPOLY</t>
  </si>
  <si>
    <t>https://in.tradingview.com/chart/bXJLby4L/?symbol=NSE%3AUNITEDPOLY</t>
  </si>
  <si>
    <t>UNITDSPR</t>
  </si>
  <si>
    <t>United Spirits Ltd</t>
  </si>
  <si>
    <t>https://in.tradingview.com/chart/ofQQfXOP/?symbol=NSE%3AUNITDSPR</t>
  </si>
  <si>
    <t>https://in.tradingview.com/chart/bXJLby4L/?symbol=NSE%3AUNITDSPR</t>
  </si>
  <si>
    <t>UNIVAFOODS</t>
  </si>
  <si>
    <t>Univa Foods Ltd</t>
  </si>
  <si>
    <t>https://in.tradingview.com/chart/ofQQfXOP/?symbol=NSE%3AUNIVAFOODS</t>
  </si>
  <si>
    <t>https://in.tradingview.com/chart/bXJLby4L/?symbol=NSE%3AUNIVAFOODS</t>
  </si>
  <si>
    <t>UNIVASTU</t>
  </si>
  <si>
    <t>Univastu India Ltd</t>
  </si>
  <si>
    <t>https://in.tradingview.com/chart/ofQQfXOP/?symbol=NSE%3AUNIVASTU</t>
  </si>
  <si>
    <t>https://in.tradingview.com/chart/bXJLby4L/?symbol=NSE%3AUNIVASTU</t>
  </si>
  <si>
    <t>UNIVCABLES</t>
  </si>
  <si>
    <t>Universal Cables Limited</t>
  </si>
  <si>
    <t>https://in.tradingview.com/chart/ofQQfXOP/?symbol=NSE%3AUNIVCABLES</t>
  </si>
  <si>
    <t>https://in.tradingview.com/chart/bXJLby4L/?symbol=NSE%3AUNIVCABLES</t>
  </si>
  <si>
    <t>UNIVPHOTO</t>
  </si>
  <si>
    <t>Universus Photo Imagings Ltd</t>
  </si>
  <si>
    <t>https://in.tradingview.com/chart/ofQQfXOP/?symbol=NSE%3AUNIVPHOTO</t>
  </si>
  <si>
    <t>https://in.tradingview.com/chart/bXJLby4L/?symbol=NSE%3AUNIVPHOTO</t>
  </si>
  <si>
    <t>UNOMINDA</t>
  </si>
  <si>
    <t>Uno Minda Ltd</t>
  </si>
  <si>
    <t>https://in.tradingview.com/chart/ofQQfXOP/?symbol=NSE%3AUNOMINDA</t>
  </si>
  <si>
    <t>https://in.tradingview.com/chart/bXJLby4L/?symbol=NSE%3AUNOMINDA</t>
  </si>
  <si>
    <t>UDS</t>
  </si>
  <si>
    <t>Updater Services Ltd</t>
  </si>
  <si>
    <t>https://in.tradingview.com/chart/ofQQfXOP/?symbol=NSE%3AUDS</t>
  </si>
  <si>
    <t>https://in.tradingview.com/chart/bXJLby4L/?symbol=NSE%3AUDS</t>
  </si>
  <si>
    <t>UPL</t>
  </si>
  <si>
    <t>Upl Limited</t>
  </si>
  <si>
    <t>https://in.tradingview.com/chart/ofQQfXOP/?symbol=NSE%3AUPL</t>
  </si>
  <si>
    <t>https://in.tradingview.com/chart/bXJLby4L/?symbol=NSE%3AUPL</t>
  </si>
  <si>
    <t>URAVIDEF</t>
  </si>
  <si>
    <t>Uravi T and Wedge Lamps Ltd</t>
  </si>
  <si>
    <t>https://in.tradingview.com/chart/ofQQfXOP/?symbol=NSE%3AURAVIDEF</t>
  </si>
  <si>
    <t>https://in.tradingview.com/chart/bXJLby4L/?symbol=NSE%3AURAVIDEF</t>
  </si>
  <si>
    <t>URBANCO</t>
  </si>
  <si>
    <t>Urban Company Ltd</t>
  </si>
  <si>
    <t>https://in.tradingview.com/chart/ofQQfXOP/?symbol=NSE%3AURBANCO</t>
  </si>
  <si>
    <t>https://in.tradingview.com/chart/bXJLby4L/?symbol=NSE%3AURBANCO</t>
  </si>
  <si>
    <t>URJA</t>
  </si>
  <si>
    <t>Urja Global Ltd</t>
  </si>
  <si>
    <t>https://in.tradingview.com/chart/ofQQfXOP/?symbol=NSE%3AURJA</t>
  </si>
  <si>
    <t>https://in.tradingview.com/chart/bXJLby4L/?symbol=NSE%3AURJA</t>
  </si>
  <si>
    <t>USHAMART</t>
  </si>
  <si>
    <t>Usha Martin Limited</t>
  </si>
  <si>
    <t>https://in.tradingview.com/chart/ofQQfXOP/?symbol=NSE%3AUSHAMART</t>
  </si>
  <si>
    <t>https://in.tradingview.com/chart/bXJLby4L/?symbol=NSE%3AUSHAMART</t>
  </si>
  <si>
    <t>GOLDSHARE</t>
  </si>
  <si>
    <t>UTI - Gold Exchange Traded Fund</t>
  </si>
  <si>
    <t>https://in.tradingview.com/chart/ofQQfXOP/?symbol=NSE%3AGOLDSHARE</t>
  </si>
  <si>
    <t>https://in.tradingview.com/chart/bXJLby4L/?symbol=NSE%3AGOLDSHARE</t>
  </si>
  <si>
    <t>UTIAMC</t>
  </si>
  <si>
    <t>UTI Asset Management Company Ltd</t>
  </si>
  <si>
    <t>https://in.tradingview.com/chart/ofQQfXOP/?symbol=NSE%3AUTIAMC</t>
  </si>
  <si>
    <t>https://in.tradingview.com/chart/bXJLby4L/?symbol=NSE%3AUTIAMC</t>
  </si>
  <si>
    <t>UTIBANKETF</t>
  </si>
  <si>
    <t>UTI Bank ETF</t>
  </si>
  <si>
    <t>https://in.tradingview.com/chart/ofQQfXOP/?symbol=NSE%3AUTIBANKETF</t>
  </si>
  <si>
    <t>https://in.tradingview.com/chart/bXJLby4L/?symbol=NSE%3AUTIBANKETF</t>
  </si>
  <si>
    <t>NIF10GETF</t>
  </si>
  <si>
    <t>UTI Nifty 10 yr Benchmark G-Sec ETF</t>
  </si>
  <si>
    <t>https://in.tradingview.com/chart/ofQQfXOP/?symbol=NSE%3ANIF10GETF</t>
  </si>
  <si>
    <t>https://in.tradingview.com/chart/bXJLby4L/?symbol=NSE%3ANIF10GETF</t>
  </si>
  <si>
    <t>NIF5GETF</t>
  </si>
  <si>
    <t>UTI Nifty 5 yr Benchmark G-Sec ETF</t>
  </si>
  <si>
    <t>https://in.tradingview.com/chart/ofQQfXOP/?symbol=NSE%3ANIF5GETF</t>
  </si>
  <si>
    <t>https://in.tradingview.com/chart/bXJLby4L/?symbol=NSE%3ANIF5GETF</t>
  </si>
  <si>
    <t>UTINIFTETF</t>
  </si>
  <si>
    <t>UTI Nifty ETF</t>
  </si>
  <si>
    <t>https://in.tradingview.com/chart/ofQQfXOP/?symbol=NSE%3AUTINIFTETF</t>
  </si>
  <si>
    <t>https://in.tradingview.com/chart/bXJLby4L/?symbol=NSE%3AUTINIFTETF</t>
  </si>
  <si>
    <t>NIFITETF</t>
  </si>
  <si>
    <t>UTI Nifty IT ETF</t>
  </si>
  <si>
    <t>https://in.tradingview.com/chart/ofQQfXOP/?symbol=NSE%3ANIFITETF</t>
  </si>
  <si>
    <t>https://in.tradingview.com/chart/bXJLby4L/?symbol=NSE%3ANIFITETF</t>
  </si>
  <si>
    <t>NIFMID150</t>
  </si>
  <si>
    <t>UTI Nifty Midcap 150 ETF</t>
  </si>
  <si>
    <t>https://in.tradingview.com/chart/ofQQfXOP/?symbol=NSE%3ANIFMID150</t>
  </si>
  <si>
    <t>https://in.tradingview.com/chart/bXJLby4L/?symbol=NSE%3ANIFMID150</t>
  </si>
  <si>
    <t>UTINEXT50</t>
  </si>
  <si>
    <t>UTI Nifty Next 50 ETF</t>
  </si>
  <si>
    <t>https://in.tradingview.com/chart/ofQQfXOP/?symbol=NSE%3AUTINEXT50</t>
  </si>
  <si>
    <t>https://in.tradingview.com/chart/bXJLby4L/?symbol=NSE%3AUTINEXT50</t>
  </si>
  <si>
    <t>UTISXN50</t>
  </si>
  <si>
    <t>UTI S&amp;P BSE Sensex Next 50 ETF</t>
  </si>
  <si>
    <t>https://in.tradingview.com/chart/ofQQfXOP/?symbol=NSE%3AUTISXN50</t>
  </si>
  <si>
    <t>https://in.tradingview.com/chart/bXJLby4L/?symbol=NSE%3AUTISXN50</t>
  </si>
  <si>
    <t>UTISENSETF</t>
  </si>
  <si>
    <t>UTI Sensex ETF</t>
  </si>
  <si>
    <t>https://in.tradingview.com/chart/ofQQfXOP/?symbol=NSE%3AUTISENSETF</t>
  </si>
  <si>
    <t>https://in.tradingview.com/chart/bXJLby4L/?symbol=NSE%3AUTISENSETF</t>
  </si>
  <si>
    <t>SILVERETF</t>
  </si>
  <si>
    <t>UTI Silver ETF</t>
  </si>
  <si>
    <t>https://in.tradingview.com/chart/ofQQfXOP/?symbol=NSE%3ASILVERETF</t>
  </si>
  <si>
    <t>https://in.tradingview.com/chart/bXJLby4L/?symbol=NSE%3ASILVERETF</t>
  </si>
  <si>
    <t>UTKARSHBNK</t>
  </si>
  <si>
    <t>Utkarsh Small Finance Bank Ltd</t>
  </si>
  <si>
    <t>https://in.tradingview.com/chart/ofQQfXOP/?symbol=NSE%3AUTKARSHBNK</t>
  </si>
  <si>
    <t>https://in.tradingview.com/chart/bXJLby4L/?symbol=NSE%3AUTKARSHBNK</t>
  </si>
  <si>
    <t>UTTAMSUGAR</t>
  </si>
  <si>
    <t>Uttam Sugar Mills Limited</t>
  </si>
  <si>
    <t>https://in.tradingview.com/chart/ofQQfXOP/?symbol=NSE%3AUTTAMSUGAR</t>
  </si>
  <si>
    <t>https://in.tradingview.com/chart/bXJLby4L/?symbol=NSE%3AUTTAMSUGAR</t>
  </si>
  <si>
    <t>VGUARD</t>
  </si>
  <si>
    <t>V-guard Industries Limited</t>
  </si>
  <si>
    <t>https://in.tradingview.com/chart/ofQQfXOP/?symbol=NSE%3AVGUARD</t>
  </si>
  <si>
    <t>https://in.tradingview.com/chart/bXJLby4L/?symbol=NSE%3AVGUARD</t>
  </si>
  <si>
    <t>VMART</t>
  </si>
  <si>
    <t>V-mart Retail Limited</t>
  </si>
  <si>
    <t>https://in.tradingview.com/chart/ofQQfXOP/?symbol=NSE%3AVMART</t>
  </si>
  <si>
    <t>https://in.tradingview.com/chart/bXJLby4L/?symbol=NSE%3AVMART</t>
  </si>
  <si>
    <t>VSTTILLERS</t>
  </si>
  <si>
    <t>V.s.t Tillers Tractors Limited</t>
  </si>
  <si>
    <t>https://in.tradingview.com/chart/ofQQfXOP/?symbol=NSE%3AVSTTILLERS</t>
  </si>
  <si>
    <t>https://in.tradingview.com/chart/bXJLby4L/?symbol=NSE%3AVSTTILLERS</t>
  </si>
  <si>
    <t>V2RETAIL</t>
  </si>
  <si>
    <t>V2 Retail Limited</t>
  </si>
  <si>
    <t>https://in.tradingview.com/chart/ofQQfXOP/?symbol=NSE%3AV2RETAIL</t>
  </si>
  <si>
    <t>https://in.tradingview.com/chart/bXJLby4L/?symbol=NSE%3AV2RETAIL</t>
  </si>
  <si>
    <t>WABAG</t>
  </si>
  <si>
    <t>Va Tech Wabag Limited</t>
  </si>
  <si>
    <t>https://in.tradingview.com/chart/ofQQfXOP/?symbol=NSE%3AWABAG</t>
  </si>
  <si>
    <t>https://in.tradingview.com/chart/bXJLby4L/?symbol=NSE%3AWABAG</t>
  </si>
  <si>
    <t>VADILALIND</t>
  </si>
  <si>
    <t>Vadilal Industries Limited</t>
  </si>
  <si>
    <t>https://in.tradingview.com/chart/ofQQfXOP/?symbol=NSE%3AVADILALIND</t>
  </si>
  <si>
    <t>https://in.tradingview.com/chart/bXJLby4L/?symbol=NSE%3AVADILALIND</t>
  </si>
  <si>
    <t>VAIBHAVGBL</t>
  </si>
  <si>
    <t>Vaibhav Global Limited</t>
  </si>
  <si>
    <t>https://in.tradingview.com/chart/ofQQfXOP/?symbol=NSE%3AVAIBHAVGBL</t>
  </si>
  <si>
    <t>https://in.tradingview.com/chart/bXJLby4L/?symbol=NSE%3AVAIBHAVGBL</t>
  </si>
  <si>
    <t>VAISHALI</t>
  </si>
  <si>
    <t>Vaishali Pharma Ltd</t>
  </si>
  <si>
    <t>https://in.tradingview.com/chart/ofQQfXOP/?symbol=NSE%3AVAISHALI</t>
  </si>
  <si>
    <t>https://in.tradingview.com/chart/bXJLby4L/?symbol=NSE%3AVAISHALI</t>
  </si>
  <si>
    <t>VAKRANGEE</t>
  </si>
  <si>
    <t>Vakrangee Limited</t>
  </si>
  <si>
    <t>https://in.tradingview.com/chart/ofQQfXOP/?symbol=NSE%3AVAKRANGEE</t>
  </si>
  <si>
    <t>https://in.tradingview.com/chart/bXJLby4L/?symbol=NSE%3AVAKRANGEE</t>
  </si>
  <si>
    <t>VALIANTLAB</t>
  </si>
  <si>
    <t>Valiant Laboratories Ltd</t>
  </si>
  <si>
    <t>https://in.tradingview.com/chart/ofQQfXOP/?symbol=NSE%3AVALIANTLAB</t>
  </si>
  <si>
    <t>https://in.tradingview.com/chart/bXJLby4L/?symbol=NSE%3AVALIANTLAB</t>
  </si>
  <si>
    <t>VALIANTORG</t>
  </si>
  <si>
    <t>Valiant Organics Ltd</t>
  </si>
  <si>
    <t>https://in.tradingview.com/chart/ofQQfXOP/?symbol=NSE%3AVALIANTORG</t>
  </si>
  <si>
    <t>https://in.tradingview.com/chart/bXJLby4L/?symbol=NSE%3AVALIANTORG</t>
  </si>
  <si>
    <t>VARDHACRLC</t>
  </si>
  <si>
    <t>Vardhman Acrylics Limited</t>
  </si>
  <si>
    <t>https://in.tradingview.com/chart/ofQQfXOP/?symbol=NSE%3AVARDHACRLC</t>
  </si>
  <si>
    <t>https://in.tradingview.com/chart/bXJLby4L/?symbol=NSE%3AVARDHACRLC</t>
  </si>
  <si>
    <t>VHL</t>
  </si>
  <si>
    <t>Vardhman Holdings Limited</t>
  </si>
  <si>
    <t>https://in.tradingview.com/chart/ofQQfXOP/?symbol=NSE%3AVHL</t>
  </si>
  <si>
    <t>https://in.tradingview.com/chart/bXJLby4L/?symbol=NSE%3AVHL</t>
  </si>
  <si>
    <t>VARDMNPOLY</t>
  </si>
  <si>
    <t>Vardhman Polytex Limited</t>
  </si>
  <si>
    <t>https://in.tradingview.com/chart/ofQQfXOP/?symbol=NSE%3AVARDMNPOLY</t>
  </si>
  <si>
    <t>https://in.tradingview.com/chart/bXJLby4L/?symbol=NSE%3AVARDMNPOLY</t>
  </si>
  <si>
    <t>VSSL</t>
  </si>
  <si>
    <t>Vardhman Special Steels Limited</t>
  </si>
  <si>
    <t>https://in.tradingview.com/chart/ofQQfXOP/?symbol=NSE%3AVSSL</t>
  </si>
  <si>
    <t>https://in.tradingview.com/chart/bXJLby4L/?symbol=NSE%3AVSSL</t>
  </si>
  <si>
    <t>VTL</t>
  </si>
  <si>
    <t>Vardhman Textiles Limited</t>
  </si>
  <si>
    <t>https://in.tradingview.com/chart/ofQQfXOP/?symbol=NSE%3AVTL</t>
  </si>
  <si>
    <t>https://in.tradingview.com/chart/bXJLby4L/?symbol=NSE%3AVTL</t>
  </si>
  <si>
    <t>VARROC</t>
  </si>
  <si>
    <t>Varroc Engineering Ltd</t>
  </si>
  <si>
    <t>https://in.tradingview.com/chart/ofQQfXOP/?symbol=NSE%3AVARROC</t>
  </si>
  <si>
    <t>https://in.tradingview.com/chart/bXJLby4L/?symbol=NSE%3AVARROC</t>
  </si>
  <si>
    <t>VBL</t>
  </si>
  <si>
    <t>Varun Beverages Limited</t>
  </si>
  <si>
    <t>https://in.tradingview.com/chart/ofQQfXOP/?symbol=NSE%3AVBL</t>
  </si>
  <si>
    <t>https://in.tradingview.com/chart/bXJLby4L/?symbol=NSE%3AVBL</t>
  </si>
  <si>
    <t>VGL</t>
  </si>
  <si>
    <t>Varvee Global Ltd</t>
  </si>
  <si>
    <t>https://in.tradingview.com/chart/ofQQfXOP/?symbol=NSE%3AVGL</t>
  </si>
  <si>
    <t>https://in.tradingview.com/chart/bXJLby4L/?symbol=NSE%3AVGL</t>
  </si>
  <si>
    <t>VASCONEQ</t>
  </si>
  <si>
    <t>Vascon Engineers Limited</t>
  </si>
  <si>
    <t>https://in.tradingview.com/chart/ofQQfXOP/?symbol=NSE%3AVASCONEQ</t>
  </si>
  <si>
    <t>https://in.tradingview.com/chart/bXJLby4L/?symbol=NSE%3AVASCONEQ</t>
  </si>
  <si>
    <t>VASWANI</t>
  </si>
  <si>
    <t>Vaswani Industries Limited</t>
  </si>
  <si>
    <t>https://in.tradingview.com/chart/ofQQfXOP/?symbol=NSE%3AVASWANI</t>
  </si>
  <si>
    <t>https://in.tradingview.com/chart/bXJLby4L/?symbol=NSE%3AVASWANI</t>
  </si>
  <si>
    <t>MANYAVAR</t>
  </si>
  <si>
    <t>Vedant Fashions Ltd</t>
  </si>
  <si>
    <t>https://in.tradingview.com/chart/ofQQfXOP/?symbol=NSE%3AMANYAVAR</t>
  </si>
  <si>
    <t>https://in.tradingview.com/chart/bXJLby4L/?symbol=NSE%3AMANYAVAR</t>
  </si>
  <si>
    <t>VEDL</t>
  </si>
  <si>
    <t>Vedanta Limited</t>
  </si>
  <si>
    <t>https://in.tradingview.com/chart/ofQQfXOP/?symbol=NSE%3AVEDL</t>
  </si>
  <si>
    <t>https://in.tradingview.com/chart/bXJLby4L/?symbol=NSE%3AVEDL</t>
  </si>
  <si>
    <t>VEEDOL</t>
  </si>
  <si>
    <t>Veedol Corporation Ltd</t>
  </si>
  <si>
    <t>https://in.tradingview.com/chart/ofQQfXOP/?symbol=NSE%3AVEEDOL</t>
  </si>
  <si>
    <t>https://in.tradingview.com/chart/bXJLby4L/?symbol=NSE%3AVEEDOL</t>
  </si>
  <si>
    <t>VENKEYS</t>
  </si>
  <si>
    <t>Venky's (india) Limited</t>
  </si>
  <si>
    <t>https://in.tradingview.com/chart/ofQQfXOP/?symbol=NSE%3AVENKEYS</t>
  </si>
  <si>
    <t>https://in.tradingview.com/chart/bXJLby4L/?symbol=NSE%3AVENKEYS</t>
  </si>
  <si>
    <t>VENTIVE</t>
  </si>
  <si>
    <t>Ventive Hospitality Ltd</t>
  </si>
  <si>
    <t>https://in.tradingview.com/chart/ofQQfXOP/?symbol=NSE%3AVENTIVE</t>
  </si>
  <si>
    <t>https://in.tradingview.com/chart/bXJLby4L/?symbol=NSE%3AVENTIVE</t>
  </si>
  <si>
    <t>VENUSPIPES</t>
  </si>
  <si>
    <t>Venus Pipes &amp; Tubes Ltd</t>
  </si>
  <si>
    <t>https://in.tradingview.com/chart/ofQQfXOP/?symbol=NSE%3AVENUSPIPES</t>
  </si>
  <si>
    <t>https://in.tradingview.com/chart/bXJLby4L/?symbol=NSE%3AVENUSPIPES</t>
  </si>
  <si>
    <t>VENUSREM</t>
  </si>
  <si>
    <t>Venus Remedies Limited</t>
  </si>
  <si>
    <t>https://in.tradingview.com/chart/ofQQfXOP/?symbol=NSE%3AVENUSREM</t>
  </si>
  <si>
    <t>https://in.tradingview.com/chart/bXJLby4L/?symbol=NSE%3AVENUSREM</t>
  </si>
  <si>
    <t>VERANDA</t>
  </si>
  <si>
    <t>Veranda Learning Solutions Ltd</t>
  </si>
  <si>
    <t>https://in.tradingview.com/chart/ofQQfXOP/?symbol=NSE%3AVERANDA</t>
  </si>
  <si>
    <t>https://in.tradingview.com/chart/bXJLby4L/?symbol=NSE%3AVERANDA</t>
  </si>
  <si>
    <t>VERTOZ</t>
  </si>
  <si>
    <t>Vertoz Ltd</t>
  </si>
  <si>
    <t>https://in.tradingview.com/chart/ofQQfXOP/?symbol=NSE%3AVERTOZ</t>
  </si>
  <si>
    <t>https://in.tradingview.com/chart/bXJLby4L/?symbol=NSE%3AVERTOZ</t>
  </si>
  <si>
    <t>VESUVIUS</t>
  </si>
  <si>
    <t>Vesuvius India Limited</t>
  </si>
  <si>
    <t>https://in.tradingview.com/chart/ofQQfXOP/?symbol=NSE%3AVESUVIUS</t>
  </si>
  <si>
    <t>https://in.tradingview.com/chart/bXJLby4L/?symbol=NSE%3AVESUVIUS</t>
  </si>
  <si>
    <t>VETO</t>
  </si>
  <si>
    <t>Veto Switchgears And Cables Limited</t>
  </si>
  <si>
    <t>https://in.tradingview.com/chart/ofQQfXOP/?symbol=NSE%3AVETO</t>
  </si>
  <si>
    <t>https://in.tradingview.com/chart/bXJLby4L/?symbol=NSE%3AVETO</t>
  </si>
  <si>
    <t>VSTL</t>
  </si>
  <si>
    <t>Vibhor Steel Tubes Ltd</t>
  </si>
  <si>
    <t>https://in.tradingview.com/chart/ofQQfXOP/?symbol=NSE%3AVSTL</t>
  </si>
  <si>
    <t>https://in.tradingview.com/chart/bXJLby4L/?symbol=NSE%3AVSTL</t>
  </si>
  <si>
    <t>VHLTD</t>
  </si>
  <si>
    <t>Viceroy Hotels Ltd</t>
  </si>
  <si>
    <t>https://in.tradingview.com/chart/ofQQfXOP/?symbol=NSE%3AVHLTD</t>
  </si>
  <si>
    <t>https://in.tradingview.com/chart/bXJLby4L/?symbol=NSE%3AVHLTD</t>
  </si>
  <si>
    <t>VIDHIING</t>
  </si>
  <si>
    <t>Vidhi Specialty Food Ingredients</t>
  </si>
  <si>
    <t>https://in.tradingview.com/chart/ofQQfXOP/?symbol=NSE%3AVIDHIING</t>
  </si>
  <si>
    <t>https://in.tradingview.com/chart/bXJLby4L/?symbol=NSE%3AVIDHIING</t>
  </si>
  <si>
    <t>VIJAYA</t>
  </si>
  <si>
    <t>Vijaya Diagnostic Centre Ltd</t>
  </si>
  <si>
    <t>https://in.tradingview.com/chart/ofQQfXOP/?symbol=NSE%3AVIJAYA</t>
  </si>
  <si>
    <t>https://in.tradingview.com/chart/bXJLby4L/?symbol=NSE%3AVIJAYA</t>
  </si>
  <si>
    <t>VIKRAMSOLR</t>
  </si>
  <si>
    <t>Vikram Solar Ltd</t>
  </si>
  <si>
    <t>https://in.tradingview.com/chart/ofQQfXOP/?symbol=NSE%3AVIKRAMSOLR</t>
  </si>
  <si>
    <t>https://in.tradingview.com/chart/bXJLby4L/?symbol=NSE%3AVIKRAMSOLR</t>
  </si>
  <si>
    <t>VIKRAN</t>
  </si>
  <si>
    <t>Vikran Engineering Ltd</t>
  </si>
  <si>
    <t>https://in.tradingview.com/chart/ofQQfXOP/?symbol=NSE%3AVIKRAN</t>
  </si>
  <si>
    <t>https://in.tradingview.com/chart/bXJLby4L/?symbol=NSE%3AVIKRAN</t>
  </si>
  <si>
    <t>VIMTALABS</t>
  </si>
  <si>
    <t>Vimta Labs Limited</t>
  </si>
  <si>
    <t>https://in.tradingview.com/chart/ofQQfXOP/?symbol=NSE%3AVIMTALABS</t>
  </si>
  <si>
    <t>https://in.tradingview.com/chart/bXJLby4L/?symbol=NSE%3AVIMTALABS</t>
  </si>
  <si>
    <t>VINATIORGA</t>
  </si>
  <si>
    <t>Vinati Organics Limited</t>
  </si>
  <si>
    <t>https://in.tradingview.com/chart/ofQQfXOP/?symbol=NSE%3AVINATIORGA</t>
  </si>
  <si>
    <t>https://in.tradingview.com/chart/bXJLby4L/?symbol=NSE%3AVINATIORGA</t>
  </si>
  <si>
    <t>VINDHYATEL</t>
  </si>
  <si>
    <t>Vindhya Telelinks Limited</t>
  </si>
  <si>
    <t>https://in.tradingview.com/chart/ofQQfXOP/?symbol=NSE%3AVINDHYATEL</t>
  </si>
  <si>
    <t>https://in.tradingview.com/chart/bXJLby4L/?symbol=NSE%3AVINDHYATEL</t>
  </si>
  <si>
    <t>VINEETLAB</t>
  </si>
  <si>
    <t>Vineet Laboratories Ltd</t>
  </si>
  <si>
    <t>https://in.tradingview.com/chart/ofQQfXOP/?symbol=NSE%3AVINEETLAB</t>
  </si>
  <si>
    <t>https://in.tradingview.com/chart/bXJLby4L/?symbol=NSE%3AVINEETLAB</t>
  </si>
  <si>
    <t>VINCOFE</t>
  </si>
  <si>
    <t>Vintage Coffee &amp; Beverages Ltd</t>
  </si>
  <si>
    <t>https://in.tradingview.com/chart/ofQQfXOP/?symbol=NSE%3AVINCOFE</t>
  </si>
  <si>
    <t>https://in.tradingview.com/chart/bXJLby4L/?symbol=NSE%3AVINCOFE</t>
  </si>
  <si>
    <t>VINYLINDIA</t>
  </si>
  <si>
    <t>Vinyl Chemicals (india) Limited</t>
  </si>
  <si>
    <t>https://in.tradingview.com/chart/ofQQfXOP/?symbol=NSE%3AVINYLINDIA</t>
  </si>
  <si>
    <t>https://in.tradingview.com/chart/bXJLby4L/?symbol=NSE%3AVINYLINDIA</t>
  </si>
  <si>
    <t>VIPCLOTHNG</t>
  </si>
  <si>
    <t>Vip Clothing Limited</t>
  </si>
  <si>
    <t>https://in.tradingview.com/chart/ofQQfXOP/?symbol=NSE%3AVIPCLOTHNG</t>
  </si>
  <si>
    <t>https://in.tradingview.com/chart/bXJLby4L/?symbol=NSE%3AVIPCLOTHNG</t>
  </si>
  <si>
    <t>VIPIND</t>
  </si>
  <si>
    <t>Vip Industries Limited</t>
  </si>
  <si>
    <t>https://in.tradingview.com/chart/ofQQfXOP/?symbol=NSE%3AVIPIND</t>
  </si>
  <si>
    <t>https://in.tradingview.com/chart/bXJLby4L/?symbol=NSE%3AVIPIND</t>
  </si>
  <si>
    <t>VIPULLTD</t>
  </si>
  <si>
    <t>Vipul Limited</t>
  </si>
  <si>
    <t>https://in.tradingview.com/chart/ofQQfXOP/?symbol=NSE%3AVIPULLTD</t>
  </si>
  <si>
    <t>https://in.tradingview.com/chart/bXJLby4L/?symbol=NSE%3AVIPULLTD</t>
  </si>
  <si>
    <t>VIRINCHI</t>
  </si>
  <si>
    <t>Virinchi Ltd</t>
  </si>
  <si>
    <t>https://in.tradingview.com/chart/ofQQfXOP/?symbol=NSE%3AVIRINCHI</t>
  </si>
  <si>
    <t>https://in.tradingview.com/chart/bXJLby4L/?symbol=NSE%3AVIRINCHI</t>
  </si>
  <si>
    <t>VISASTEEL</t>
  </si>
  <si>
    <t>Visa Steel Limited</t>
  </si>
  <si>
    <t>https://in.tradingview.com/chart/ofQQfXOP/?symbol=NSE%3AVISASTEEL</t>
  </si>
  <si>
    <t>https://in.tradingview.com/chart/bXJLby4L/?symbol=NSE%3AVISASTEEL</t>
  </si>
  <si>
    <t>VISAKAIND</t>
  </si>
  <si>
    <t>Visaka Industries Limited</t>
  </si>
  <si>
    <t>https://in.tradingview.com/chart/ofQQfXOP/?symbol=NSE%3AVISAKAIND</t>
  </si>
  <si>
    <t>https://in.tradingview.com/chart/bXJLby4L/?symbol=NSE%3AVISAKAIND</t>
  </si>
  <si>
    <t>VMM</t>
  </si>
  <si>
    <t>Vishal Mega Mart Ltd</t>
  </si>
  <si>
    <t>https://in.tradingview.com/chart/ofQQfXOP/?symbol=NSE%3AVMM</t>
  </si>
  <si>
    <t>https://in.tradingview.com/chart/bXJLby4L/?symbol=NSE%3AVMM</t>
  </si>
  <si>
    <t>VISHNU</t>
  </si>
  <si>
    <t>Vishnu Chemicals Limited</t>
  </si>
  <si>
    <t>https://in.tradingview.com/chart/ofQQfXOP/?symbol=NSE%3AVISHNU</t>
  </si>
  <si>
    <t>https://in.tradingview.com/chart/bXJLby4L/?symbol=NSE%3AVISHNU</t>
  </si>
  <si>
    <t>VPRPL</t>
  </si>
  <si>
    <t>Vishnu Prakash R Punglia Ltd</t>
  </si>
  <si>
    <t>https://in.tradingview.com/chart/ofQQfXOP/?symbol=NSE%3AVPRPL</t>
  </si>
  <si>
    <t>https://in.tradingview.com/chart/bXJLby4L/?symbol=NSE%3AVPRPL</t>
  </si>
  <si>
    <t>VISHWARAJ</t>
  </si>
  <si>
    <t>Vishwaraj Sugar Industries Ltd</t>
  </si>
  <si>
    <t>https://in.tradingview.com/chart/ofQQfXOP/?symbol=NSE%3AVISHWARAJ</t>
  </si>
  <si>
    <t>https://in.tradingview.com/chart/bXJLby4L/?symbol=NSE%3AVISHWARAJ</t>
  </si>
  <si>
    <t>VLEGOV</t>
  </si>
  <si>
    <t>VL E-Governance &amp; IT Solutions Ltd</t>
  </si>
  <si>
    <t>https://in.tradingview.com/chart/ofQQfXOP/?symbol=NSE%3AVLEGOV</t>
  </si>
  <si>
    <t>https://in.tradingview.com/chart/bXJLby4L/?symbol=NSE%3AVLEGOV</t>
  </si>
  <si>
    <t>VLSFINANCE</t>
  </si>
  <si>
    <t>Vls Finance Limited</t>
  </si>
  <si>
    <t>https://in.tradingview.com/chart/ofQQfXOP/?symbol=NSE%3AVLSFINANCE</t>
  </si>
  <si>
    <t>https://in.tradingview.com/chart/bXJLby4L/?symbol=NSE%3AVLSFINANCE</t>
  </si>
  <si>
    <t>VMSTMT</t>
  </si>
  <si>
    <t>VMS TMT Ltd</t>
  </si>
  <si>
    <t>https://in.tradingview.com/chart/ofQQfXOP/?symbol=NSE%3AVMSTMT</t>
  </si>
  <si>
    <t>https://in.tradingview.com/chart/bXJLby4L/?symbol=NSE%3AVMSTMT</t>
  </si>
  <si>
    <t>VOLTAMP</t>
  </si>
  <si>
    <t>Voltamp Transformers Limited</t>
  </si>
  <si>
    <t>https://in.tradingview.com/chart/ofQQfXOP/?symbol=NSE%3AVOLTAMP</t>
  </si>
  <si>
    <t>https://in.tradingview.com/chart/bXJLby4L/?symbol=NSE%3AVOLTAMP</t>
  </si>
  <si>
    <t>VOLTAS</t>
  </si>
  <si>
    <t>Voltas Limited</t>
  </si>
  <si>
    <t>https://in.tradingview.com/chart/ofQQfXOP/?symbol=NSE%3AVOLTAS</t>
  </si>
  <si>
    <t>https://in.tradingview.com/chart/bXJLby4L/?symbol=NSE%3AVOLTAS</t>
  </si>
  <si>
    <t>VRAJ</t>
  </si>
  <si>
    <t>Vraj Iron &amp; Steel Ltd</t>
  </si>
  <si>
    <t>https://in.tradingview.com/chart/ofQQfXOP/?symbol=NSE%3AVRAJ</t>
  </si>
  <si>
    <t>https://in.tradingview.com/chart/bXJLby4L/?symbol=NSE%3AVRAJ</t>
  </si>
  <si>
    <t>VRLLOG</t>
  </si>
  <si>
    <t>Vrl Logistics Limited</t>
  </si>
  <si>
    <t>https://in.tradingview.com/chart/ofQQfXOP/?symbol=NSE%3AVRLLOG</t>
  </si>
  <si>
    <t>https://in.tradingview.com/chart/bXJLby4L/?symbol=NSE%3AVRLLOG</t>
  </si>
  <si>
    <t>VSTIND</t>
  </si>
  <si>
    <t>Vst Industries Limited</t>
  </si>
  <si>
    <t>https://in.tradingview.com/chart/ofQQfXOP/?symbol=NSE%3AVSTIND</t>
  </si>
  <si>
    <t>https://in.tradingview.com/chart/bXJLby4L/?symbol=NSE%3AVSTIND</t>
  </si>
  <si>
    <t>WSI</t>
  </si>
  <si>
    <t>W S Industries (i) Limited</t>
  </si>
  <si>
    <t>https://in.tradingview.com/chart/ofQQfXOP/?symbol=NSE%3AWSI</t>
  </si>
  <si>
    <t>https://in.tradingview.com/chart/bXJLby4L/?symbol=NSE%3AWSI</t>
  </si>
  <si>
    <t>WAAREEENER</t>
  </si>
  <si>
    <t>Waaree Energies Ltd</t>
  </si>
  <si>
    <t>https://in.tradingview.com/chart/ofQQfXOP/?symbol=NSE%3AWAAREEENER</t>
  </si>
  <si>
    <t>https://in.tradingview.com/chart/bXJLby4L/?symbol=NSE%3AWAAREEENER</t>
  </si>
  <si>
    <t>WAAREERTL</t>
  </si>
  <si>
    <t>Waaree Renewables Technologies Ltd</t>
  </si>
  <si>
    <t>https://in.tradingview.com/chart/ofQQfXOP/?symbol=NSE%3AWAAREERTL</t>
  </si>
  <si>
    <t>https://in.tradingview.com/chart/bXJLby4L/?symbol=NSE%3AWAAREERTL</t>
  </si>
  <si>
    <t>WALCHANNAG</t>
  </si>
  <si>
    <t>Walchandnagar Industries Limited</t>
  </si>
  <si>
    <t>https://in.tradingview.com/chart/ofQQfXOP/?symbol=NSE%3AWALCHANNAG</t>
  </si>
  <si>
    <t>https://in.tradingview.com/chart/bXJLby4L/?symbol=NSE%3AWALCHANNAG</t>
  </si>
  <si>
    <t>WANBURY</t>
  </si>
  <si>
    <t>Wanbury Limited</t>
  </si>
  <si>
    <t>https://in.tradingview.com/chart/ofQQfXOP/?symbol=NSE%3AWANBURY</t>
  </si>
  <si>
    <t>https://in.tradingview.com/chart/bXJLby4L/?symbol=NSE%3AWANBURY</t>
  </si>
  <si>
    <t>WEWIN</t>
  </si>
  <si>
    <t>We Win Ltd</t>
  </si>
  <si>
    <t>https://in.tradingview.com/chart/ofQQfXOP/?symbol=NSE%3AWEWIN</t>
  </si>
  <si>
    <t>https://in.tradingview.com/chart/bXJLby4L/?symbol=NSE%3AWEWIN</t>
  </si>
  <si>
    <t>WEALTH</t>
  </si>
  <si>
    <t>Wealth First Portfolio Managers Ltd</t>
  </si>
  <si>
    <t>https://in.tradingview.com/chart/ofQQfXOP/?symbol=NSE%3AWEALTH</t>
  </si>
  <si>
    <t>https://in.tradingview.com/chart/bXJLby4L/?symbol=NSE%3AWEALTH</t>
  </si>
  <si>
    <t>WEBELSOLAR</t>
  </si>
  <si>
    <t>Websol Energy System Limited</t>
  </si>
  <si>
    <t>https://in.tradingview.com/chart/ofQQfXOP/?symbol=NSE%3AWEBELSOLAR</t>
  </si>
  <si>
    <t>https://in.tradingview.com/chart/bXJLby4L/?symbol=NSE%3AWEBELSOLAR</t>
  </si>
  <si>
    <t>WEIZMANIND</t>
  </si>
  <si>
    <t>Weizmann Limited</t>
  </si>
  <si>
    <t>https://in.tradingview.com/chart/ofQQfXOP/?symbol=NSE%3AWEIZMANIND</t>
  </si>
  <si>
    <t>https://in.tradingview.com/chart/bXJLby4L/?symbol=NSE%3AWEIZMANIND</t>
  </si>
  <si>
    <t>WELCORP</t>
  </si>
  <si>
    <t>Welspun Corp Limited</t>
  </si>
  <si>
    <t>https://in.tradingview.com/chart/ofQQfXOP/?symbol=NSE%3AWELCORP</t>
  </si>
  <si>
    <t>https://in.tradingview.com/chart/bXJLby4L/?symbol=NSE%3AWELCORP</t>
  </si>
  <si>
    <t>WELENT</t>
  </si>
  <si>
    <t>Welspun Enterprises Limited</t>
  </si>
  <si>
    <t>https://in.tradingview.com/chart/ofQQfXOP/?symbol=NSE%3AWELENT</t>
  </si>
  <si>
    <t>https://in.tradingview.com/chart/bXJLby4L/?symbol=NSE%3AWELENT</t>
  </si>
  <si>
    <t>WELINV</t>
  </si>
  <si>
    <t>Welspun Investments And Commercials Limited</t>
  </si>
  <si>
    <t>https://in.tradingview.com/chart/ofQQfXOP/?symbol=NSE%3AWELINV</t>
  </si>
  <si>
    <t>https://in.tradingview.com/chart/bXJLby4L/?symbol=NSE%3AWELINV</t>
  </si>
  <si>
    <t>WELSPUNLIV</t>
  </si>
  <si>
    <t>Welspun Living Ltd</t>
  </si>
  <si>
    <t>https://in.tradingview.com/chart/ofQQfXOP/?symbol=NSE%3AWELSPUNLIV</t>
  </si>
  <si>
    <t>https://in.tradingview.com/chart/bXJLby4L/?symbol=NSE%3AWELSPUNLIV</t>
  </si>
  <si>
    <t>WENDT</t>
  </si>
  <si>
    <t>Wendt (india) Limited</t>
  </si>
  <si>
    <t>https://in.tradingview.com/chart/ofQQfXOP/?symbol=NSE%3AWENDT</t>
  </si>
  <si>
    <t>https://in.tradingview.com/chart/bXJLby4L/?symbol=NSE%3AWENDT</t>
  </si>
  <si>
    <t>WSTCSTPAPR</t>
  </si>
  <si>
    <t>West Coast Paper Mills Limited</t>
  </si>
  <si>
    <t>https://in.tradingview.com/chart/ofQQfXOP/?symbol=NSE%3AWSTCSTPAPR</t>
  </si>
  <si>
    <t>https://in.tradingview.com/chart/bXJLby4L/?symbol=NSE%3AWSTCSTPAPR</t>
  </si>
  <si>
    <t>WCIL</t>
  </si>
  <si>
    <t>Western Carriers (India) Ltd</t>
  </si>
  <si>
    <t>https://in.tradingview.com/chart/ofQQfXOP/?symbol=NSE%3AWCIL</t>
  </si>
  <si>
    <t>https://in.tradingview.com/chart/bXJLby4L/?symbol=NSE%3AWCIL</t>
  </si>
  <si>
    <t>WIPL</t>
  </si>
  <si>
    <t>Western India Plywoods Ltd</t>
  </si>
  <si>
    <t>https://in.tradingview.com/chart/ofQQfXOP/?symbol=NSE%3AWIPL</t>
  </si>
  <si>
    <t>https://in.tradingview.com/chart/bXJLby4L/?symbol=NSE%3AWIPL</t>
  </si>
  <si>
    <t>WESTLIFE</t>
  </si>
  <si>
    <t>Westlife Development Ltd</t>
  </si>
  <si>
    <t>https://in.tradingview.com/chart/ofQQfXOP/?symbol=NSE%3AWESTLIFE</t>
  </si>
  <si>
    <t>https://in.tradingview.com/chart/bXJLby4L/?symbol=NSE%3AWESTLIFE</t>
  </si>
  <si>
    <t>WEWORK</t>
  </si>
  <si>
    <t>Wework India Management Ltd</t>
  </si>
  <si>
    <t>https://in.tradingview.com/chart/ofQQfXOP/?symbol=NSE%3AWEWORK</t>
  </si>
  <si>
    <t>https://in.tradingview.com/chart/bXJLby4L/?symbol=NSE%3AWEWORK</t>
  </si>
  <si>
    <t>WHEELS</t>
  </si>
  <si>
    <t>Wheels India Limited</t>
  </si>
  <si>
    <t>https://in.tradingview.com/chart/ofQQfXOP/?symbol=NSE%3AWHEELS</t>
  </si>
  <si>
    <t>https://in.tradingview.com/chart/bXJLby4L/?symbol=NSE%3AWHEELS</t>
  </si>
  <si>
    <t>WHIRLPOOL</t>
  </si>
  <si>
    <t>Whirlpool Of India Limited</t>
  </si>
  <si>
    <t>https://in.tradingview.com/chart/ofQQfXOP/?symbol=NSE%3AWHIRLPOOL</t>
  </si>
  <si>
    <t>https://in.tradingview.com/chart/bXJLby4L/?symbol=NSE%3AWHIRLPOOL</t>
  </si>
  <si>
    <t>WILLAMAGOR</t>
  </si>
  <si>
    <t>Williamson Magor &amp; Company Limited</t>
  </si>
  <si>
    <t>https://in.tradingview.com/chart/ofQQfXOP/?symbol=NSE%3AWILLAMAGOR</t>
  </si>
  <si>
    <t>https://in.tradingview.com/chart/bXJLby4L/?symbol=NSE%3AWILLAMAGOR</t>
  </si>
  <si>
    <t>WINDLAS</t>
  </si>
  <si>
    <t>Windlas Biotech Ltd</t>
  </si>
  <si>
    <t>https://in.tradingview.com/chart/ofQQfXOP/?symbol=NSE%3AWINDLAS</t>
  </si>
  <si>
    <t>https://in.tradingview.com/chart/bXJLby4L/?symbol=NSE%3AWINDLAS</t>
  </si>
  <si>
    <t>WINDMACHIN</t>
  </si>
  <si>
    <t>Windsor Machines Limited</t>
  </si>
  <si>
    <t>https://in.tradingview.com/chart/ofQQfXOP/?symbol=NSE%3AWINDMACHIN</t>
  </si>
  <si>
    <t>https://in.tradingview.com/chart/bXJLby4L/?symbol=NSE%3AWINDMACHIN</t>
  </si>
  <si>
    <t>WIPRO</t>
  </si>
  <si>
    <t>Wipro Limited</t>
  </si>
  <si>
    <t>https://in.tradingview.com/chart/ofQQfXOP/?symbol=NSE%3AWIPRO</t>
  </si>
  <si>
    <t>https://in.tradingview.com/chart/bXJLby4L/?symbol=NSE%3AWIPRO</t>
  </si>
  <si>
    <t>WOCKPHARMA</t>
  </si>
  <si>
    <t>Wockhardt Limited</t>
  </si>
  <si>
    <t>https://in.tradingview.com/chart/ofQQfXOP/?symbol=NSE%3AWOCKPHARMA</t>
  </si>
  <si>
    <t>https://in.tradingview.com/chart/bXJLby4L/?symbol=NSE%3AWOCKPHARMA</t>
  </si>
  <si>
    <t>WEL</t>
  </si>
  <si>
    <t>Wonder Electricals Ltd</t>
  </si>
  <si>
    <t>https://in.tradingview.com/chart/ofQQfXOP/?symbol=NSE%3AWEL</t>
  </si>
  <si>
    <t>https://in.tradingview.com/chart/bXJLby4L/?symbol=NSE%3AWEL</t>
  </si>
  <si>
    <t>WONDERLA</t>
  </si>
  <si>
    <t>Wonderla Holidays Limited</t>
  </si>
  <si>
    <t>https://in.tradingview.com/chart/ofQQfXOP/?symbol=NSE%3AWONDERLA</t>
  </si>
  <si>
    <t>https://in.tradingview.com/chart/bXJLby4L/?symbol=NSE%3AWONDERLA</t>
  </si>
  <si>
    <t>WORTHPERI</t>
  </si>
  <si>
    <t>Worth Peripherals Ltd</t>
  </si>
  <si>
    <t>https://in.tradingview.com/chart/ofQQfXOP/?symbol=NSE%3AWORTHPERI</t>
  </si>
  <si>
    <t>https://in.tradingview.com/chart/bXJLby4L/?symbol=NSE%3AWORTHPERI</t>
  </si>
  <si>
    <t>XCHANGING</t>
  </si>
  <si>
    <t>Xchanging Solutions Limited</t>
  </si>
  <si>
    <t>https://in.tradingview.com/chart/ofQQfXOP/?symbol=NSE%3AXCHANGING</t>
  </si>
  <si>
    <t>https://in.tradingview.com/chart/bXJLby4L/?symbol=NSE%3AXCHANGING</t>
  </si>
  <si>
    <t>XELPMOC</t>
  </si>
  <si>
    <t>Xelpmoc Design and Tech Ltd</t>
  </si>
  <si>
    <t>https://in.tradingview.com/chart/ofQQfXOP/?symbol=NSE%3AXELPMOC</t>
  </si>
  <si>
    <t>https://in.tradingview.com/chart/bXJLby4L/?symbol=NSE%3AXELPMOC</t>
  </si>
  <si>
    <t>XPROINDIA</t>
  </si>
  <si>
    <t>Xpro India Limited</t>
  </si>
  <si>
    <t>https://in.tradingview.com/chart/ofQQfXOP/?symbol=NSE%3AXPROINDIA</t>
  </si>
  <si>
    <t>https://in.tradingview.com/chart/bXJLby4L/?symbol=NSE%3AXPROINDIA</t>
  </si>
  <si>
    <t>XTGLOBAL</t>
  </si>
  <si>
    <t>XT Global Infotech Ltd</t>
  </si>
  <si>
    <t>https://in.tradingview.com/chart/ofQQfXOP/?symbol=NSE%3AXTGLOBAL</t>
  </si>
  <si>
    <t>https://in.tradingview.com/chart/bXJLby4L/?symbol=NSE%3AXTGLOBAL</t>
  </si>
  <si>
    <t>YASHO</t>
  </si>
  <si>
    <t>Yasho Industries Ltd</t>
  </si>
  <si>
    <t>https://in.tradingview.com/chart/ofQQfXOP/?symbol=NSE%3AYASHO</t>
  </si>
  <si>
    <t>https://in.tradingview.com/chart/bXJLby4L/?symbol=NSE%3AYASHO</t>
  </si>
  <si>
    <t>YATHARTH</t>
  </si>
  <si>
    <t>Yatharth Hospital &amp; Trauma Care Services Ltd</t>
  </si>
  <si>
    <t>https://in.tradingview.com/chart/ofQQfXOP/?symbol=NSE%3AYATHARTH</t>
  </si>
  <si>
    <t>https://in.tradingview.com/chart/bXJLby4L/?symbol=NSE%3AYATHARTH</t>
  </si>
  <si>
    <t>YATRA</t>
  </si>
  <si>
    <t>Yatra Online Ltd</t>
  </si>
  <si>
    <t>https://in.tradingview.com/chart/ofQQfXOP/?symbol=NSE%3AYATRA</t>
  </si>
  <si>
    <t>https://in.tradingview.com/chart/bXJLby4L/?symbol=NSE%3AYATRA</t>
  </si>
  <si>
    <t>YESBANK</t>
  </si>
  <si>
    <t>Yes Bank Limited</t>
  </si>
  <si>
    <t>https://in.tradingview.com/chart/ofQQfXOP/?symbol=NSE%3AYESBANK</t>
  </si>
  <si>
    <t>https://in.tradingview.com/chart/bXJLby4L/?symbol=NSE%3AYESBANK</t>
  </si>
  <si>
    <t>YUKEN</t>
  </si>
  <si>
    <t>Yuken India Ltd</t>
  </si>
  <si>
    <t>https://in.tradingview.com/chart/ofQQfXOP/?symbol=NSE%3AYUKEN</t>
  </si>
  <si>
    <t>https://in.tradingview.com/chart/bXJLby4L/?symbol=NSE%3AYUKEN</t>
  </si>
  <si>
    <t>ZAGGLE</t>
  </si>
  <si>
    <t>Zaggle Prepaid Ocean Services Ltd</t>
  </si>
  <si>
    <t>https://in.tradingview.com/chart/ofQQfXOP/?symbol=NSE%3AZAGGLE</t>
  </si>
  <si>
    <t>https://in.tradingview.com/chart/bXJLby4L/?symbol=NSE%3AZAGGLE</t>
  </si>
  <si>
    <t>ZEEL</t>
  </si>
  <si>
    <t>Zee Entertainment Enterprises Limited</t>
  </si>
  <si>
    <t>https://in.tradingview.com/chart/ofQQfXOP/?symbol=NSE%3AZEEL</t>
  </si>
  <si>
    <t>https://in.tradingview.com/chart/bXJLby4L/?symbol=NSE%3AZEEL</t>
  </si>
  <si>
    <t>ZEELEARN</t>
  </si>
  <si>
    <t>Zee Learn Limited</t>
  </si>
  <si>
    <t>https://in.tradingview.com/chart/ofQQfXOP/?symbol=NSE%3AZEELEARN</t>
  </si>
  <si>
    <t>https://in.tradingview.com/chart/bXJLby4L/?symbol=NSE%3AZEELEARN</t>
  </si>
  <si>
    <t>ZEEMEDIA</t>
  </si>
  <si>
    <t>Zee Media Corporation Limited</t>
  </si>
  <si>
    <t>https://in.tradingview.com/chart/ofQQfXOP/?symbol=NSE%3AZEEMEDIA</t>
  </si>
  <si>
    <t>https://in.tradingview.com/chart/bXJLby4L/?symbol=NSE%3AZEEMEDIA</t>
  </si>
  <si>
    <t>ZENTEC</t>
  </si>
  <si>
    <t>Zen Technologies Limited</t>
  </si>
  <si>
    <t>https://in.tradingview.com/chart/ofQQfXOP/?symbol=NSE%3AZENTEC</t>
  </si>
  <si>
    <t>https://in.tradingview.com/chart/bXJLby4L/?symbol=NSE%3AZENTEC</t>
  </si>
  <si>
    <t>ZENITHEXPO</t>
  </si>
  <si>
    <t>Zenith Exports Limited</t>
  </si>
  <si>
    <t>https://in.tradingview.com/chart/ofQQfXOP/?symbol=NSE%3AZENITHEXPO</t>
  </si>
  <si>
    <t>https://in.tradingview.com/chart/bXJLby4L/?symbol=NSE%3AZENITHEXPO</t>
  </si>
  <si>
    <t>ZENITHSTL</t>
  </si>
  <si>
    <t>Zenith Steel Pipes &amp; Industries Ltd</t>
  </si>
  <si>
    <t>https://in.tradingview.com/chart/ofQQfXOP/?symbol=NSE%3AZENITHSTL</t>
  </si>
  <si>
    <t>https://in.tradingview.com/chart/bXJLby4L/?symbol=NSE%3AZENITHSTL</t>
  </si>
  <si>
    <t>ZENSARTECH</t>
  </si>
  <si>
    <t>Zensar Technologies Limited</t>
  </si>
  <si>
    <t>https://in.tradingview.com/chart/ofQQfXOP/?symbol=NSE%3AZENSARTECH</t>
  </si>
  <si>
    <t>https://in.tradingview.com/chart/bXJLby4L/?symbol=NSE%3AZENSARTECH</t>
  </si>
  <si>
    <t>GOLDCASE</t>
  </si>
  <si>
    <t>Zerodha Gold ETF</t>
  </si>
  <si>
    <t>https://in.tradingview.com/chart/ofQQfXOP/?symbol=NSE%3AGOLDCASE</t>
  </si>
  <si>
    <t>https://in.tradingview.com/chart/bXJLby4L/?symbol=NSE%3AGOLDCASE</t>
  </si>
  <si>
    <t>TOP100CASE</t>
  </si>
  <si>
    <t>Zerodha Nifty 100 ETF</t>
  </si>
  <si>
    <t>https://in.tradingview.com/chart/ofQQfXOP/?symbol=NSE%3ATOP100CASE</t>
  </si>
  <si>
    <t>https://in.tradingview.com/chart/bXJLby4L/?symbol=NSE%3ATOP100CASE</t>
  </si>
  <si>
    <t>LIQUIDCASE</t>
  </si>
  <si>
    <t>Zerodha Nifty 1D Rate Liquid ETF</t>
  </si>
  <si>
    <t>https://in.tradingview.com/chart/ofQQfXOP/?symbol=NSE%3ALIQUIDCASE</t>
  </si>
  <si>
    <t>https://in.tradingview.com/chart/bXJLby4L/?symbol=NSE%3ALIQUIDCASE</t>
  </si>
  <si>
    <t>NIFTYCASE</t>
  </si>
  <si>
    <t>Zerodha Nifty 50 ETF</t>
  </si>
  <si>
    <t>https://in.tradingview.com/chart/ofQQfXOP/?symbol=NSE%3ANIFTYCASE</t>
  </si>
  <si>
    <t>https://in.tradingview.com/chart/bXJLby4L/?symbol=NSE%3ANIFTYCASE</t>
  </si>
  <si>
    <t>LTGILTCASE</t>
  </si>
  <si>
    <t>Zerodha Nifty 8-13 Yr G-Sec ETF</t>
  </si>
  <si>
    <t>https://in.tradingview.com/chart/ofQQfXOP/?symbol=NSE%3ALTGILTCASE</t>
  </si>
  <si>
    <t>https://in.tradingview.com/chart/bXJLby4L/?symbol=NSE%3ALTGILTCASE</t>
  </si>
  <si>
    <t>MID150CASE</t>
  </si>
  <si>
    <t>Zerodha Nifty Midcap 150 ETF</t>
  </si>
  <si>
    <t>https://in.tradingview.com/chart/ofQQfXOP/?symbol=NSE%3AMID150CASE</t>
  </si>
  <si>
    <t>https://in.tradingview.com/chart/bXJLby4L/?symbol=NSE%3AMID150CASE</t>
  </si>
  <si>
    <t>SML100CASE</t>
  </si>
  <si>
    <t>Zerodha Nifty Smallcap 100 ETF</t>
  </si>
  <si>
    <t>https://in.tradingview.com/chart/ofQQfXOP/?symbol=NSE%3ASML100CASE</t>
  </si>
  <si>
    <t>https://in.tradingview.com/chart/bXJLby4L/?symbol=NSE%3ASML100CASE</t>
  </si>
  <si>
    <t>SILVERCASE</t>
  </si>
  <si>
    <t>Zerodha Silver ETF</t>
  </si>
  <si>
    <t>https://in.tradingview.com/chart/ofQQfXOP/?symbol=NSE%3ASILVERCASE</t>
  </si>
  <si>
    <t>https://in.tradingview.com/chart/bXJLby4L/?symbol=NSE%3ASILVERCASE</t>
  </si>
  <si>
    <t>ZFCVINDIA</t>
  </si>
  <si>
    <t>ZF Commercial Vehicle Control System India Ltd</t>
  </si>
  <si>
    <t>https://in.tradingview.com/chart/ofQQfXOP/?symbol=NSE%3AZFCVINDIA</t>
  </si>
  <si>
    <t>https://in.tradingview.com/chart/bXJLby4L/?symbol=NSE%3AZFCVINDIA</t>
  </si>
  <si>
    <t>ZIMLAB</t>
  </si>
  <si>
    <t>Zim Laboratories Ltd</t>
  </si>
  <si>
    <t>https://in.tradingview.com/chart/ofQQfXOP/?symbol=NSE%3AZIMLAB</t>
  </si>
  <si>
    <t>https://in.tradingview.com/chart/bXJLby4L/?symbol=NSE%3AZIMLAB</t>
  </si>
  <si>
    <t>BLACKBUCK</t>
  </si>
  <si>
    <t>Zinka Logistics Solutions Ltd</t>
  </si>
  <si>
    <t>https://in.tradingview.com/chart/ofQQfXOP/?symbol=NSE%3ABLACKBUCK</t>
  </si>
  <si>
    <t>https://in.tradingview.com/chart/bXJLby4L/?symbol=NSE%3ABLACKBUCK</t>
  </si>
  <si>
    <t>ZODIACLOTH</t>
  </si>
  <si>
    <t>Zodiac Clothing Company Limited</t>
  </si>
  <si>
    <t>https://in.tradingview.com/chart/ofQQfXOP/?symbol=NSE%3AZODIACLOTH</t>
  </si>
  <si>
    <t>https://in.tradingview.com/chart/bXJLby4L/?symbol=NSE%3AZODIACLOTH</t>
  </si>
  <si>
    <t>ZODIAC</t>
  </si>
  <si>
    <t>Zodiac Energy Ltd</t>
  </si>
  <si>
    <t>https://in.tradingview.com/chart/ofQQfXOP/?symbol=NSE%3AZODIAC</t>
  </si>
  <si>
    <t>https://in.tradingview.com/chart/bXJLby4L/?symbol=NSE%3AZODIAC</t>
  </si>
  <si>
    <t>ZOTA</t>
  </si>
  <si>
    <t>Zota Health Care Ltd</t>
  </si>
  <si>
    <t>https://in.tradingview.com/chart/ofQQfXOP/?symbol=NSE%3AZOTA</t>
  </si>
  <si>
    <t>https://in.tradingview.com/chart/bXJLby4L/?symbol=NSE%3AZOTA</t>
  </si>
  <si>
    <t>ZUARI</t>
  </si>
  <si>
    <t>Zuari Agro Chemicals Limited</t>
  </si>
  <si>
    <t>https://in.tradingview.com/chart/ofQQfXOP/?symbol=NSE%3AZUARI</t>
  </si>
  <si>
    <t>https://in.tradingview.com/chart/bXJLby4L/?symbol=NSE%3AZUARI</t>
  </si>
  <si>
    <t>ZUARIIND</t>
  </si>
  <si>
    <t>Zuari Industries Ltd</t>
  </si>
  <si>
    <t>https://in.tradingview.com/chart/ofQQfXOP/?symbol=NSE%3AZUARIIND</t>
  </si>
  <si>
    <t>https://in.tradingview.com/chart/bXJLby4L/?symbol=NSE%3AZUARIIND</t>
  </si>
  <si>
    <t>ZYDUSLIFE</t>
  </si>
  <si>
    <t>Zydus Lifesciences Ltd</t>
  </si>
  <si>
    <t>https://in.tradingview.com/chart/ofQQfXOP/?symbol=NSE%3AZYDUSLIFE</t>
  </si>
  <si>
    <t>https://in.tradingview.com/chart/bXJLby4L/?symbol=NSE%3AZYDUSLIFE</t>
  </si>
  <si>
    <t>ZYDUSWELL</t>
  </si>
  <si>
    <t>Zydus Wellness Limited</t>
  </si>
  <si>
    <t>https://in.tradingview.com/chart/ofQQfXOP/?symbol=NSE%3AZYDUSWELL</t>
  </si>
  <si>
    <t>https://in.tradingview.com/chart/bXJLby4L/?symbol=NSE%3AZYDUSWELL</t>
  </si>
  <si>
    <t>https://in.tradingview.com/chart/mhFm6knv/?symbol=NSE%3A20MICRONS</t>
  </si>
  <si>
    <t>https://in.tradingview.com/chart/mhFm6knv/?symbol=NSE%3AGOLD360</t>
  </si>
  <si>
    <t>https://in.tradingview.com/chart/mhFm6knv/?symbol=NSE%3ASILVER360</t>
  </si>
  <si>
    <t>https://in.tradingview.com/chart/mhFm6knv/?symbol=NSE%3A360ONE</t>
  </si>
  <si>
    <t>https://in.tradingview.com/chart/mhFm6knv/?symbol=NSE%3A3IINFOLTD</t>
  </si>
  <si>
    <t>https://in.tradingview.com/chart/mhFm6knv/?symbol=NSE%3A3MINDIA</t>
  </si>
  <si>
    <t>https://in.tradingview.com/chart/mhFm6knv/?symbol=NSE%3A3PLAND</t>
  </si>
  <si>
    <t>https://in.tradingview.com/chart/mhFm6knv/?symbol=NSE%3A5PAISA</t>
  </si>
  <si>
    <t>https://in.tradingview.com/chart/mhFm6knv/?symbol=NSE%3A63MOONS</t>
  </si>
  <si>
    <t>https://in.tradingview.com/chart/mhFm6knv/?symbol=NSE%3AABINFRA</t>
  </si>
  <si>
    <t>https://in.tradingview.com/chart/mhFm6knv/?symbol=NSE%3AABMINTLLTD</t>
  </si>
  <si>
    <t>https://in.tradingview.com/chart/mhFm6knv/?symbol=NSE%3AA2ZINFRA</t>
  </si>
  <si>
    <t>https://in.tradingview.com/chart/mhFm6knv/?symbol=NSE%3AAAATECH</t>
  </si>
  <si>
    <t>https://in.tradingview.com/chart/mhFm6knv/?symbol=NSE%3AAADHARHFC</t>
  </si>
  <si>
    <t>https://in.tradingview.com/chart/mhFm6knv/?symbol=NSE%3AAAKASH</t>
  </si>
  <si>
    <t>https://in.tradingview.com/chart/mhFm6knv/?symbol=NSE%3AAAREYDRUGS</t>
  </si>
  <si>
    <t>https://in.tradingview.com/chart/mhFm6knv/?symbol=NSE%3AAARON</t>
  </si>
  <si>
    <t>https://in.tradingview.com/chart/mhFm6knv/?symbol=NSE%3AAARTECH</t>
  </si>
  <si>
    <t>https://in.tradingview.com/chart/mhFm6knv/?symbol=NSE%3AAARTIDRUGS</t>
  </si>
  <si>
    <t>https://in.tradingview.com/chart/mhFm6knv/?symbol=NSE%3AAARTIIND</t>
  </si>
  <si>
    <t>https://in.tradingview.com/chart/mhFm6knv/?symbol=NSE%3AAARTIPHARM</t>
  </si>
  <si>
    <t>https://in.tradingview.com/chart/mhFm6knv/?symbol=NSE%3AAARTISURF</t>
  </si>
  <si>
    <t>https://in.tradingview.com/chart/mhFm6knv/?symbol=NSE%3AAARVI</t>
  </si>
  <si>
    <t>https://in.tradingview.com/chart/mhFm6knv/?symbol=NSE%3AAAVAS</t>
  </si>
  <si>
    <t>https://in.tradingview.com/chart/mhFm6knv/?symbol=NSE%3AABCOTS</t>
  </si>
  <si>
    <t>https://in.tradingview.com/chart/mhFm6knv/?symbol=NSE%3AABAN</t>
  </si>
  <si>
    <t>https://in.tradingview.com/chart/mhFm6knv/?symbol=NSE%3AAFSL</t>
  </si>
  <si>
    <t>https://in.tradingview.com/chart/mhFm6knv/?symbol=NSE%3AABB</t>
  </si>
  <si>
    <t>https://in.tradingview.com/chart/mhFm6knv/?symbol=NSE%3AABBOTINDIA</t>
  </si>
  <si>
    <t>https://in.tradingview.com/chart/mhFm6knv/?symbol=NSE%3AACC</t>
  </si>
  <si>
    <t>https://in.tradingview.com/chart/mhFm6knv/?symbol=NSE%3AACCELYA</t>
  </si>
  <si>
    <t>https://in.tradingview.com/chart/mhFm6knv/?symbol=NSE%3AACCURACY</t>
  </si>
  <si>
    <t>https://in.tradingview.com/chart/mhFm6knv/?symbol=NSE%3AACEINTEG</t>
  </si>
  <si>
    <t>https://in.tradingview.com/chart/mhFm6knv/?symbol=NSE%3AACMESOLAR</t>
  </si>
  <si>
    <t>https://in.tradingview.com/chart/mhFm6knv/?symbol=NSE%3AACE</t>
  </si>
  <si>
    <t>https://in.tradingview.com/chart/mhFm6knv/?symbol=NSE%3AACUTAAS</t>
  </si>
  <si>
    <t>https://in.tradingview.com/chart/mhFm6knv/?symbol=NSE%3AADANIENSOL</t>
  </si>
  <si>
    <t>https://in.tradingview.com/chart/mhFm6knv/?symbol=NSE%3AADANIENT</t>
  </si>
  <si>
    <t>https://in.tradingview.com/chart/mhFm6knv/?symbol=NSE%3AADANIGREEN</t>
  </si>
  <si>
    <t>https://in.tradingview.com/chart/mhFm6knv/?symbol=NSE%3AADANIPORTS</t>
  </si>
  <si>
    <t>https://in.tradingview.com/chart/mhFm6knv/?symbol=NSE%3AADANIPOWER</t>
  </si>
  <si>
    <t>https://in.tradingview.com/chart/mhFm6knv/?symbol=NSE%3AATGL</t>
  </si>
  <si>
    <t>https://in.tradingview.com/chart/mhFm6knv/?symbol=NSE%3AAWL</t>
  </si>
  <si>
    <t>https://in.tradingview.com/chart/mhFm6knv/?symbol=NSE%3AADFFOODS</t>
  </si>
  <si>
    <t>https://in.tradingview.com/chart/mhFm6knv/?symbol=NSE%3AABCAPITAL</t>
  </si>
  <si>
    <t>https://in.tradingview.com/chart/mhFm6knv/?symbol=NSE%3AABFRL</t>
  </si>
  <si>
    <t>https://in.tradingview.com/chart/mhFm6knv/?symbol=NSE%3AABLBL</t>
  </si>
  <si>
    <t>https://in.tradingview.com/chart/mhFm6knv/?symbol=NSE%3ABIRLAMONEY</t>
  </si>
  <si>
    <t>https://in.tradingview.com/chart/mhFm6knv/?symbol=NSE%3AABREL</t>
  </si>
  <si>
    <t>https://in.tradingview.com/chart/mhFm6knv/?symbol=NSE%3AABSLLIQUID</t>
  </si>
  <si>
    <t>https://in.tradingview.com/chart/mhFm6knv/?symbol=NSE%3AABSLAMC</t>
  </si>
  <si>
    <t>https://in.tradingview.com/chart/mhFm6knv/?symbol=NSE%3AABSLBANETF</t>
  </si>
  <si>
    <t>https://in.tradingview.com/chart/mhFm6knv/?symbol=NSE%3AGSEC10ABSL</t>
  </si>
  <si>
    <t>https://in.tradingview.com/chart/mhFm6knv/?symbol=NSE%3AABGSEC</t>
  </si>
  <si>
    <t>https://in.tradingview.com/chart/mhFm6knv/?symbol=NSE%3ABSLGOLDETF</t>
  </si>
  <si>
    <t>https://in.tradingview.com/chart/mhFm6knv/?symbol=NSE%3AMOMENTUM</t>
  </si>
  <si>
    <t>https://in.tradingview.com/chart/mhFm6knv/?symbol=NSE%3ANIFTYQLITY</t>
  </si>
  <si>
    <t>https://in.tradingview.com/chart/mhFm6knv/?symbol=NSE%3ABSLNIFTY</t>
  </si>
  <si>
    <t>https://in.tradingview.com/chart/mhFm6knv/?symbol=NSE%3AHEALTHY</t>
  </si>
  <si>
    <t>https://in.tradingview.com/chart/mhFm6knv/?symbol=NSE%3ATECH</t>
  </si>
  <si>
    <t>https://in.tradingview.com/chart/mhFm6knv/?symbol=NSE%3AABSLNN50ET</t>
  </si>
  <si>
    <t>https://in.tradingview.com/chart/mhFm6knv/?symbol=NSE%3AABSLPSE</t>
  </si>
  <si>
    <t>https://in.tradingview.com/chart/mhFm6knv/?symbol=NSE%3ASILVER</t>
  </si>
  <si>
    <t>https://in.tradingview.com/chart/mhFm6knv/?symbol=NSE%3ACPPLUS</t>
  </si>
  <si>
    <t>https://in.tradingview.com/chart/mhFm6knv/?symbol=NSE%3AAVL</t>
  </si>
  <si>
    <t>https://in.tradingview.com/chart/mhFm6knv/?symbol=NSE%3AADOR</t>
  </si>
  <si>
    <t>https://in.tradingview.com/chart/mhFm6knv/?symbol=NSE%3AADROITINFO</t>
  </si>
  <si>
    <t>https://in.tradingview.com/chart/mhFm6knv/?symbol=NSE%3AADVANCE</t>
  </si>
  <si>
    <t>https://in.tradingview.com/chart/mhFm6knv/?symbol=NSE%3AADVENZYMES</t>
  </si>
  <si>
    <t>https://in.tradingview.com/chart/mhFm6knv/?symbol=NSE%3AADVANIHOTR</t>
  </si>
  <si>
    <t>https://in.tradingview.com/chart/mhFm6knv/?symbol=NSE%3AADVENTHTL</t>
  </si>
  <si>
    <t>https://in.tradingview.com/chart/mhFm6knv/?symbol=NSE%3AAEGISLOG</t>
  </si>
  <si>
    <t>https://in.tradingview.com/chart/mhFm6knv/?symbol=NSE%3AAEGISVOPAK</t>
  </si>
  <si>
    <t>https://in.tradingview.com/chart/mhFm6knv/?symbol=NSE%3AAEROENTER</t>
  </si>
  <si>
    <t>https://in.tradingview.com/chart/mhFm6knv/?symbol=NSE%3AAEROFLEX</t>
  </si>
  <si>
    <t>https://in.tradingview.com/chart/mhFm6knv/?symbol=NSE%3AAERONEU</t>
  </si>
  <si>
    <t>https://in.tradingview.com/chart/mhFm6knv/?symbol=NSE%3AAETHER</t>
  </si>
  <si>
    <t>https://in.tradingview.com/chart/mhFm6knv/?symbol=NSE%3AAFCONS</t>
  </si>
  <si>
    <t>https://in.tradingview.com/chart/mhFm6knv/?symbol=NSE%3AAFFLE</t>
  </si>
  <si>
    <t>https://in.tradingview.com/chart/mhFm6knv/?symbol=NSE%3AAFFORDABLE</t>
  </si>
  <si>
    <t>https://in.tradingview.com/chart/mhFm6knv/?symbol=NSE%3AAGARIND</t>
  </si>
  <si>
    <t>https://in.tradingview.com/chart/mhFm6knv/?symbol=NSE%3AAGI</t>
  </si>
  <si>
    <t>https://in.tradingview.com/chart/mhFm6knv/?symbol=NSE%3AAGIIL</t>
  </si>
  <si>
    <t>https://in.tradingview.com/chart/mhFm6knv/?symbol=NSE%3AAGRITECH</t>
  </si>
  <si>
    <t>https://in.tradingview.com/chart/mhFm6knv/?symbol=NSE%3AAGROPHOS</t>
  </si>
  <si>
    <t>https://in.tradingview.com/chart/mhFm6knv/?symbol=NSE%3AAHLADA</t>
  </si>
  <si>
    <t>https://in.tradingview.com/chart/mhFm6knv/?symbol=NSE%3AAHLUCONT</t>
  </si>
  <si>
    <t>https://in.tradingview.com/chart/mhFm6knv/?symbol=NSE%3AAIAENG</t>
  </si>
  <si>
    <t>https://in.tradingview.com/chart/mhFm6knv/?symbol=NSE%3AAIRAN</t>
  </si>
  <si>
    <t>https://in.tradingview.com/chart/mhFm6knv/?symbol=NSE%3AAIROLAM</t>
  </si>
  <si>
    <t>https://in.tradingview.com/chart/mhFm6knv/?symbol=NSE%3AAJANTPHARM</t>
  </si>
  <si>
    <t>https://in.tradingview.com/chart/mhFm6knv/?symbol=NSE%3AAJAXENGG</t>
  </si>
  <si>
    <t>https://in.tradingview.com/chart/mhFm6knv/?symbol=NSE%3AAJMERA</t>
  </si>
  <si>
    <t>https://in.tradingview.com/chart/mhFm6knv/?symbol=NSE%3AAKASH</t>
  </si>
  <si>
    <t>https://in.tradingview.com/chart/mhFm6knv/?symbol=NSE%3AAKG</t>
  </si>
  <si>
    <t>https://in.tradingview.com/chart/mhFm6knv/?symbol=NSE%3AAKI</t>
  </si>
  <si>
    <t>https://in.tradingview.com/chart/mhFm6knv/?symbol=NSE%3AAFIL</t>
  </si>
  <si>
    <t>https://in.tradingview.com/chart/mhFm6knv/?symbol=NSE%3AAKSHOPTFBR</t>
  </si>
  <si>
    <t>https://in.tradingview.com/chart/mhFm6knv/?symbol=NSE%3AAKSHARCHEM</t>
  </si>
  <si>
    <t>https://in.tradingview.com/chart/mhFm6knv/?symbol=NSE%3AAKUMS</t>
  </si>
  <si>
    <t>https://in.tradingview.com/chart/mhFm6knv/?symbol=NSE%3AAKZOINDIA</t>
  </si>
  <si>
    <t>https://in.tradingview.com/chart/mhFm6knv/?symbol=NSE%3AALANKIT</t>
  </si>
  <si>
    <t>https://in.tradingview.com/chart/mhFm6knv/?symbol=NSE%3AALBERTDAVD</t>
  </si>
  <si>
    <t>https://in.tradingview.com/chart/mhFm6knv/?symbol=NSE%3AALEMBICLTD</t>
  </si>
  <si>
    <t>https://in.tradingview.com/chart/mhFm6knv/?symbol=NSE%3AAPLLTD</t>
  </si>
  <si>
    <t>https://in.tradingview.com/chart/mhFm6knv/?symbol=NSE%3AALICON</t>
  </si>
  <si>
    <t>https://in.tradingview.com/chart/mhFm6knv/?symbol=NSE%3AALIVUS</t>
  </si>
  <si>
    <t>https://in.tradingview.com/chart/mhFm6knv/?symbol=NSE%3AALKALI</t>
  </si>
  <si>
    <t>https://in.tradingview.com/chart/mhFm6knv/?symbol=NSE%3AALKEM</t>
  </si>
  <si>
    <t>https://in.tradingview.com/chart/mhFm6knv/?symbol=NSE%3AALKYLAMINE</t>
  </si>
  <si>
    <t>https://in.tradingview.com/chart/mhFm6knv/?symbol=NSE%3AALLTIME</t>
  </si>
  <si>
    <t>https://in.tradingview.com/chart/mhFm6knv/?symbol=NSE%3AALLCARGO</t>
  </si>
  <si>
    <t>https://in.tradingview.com/chart/mhFm6knv/?symbol=NSE%3AATL</t>
  </si>
  <si>
    <t>https://in.tradingview.com/chart/mhFm6knv/?symbol=NSE%3AALLDIGI</t>
  </si>
  <si>
    <t>https://in.tradingview.com/chart/mhFm6knv/?symbol=NSE%3AABDL</t>
  </si>
  <si>
    <t>https://in.tradingview.com/chart/mhFm6knv/?symbol=NSE%3AADSL</t>
  </si>
  <si>
    <t>https://in.tradingview.com/chart/mhFm6knv/?symbol=NSE%3AALMONDZ</t>
  </si>
  <si>
    <t>https://in.tradingview.com/chart/mhFm6knv/?symbol=NSE%3AALOKINDS</t>
  </si>
  <si>
    <t>https://in.tradingview.com/chart/mhFm6knv/?symbol=NSE%3AALPA</t>
  </si>
  <si>
    <t>https://in.tradingview.com/chart/mhFm6knv/?symbol=NSE%3AALPHAGEO</t>
  </si>
  <si>
    <t>https://in.tradingview.com/chart/mhFm6knv/?symbol=NSE%3AAMANTA</t>
  </si>
  <si>
    <t>https://in.tradingview.com/chart/mhFm6knv/?symbol=NSE%3AARE&amp;M</t>
  </si>
  <si>
    <t>https://in.tradingview.com/chart/mhFm6knv/?symbol=NSE%3AAMBER</t>
  </si>
  <si>
    <t>https://in.tradingview.com/chart/mhFm6knv/?symbol=NSE%3AAMBICAAGAR</t>
  </si>
  <si>
    <t>https://in.tradingview.com/chart/mhFm6knv/?symbol=NSE%3AAMBIKCO</t>
  </si>
  <si>
    <t>https://in.tradingview.com/chart/mhFm6knv/?symbol=NSE%3AAMBUJACEM</t>
  </si>
  <si>
    <t>https://in.tradingview.com/chart/mhFm6knv/?symbol=NSE%3AAMDIND</t>
  </si>
  <si>
    <t>https://in.tradingview.com/chart/mhFm6knv/?symbol=NSE%3AAMNPLST</t>
  </si>
  <si>
    <t>https://in.tradingview.com/chart/mhFm6knv/?symbol=NSE%3AAMJLAND</t>
  </si>
  <si>
    <t>https://in.tradingview.com/chart/mhFm6knv/?symbol=NSE%3AAMRUTANJAN</t>
  </si>
  <si>
    <t>https://in.tradingview.com/chart/mhFm6knv/?symbol=NSE%3AARSSBL</t>
  </si>
  <si>
    <t>https://in.tradingview.com/chart/mhFm6knv/?symbol=NSE%3AANANDRATHI</t>
  </si>
  <si>
    <t>https://in.tradingview.com/chart/mhFm6knv/?symbol=NSE%3ATARC</t>
  </si>
  <si>
    <t>https://in.tradingview.com/chart/mhFm6knv/?symbol=NSE%3AANANTRAJ</t>
  </si>
  <si>
    <t>https://in.tradingview.com/chart/mhFm6knv/?symbol=NSE%3AACL</t>
  </si>
  <si>
    <t>https://in.tradingview.com/chart/mhFm6knv/?symbol=NSE%3AANDHRAPAP</t>
  </si>
  <si>
    <t>https://in.tradingview.com/chart/mhFm6knv/?symbol=NSE%3AAONEGOLD</t>
  </si>
  <si>
    <t>https://in.tradingview.com/chart/mhFm6knv/?symbol=NSE%3AANGELONE</t>
  </si>
  <si>
    <t>https://in.tradingview.com/chart/mhFm6knv/?symbol=NSE%3AAONELIQUID</t>
  </si>
  <si>
    <t>https://in.tradingview.com/chart/mhFm6knv/?symbol=NSE%3AAONETOTAL</t>
  </si>
  <si>
    <t>https://in.tradingview.com/chart/mhFm6knv/?symbol=NSE%3AAONETMMQ50</t>
  </si>
  <si>
    <t>https://in.tradingview.com/chart/mhFm6knv/?symbol=NSE%3AANIKINDS</t>
  </si>
  <si>
    <t>https://in.tradingview.com/chart/mhFm6knv/?symbol=NSE%3AAPCL</t>
  </si>
  <si>
    <t>https://in.tradingview.com/chart/mhFm6knv/?symbol=NSE%3AAHCL</t>
  </si>
  <si>
    <t>https://in.tradingview.com/chart/mhFm6knv/?symbol=NSE%3AANMOL</t>
  </si>
  <si>
    <t>https://in.tradingview.com/chart/mhFm6knv/?symbol=NSE%3AANTELOPUS</t>
  </si>
  <si>
    <t>https://in.tradingview.com/chart/mhFm6knv/?symbol=NSE%3AANTHEM</t>
  </si>
  <si>
    <t>https://in.tradingview.com/chart/mhFm6knv/?symbol=NSE%3AAWHCL</t>
  </si>
  <si>
    <t>https://in.tradingview.com/chart/mhFm6knv/?symbol=NSE%3AANUHPHR</t>
  </si>
  <si>
    <t>https://in.tradingview.com/chart/mhFm6knv/?symbol=NSE%3AANURAS</t>
  </si>
  <si>
    <t>https://in.tradingview.com/chart/mhFm6knv/?symbol=NSE%3AAONENIFTY</t>
  </si>
  <si>
    <t>https://in.tradingview.com/chart/mhFm6knv/?symbol=NSE%3AAPARINDS</t>
  </si>
  <si>
    <t>https://in.tradingview.com/chart/mhFm6knv/?symbol=NSE%3AAPCOTEXIND</t>
  </si>
  <si>
    <t>https://in.tradingview.com/chart/mhFm6knv/?symbol=NSE%3APARKHOTELS</t>
  </si>
  <si>
    <t>https://in.tradingview.com/chart/mhFm6knv/?symbol=NSE%3AAPEX</t>
  </si>
  <si>
    <t>https://in.tradingview.com/chart/mhFm6knv/?symbol=NSE%3AAPLAPOLLO</t>
  </si>
  <si>
    <t>https://in.tradingview.com/chart/mhFm6knv/?symbol=NSE%3AAPOLLOHOSP</t>
  </si>
  <si>
    <t>https://in.tradingview.com/chart/mhFm6knv/?symbol=NSE%3AAPOLLO</t>
  </si>
  <si>
    <t>https://in.tradingview.com/chart/mhFm6knv/?symbol=NSE%3AAPOLLOPIPE</t>
  </si>
  <si>
    <t>https://in.tradingview.com/chart/mhFm6knv/?symbol=NSE%3AAPOLSINHOT</t>
  </si>
  <si>
    <t>https://in.tradingview.com/chart/mhFm6knv/?symbol=NSE%3AAPOLLOTYRE</t>
  </si>
  <si>
    <t>https://in.tradingview.com/chart/mhFm6knv/?symbol=NSE%3AAPTECHT</t>
  </si>
  <si>
    <t>https://in.tradingview.com/chart/mhFm6knv/?symbol=NSE%3AAPTUS</t>
  </si>
  <si>
    <t>https://in.tradingview.com/chart/mhFm6knv/?symbol=NSE%3AACI</t>
  </si>
  <si>
    <t>https://in.tradingview.com/chart/mhFm6knv/?symbol=NSE%3AADL</t>
  </si>
  <si>
    <t>https://in.tradingview.com/chart/mhFm6knv/?symbol=NSE%3AARCHIDPLY</t>
  </si>
  <si>
    <t>https://in.tradingview.com/chart/mhFm6knv/?symbol=NSE%3AARCHIES</t>
  </si>
  <si>
    <t>https://in.tradingview.com/chart/mhFm6knv/?symbol=NSE%3AARFIN</t>
  </si>
  <si>
    <t>https://in.tradingview.com/chart/mhFm6knv/?symbol=NSE%3AARIES</t>
  </si>
  <si>
    <t>https://in.tradingview.com/chart/mhFm6knv/?symbol=NSE%3AARIHANTCAP</t>
  </si>
  <si>
    <t>https://in.tradingview.com/chart/mhFm6knv/?symbol=NSE%3AARIHANTSUP</t>
  </si>
  <si>
    <t>https://in.tradingview.com/chart/mhFm6knv/?symbol=NSE%3AARISINFRA</t>
  </si>
  <si>
    <t>https://in.tradingview.com/chart/mhFm6knv/?symbol=NSE%3AARKADE</t>
  </si>
  <si>
    <t>https://in.tradingview.com/chart/mhFm6knv/?symbol=NSE%3AARMANFIN</t>
  </si>
  <si>
    <t>https://in.tradingview.com/chart/mhFm6knv/?symbol=NSE%3AAROGRANITE</t>
  </si>
  <si>
    <t>https://in.tradingview.com/chart/mhFm6knv/?symbol=NSE%3AARROWGREEN</t>
  </si>
  <si>
    <t>https://in.tradingview.com/chart/mhFm6knv/?symbol=NSE%3AARTNIRMAN</t>
  </si>
  <si>
    <t>https://in.tradingview.com/chart/mhFm6knv/?symbol=NSE%3AARTEMISMED</t>
  </si>
  <si>
    <t>https://in.tradingview.com/chart/mhFm6knv/?symbol=NSE%3AARVEE</t>
  </si>
  <si>
    <t>https://in.tradingview.com/chart/mhFm6knv/?symbol=NSE%3AARVINDFASN</t>
  </si>
  <si>
    <t>https://in.tradingview.com/chart/mhFm6knv/?symbol=NSE%3AARVIND</t>
  </si>
  <si>
    <t>https://in.tradingview.com/chart/mhFm6knv/?symbol=NSE%3AARVSMART</t>
  </si>
  <si>
    <t>https://in.tradingview.com/chart/mhFm6knv/?symbol=NSE%3AASAHIINDIA</t>
  </si>
  <si>
    <t>https://in.tradingview.com/chart/mhFm6knv/?symbol=NSE%3AASAHISONG</t>
  </si>
  <si>
    <t>https://in.tradingview.com/chart/mhFm6knv/?symbol=NSE%3AASHAPURMIN</t>
  </si>
  <si>
    <t>https://in.tradingview.com/chart/mhFm6knv/?symbol=NSE%3AASHIANA</t>
  </si>
  <si>
    <t>https://in.tradingview.com/chart/mhFm6knv/?symbol=NSE%3AASHIMASYN</t>
  </si>
  <si>
    <t>https://in.tradingview.com/chart/mhFm6knv/?symbol=NSE%3AASHOKLEY</t>
  </si>
  <si>
    <t>https://in.tradingview.com/chart/mhFm6knv/?symbol=NSE%3AASHOKA</t>
  </si>
  <si>
    <t>https://in.tradingview.com/chart/mhFm6knv/?symbol=NSE%3AASHOKAMET</t>
  </si>
  <si>
    <t>https://in.tradingview.com/chart/mhFm6knv/?symbol=NSE%3AASIANENE</t>
  </si>
  <si>
    <t>https://in.tradingview.com/chart/mhFm6knv/?symbol=NSE%3AASIANTILES</t>
  </si>
  <si>
    <t>https://in.tradingview.com/chart/mhFm6knv/?symbol=NSE%3AAHLEAST</t>
  </si>
  <si>
    <t>https://in.tradingview.com/chart/mhFm6knv/?symbol=NSE%3AASIANHOTNR</t>
  </si>
  <si>
    <t>https://in.tradingview.com/chart/mhFm6knv/?symbol=NSE%3AASIANPAINT</t>
  </si>
  <si>
    <t>https://in.tradingview.com/chart/mhFm6knv/?symbol=NSE%3AASKAUTOLTD</t>
  </si>
  <si>
    <t>https://in.tradingview.com/chart/mhFm6knv/?symbol=NSE%3AASPINWALL</t>
  </si>
  <si>
    <t>https://in.tradingview.com/chart/mhFm6knv/?symbol=NSE%3AASALCBR</t>
  </si>
  <si>
    <t>https://in.tradingview.com/chart/mhFm6knv/?symbol=NSE%3AASTEC</t>
  </si>
  <si>
    <t>https://in.tradingview.com/chart/mhFm6knv/?symbol=NSE%3AASTERDM</t>
  </si>
  <si>
    <t>https://in.tradingview.com/chart/mhFm6knv/?symbol=NSE%3AASTRAMICRO</t>
  </si>
  <si>
    <t>https://in.tradingview.com/chart/mhFm6knv/?symbol=NSE%3AASTRAL</t>
  </si>
  <si>
    <t>https://in.tradingview.com/chart/mhFm6knv/?symbol=NSE%3AASTRAZEN</t>
  </si>
  <si>
    <t>https://in.tradingview.com/chart/mhFm6knv/?symbol=NSE%3AASTRON</t>
  </si>
  <si>
    <t>https://in.tradingview.com/chart/mhFm6knv/?symbol=NSE%3AATALREAL</t>
  </si>
  <si>
    <t>https://in.tradingview.com/chart/mhFm6knv/?symbol=NSE%3AATAM</t>
  </si>
  <si>
    <t>https://in.tradingview.com/chart/mhFm6knv/?symbol=NSE%3AATHERENERG</t>
  </si>
  <si>
    <t>https://in.tradingview.com/chart/mhFm6knv/?symbol=NSE%3AATLANTAELE</t>
  </si>
  <si>
    <t>https://in.tradingview.com/chart/mhFm6knv/?symbol=NSE%3AATLANTAA</t>
  </si>
  <si>
    <t>https://in.tradingview.com/chart/mhFm6knv/?symbol=NSE%3AATLASCYCLE</t>
  </si>
  <si>
    <t>https://in.tradingview.com/chart/mhFm6knv/?symbol=NSE%3AATULAUTO</t>
  </si>
  <si>
    <t>https://in.tradingview.com/chart/mhFm6knv/?symbol=NSE%3AATUL</t>
  </si>
  <si>
    <t>https://in.tradingview.com/chart/mhFm6knv/?symbol=NSE%3AAUBANK</t>
  </si>
  <si>
    <t>https://in.tradingview.com/chart/mhFm6knv/?symbol=NSE%3AAURIONPRO</t>
  </si>
  <si>
    <t>https://in.tradingview.com/chart/mhFm6knv/?symbol=NSE%3AAUROPHARMA</t>
  </si>
  <si>
    <t>https://in.tradingview.com/chart/mhFm6knv/?symbol=NSE%3AAURUM</t>
  </si>
  <si>
    <t>https://in.tradingview.com/chart/mhFm6knv/?symbol=NSE%3AAUSOMENT</t>
  </si>
  <si>
    <t>https://in.tradingview.com/chart/mhFm6knv/?symbol=NSE%3AAIIL</t>
  </si>
  <si>
    <t>https://in.tradingview.com/chart/mhFm6knv/?symbol=NSE%3AAUTOIND</t>
  </si>
  <si>
    <t>https://in.tradingview.com/chart/mhFm6knv/?symbol=NSE%3AAUTOAXLES</t>
  </si>
  <si>
    <t>https://in.tradingview.com/chart/mhFm6knv/?symbol=NSE%3AASAL</t>
  </si>
  <si>
    <t>https://in.tradingview.com/chart/mhFm6knv/?symbol=NSE%3AAVADHSUGAR</t>
  </si>
  <si>
    <t>https://in.tradingview.com/chart/mhFm6knv/?symbol=NSE%3AAVALON</t>
  </si>
  <si>
    <t>https://in.tradingview.com/chart/mhFm6knv/?symbol=NSE%3AAVANTEL</t>
  </si>
  <si>
    <t>https://in.tradingview.com/chart/mhFm6knv/?symbol=NSE%3AAVANTIFEED</t>
  </si>
  <si>
    <t>https://in.tradingview.com/chart/mhFm6knv/?symbol=NSE%3ADMART</t>
  </si>
  <si>
    <t>https://in.tradingview.com/chart/mhFm6knv/?symbol=NSE%3AAVG</t>
  </si>
  <si>
    <t>https://in.tradingview.com/chart/mhFm6knv/?symbol=NSE%3AAVONMORE</t>
  </si>
  <si>
    <t>https://in.tradingview.com/chart/mhFm6knv/?symbol=NSE%3AAVROIND</t>
  </si>
  <si>
    <t>https://in.tradingview.com/chart/mhFm6knv/?symbol=NSE%3AAVTNPL</t>
  </si>
  <si>
    <t>https://in.tradingview.com/chart/mhFm6knv/?symbol=NSE%3AAWFIS</t>
  </si>
  <si>
    <t>https://in.tradingview.com/chart/mhFm6knv/?symbol=NSE%3AAXISBPSETF</t>
  </si>
  <si>
    <t>https://in.tradingview.com/chart/mhFm6knv/?symbol=NSE%3AAXISBANK</t>
  </si>
  <si>
    <t>https://in.tradingview.com/chart/mhFm6knv/?symbol=NSE%3AAXISBNKETF</t>
  </si>
  <si>
    <t>https://in.tradingview.com/chart/mhFm6knv/?symbol=NSE%3AAXISCETF</t>
  </si>
  <si>
    <t>https://in.tradingview.com/chart/mhFm6knv/?symbol=NSE%3AAXISGOLD</t>
  </si>
  <si>
    <t>https://in.tradingview.com/chart/mhFm6knv/?symbol=NSE%3AAXISHCETF</t>
  </si>
  <si>
    <t>https://in.tradingview.com/chart/mhFm6knv/?symbol=NSE%3AAXISNIFTY</t>
  </si>
  <si>
    <t>https://in.tradingview.com/chart/mhFm6knv/?symbol=NSE%3AAXISVALUE</t>
  </si>
  <si>
    <t>https://in.tradingview.com/chart/mhFm6knv/?symbol=NSE%3AAXSENSEX</t>
  </si>
  <si>
    <t>https://in.tradingview.com/chart/mhFm6knv/?symbol=NSE%3AAXISILVER</t>
  </si>
  <si>
    <t>https://in.tradingview.com/chart/mhFm6knv/?symbol=NSE%3AAXISTECETF</t>
  </si>
  <si>
    <t>https://in.tradingview.com/chart/mhFm6knv/?symbol=NSE%3AAXISCADES</t>
  </si>
  <si>
    <t>https://in.tradingview.com/chart/mhFm6knv/?symbol=NSE%3AAXITA</t>
  </si>
  <si>
    <t>https://in.tradingview.com/chart/mhFm6knv/?symbol=NSE%3AAYMSYNTEX</t>
  </si>
  <si>
    <t>https://in.tradingview.com/chart/mhFm6knv/?symbol=NSE%3AAZAD</t>
  </si>
  <si>
    <t>https://in.tradingview.com/chart/mhFm6knv/?symbol=NSE%3ABLKASHYAP</t>
  </si>
  <si>
    <t>https://in.tradingview.com/chart/mhFm6knv/?symbol=NSE%3ABAGFILMS</t>
  </si>
  <si>
    <t>https://in.tradingview.com/chart/mhFm6knv/?symbol=NSE%3ABBTCL</t>
  </si>
  <si>
    <t>https://in.tradingview.com/chart/mhFm6knv/?symbol=NSE%3ASTYLEBAAZA</t>
  </si>
  <si>
    <t>https://in.tradingview.com/chart/mhFm6knv/?symbol=NSE%3ABAFNAPH</t>
  </si>
  <si>
    <t>https://in.tradingview.com/chart/mhFm6knv/?symbol=NSE%3ABAIDFIN</t>
  </si>
  <si>
    <t>https://in.tradingview.com/chart/mhFm6knv/?symbol=NSE%3ABAJAJ-AUTO</t>
  </si>
  <si>
    <t>https://in.tradingview.com/chart/mhFm6knv/?symbol=NSE%3ABAJAJCON</t>
  </si>
  <si>
    <t>https://in.tradingview.com/chart/mhFm6knv/?symbol=NSE%3ABAJAJELEC</t>
  </si>
  <si>
    <t>https://in.tradingview.com/chart/mhFm6knv/?symbol=NSE%3ABAJFINANCE</t>
  </si>
  <si>
    <t>https://in.tradingview.com/chart/mhFm6knv/?symbol=NSE%3ABAJAJFINSV</t>
  </si>
  <si>
    <t>https://in.tradingview.com/chart/mhFm6knv/?symbol=NSE%3ALIQUIDBETF</t>
  </si>
  <si>
    <t>https://in.tradingview.com/chart/mhFm6knv/?symbol=NSE%3ANIFTYBETF</t>
  </si>
  <si>
    <t>https://in.tradingview.com/chart/mhFm6knv/?symbol=NSE%3ABANKBETF</t>
  </si>
  <si>
    <t>https://in.tradingview.com/chart/mhFm6knv/?symbol=NSE%3ABAJAJHCARE</t>
  </si>
  <si>
    <t>https://in.tradingview.com/chart/mhFm6knv/?symbol=NSE%3ABAJAJHIND</t>
  </si>
  <si>
    <t>https://in.tradingview.com/chart/mhFm6knv/?symbol=NSE%3ABAJAJHLDNG</t>
  </si>
  <si>
    <t>https://in.tradingview.com/chart/mhFm6knv/?symbol=NSE%3ABAJAJHFL</t>
  </si>
  <si>
    <t>https://in.tradingview.com/chart/mhFm6knv/?symbol=NSE%3ABAJEL</t>
  </si>
  <si>
    <t>https://in.tradingview.com/chart/mhFm6knv/?symbol=NSE%3ABALPHARMA</t>
  </si>
  <si>
    <t>https://in.tradingview.com/chart/mhFm6knv/?symbol=NSE%3ABALAMINES</t>
  </si>
  <si>
    <t>https://in.tradingview.com/chart/mhFm6knv/?symbol=NSE%3ABALAJITELE</t>
  </si>
  <si>
    <t>https://in.tradingview.com/chart/mhFm6knv/?symbol=NSE%3ABALAXI</t>
  </si>
  <si>
    <t>https://in.tradingview.com/chart/mhFm6knv/?symbol=NSE%3ABALKRISIND</t>
  </si>
  <si>
    <t>https://in.tradingview.com/chart/mhFm6knv/?symbol=NSE%3ABALKRISHNA</t>
  </si>
  <si>
    <t>https://in.tradingview.com/chart/mhFm6knv/?symbol=NSE%3ABALMLAWRIE</t>
  </si>
  <si>
    <t>https://in.tradingview.com/chart/mhFm6knv/?symbol=NSE%3ABALRAMCHIN</t>
  </si>
  <si>
    <t>https://in.tradingview.com/chart/mhFm6knv/?symbol=NSE%3ABALUFORGE</t>
  </si>
  <si>
    <t>https://in.tradingview.com/chart/mhFm6knv/?symbol=NSE%3ABANARBEADS</t>
  </si>
  <si>
    <t>https://in.tradingview.com/chart/mhFm6knv/?symbol=NSE%3ABANCOINDIA</t>
  </si>
  <si>
    <t>https://in.tradingview.com/chart/mhFm6knv/?symbol=NSE%3ABANDHANBNK</t>
  </si>
  <si>
    <t>https://in.tradingview.com/chart/mhFm6knv/?symbol=NSE%3AIDFNIFTYET</t>
  </si>
  <si>
    <t>https://in.tradingview.com/chart/mhFm6knv/?symbol=NSE%3ABANG</t>
  </si>
  <si>
    <t>https://in.tradingview.com/chart/mhFm6knv/?symbol=NSE%3ABANKBARODA</t>
  </si>
  <si>
    <t>https://in.tradingview.com/chart/mhFm6knv/?symbol=NSE%3ABANKINDIA</t>
  </si>
  <si>
    <t>https://in.tradingview.com/chart/mhFm6knv/?symbol=NSE%3AMAHABANK</t>
  </si>
  <si>
    <t>https://in.tradingview.com/chart/mhFm6knv/?symbol=NSE%3ABANKA</t>
  </si>
  <si>
    <t>https://in.tradingview.com/chart/mhFm6knv/?symbol=NSE%3ABANKNIFTY</t>
  </si>
  <si>
    <t>https://in.tradingview.com/chart/mhFm6knv/?symbol=NSE%3ABANKNIFTY1</t>
  </si>
  <si>
    <t>https://in.tradingview.com/chart/mhFm6knv/?symbol=NSE%3ABASML</t>
  </si>
  <si>
    <t>https://in.tradingview.com/chart/mhFm6knv/?symbol=NSE%3ABANARISUG</t>
  </si>
  <si>
    <t>https://in.tradingview.com/chart/mhFm6knv/?symbol=NSE%3ABANSALWIRE</t>
  </si>
  <si>
    <t>https://in.tradingview.com/chart/mhFm6knv/?symbol=NSE%3ABANSWRAS</t>
  </si>
  <si>
    <t>https://in.tradingview.com/chart/mhFm6knv/?symbol=NSE%3ABVCL</t>
  </si>
  <si>
    <t>https://in.tradingview.com/chart/mhFm6knv/?symbol=NSE%3ABBNPPGOLD</t>
  </si>
  <si>
    <t>https://in.tradingview.com/chart/mhFm6knv/?symbol=NSE%3ABBNPNBETF</t>
  </si>
  <si>
    <t>https://in.tradingview.com/chart/mhFm6knv/?symbol=NSE%3AASMS</t>
  </si>
  <si>
    <t>https://in.tradingview.com/chart/mhFm6knv/?symbol=NSE%3ABASF</t>
  </si>
  <si>
    <t>https://in.tradingview.com/chart/mhFm6knv/?symbol=NSE%3ABATAINDIA</t>
  </si>
  <si>
    <t>https://in.tradingview.com/chart/mhFm6knv/?symbol=NSE%3ABAYERCROP</t>
  </si>
  <si>
    <t>https://in.tradingview.com/chart/mhFm6knv/?symbol=NSE%3ABCLIND</t>
  </si>
  <si>
    <t>https://in.tradingview.com/chart/mhFm6knv/?symbol=NSE%3ABEARDSELL</t>
  </si>
  <si>
    <t>https://in.tradingview.com/chart/mhFm6knv/?symbol=NSE%3ABEDMUTHA</t>
  </si>
  <si>
    <t>https://in.tradingview.com/chart/mhFm6knv/?symbol=NSE%3ABELLACASA</t>
  </si>
  <si>
    <t>https://in.tradingview.com/chart/mhFm6knv/?symbol=NSE%3ABELRISE</t>
  </si>
  <si>
    <t>https://in.tradingview.com/chart/mhFm6knv/?symbol=NSE%3ABLAL</t>
  </si>
  <si>
    <t>https://in.tradingview.com/chart/mhFm6knv/?symbol=NSE%3ABEML</t>
  </si>
  <si>
    <t>https://in.tradingview.com/chart/mhFm6knv/?symbol=NSE%3ABERGEPAINT</t>
  </si>
  <si>
    <t>https://in.tradingview.com/chart/mhFm6knv/?symbol=NSE%3ABESTAGRO</t>
  </si>
  <si>
    <t>https://in.tradingview.com/chart/mhFm6knv/?symbol=NSE%3ABETA</t>
  </si>
  <si>
    <t>https://in.tradingview.com/chart/mhFm6knv/?symbol=NSE%3ABFINVEST</t>
  </si>
  <si>
    <t>https://in.tradingview.com/chart/mhFm6knv/?symbol=NSE%3ABFUTILITIE</t>
  </si>
  <si>
    <t>https://in.tradingview.com/chart/mhFm6knv/?symbol=NSE%3ABGRENERGY</t>
  </si>
  <si>
    <t>https://in.tradingview.com/chart/mhFm6knv/?symbol=NSE%3ABHAGERIA</t>
  </si>
  <si>
    <t>https://in.tradingview.com/chart/mhFm6knv/?symbol=NSE%3ABHAGCHEM</t>
  </si>
  <si>
    <t>https://in.tradingview.com/chart/mhFm6knv/?symbol=NSE%3ABHAGYANGR</t>
  </si>
  <si>
    <t>https://in.tradingview.com/chart/mhFm6knv/?symbol=NSE%3ABEPL</t>
  </si>
  <si>
    <t>https://in.tradingview.com/chart/mhFm6knv/?symbol=NSE%3AICICIB22</t>
  </si>
  <si>
    <t>https://in.tradingview.com/chart/mhFm6knv/?symbol=NSE%3ABBL</t>
  </si>
  <si>
    <t>https://in.tradingview.com/chart/mhFm6knv/?symbol=NSE%3AEBBETF0430</t>
  </si>
  <si>
    <t>https://in.tradingview.com/chart/mhFm6knv/?symbol=NSE%3AEBBETF0431</t>
  </si>
  <si>
    <t>https://in.tradingview.com/chart/mhFm6knv/?symbol=NSE%3ABBETF0432</t>
  </si>
  <si>
    <t>https://in.tradingview.com/chart/mhFm6knv/?symbol=NSE%3AEBBETF0433</t>
  </si>
  <si>
    <t>https://in.tradingview.com/chart/mhFm6knv/?symbol=NSE%3ABDL</t>
  </si>
  <si>
    <t>https://in.tradingview.com/chart/mhFm6knv/?symbol=NSE%3ABEL</t>
  </si>
  <si>
    <t>https://in.tradingview.com/chart/mhFm6knv/?symbol=NSE%3ABHARATFORG</t>
  </si>
  <si>
    <t>https://in.tradingview.com/chart/mhFm6knv/?symbol=NSE%3ABHARATGEAR</t>
  </si>
  <si>
    <t>https://in.tradingview.com/chart/mhFm6knv/?symbol=NSE%3ABHEL</t>
  </si>
  <si>
    <t>https://in.tradingview.com/chart/mhFm6knv/?symbol=NSE%3ABPCL</t>
  </si>
  <si>
    <t>https://in.tradingview.com/chart/mhFm6knv/?symbol=NSE%3ABHARATRAS</t>
  </si>
  <si>
    <t>https://in.tradingview.com/chart/mhFm6knv/?symbol=NSE%3ABRNL</t>
  </si>
  <si>
    <t>https://in.tradingview.com/chart/mhFm6knv/?symbol=NSE%3ABHARATSE</t>
  </si>
  <si>
    <t>https://in.tradingview.com/chart/mhFm6knv/?symbol=NSE%3ABHARATWIRE</t>
  </si>
  <si>
    <t>https://in.tradingview.com/chart/mhFm6knv/?symbol=NSE%3ABHARATBOND-APR30</t>
  </si>
  <si>
    <t>https://in.tradingview.com/chart/mhFm6knv/?symbol=NSE%3ABHARATBOND-APR31</t>
  </si>
  <si>
    <t>https://in.tradingview.com/chart/mhFm6knv/?symbol=NSE%3ABHARATBOND-APR32</t>
  </si>
  <si>
    <t>https://in.tradingview.com/chart/mhFm6knv/?symbol=NSE%3ABHARATBOND-APR33</t>
  </si>
  <si>
    <t>https://in.tradingview.com/chart/mhFm6knv/?symbol=NSE%3ABHARTIARTL</t>
  </si>
  <si>
    <t>https://in.tradingview.com/chart/mhFm6knv/?symbol=NSE%3ABHARTIHEXA</t>
  </si>
  <si>
    <t>https://in.tradingview.com/chart/mhFm6knv/?symbol=NSE%3ABIL</t>
  </si>
  <si>
    <t>https://in.tradingview.com/chart/mhFm6knv/?symbol=NSE%3ABIGBLOC</t>
  </si>
  <si>
    <t>https://in.tradingview.com/chart/mhFm6knv/?symbol=NSE%3ABIKAJI</t>
  </si>
  <si>
    <t>https://in.tradingview.com/chart/mhFm6knv/?symbol=NSE%3ABILVYAPAR</t>
  </si>
  <si>
    <t>https://in.tradingview.com/chart/mhFm6knv/?symbol=NSE%3ABIOCON</t>
  </si>
  <si>
    <t>https://in.tradingview.com/chart/mhFm6knv/?symbol=NSE%3ABIOFILCHEM</t>
  </si>
  <si>
    <t>https://in.tradingview.com/chart/mhFm6knv/?symbol=NSE%3ABIRLACABLE</t>
  </si>
  <si>
    <t>https://in.tradingview.com/chart/mhFm6knv/?symbol=NSE%3ABIRLACORPN</t>
  </si>
  <si>
    <t>https://in.tradingview.com/chart/mhFm6knv/?symbol=NSE%3ABSLSENETFG</t>
  </si>
  <si>
    <t>https://in.tradingview.com/chart/mhFm6knv/?symbol=NSE%3ABIRLANU</t>
  </si>
  <si>
    <t>https://in.tradingview.com/chart/mhFm6knv/?symbol=NSE%3ABSOFT</t>
  </si>
  <si>
    <t>https://in.tradingview.com/chart/mhFm6knv/?symbol=NSE%3ABBOX</t>
  </si>
  <si>
    <t>https://in.tradingview.com/chart/mhFm6knv/?symbol=NSE%3ABLBLIMITED</t>
  </si>
  <si>
    <t>https://in.tradingview.com/chart/mhFm6knv/?symbol=NSE%3ABLISSGVS</t>
  </si>
  <si>
    <t>https://in.tradingview.com/chart/mhFm6knv/?symbol=NSE%3ABLSE</t>
  </si>
  <si>
    <t>https://in.tradingview.com/chart/mhFm6knv/?symbol=NSE%3ABLS</t>
  </si>
  <si>
    <t>https://in.tradingview.com/chart/mhFm6knv/?symbol=NSE%3ABLUECOAST</t>
  </si>
  <si>
    <t>https://in.tradingview.com/chart/mhFm6knv/?symbol=NSE%3ABLUEDART</t>
  </si>
  <si>
    <t>https://in.tradingview.com/chart/mhFm6knv/?symbol=NSE%3ABLUEJET</t>
  </si>
  <si>
    <t>https://in.tradingview.com/chart/mhFm6knv/?symbol=NSE%3ABLUESTARCO</t>
  </si>
  <si>
    <t>https://in.tradingview.com/chart/mhFm6knv/?symbol=NSE%3ABLUESTONE</t>
  </si>
  <si>
    <t>https://in.tradingview.com/chart/mhFm6knv/?symbol=NSE%3ABLUSPRING</t>
  </si>
  <si>
    <t>https://in.tradingview.com/chart/mhFm6knv/?symbol=NSE%3ABMWVENTLTD</t>
  </si>
  <si>
    <t>https://in.tradingview.com/chart/mhFm6knv/?symbol=NSE%3ABODALCHEM</t>
  </si>
  <si>
    <t>https://in.tradingview.com/chart/mhFm6knv/?symbol=NSE%3ABTML</t>
  </si>
  <si>
    <t>https://in.tradingview.com/chart/mhFm6knv/?symbol=NSE%3ABOHRAIND</t>
  </si>
  <si>
    <t>https://in.tradingview.com/chart/mhFm6knv/?symbol=NSE%3ABBTC</t>
  </si>
  <si>
    <t>https://in.tradingview.com/chart/mhFm6knv/?symbol=NSE%3ABOMDYEING</t>
  </si>
  <si>
    <t>https://in.tradingview.com/chart/mhFm6knv/?symbol=NSE%3ABSHSL</t>
  </si>
  <si>
    <t>https://in.tradingview.com/chart/mhFm6knv/?symbol=NSE%3ABORANA</t>
  </si>
  <si>
    <t>https://in.tradingview.com/chart/mhFm6knv/?symbol=NSE%3ABOROLTD</t>
  </si>
  <si>
    <t>https://in.tradingview.com/chart/mhFm6knv/?symbol=NSE%3ABORORENEW</t>
  </si>
  <si>
    <t>https://in.tradingview.com/chart/mhFm6knv/?symbol=NSE%3ABOROSCI</t>
  </si>
  <si>
    <t>https://in.tradingview.com/chart/mhFm6knv/?symbol=NSE%3ABOSCHLTD</t>
  </si>
  <si>
    <t>https://in.tradingview.com/chart/mhFm6knv/?symbol=NSE%3ABPL</t>
  </si>
  <si>
    <t>https://in.tradingview.com/chart/mhFm6knv/?symbol=NSE%3AFIRSTCRY</t>
  </si>
  <si>
    <t>https://in.tradingview.com/chart/mhFm6knv/?symbol=NSE%3ABCONCEPTS</t>
  </si>
  <si>
    <t>https://in.tradingview.com/chart/mhFm6knv/?symbol=NSE%3ABRIGADE</t>
  </si>
  <si>
    <t>https://in.tradingview.com/chart/mhFm6knv/?symbol=NSE%3ABRIGHOTEL</t>
  </si>
  <si>
    <t>https://in.tradingview.com/chart/mhFm6knv/?symbol=NSE%3ABCG</t>
  </si>
  <si>
    <t>https://in.tradingview.com/chart/mhFm6knv/?symbol=NSE%3ABRITANNIA</t>
  </si>
  <si>
    <t>https://in.tradingview.com/chart/mhFm6knv/?symbol=NSE%3ABROOKS</t>
  </si>
  <si>
    <t>https://in.tradingview.com/chart/mhFm6knv/?symbol=NSE%3ABSE</t>
  </si>
  <si>
    <t>https://in.tradingview.com/chart/mhFm6knv/?symbol=NSE%3ABSL</t>
  </si>
  <si>
    <t>https://in.tradingview.com/chart/mhFm6knv/?symbol=NSE%3ABUTTERFLY</t>
  </si>
  <si>
    <t>https://in.tradingview.com/chart/mhFm6knv/?symbol=NSE%3AMAPMYINDIA</t>
  </si>
  <si>
    <t>https://in.tradingview.com/chart/mhFm6knv/?symbol=NSE%3ACALSOFT</t>
  </si>
  <si>
    <t>https://in.tradingview.com/chart/mhFm6knv/?symbol=NSE%3ACTE</t>
  </si>
  <si>
    <t>https://in.tradingview.com/chart/mhFm6knv/?symbol=NSE%3ACAMLINFINE</t>
  </si>
  <si>
    <t>https://in.tradingview.com/chart/mhFm6knv/?symbol=NSE%3ACAMPUS</t>
  </si>
  <si>
    <t>https://in.tradingview.com/chart/mhFm6knv/?symbol=NSE%3ACANFINHOME</t>
  </si>
  <si>
    <t>https://in.tradingview.com/chart/mhFm6knv/?symbol=NSE%3ACANBK</t>
  </si>
  <si>
    <t>https://in.tradingview.com/chart/mhFm6knv/?symbol=NSE%3ACANHLIFE</t>
  </si>
  <si>
    <t>https://in.tradingview.com/chart/mhFm6knv/?symbol=NSE%3ACRAMC</t>
  </si>
  <si>
    <t>https://in.tradingview.com/chart/mhFm6knv/?symbol=NSE%3ACANTABIL</t>
  </si>
  <si>
    <t>https://in.tradingview.com/chart/mhFm6knv/?symbol=NSE%3ACAPACITE</t>
  </si>
  <si>
    <t>https://in.tradingview.com/chart/mhFm6knv/?symbol=NSE%3ACAPILLARY</t>
  </si>
  <si>
    <t>https://in.tradingview.com/chart/mhFm6knv/?symbol=NSE%3ACIFL</t>
  </si>
  <si>
    <t>https://in.tradingview.com/chart/mhFm6knv/?symbol=NSE%3ACAPITALSFB</t>
  </si>
  <si>
    <t>https://in.tradingview.com/chart/mhFm6knv/?symbol=NSE%3ACAPTRUST</t>
  </si>
  <si>
    <t>https://in.tradingview.com/chart/mhFm6knv/?symbol=NSE%3ACAPLIPOINT</t>
  </si>
  <si>
    <t>https://in.tradingview.com/chart/mhFm6knv/?symbol=NSE%3ACGCL</t>
  </si>
  <si>
    <t>https://in.tradingview.com/chart/mhFm6knv/?symbol=NSE%3ACARBORUNIV</t>
  </si>
  <si>
    <t>https://in.tradingview.com/chart/mhFm6knv/?symbol=NSE%3ACPEDU</t>
  </si>
  <si>
    <t>https://in.tradingview.com/chart/mhFm6knv/?symbol=NSE%3ACARRARO</t>
  </si>
  <si>
    <t>https://in.tradingview.com/chart/mhFm6knv/?symbol=NSE%3ACARTRADE</t>
  </si>
  <si>
    <t>https://in.tradingview.com/chart/mhFm6knv/?symbol=NSE%3ACARYSIL</t>
  </si>
  <si>
    <t>https://in.tradingview.com/chart/mhFm6knv/?symbol=NSE%3ACASTROLIND</t>
  </si>
  <si>
    <t>https://in.tradingview.com/chart/mhFm6knv/?symbol=NSE%3ACCL</t>
  </si>
  <si>
    <t>https://in.tradingview.com/chart/mhFm6knv/?symbol=NSE%3ACEATLTD</t>
  </si>
  <si>
    <t>https://in.tradingview.com/chart/mhFm6knv/?symbol=NSE%3ACEIGALL</t>
  </si>
  <si>
    <t>https://in.tradingview.com/chart/mhFm6knv/?symbol=NSE%3ACELEBRITY</t>
  </si>
  <si>
    <t>https://in.tradingview.com/chart/mhFm6knv/?symbol=NSE%3ACELLO</t>
  </si>
  <si>
    <t>https://in.tradingview.com/chart/mhFm6knv/?symbol=NSE%3ACEMPRO</t>
  </si>
  <si>
    <t>https://in.tradingview.com/chart/mhFm6knv/?symbol=NSE%3ACENTRALBK</t>
  </si>
  <si>
    <t>https://in.tradingview.com/chart/mhFm6knv/?symbol=NSE%3ACDSL</t>
  </si>
  <si>
    <t>https://in.tradingview.com/chart/mhFm6knv/?symbol=NSE%3ACENTRUM</t>
  </si>
  <si>
    <t>https://in.tradingview.com/chart/mhFm6knv/?symbol=NSE%3ACENTUM</t>
  </si>
  <si>
    <t>https://in.tradingview.com/chart/mhFm6knv/?symbol=NSE%3ACENTENKA</t>
  </si>
  <si>
    <t>https://in.tradingview.com/chart/mhFm6knv/?symbol=NSE%3ACENTEXT</t>
  </si>
  <si>
    <t>https://in.tradingview.com/chart/mhFm6knv/?symbol=NSE%3ACENTURYPLY</t>
  </si>
  <si>
    <t>https://in.tradingview.com/chart/mhFm6knv/?symbol=NSE%3ACERA</t>
  </si>
  <si>
    <t>https://in.tradingview.com/chart/mhFm6knv/?symbol=NSE%3ACEREBRAINT</t>
  </si>
  <si>
    <t>https://in.tradingview.com/chart/mhFm6knv/?symbol=NSE%3ACESC</t>
  </si>
  <si>
    <t>https://in.tradingview.com/chart/mhFm6knv/?symbol=NSE%3ACGPOWER</t>
  </si>
  <si>
    <t>https://in.tradingview.com/chart/mhFm6knv/?symbol=NSE%3ACHALET</t>
  </si>
  <si>
    <t>https://in.tradingview.com/chart/mhFm6knv/?symbol=NSE%3ACLSEL</t>
  </si>
  <si>
    <t>https://in.tradingview.com/chart/mhFm6knv/?symbol=NSE%3ACHAMBLFERT</t>
  </si>
  <si>
    <t>https://in.tradingview.com/chart/mhFm6knv/?symbol=NSE%3ACHEMBONDCH</t>
  </si>
  <si>
    <t>https://in.tradingview.com/chart/mhFm6knv/?symbol=NSE%3ACHEMBOND</t>
  </si>
  <si>
    <t>https://in.tradingview.com/chart/mhFm6knv/?symbol=NSE%3ACHEMCON</t>
  </si>
  <si>
    <t>https://in.tradingview.com/chart/mhFm6knv/?symbol=NSE%3ACHEMFAB</t>
  </si>
  <si>
    <t>https://in.tradingview.com/chart/mhFm6knv/?symbol=NSE%3ACHEMPLASTS</t>
  </si>
  <si>
    <t>https://in.tradingview.com/chart/mhFm6knv/?symbol=NSE%3ACHENNPETRO</t>
  </si>
  <si>
    <t>https://in.tradingview.com/chart/mhFm6knv/?symbol=NSE%3ACHEVIOT</t>
  </si>
  <si>
    <t>https://in.tradingview.com/chart/mhFm6knv/?symbol=NSE%3ACHOICEGOLD</t>
  </si>
  <si>
    <t>https://in.tradingview.com/chart/mhFm6knv/?symbol=NSE%3ACHOICEIN</t>
  </si>
  <si>
    <t>https://in.tradingview.com/chart/mhFm6knv/?symbol=NSE%3ACHOLAHLDNG</t>
  </si>
  <si>
    <t>https://in.tradingview.com/chart/mhFm6knv/?symbol=NSE%3ACHOLAFIN</t>
  </si>
  <si>
    <t>https://in.tradingview.com/chart/mhFm6knv/?symbol=NSE%3ACIEINDIA</t>
  </si>
  <si>
    <t>https://in.tradingview.com/chart/mhFm6knv/?symbol=NSE%3ACIGNITITEC</t>
  </si>
  <si>
    <t>https://in.tradingview.com/chart/mhFm6knv/?symbol=NSE%3ACINELINE</t>
  </si>
  <si>
    <t>https://in.tradingview.com/chart/mhFm6knv/?symbol=NSE%3ACINEVISTA</t>
  </si>
  <si>
    <t>https://in.tradingview.com/chart/mhFm6knv/?symbol=NSE%3ACIPLA</t>
  </si>
  <si>
    <t>https://in.tradingview.com/chart/mhFm6knv/?symbol=NSE%3ACUB</t>
  </si>
  <si>
    <t>https://in.tradingview.com/chart/mhFm6knv/?symbol=NSE%3ACLEDUCATE</t>
  </si>
  <si>
    <t>https://in.tradingview.com/chart/mhFm6knv/?symbol=NSE%3ACLEAN</t>
  </si>
  <si>
    <t>https://in.tradingview.com/chart/mhFm6knv/?symbol=NSE%3ACMSINFO</t>
  </si>
  <si>
    <t>https://in.tradingview.com/chart/mhFm6knv/?symbol=NSE%3ACNXENERGY</t>
  </si>
  <si>
    <t>https://in.tradingview.com/chart/mhFm6knv/?symbol=NSE%3ACNXINFRA</t>
  </si>
  <si>
    <t>https://in.tradingview.com/chart/mhFm6knv/?symbol=NSE%3ACNXMIDCAP</t>
  </si>
  <si>
    <t>https://in.tradingview.com/chart/mhFm6knv/?symbol=NSE%3ACNXMNC</t>
  </si>
  <si>
    <t>https://in.tradingview.com/chart/mhFm6knv/?symbol=NSE%3ACNXNIFTYJUNIOR</t>
  </si>
  <si>
    <t>https://in.tradingview.com/chart/mhFm6knv/?symbol=NSE%3ACNXPHARMA</t>
  </si>
  <si>
    <t>https://in.tradingview.com/chart/mhFm6knv/?symbol=NSE%3ACNXPSE</t>
  </si>
  <si>
    <t>https://in.tradingview.com/chart/mhFm6knv/?symbol=NSE%3ACNXREALTY</t>
  </si>
  <si>
    <t>https://in.tradingview.com/chart/mhFm6knv/?symbol=NSE%3ACNXSMALLCAP</t>
  </si>
  <si>
    <t>https://in.tradingview.com/chart/mhFm6knv/?symbol=NSE%3ACOALINDIA</t>
  </si>
  <si>
    <t>https://in.tradingview.com/chart/mhFm6knv/?symbol=NSE%3ACOASTCORP</t>
  </si>
  <si>
    <t>https://in.tradingview.com/chart/mhFm6knv/?symbol=NSE%3ACOCHINSHIP</t>
  </si>
  <si>
    <t>https://in.tradingview.com/chart/mhFm6knv/?symbol=NSE%3ACOFFEEDAY</t>
  </si>
  <si>
    <t>https://in.tradingview.com/chart/mhFm6knv/?symbol=NSE%3ACOFORGE</t>
  </si>
  <si>
    <t>https://in.tradingview.com/chart/mhFm6knv/?symbol=NSE%3ACOHANCE</t>
  </si>
  <si>
    <t>https://in.tradingview.com/chart/mhFm6knv/?symbol=NSE%3ACOLPAL</t>
  </si>
  <si>
    <t>https://in.tradingview.com/chart/mhFm6knv/?symbol=NSE%3ACOMSYN</t>
  </si>
  <si>
    <t>https://in.tradingview.com/chart/mhFm6knv/?symbol=NSE%3ACOMPUSOFT</t>
  </si>
  <si>
    <t>https://in.tradingview.com/chart/mhFm6knv/?symbol=NSE%3ACAMS</t>
  </si>
  <si>
    <t>https://in.tradingview.com/chart/mhFm6knv/?symbol=NSE%3ACONCORDBIO</t>
  </si>
  <si>
    <t>https://in.tradingview.com/chart/mhFm6knv/?symbol=NSE%3ACEWATER</t>
  </si>
  <si>
    <t>https://in.tradingview.com/chart/mhFm6knv/?symbol=NSE%3ACONFIPET</t>
  </si>
  <si>
    <t>https://in.tradingview.com/chart/mhFm6knv/?symbol=NSE%3ACCCL</t>
  </si>
  <si>
    <t>https://in.tradingview.com/chart/mhFm6knv/?symbol=NSE%3ACONSOFINVT</t>
  </si>
  <si>
    <t>https://in.tradingview.com/chart/mhFm6knv/?symbol=NSE%3ACONCOR</t>
  </si>
  <si>
    <t>https://in.tradingview.com/chart/mhFm6knv/?symbol=NSE%3ACONTROLPR</t>
  </si>
  <si>
    <t>https://in.tradingview.com/chart/mhFm6knv/?symbol=NSE%3ACORALFINAC</t>
  </si>
  <si>
    <t>https://in.tradingview.com/chart/mhFm6knv/?symbol=NSE%3ACORDSCABLE</t>
  </si>
  <si>
    <t>https://in.tradingview.com/chart/mhFm6knv/?symbol=NSE%3ACOROMANDEL</t>
  </si>
  <si>
    <t>https://in.tradingview.com/chart/mhFm6knv/?symbol=NSE%3ACOSMOFIRST</t>
  </si>
  <si>
    <t>https://in.tradingview.com/chart/mhFm6knv/?symbol=NSE%3ACCHHL</t>
  </si>
  <si>
    <t>https://in.tradingview.com/chart/mhFm6knv/?symbol=NSE%3ACOUNCODOS</t>
  </si>
  <si>
    <t>https://in.tradingview.com/chart/mhFm6knv/?symbol=NSE%3ACPCAP</t>
  </si>
  <si>
    <t>https://in.tradingview.com/chart/mhFm6knv/?symbol=NSE%3ACPSEETF</t>
  </si>
  <si>
    <t>https://in.tradingview.com/chart/mhFm6knv/?symbol=NSE%3ACRAFTSMAN</t>
  </si>
  <si>
    <t>https://in.tradingview.com/chart/mhFm6knv/?symbol=NSE%3ACREATIVEYE</t>
  </si>
  <si>
    <t>https://in.tradingview.com/chart/mhFm6knv/?symbol=NSE%3ACARERATING</t>
  </si>
  <si>
    <t>https://in.tradingview.com/chart/mhFm6knv/?symbol=NSE%3ACREDITACC</t>
  </si>
  <si>
    <t>https://in.tradingview.com/chart/mhFm6knv/?symbol=NSE%3AMUFTI</t>
  </si>
  <si>
    <t>https://in.tradingview.com/chart/mhFm6knv/?symbol=NSE%3ACREST</t>
  </si>
  <si>
    <t>https://in.tradingview.com/chart/mhFm6knv/?symbol=NSE%3ACRISIL</t>
  </si>
  <si>
    <t>https://in.tradingview.com/chart/mhFm6knv/?symbol=NSE%3ACRIZAC</t>
  </si>
  <si>
    <t>https://in.tradingview.com/chart/mhFm6knv/?symbol=NSE%3ACROMPTON</t>
  </si>
  <si>
    <t>https://in.tradingview.com/chart/mhFm6knv/?symbol=NSE%3ACROWN</t>
  </si>
  <si>
    <t>https://in.tradingview.com/chart/mhFm6knv/?symbol=NSE%3ACSBBANK</t>
  </si>
  <si>
    <t>https://in.tradingview.com/chart/mhFm6knv/?symbol=NSE%3ACSLFINANCE</t>
  </si>
  <si>
    <t>https://in.tradingview.com/chart/mhFm6knv/?symbol=NSE%3ACUBEXTUB</t>
  </si>
  <si>
    <t>https://in.tradingview.com/chart/mhFm6knv/?symbol=NSE%3ACUMMINSIND</t>
  </si>
  <si>
    <t>https://in.tradingview.com/chart/mhFm6knv/?symbol=NSE%3ACUPID</t>
  </si>
  <si>
    <t>https://in.tradingview.com/chart/mhFm6knv/?symbol=NSE%3ACURAA</t>
  </si>
  <si>
    <t>https://in.tradingview.com/chart/mhFm6knv/?symbol=NSE%3ACYBERMEDIA</t>
  </si>
  <si>
    <t>https://in.tradingview.com/chart/mhFm6knv/?symbol=NSE%3ACYBERTECH</t>
  </si>
  <si>
    <t>https://in.tradingview.com/chart/mhFm6knv/?symbol=NSE%3ACYIENTDLM</t>
  </si>
  <si>
    <t>https://in.tradingview.com/chart/mhFm6knv/?symbol=NSE%3ACYIENT</t>
  </si>
  <si>
    <t>https://in.tradingview.com/chart/mhFm6knv/?symbol=NSE%3ADBREALTY</t>
  </si>
  <si>
    <t>https://in.tradingview.com/chart/mhFm6knv/?symbol=NSE%3ADPWIRES</t>
  </si>
  <si>
    <t>https://in.tradingview.com/chart/mhFm6knv/?symbol=NSE%3ADLINKINDIA</t>
  </si>
  <si>
    <t>https://in.tradingview.com/chart/mhFm6knv/?symbol=NSE%3ADBCORP</t>
  </si>
  <si>
    <t>https://in.tradingview.com/chart/mhFm6knv/?symbol=NSE%3ADPABHUSHAN</t>
  </si>
  <si>
    <t>https://in.tradingview.com/chart/mhFm6knv/?symbol=NSE%3ADABUR</t>
  </si>
  <si>
    <t>https://in.tradingview.com/chart/mhFm6knv/?symbol=NSE%3ADALBHARAT</t>
  </si>
  <si>
    <t>https://in.tradingview.com/chart/mhFm6knv/?symbol=NSE%3ADALMIASUG</t>
  </si>
  <si>
    <t>https://in.tradingview.com/chart/mhFm6knv/?symbol=NSE%3ADAMCAPITAL</t>
  </si>
  <si>
    <t>https://in.tradingview.com/chart/mhFm6knv/?symbol=NSE%3ADAMODARIND</t>
  </si>
  <si>
    <t>https://in.tradingview.com/chart/mhFm6knv/?symbol=NSE%3ADATAPATTNS</t>
  </si>
  <si>
    <t>https://in.tradingview.com/chart/mhFm6knv/?symbol=NSE%3ADATAMATICS</t>
  </si>
  <si>
    <t>https://in.tradingview.com/chart/mhFm6knv/?symbol=NSE%3ADBSTOCKBRO</t>
  </si>
  <si>
    <t>https://in.tradingview.com/chart/mhFm6knv/?symbol=NSE%3ADCI</t>
  </si>
  <si>
    <t>https://in.tradingview.com/chart/mhFm6knv/?symbol=NSE%3ADCBBANK</t>
  </si>
  <si>
    <t>https://in.tradingview.com/chart/mhFm6knv/?symbol=NSE%3ADCM</t>
  </si>
  <si>
    <t>https://in.tradingview.com/chart/mhFm6knv/?symbol=NSE%3ADCMNVL</t>
  </si>
  <si>
    <t>https://in.tradingview.com/chart/mhFm6knv/?symbol=NSE%3ADCMSRIND</t>
  </si>
  <si>
    <t>https://in.tradingview.com/chart/mhFm6knv/?symbol=NSE%3ADCMSHRIRAM</t>
  </si>
  <si>
    <t>https://in.tradingview.com/chart/mhFm6knv/?symbol=NSE%3ADCW</t>
  </si>
  <si>
    <t>https://in.tradingview.com/chart/mhFm6knv/?symbol=NSE%3ADCXINDIA</t>
  </si>
  <si>
    <t>https://in.tradingview.com/chart/mhFm6knv/?symbol=NSE%3ADDEVPLSTIK</t>
  </si>
  <si>
    <t>https://in.tradingview.com/chart/mhFm6knv/?symbol=NSE%3ADENORA</t>
  </si>
  <si>
    <t>https://in.tradingview.com/chart/mhFm6knv/?symbol=NSE%3ADECCANCE</t>
  </si>
  <si>
    <t>https://in.tradingview.com/chart/mhFm6knv/?symbol=NSE%3ADEEDEV</t>
  </si>
  <si>
    <t>https://in.tradingview.com/chart/mhFm6knv/?symbol=NSE%3ADEEPINDS</t>
  </si>
  <si>
    <t>https://in.tradingview.com/chart/mhFm6knv/?symbol=NSE%3ADBEIL</t>
  </si>
  <si>
    <t>https://in.tradingview.com/chart/mhFm6knv/?symbol=NSE%3ADEEPAKFERT</t>
  </si>
  <si>
    <t>https://in.tradingview.com/chart/mhFm6knv/?symbol=NSE%3ADEEPAKNTR</t>
  </si>
  <si>
    <t>https://in.tradingview.com/chart/mhFm6knv/?symbol=NSE%3ADELHIVERY</t>
  </si>
  <si>
    <t>https://in.tradingview.com/chart/mhFm6knv/?symbol=NSE%3ADELPHIFX</t>
  </si>
  <si>
    <t>https://in.tradingview.com/chart/mhFm6knv/?symbol=NSE%3ADELTACORP</t>
  </si>
  <si>
    <t>https://in.tradingview.com/chart/mhFm6knv/?symbol=NSE%3ADELTAMAGNT</t>
  </si>
  <si>
    <t>https://in.tradingview.com/chart/mhFm6knv/?symbol=NSE%3ADEN</t>
  </si>
  <si>
    <t>https://in.tradingview.com/chart/mhFm6knv/?symbol=NSE%3ADENTA</t>
  </si>
  <si>
    <t>https://in.tradingview.com/chart/mhFm6knv/?symbol=NSE%3ADEVX</t>
  </si>
  <si>
    <t>https://in.tradingview.com/chart/mhFm6knv/?symbol=NSE%3ADEVIT</t>
  </si>
  <si>
    <t>https://in.tradingview.com/chart/mhFm6knv/?symbol=NSE%3ADEVYANI</t>
  </si>
  <si>
    <t>https://in.tradingview.com/chart/mhFm6knv/?symbol=NSE%3ADBOL</t>
  </si>
  <si>
    <t>https://in.tradingview.com/chart/mhFm6knv/?symbol=NSE%3ADHAMPURSUG</t>
  </si>
  <si>
    <t>https://in.tradingview.com/chart/mhFm6knv/?symbol=NSE%3ADHANBANK</t>
  </si>
  <si>
    <t>https://in.tradingview.com/chart/mhFm6knv/?symbol=NSE%3ADHANUKA</t>
  </si>
  <si>
    <t>https://in.tradingview.com/chart/mhFm6knv/?symbol=NSE%3ADHARMAJ</t>
  </si>
  <si>
    <t>https://in.tradingview.com/chart/mhFm6knv/?symbol=NSE%3ADHRUV</t>
  </si>
  <si>
    <t>https://in.tradingview.com/chart/mhFm6knv/?symbol=NSE%3ADHUNINV</t>
  </si>
  <si>
    <t>https://in.tradingview.com/chart/mhFm6knv/?symbol=NSE%3ADTIL</t>
  </si>
  <si>
    <t>https://in.tradingview.com/chart/mhFm6knv/?symbol=NSE%3ADVL</t>
  </si>
  <si>
    <t>https://in.tradingview.com/chart/mhFm6knv/?symbol=NSE%3ADIAMINESQ</t>
  </si>
  <si>
    <t>https://in.tradingview.com/chart/mhFm6knv/?symbol=NSE%3ADIACABS</t>
  </si>
  <si>
    <t>https://in.tradingview.com/chart/mhFm6knv/?symbol=NSE%3ADICIND</t>
  </si>
  <si>
    <t>https://in.tradingview.com/chart/mhFm6knv/?symbol=NSE%3ADIFFNKG</t>
  </si>
  <si>
    <t>https://in.tradingview.com/chart/mhFm6knv/?symbol=NSE%3ADGCONTENT</t>
  </si>
  <si>
    <t>https://in.tradingview.com/chart/mhFm6knv/?symbol=NSE%3ADIGIDRIVE</t>
  </si>
  <si>
    <t>https://in.tradingview.com/chart/mhFm6knv/?symbol=NSE%3ADIGISPICE</t>
  </si>
  <si>
    <t>https://in.tradingview.com/chart/mhFm6knv/?symbol=NSE%3ADIGITIDE</t>
  </si>
  <si>
    <t>https://in.tradingview.com/chart/mhFm6knv/?symbol=NSE%3ADIGJAMLMTD</t>
  </si>
  <si>
    <t>https://in.tradingview.com/chart/mhFm6knv/?symbol=NSE%3ADBL</t>
  </si>
  <si>
    <t>https://in.tradingview.com/chart/mhFm6knv/?symbol=NSE%3ADCAL</t>
  </si>
  <si>
    <t>https://in.tradingview.com/chart/mhFm6knv/?symbol=NSE%3ADIVGIITTS</t>
  </si>
  <si>
    <t>https://in.tradingview.com/chart/mhFm6knv/?symbol=NSE%3ADIVISLAB</t>
  </si>
  <si>
    <t>https://in.tradingview.com/chart/mhFm6knv/?symbol=NSE%3ADIXON</t>
  </si>
  <si>
    <t>https://in.tradingview.com/chart/mhFm6knv/?symbol=NSE%3ADJML</t>
  </si>
  <si>
    <t>https://in.tradingview.com/chart/mhFm6knv/?symbol=NSE%3ADLF</t>
  </si>
  <si>
    <t>https://in.tradingview.com/chart/mhFm6knv/?symbol=NSE%3ADMCC</t>
  </si>
  <si>
    <t>https://in.tradingview.com/chart/mhFm6knv/?symbol=NSE%3ADODLA</t>
  </si>
  <si>
    <t>https://in.tradingview.com/chart/mhFm6knv/?symbol=NSE%3ADOLATALGO</t>
  </si>
  <si>
    <t>https://in.tradingview.com/chart/mhFm6knv/?symbol=NSE%3ADOLLAR</t>
  </si>
  <si>
    <t>https://in.tradingview.com/chart/mhFm6knv/?symbol=NSE%3ADOLPHIN</t>
  </si>
  <si>
    <t>https://in.tradingview.com/chart/mhFm6knv/?symbol=NSE%3ADOMS</t>
  </si>
  <si>
    <t>https://in.tradingview.com/chart/mhFm6knv/?symbol=NSE%3ADONEAR</t>
  </si>
  <si>
    <t>https://in.tradingview.com/chart/mhFm6knv/?symbol=NSE%3ADPSCLTD</t>
  </si>
  <si>
    <t>https://in.tradingview.com/chart/mhFm6knv/?symbol=NSE%3AAGARWALEYE</t>
  </si>
  <si>
    <t>https://in.tradingview.com/chart/mhFm6knv/?symbol=NSE%3ALALPATHLAB</t>
  </si>
  <si>
    <t>https://in.tradingview.com/chart/mhFm6knv/?symbol=NSE%3ADRREDDY</t>
  </si>
  <si>
    <t>https://in.tradingview.com/chart/mhFm6knv/?symbol=NSE%3ADRCSYSTEMS</t>
  </si>
  <si>
    <t>https://in.tradingview.com/chart/mhFm6knv/?symbol=NSE%3ADREAMFOLKS</t>
  </si>
  <si>
    <t>https://in.tradingview.com/chart/mhFm6knv/?symbol=NSE%3ADREDGECORP</t>
  </si>
  <si>
    <t>https://in.tradingview.com/chart/mhFm6knv/?symbol=NSE%3ALIQUIDETF</t>
  </si>
  <si>
    <t>https://in.tradingview.com/chart/mhFm6knv/?symbol=NSE%3ANEXT30ADD</t>
  </si>
  <si>
    <t>https://in.tradingview.com/chart/mhFm6knv/?symbol=NSE%3AMSCIADD</t>
  </si>
  <si>
    <t>https://in.tradingview.com/chart/mhFm6knv/?symbol=NSE%3AEQUAL50ADD</t>
  </si>
  <si>
    <t>https://in.tradingview.com/chart/mhFm6knv/?symbol=NSE%3AHEALTHADD</t>
  </si>
  <si>
    <t>https://in.tradingview.com/chart/mhFm6knv/?symbol=NSE%3AMIDQ50ADD</t>
  </si>
  <si>
    <t>https://in.tradingview.com/chart/mhFm6knv/?symbol=NSE%3APVTBANKADD</t>
  </si>
  <si>
    <t>https://in.tradingview.com/chart/mhFm6knv/?symbol=NSE%3APSUBANKADD</t>
  </si>
  <si>
    <t>https://in.tradingview.com/chart/mhFm6knv/?symbol=NSE%3ATOP10ADD</t>
  </si>
  <si>
    <t>https://in.tradingview.com/chart/mhFm6knv/?symbol=NSE%3AFLEXIADD</t>
  </si>
  <si>
    <t>https://in.tradingview.com/chart/mhFm6knv/?symbol=NSE%3ALIQUIDADD</t>
  </si>
  <si>
    <t>https://in.tradingview.com/chart/mhFm6knv/?symbol=NSE%3ASENSEXADD</t>
  </si>
  <si>
    <t>https://in.tradingview.com/chart/mhFm6knv/?symbol=NSE%3ASILVERADD</t>
  </si>
  <si>
    <t>https://in.tradingview.com/chart/mhFm6knv/?symbol=NSE%3ADWARKESH</t>
  </si>
  <si>
    <t>https://in.tradingview.com/chart/mhFm6knv/?symbol=NSE%3ADSSL</t>
  </si>
  <si>
    <t>https://in.tradingview.com/chart/mhFm6knv/?symbol=NSE%3ADYNAMATECH</t>
  </si>
  <si>
    <t>https://in.tradingview.com/chart/mhFm6knv/?symbol=NSE%3ADYCL</t>
  </si>
  <si>
    <t>https://in.tradingview.com/chart/mhFm6knv/?symbol=NSE%3ADYNPRO</t>
  </si>
  <si>
    <t>https://in.tradingview.com/chart/mhFm6knv/?symbol=NSE%3AE2E</t>
  </si>
  <si>
    <t>https://in.tradingview.com/chart/mhFm6knv/?symbol=NSE%3AEASTSILK</t>
  </si>
  <si>
    <t>https://in.tradingview.com/chart/mhFm6knv/?symbol=NSE%3AEASEMYTRIP</t>
  </si>
  <si>
    <t>https://in.tradingview.com/chart/mhFm6knv/?symbol=NSE%3AECLERX</t>
  </si>
  <si>
    <t>https://in.tradingview.com/chart/mhFm6knv/?symbol=NSE%3AECOSMOBLTY</t>
  </si>
  <si>
    <t>https://in.tradingview.com/chart/mhFm6knv/?symbol=NSE%3AECAPINSURE</t>
  </si>
  <si>
    <t>https://in.tradingview.com/chart/mhFm6knv/?symbol=NSE%3AESENSEX</t>
  </si>
  <si>
    <t>https://in.tradingview.com/chart/mhFm6knv/?symbol=NSE%3AEDELWEISS</t>
  </si>
  <si>
    <t>https://in.tradingview.com/chart/mhFm6knv/?symbol=NSE%3AEGOLD</t>
  </si>
  <si>
    <t>https://in.tradingview.com/chart/mhFm6knv/?symbol=NSE%3AELIQUID</t>
  </si>
  <si>
    <t>https://in.tradingview.com/chart/mhFm6knv/?symbol=NSE%3AEBANKNIFTY</t>
  </si>
  <si>
    <t>https://in.tradingview.com/chart/mhFm6knv/?symbol=NSE%3AELM250</t>
  </si>
  <si>
    <t>https://in.tradingview.com/chart/mhFm6knv/?symbol=NSE%3AEMULTIMQ</t>
  </si>
  <si>
    <t>https://in.tradingview.com/chart/mhFm6knv/?symbol=NSE%3AESILVER</t>
  </si>
  <si>
    <t>https://in.tradingview.com/chart/mhFm6knv/?symbol=NSE%3AEFCIL</t>
  </si>
  <si>
    <t>https://in.tradingview.com/chart/mhFm6knv/?symbol=NSE%3AEICHERMOT</t>
  </si>
  <si>
    <t>https://in.tradingview.com/chart/mhFm6knv/?symbol=NSE%3AEIDPARRY</t>
  </si>
  <si>
    <t>https://in.tradingview.com/chart/mhFm6knv/?symbol=NSE%3AEIHAHOTELS</t>
  </si>
  <si>
    <t>https://in.tradingview.com/chart/mhFm6knv/?symbol=NSE%3AEIHOTEL</t>
  </si>
  <si>
    <t>https://in.tradingview.com/chart/mhFm6knv/?symbol=NSE%3AEIMCOELECO</t>
  </si>
  <si>
    <t>https://in.tradingview.com/chart/mhFm6knv/?symbol=NSE%3AELDEHSG</t>
  </si>
  <si>
    <t>https://in.tradingview.com/chart/mhFm6knv/?symbol=NSE%3AELECON</t>
  </si>
  <si>
    <t>https://in.tradingview.com/chart/mhFm6knv/?symbol=NSE%3AEMIL</t>
  </si>
  <si>
    <t>https://in.tradingview.com/chart/mhFm6knv/?symbol=NSE%3AELECTCAST</t>
  </si>
  <si>
    <t>https://in.tradingview.com/chart/mhFm6knv/?symbol=NSE%3AELECTHERM</t>
  </si>
  <si>
    <t>https://in.tradingview.com/chart/mhFm6knv/?symbol=NSE%3AELGIEQUIP</t>
  </si>
  <si>
    <t>https://in.tradingview.com/chart/mhFm6knv/?symbol=NSE%3AELGIRUBCO</t>
  </si>
  <si>
    <t>https://in.tradingview.com/chart/mhFm6knv/?symbol=NSE%3AELIN</t>
  </si>
  <si>
    <t>https://in.tradingview.com/chart/mhFm6knv/?symbol=NSE%3AELLEN</t>
  </si>
  <si>
    <t>https://in.tradingview.com/chart/mhFm6knv/?symbol=NSE%3AEMAMILTD</t>
  </si>
  <si>
    <t>https://in.tradingview.com/chart/mhFm6knv/?symbol=NSE%3AEMAMIPAP</t>
  </si>
  <si>
    <t>https://in.tradingview.com/chart/mhFm6knv/?symbol=NSE%3AEMAMIREAL</t>
  </si>
  <si>
    <t>https://in.tradingview.com/chart/mhFm6knv/?symbol=NSE%3AEMBDL</t>
  </si>
  <si>
    <t>https://in.tradingview.com/chart/mhFm6knv/?symbol=NSE%3AEMCURE</t>
  </si>
  <si>
    <t>https://in.tradingview.com/chart/mhFm6knv/?symbol=NSE%3AEMKAY</t>
  </si>
  <si>
    <t>https://in.tradingview.com/chart/mhFm6knv/?symbol=NSE%3AEMMBI</t>
  </si>
  <si>
    <t>https://in.tradingview.com/chart/mhFm6knv/?symbol=NSE%3AEMMVEE</t>
  </si>
  <si>
    <t>https://in.tradingview.com/chart/mhFm6knv/?symbol=NSE%3AKRISHIVAL</t>
  </si>
  <si>
    <t>https://in.tradingview.com/chart/mhFm6knv/?symbol=NSE%3AEMSLIMITED</t>
  </si>
  <si>
    <t>https://in.tradingview.com/chart/mhFm6knv/?symbol=NSE%3AEMUDHRA</t>
  </si>
  <si>
    <t>https://in.tradingview.com/chart/mhFm6knv/?symbol=NSE%3AENDURANCE</t>
  </si>
  <si>
    <t>https://in.tradingview.com/chart/mhFm6knv/?symbol=NSE%3AENERGY</t>
  </si>
  <si>
    <t>https://in.tradingview.com/chart/mhFm6knv/?symbol=NSE%3AENERGYDEV</t>
  </si>
  <si>
    <t>https://in.tradingview.com/chart/mhFm6knv/?symbol=NSE%3AENGINERSIN</t>
  </si>
  <si>
    <t>https://in.tradingview.com/chart/mhFm6knv/?symbol=NSE%3AENIFTY</t>
  </si>
  <si>
    <t>https://in.tradingview.com/chart/mhFm6knv/?symbol=NSE%3AENTERO</t>
  </si>
  <si>
    <t>https://in.tradingview.com/chart/mhFm6knv/?symbol=NSE%3AENIL</t>
  </si>
  <si>
    <t>https://in.tradingview.com/chart/mhFm6knv/?symbol=NSE%3AEIEL</t>
  </si>
  <si>
    <t>https://in.tradingview.com/chart/mhFm6knv/?symbol=NSE%3AEPACK</t>
  </si>
  <si>
    <t>https://in.tradingview.com/chart/mhFm6knv/?symbol=NSE%3AEPACKPEB</t>
  </si>
  <si>
    <t>https://in.tradingview.com/chart/mhFm6knv/?symbol=NSE%3AEPIGRAL</t>
  </si>
  <si>
    <t>https://in.tradingview.com/chart/mhFm6knv/?symbol=NSE%3AEPL</t>
  </si>
  <si>
    <t>https://in.tradingview.com/chart/mhFm6knv/?symbol=NSE%3AEQUIPPP</t>
  </si>
  <si>
    <t>https://in.tradingview.com/chart/mhFm6knv/?symbol=NSE%3AEQUITASBNK</t>
  </si>
  <si>
    <t>https://in.tradingview.com/chart/mhFm6knv/?symbol=NSE%3AERIS</t>
  </si>
  <si>
    <t>https://in.tradingview.com/chart/mhFm6knv/?symbol=NSE%3AESABINDIA</t>
  </si>
  <si>
    <t>https://in.tradingview.com/chart/mhFm6knv/?symbol=NSE%3AESAFSFB</t>
  </si>
  <si>
    <t>https://in.tradingview.com/chart/mhFm6knv/?symbol=NSE%3AESCORTS</t>
  </si>
  <si>
    <t>https://in.tradingview.com/chart/mhFm6knv/?symbol=NSE%3AESSARSHPNG</t>
  </si>
  <si>
    <t>https://in.tradingview.com/chart/mhFm6knv/?symbol=NSE%3AESTER</t>
  </si>
  <si>
    <t>https://in.tradingview.com/chart/mhFm6knv/?symbol=NSE%3AETERNAL</t>
  </si>
  <si>
    <t>https://in.tradingview.com/chart/mhFm6knv/?symbol=NSE%3AETHOSLTD</t>
  </si>
  <si>
    <t>https://in.tradingview.com/chart/mhFm6knv/?symbol=NSE%3AEUREKAFORB</t>
  </si>
  <si>
    <t>https://in.tradingview.com/chart/mhFm6knv/?symbol=NSE%3AEIFFL</t>
  </si>
  <si>
    <t>https://in.tradingview.com/chart/mhFm6knv/?symbol=NSE%3AEUROBOND</t>
  </si>
  <si>
    <t>https://in.tradingview.com/chart/mhFm6knv/?symbol=NSE%3AEUROPRATIK</t>
  </si>
  <si>
    <t>https://in.tradingview.com/chart/mhFm6knv/?symbol=NSE%3AEUROTEXIND</t>
  </si>
  <si>
    <t>https://in.tradingview.com/chart/mhFm6knv/?symbol=NSE%3AEVEREADY</t>
  </si>
  <si>
    <t>https://in.tradingview.com/chart/mhFm6knv/?symbol=NSE%3AEVERESTIND</t>
  </si>
  <si>
    <t>https://in.tradingview.com/chart/mhFm6knv/?symbol=NSE%3AEKC</t>
  </si>
  <si>
    <t>https://in.tradingview.com/chart/mhFm6knv/?symbol=NSE%3AEXCELINDUS</t>
  </si>
  <si>
    <t>https://in.tradingview.com/chart/mhFm6knv/?symbol=NSE%3AEXCELSOFT</t>
  </si>
  <si>
    <t>https://in.tradingview.com/chart/mhFm6knv/?symbol=NSE%3AEXICOM</t>
  </si>
  <si>
    <t>https://in.tradingview.com/chart/mhFm6knv/?symbol=NSE%3AEXIDEIND</t>
  </si>
  <si>
    <t>https://in.tradingview.com/chart/mhFm6knv/?symbol=NSE%3AEXPLEOSOL</t>
  </si>
  <si>
    <t>https://in.tradingview.com/chart/mhFm6knv/?symbol=NSE%3AEXXARO</t>
  </si>
  <si>
    <t>https://in.tradingview.com/chart/mhFm6knv/?symbol=NSE%3AFABTECH</t>
  </si>
  <si>
    <t>https://in.tradingview.com/chart/mhFm6knv/?symbol=NSE%3AFAIRCHEMOR</t>
  </si>
  <si>
    <t>https://in.tradingview.com/chart/mhFm6knv/?symbol=NSE%3AFAZE3Q</t>
  </si>
  <si>
    <t>https://in.tradingview.com/chart/mhFm6knv/?symbol=NSE%3AFDC</t>
  </si>
  <si>
    <t>https://in.tradingview.com/chart/mhFm6knv/?symbol=NSE%3AFEDFINA</t>
  </si>
  <si>
    <t>https://in.tradingview.com/chart/mhFm6knv/?symbol=NSE%3AFMGOETZE</t>
  </si>
  <si>
    <t>https://in.tradingview.com/chart/mhFm6knv/?symbol=NSE%3AFACT</t>
  </si>
  <si>
    <t>https://in.tradingview.com/chart/mhFm6knv/?symbol=NSE%3AFIBERWEB</t>
  </si>
  <si>
    <t>https://in.tradingview.com/chart/mhFm6knv/?symbol=NSE%3AFIEMIND</t>
  </si>
  <si>
    <t>https://in.tradingview.com/chart/mhFm6knv/?symbol=NSE%3AFILATEX</t>
  </si>
  <si>
    <t>https://in.tradingview.com/chart/mhFm6knv/?symbol=NSE%3AFINEORG</t>
  </si>
  <si>
    <t>https://in.tradingview.com/chart/mhFm6knv/?symbol=NSE%3AFCL</t>
  </si>
  <si>
    <t>https://in.tradingview.com/chart/mhFm6knv/?symbol=NSE%3AFINKURVE</t>
  </si>
  <si>
    <t>https://in.tradingview.com/chart/mhFm6knv/?symbol=NSE%3AFINOPB</t>
  </si>
  <si>
    <t>https://in.tradingview.com/chart/mhFm6knv/?symbol=NSE%3AFINCABLES</t>
  </si>
  <si>
    <t>https://in.tradingview.com/chart/mhFm6knv/?symbol=NSE%3AFINPIPE</t>
  </si>
  <si>
    <t>https://in.tradingview.com/chart/mhFm6knv/?symbol=NSE%3AFSL</t>
  </si>
  <si>
    <t>https://in.tradingview.com/chart/mhFm6knv/?symbol=NSE%3AFISCHER</t>
  </si>
  <si>
    <t>https://in.tradingview.com/chart/mhFm6knv/?symbol=NSE%3AFIVESTAR</t>
  </si>
  <si>
    <t>https://in.tradingview.com/chart/mhFm6knv/?symbol=NSE%3AFLAIR</t>
  </si>
  <si>
    <t>https://in.tradingview.com/chart/mhFm6knv/?symbol=NSE%3AFLEXITUFF</t>
  </si>
  <si>
    <t>https://in.tradingview.com/chart/mhFm6knv/?symbol=NSE%3AFOCUS</t>
  </si>
  <si>
    <t>https://in.tradingview.com/chart/mhFm6knv/?symbol=NSE%3AFOODSIN</t>
  </si>
  <si>
    <t>https://in.tradingview.com/chart/mhFm6knv/?symbol=NSE%3AFORCEMOT</t>
  </si>
  <si>
    <t>https://in.tradingview.com/chart/mhFm6knv/?symbol=NSE%3AFORTIS</t>
  </si>
  <si>
    <t>https://in.tradingview.com/chart/mhFm6knv/?symbol=NSE%3AFOSECOIND</t>
  </si>
  <si>
    <t>https://in.tradingview.com/chart/mhFm6knv/?symbol=NSE%3ANYKAA</t>
  </si>
  <si>
    <t>https://in.tradingview.com/chart/mhFm6knv/?symbol=NSE%3AUTLSOLAR</t>
  </si>
  <si>
    <t>https://in.tradingview.com/chart/mhFm6knv/?symbol=NSE%3AFUSION</t>
  </si>
  <si>
    <t>https://in.tradingview.com/chart/mhFm6knv/?symbol=NSE%3AFMNL</t>
  </si>
  <si>
    <t>https://in.tradingview.com/chart/mhFm6knv/?symbol=NSE%3AGRINFRA</t>
  </si>
  <si>
    <t>https://in.tradingview.com/chart/mhFm6knv/?symbol=NSE%3AGTECJAINX</t>
  </si>
  <si>
    <t>https://in.tradingview.com/chart/mhFm6knv/?symbol=NSE%3AGABRIEL</t>
  </si>
  <si>
    <t>https://in.tradingview.com/chart/mhFm6knv/?symbol=NSE%3AGAIL</t>
  </si>
  <si>
    <t>https://in.tradingview.com/chart/mhFm6knv/?symbol=NSE%3AGALAPREC</t>
  </si>
  <si>
    <t>https://in.tradingview.com/chart/mhFm6knv/?symbol=NSE%3AGALAXYSURF</t>
  </si>
  <si>
    <t>https://in.tradingview.com/chart/mhFm6knv/?symbol=NSE%3AGALLANTT</t>
  </si>
  <si>
    <t>https://in.tradingview.com/chart/mhFm6knv/?symbol=NSE%3AGANDHAR</t>
  </si>
  <si>
    <t>https://in.tradingview.com/chart/mhFm6knv/?symbol=NSE%3AGANDHITUBE</t>
  </si>
  <si>
    <t>https://in.tradingview.com/chart/mhFm6knv/?symbol=NSE%3AGANESHBE</t>
  </si>
  <si>
    <t>https://in.tradingview.com/chart/mhFm6knv/?symbol=NSE%3AGANESHCP</t>
  </si>
  <si>
    <t>https://in.tradingview.com/chart/mhFm6knv/?symbol=NSE%3AGANESHHOU</t>
  </si>
  <si>
    <t>https://in.tradingview.com/chart/mhFm6knv/?symbol=NSE%3AGANECOS</t>
  </si>
  <si>
    <t>https://in.tradingview.com/chart/mhFm6knv/?symbol=NSE%3AGANGESSECU</t>
  </si>
  <si>
    <t>https://in.tradingview.com/chart/mhFm6knv/?symbol=NSE%3AGRSE</t>
  </si>
  <si>
    <t>https://in.tradingview.com/chart/mhFm6knv/?symbol=NSE%3AGARUDA</t>
  </si>
  <si>
    <t>https://in.tradingview.com/chart/mhFm6knv/?symbol=NSE%3AGRWRHITECH</t>
  </si>
  <si>
    <t>https://in.tradingview.com/chart/mhFm6knv/?symbol=NSE%3AGARFIBRES</t>
  </si>
  <si>
    <t>https://in.tradingview.com/chart/mhFm6knv/?symbol=NSE%3AGATEWAY</t>
  </si>
  <si>
    <t>https://in.tradingview.com/chart/mhFm6knv/?symbol=NSE%3AGVPIL</t>
  </si>
  <si>
    <t>https://in.tradingview.com/chart/mhFm6knv/?symbol=NSE%3AGVT&amp;D</t>
  </si>
  <si>
    <t>https://in.tradingview.com/chart/mhFm6knv/?symbol=NSE%3AGEECEE</t>
  </si>
  <si>
    <t>https://in.tradingview.com/chart/mhFm6knv/?symbol=NSE%3AGEEKAYWIRE</t>
  </si>
  <si>
    <t>https://in.tradingview.com/chart/mhFm6knv/?symbol=NSE%3AGEMAROMA</t>
  </si>
  <si>
    <t>https://in.tradingview.com/chart/mhFm6knv/?symbol=NSE%3AGICRE</t>
  </si>
  <si>
    <t>https://in.tradingview.com/chart/mhFm6knv/?symbol=NSE%3AGENCON</t>
  </si>
  <si>
    <t>https://in.tradingview.com/chart/mhFm6knv/?symbol=NSE%3AGENESYS</t>
  </si>
  <si>
    <t>https://in.tradingview.com/chart/mhFm6knv/?symbol=NSE%3AGENSOL</t>
  </si>
  <si>
    <t>https://in.tradingview.com/chart/mhFm6knv/?symbol=NSE%3AGENUSPAPER</t>
  </si>
  <si>
    <t>https://in.tradingview.com/chart/mhFm6knv/?symbol=NSE%3AGENUSPOWER</t>
  </si>
  <si>
    <t>https://in.tradingview.com/chart/mhFm6knv/?symbol=NSE%3AGEOJITFSL</t>
  </si>
  <si>
    <t>https://in.tradingview.com/chart/mhFm6knv/?symbol=NSE%3AGFLLIMITED</t>
  </si>
  <si>
    <t>https://in.tradingview.com/chart/mhFm6knv/?symbol=NSE%3AGHCL</t>
  </si>
  <si>
    <t>https://in.tradingview.com/chart/mhFm6knv/?symbol=NSE%3AGHCLTEXTIL</t>
  </si>
  <si>
    <t>https://in.tradingview.com/chart/mhFm6knv/?symbol=NSE%3AGICHSGFIN</t>
  </si>
  <si>
    <t>https://in.tradingview.com/chart/mhFm6knv/?symbol=NSE%3AGILLANDERS</t>
  </si>
  <si>
    <t>https://in.tradingview.com/chart/mhFm6knv/?symbol=NSE%3AGILLETTE</t>
  </si>
  <si>
    <t>https://in.tradingview.com/chart/mhFm6knv/?symbol=NSE%3AGINNIFILA</t>
  </si>
  <si>
    <t>https://in.tradingview.com/chart/mhFm6knv/?symbol=NSE%3AGKENERGY</t>
  </si>
  <si>
    <t>https://in.tradingview.com/chart/mhFm6knv/?symbol=NSE%3AGKWLIMITED</t>
  </si>
  <si>
    <t>https://in.tradingview.com/chart/mhFm6knv/?symbol=NSE%3AGLAND</t>
  </si>
  <si>
    <t>https://in.tradingview.com/chart/mhFm6knv/?symbol=NSE%3AGLAXO</t>
  </si>
  <si>
    <t>https://in.tradingview.com/chart/mhFm6knv/?symbol=NSE%3AGLENMARK</t>
  </si>
  <si>
    <t>https://in.tradingview.com/chart/mhFm6knv/?symbol=NSE%3AGLOBAL</t>
  </si>
  <si>
    <t>https://in.tradingview.com/chart/mhFm6knv/?symbol=NSE%3AMEDANTA</t>
  </si>
  <si>
    <t>https://in.tradingview.com/chart/mhFm6knv/?symbol=NSE%3AGSLSU</t>
  </si>
  <si>
    <t>https://in.tradingview.com/chart/mhFm6knv/?symbol=NSE%3AGLOBALVECT</t>
  </si>
  <si>
    <t>https://in.tradingview.com/chart/mhFm6knv/?symbol=NSE%3AGLOBALE</t>
  </si>
  <si>
    <t>https://in.tradingview.com/chart/mhFm6knv/?symbol=NSE%3AGLOBECIVIL</t>
  </si>
  <si>
    <t>https://in.tradingview.com/chart/mhFm6knv/?symbol=NSE%3AGLOBUSSPR</t>
  </si>
  <si>
    <t>https://in.tradingview.com/chart/mhFm6knv/?symbol=NSE%3AGLOSTERLTD</t>
  </si>
  <si>
    <t>https://in.tradingview.com/chart/mhFm6knv/?symbol=NSE%3AGLOTTIS</t>
  </si>
  <si>
    <t>https://in.tradingview.com/chart/mhFm6knv/?symbol=NSE%3AGMBREW</t>
  </si>
  <si>
    <t>https://in.tradingview.com/chart/mhFm6knv/?symbol=NSE%3AGMMPFAUDLR</t>
  </si>
  <si>
    <t>https://in.tradingview.com/chart/mhFm6knv/?symbol=NSE%3AGMRAIRPORT</t>
  </si>
  <si>
    <t>https://in.tradingview.com/chart/mhFm6knv/?symbol=NSE%3AGMRP&amp;UI</t>
  </si>
  <si>
    <t>https://in.tradingview.com/chart/mhFm6knv/?symbol=NSE%3AGNA</t>
  </si>
  <si>
    <t>https://in.tradingview.com/chart/mhFm6knv/?symbol=NSE%3AEBGNG</t>
  </si>
  <si>
    <t>https://in.tradingview.com/chart/mhFm6knv/?symbol=NSE%3AGODIGIT</t>
  </si>
  <si>
    <t>https://in.tradingview.com/chart/mhFm6knv/?symbol=NSE%3AGOCOLORS</t>
  </si>
  <si>
    <t>https://in.tradingview.com/chart/mhFm6knv/?symbol=NSE%3AGOACARBON</t>
  </si>
  <si>
    <t>https://in.tradingview.com/chart/mhFm6knv/?symbol=NSE%3AGOCLCORP</t>
  </si>
  <si>
    <t>https://in.tradingview.com/chart/mhFm6knv/?symbol=NSE%3AGODAVARIB</t>
  </si>
  <si>
    <t>https://in.tradingview.com/chart/mhFm6knv/?symbol=NSE%3AGPIL</t>
  </si>
  <si>
    <t>https://in.tradingview.com/chart/mhFm6knv/?symbol=NSE%3AGODFRYPHLP</t>
  </si>
  <si>
    <t>https://in.tradingview.com/chart/mhFm6knv/?symbol=NSE%3AGODREJAGRO</t>
  </si>
  <si>
    <t>https://in.tradingview.com/chart/mhFm6knv/?symbol=NSE%3AGODREJCP</t>
  </si>
  <si>
    <t>https://in.tradingview.com/chart/mhFm6knv/?symbol=NSE%3AGODREJIND</t>
  </si>
  <si>
    <t>https://in.tradingview.com/chart/mhFm6knv/?symbol=NSE%3AGODREJPROP</t>
  </si>
  <si>
    <t>https://in.tradingview.com/chart/mhFm6knv/?symbol=NSE%3AGOKEX</t>
  </si>
  <si>
    <t>https://in.tradingview.com/chart/mhFm6knv/?symbol=NSE%3AGOKULAGRO</t>
  </si>
  <si>
    <t>https://in.tradingview.com/chart/mhFm6knv/?symbol=NSE%3AGOKUL</t>
  </si>
  <si>
    <t>https://in.tradingview.com/chart/mhFm6knv/?symbol=NSE%3AGOLDENTOBC</t>
  </si>
  <si>
    <t>https://in.tradingview.com/chart/mhFm6knv/?symbol=NSE%3AGOLDIAM</t>
  </si>
  <si>
    <t>https://in.tradingview.com/chart/mhFm6knv/?symbol=NSE%3AGOLDTECH</t>
  </si>
  <si>
    <t>https://in.tradingview.com/chart/mhFm6knv/?symbol=NSE%3AGOODLUCK</t>
  </si>
  <si>
    <t>https://in.tradingview.com/chart/mhFm6knv/?symbol=NSE%3AGOPAL</t>
  </si>
  <si>
    <t>https://in.tradingview.com/chart/mhFm6knv/?symbol=NSE%3AGOYALALUM</t>
  </si>
  <si>
    <t>https://in.tradingview.com/chart/mhFm6knv/?symbol=NSE%3AGULFPETRO</t>
  </si>
  <si>
    <t>https://in.tradingview.com/chart/mhFm6knv/?symbol=NSE%3AGPTHEALTH</t>
  </si>
  <si>
    <t>https://in.tradingview.com/chart/mhFm6knv/?symbol=NSE%3AGPTINFRA</t>
  </si>
  <si>
    <t>https://in.tradingview.com/chart/mhFm6knv/?symbol=NSE%3AGFSTEELS</t>
  </si>
  <si>
    <t>https://in.tradingview.com/chart/mhFm6knv/?symbol=NSE%3AGRANULES</t>
  </si>
  <si>
    <t>https://in.tradingview.com/chart/mhFm6knv/?symbol=NSE%3AGRAPHITE</t>
  </si>
  <si>
    <t>https://in.tradingview.com/chart/mhFm6knv/?symbol=NSE%3AGRASIM</t>
  </si>
  <si>
    <t>https://in.tradingview.com/chart/mhFm6knv/?symbol=NSE%3AGRAVITA</t>
  </si>
  <si>
    <t>https://in.tradingview.com/chart/mhFm6knv/?symbol=NSE%3AGREAVESCOT</t>
  </si>
  <si>
    <t>https://in.tradingview.com/chart/mhFm6knv/?symbol=NSE%3AGREENLAM</t>
  </si>
  <si>
    <t>https://in.tradingview.com/chart/mhFm6knv/?symbol=NSE%3AGREENPANEL</t>
  </si>
  <si>
    <t>https://in.tradingview.com/chart/mhFm6knv/?symbol=NSE%3AGREENPLY</t>
  </si>
  <si>
    <t>https://in.tradingview.com/chart/mhFm6knv/?symbol=NSE%3AGCSL</t>
  </si>
  <si>
    <t>https://in.tradingview.com/chart/mhFm6knv/?symbol=NSE%3AGRINDWELL</t>
  </si>
  <si>
    <t>https://in.tradingview.com/chart/mhFm6knv/?symbol=NSE%3AGRMOVER</t>
  </si>
  <si>
    <t>https://in.tradingview.com/chart/mhFm6knv/?symbol=NSE%3AGROWW</t>
  </si>
  <si>
    <t>https://in.tradingview.com/chart/mhFm6knv/?symbol=NSE%3AGROWWPOWER</t>
  </si>
  <si>
    <t>https://in.tradingview.com/chart/mhFm6knv/?symbol=NSE%3AGROWWGOLD</t>
  </si>
  <si>
    <t>https://in.tradingview.com/chart/mhFm6knv/?symbol=NSE%3AGROWWLIQID</t>
  </si>
  <si>
    <t>https://in.tradingview.com/chart/mhFm6knv/?symbol=NSE%3AGROWWN200</t>
  </si>
  <si>
    <t>https://in.tradingview.com/chart/mhFm6knv/?symbol=NSE%3AGROWWLOVOL</t>
  </si>
  <si>
    <t>https://in.tradingview.com/chart/mhFm6knv/?symbol=NSE%3AGROWWMOM50</t>
  </si>
  <si>
    <t>https://in.tradingview.com/chart/mhFm6knv/?symbol=NSE%3AGROWWEV</t>
  </si>
  <si>
    <t>https://in.tradingview.com/chart/mhFm6knv/?symbol=NSE%3AGROWWDEFNC</t>
  </si>
  <si>
    <t>https://in.tradingview.com/chart/mhFm6knv/?symbol=NSE%3AGROWWNET</t>
  </si>
  <si>
    <t>https://in.tradingview.com/chart/mhFm6knv/?symbol=NSE%3AGROWWRAIL</t>
  </si>
  <si>
    <t>https://in.tradingview.com/chart/mhFm6knv/?symbol=NSE%3AGROWWMC150</t>
  </si>
  <si>
    <t>https://in.tradingview.com/chart/mhFm6knv/?symbol=NSE%3AGROWWNXT50</t>
  </si>
  <si>
    <t>https://in.tradingview.com/chart/mhFm6knv/?symbol=NSE%3AGROWWRLTY</t>
  </si>
  <si>
    <t>https://in.tradingview.com/chart/mhFm6knv/?symbol=NSE%3AGROWWSC250</t>
  </si>
  <si>
    <t>https://in.tradingview.com/chart/mhFm6knv/?symbol=NSE%3AGROWWNIFTY</t>
  </si>
  <si>
    <t>https://in.tradingview.com/chart/mhFm6knv/?symbol=NSE%3AGROWWSLVR</t>
  </si>
  <si>
    <t>https://in.tradingview.com/chart/mhFm6knv/?symbol=NSE%3AGRPLTD</t>
  </si>
  <si>
    <t>https://in.tradingview.com/chart/mhFm6knv/?symbol=NSE%3AGSS</t>
  </si>
  <si>
    <t>https://in.tradingview.com/chart/mhFm6knv/?symbol=NSE%3AGTL</t>
  </si>
  <si>
    <t>https://in.tradingview.com/chart/mhFm6knv/?symbol=NSE%3AGTPL</t>
  </si>
  <si>
    <t>https://in.tradingview.com/chart/mhFm6knv/?symbol=NSE%3AGUFICBIO</t>
  </si>
  <si>
    <t>https://in.tradingview.com/chart/mhFm6knv/?symbol=NSE%3AGUJALKALI</t>
  </si>
  <si>
    <t>https://in.tradingview.com/chart/mhFm6knv/?symbol=NSE%3AGAEL</t>
  </si>
  <si>
    <t>https://in.tradingview.com/chart/mhFm6knv/?symbol=NSE%3AGUJAPOLLO</t>
  </si>
  <si>
    <t>https://in.tradingview.com/chart/mhFm6knv/?symbol=NSE%3AFLUOROCHEM</t>
  </si>
  <si>
    <t>https://in.tradingview.com/chart/mhFm6knv/?symbol=NSE%3AGUJGASLTD</t>
  </si>
  <si>
    <t>https://in.tradingview.com/chart/mhFm6knv/?symbol=NSE%3AGIPCL</t>
  </si>
  <si>
    <t>https://in.tradingview.com/chart/mhFm6knv/?symbol=NSE%3AGMDCLTD</t>
  </si>
  <si>
    <t>https://in.tradingview.com/chart/mhFm6knv/?symbol=NSE%3AGNFC</t>
  </si>
  <si>
    <t>https://in.tradingview.com/chart/mhFm6knv/?symbol=NSE%3AGPPL</t>
  </si>
  <si>
    <t>https://in.tradingview.com/chart/mhFm6knv/?symbol=NSE%3AGUJRAFFIA</t>
  </si>
  <si>
    <t>https://in.tradingview.com/chart/mhFm6knv/?symbol=NSE%3AGSFC</t>
  </si>
  <si>
    <t>https://in.tradingview.com/chart/mhFm6knv/?symbol=NSE%3AGSPL</t>
  </si>
  <si>
    <t>https://in.tradingview.com/chart/mhFm6knv/?symbol=NSE%3AGUJTHEM</t>
  </si>
  <si>
    <t>https://in.tradingview.com/chart/mhFm6knv/?symbol=NSE%3AGULFOILLUB</t>
  </si>
  <si>
    <t>https://in.tradingview.com/chart/mhFm6knv/?symbol=NSE%3AGULPOLY</t>
  </si>
  <si>
    <t>https://in.tradingview.com/chart/mhFm6knv/?symbol=NSE%3AGVPTECH</t>
  </si>
  <si>
    <t>https://in.tradingview.com/chart/mhFm6knv/?symbol=NSE%3AHGINFRA</t>
  </si>
  <si>
    <t>https://in.tradingview.com/chart/mhFm6knv/?symbol=NSE%3AHALEOSLABS</t>
  </si>
  <si>
    <t>https://in.tradingview.com/chart/mhFm6knv/?symbol=NSE%3AHGM</t>
  </si>
  <si>
    <t>https://in.tradingview.com/chart/mhFm6knv/?symbol=NSE%3AHAPPSTMNDS</t>
  </si>
  <si>
    <t>https://in.tradingview.com/chart/mhFm6knv/?symbol=NSE%3AHAPPYFORGE</t>
  </si>
  <si>
    <t>https://in.tradingview.com/chart/mhFm6knv/?symbol=NSE%3AHARDWYN</t>
  </si>
  <si>
    <t>https://in.tradingview.com/chart/mhFm6knv/?symbol=NSE%3AHARIOMPIPE</t>
  </si>
  <si>
    <t>https://in.tradingview.com/chart/mhFm6knv/?symbol=NSE%3AHARRMALAYA</t>
  </si>
  <si>
    <t>https://in.tradingview.com/chart/mhFm6knv/?symbol=NSE%3AHARSHA</t>
  </si>
  <si>
    <t>https://in.tradingview.com/chart/mhFm6knv/?symbol=NSE%3AHATHWAY</t>
  </si>
  <si>
    <t>https://in.tradingview.com/chart/mhFm6knv/?symbol=NSE%3AHATSUN</t>
  </si>
  <si>
    <t>https://in.tradingview.com/chart/mhFm6knv/?symbol=NSE%3AHAVELLS</t>
  </si>
  <si>
    <t>https://in.tradingview.com/chart/mhFm6knv/?symbol=NSE%3AHBSL</t>
  </si>
  <si>
    <t>https://in.tradingview.com/chart/mhFm6knv/?symbol=NSE%3AHBLENGINE</t>
  </si>
  <si>
    <t>https://in.tradingview.com/chart/mhFm6knv/?symbol=NSE%3AHCL-INSYS</t>
  </si>
  <si>
    <t>https://in.tradingview.com/chart/mhFm6knv/?symbol=NSE%3AHCLTECH</t>
  </si>
  <si>
    <t>https://in.tradingview.com/chart/mhFm6knv/?symbol=NSE%3AHDBFS</t>
  </si>
  <si>
    <t>https://in.tradingview.com/chart/mhFm6knv/?symbol=NSE%3AHDFCAMC</t>
  </si>
  <si>
    <t>https://in.tradingview.com/chart/mhFm6knv/?symbol=NSE%3AHDFCBANK</t>
  </si>
  <si>
    <t>https://in.tradingview.com/chart/mhFm6knv/?symbol=NSE%3AHDFCGOLD</t>
  </si>
  <si>
    <t>https://in.tradingview.com/chart/mhFm6knv/?symbol=NSE%3AHDFCLIFE</t>
  </si>
  <si>
    <t>https://in.tradingview.com/chart/mhFm6knv/?symbol=NSE%3AHDFCNIF100</t>
  </si>
  <si>
    <t>https://in.tradingview.com/chart/mhFm6knv/?symbol=NSE%3AHDFCLOWVOL</t>
  </si>
  <si>
    <t>https://in.tradingview.com/chart/mhFm6knv/?symbol=NSE%3AHDFCQUAL</t>
  </si>
  <si>
    <t>https://in.tradingview.com/chart/mhFm6knv/?symbol=NSE%3AHDFCLIQUID</t>
  </si>
  <si>
    <t>https://in.tradingview.com/chart/mhFm6knv/?symbol=NSE%3AHDFCMOMENT</t>
  </si>
  <si>
    <t>https://in.tradingview.com/chart/mhFm6knv/?symbol=NSE%3AHDFCVALUE</t>
  </si>
  <si>
    <t>https://in.tradingview.com/chart/mhFm6knv/?symbol=NSE%3AHDFCNIFBAN</t>
  </si>
  <si>
    <t>https://in.tradingview.com/chart/mhFm6knv/?symbol=NSE%3AHDFCGROWTH</t>
  </si>
  <si>
    <t>https://in.tradingview.com/chart/mhFm6knv/?symbol=NSE%3AHDFCNIFIT</t>
  </si>
  <si>
    <t>https://in.tradingview.com/chart/mhFm6knv/?symbol=NSE%3AHDFCMID150</t>
  </si>
  <si>
    <t>https://in.tradingview.com/chart/mhFm6knv/?symbol=NSE%3AHDFCNEXT50</t>
  </si>
  <si>
    <t>https://in.tradingview.com/chart/mhFm6knv/?symbol=NSE%3AHDFCPVTBAN</t>
  </si>
  <si>
    <t>https://in.tradingview.com/chart/mhFm6knv/?symbol=NSE%3AHDFCPSUBK</t>
  </si>
  <si>
    <t>https://in.tradingview.com/chart/mhFm6knv/?symbol=NSE%3AHDFCSML250</t>
  </si>
  <si>
    <t>https://in.tradingview.com/chart/mhFm6knv/?symbol=NSE%3AHDFCBSE500</t>
  </si>
  <si>
    <t>https://in.tradingview.com/chart/mhFm6knv/?symbol=NSE%3AHDFCSENSEX</t>
  </si>
  <si>
    <t>https://in.tradingview.com/chart/mhFm6knv/?symbol=NSE%3AHDFCSILVER</t>
  </si>
  <si>
    <t>https://in.tradingview.com/chart/mhFm6knv/?symbol=NSE%3AHDFCNIFTY</t>
  </si>
  <si>
    <t>https://in.tradingview.com/chart/mhFm6knv/?symbol=NSE%3AHEADSUP</t>
  </si>
  <si>
    <t>https://in.tradingview.com/chart/mhFm6knv/?symbol=NSE%3AHCG</t>
  </si>
  <si>
    <t>https://in.tradingview.com/chart/mhFm6knv/?symbol=NSE%3AHECPROJECT</t>
  </si>
  <si>
    <t>https://in.tradingview.com/chart/mhFm6knv/?symbol=NSE%3AHEG</t>
  </si>
  <si>
    <t>https://in.tradingview.com/chart/mhFm6knv/?symbol=NSE%3AHEIDELBERG</t>
  </si>
  <si>
    <t>https://in.tradingview.com/chart/mhFm6knv/?symbol=NSE%3AHEMIPROP</t>
  </si>
  <si>
    <t>https://in.tradingview.com/chart/mhFm6knv/?symbol=NSE%3AHERANBA</t>
  </si>
  <si>
    <t>https://in.tradingview.com/chart/mhFm6knv/?symbol=NSE%3AHERCULES</t>
  </si>
  <si>
    <t>https://in.tradingview.com/chart/mhFm6knv/?symbol=NSE%3AHERITGFOOD</t>
  </si>
  <si>
    <t>https://in.tradingview.com/chart/mhFm6knv/?symbol=NSE%3AHEROMOTOCO</t>
  </si>
  <si>
    <t>https://in.tradingview.com/chart/mhFm6knv/?symbol=NSE%3AHESTERBIO</t>
  </si>
  <si>
    <t>https://in.tradingview.com/chart/mhFm6knv/?symbol=NSE%3AHEUBACHIND</t>
  </si>
  <si>
    <t>https://in.tradingview.com/chart/mhFm6knv/?symbol=NSE%3AHEXATRADEX</t>
  </si>
  <si>
    <t>https://in.tradingview.com/chart/mhFm6knv/?symbol=NSE%3AHEXT</t>
  </si>
  <si>
    <t>https://in.tradingview.com/chart/mhFm6knv/?symbol=NSE%3AHITECH</t>
  </si>
  <si>
    <t>https://in.tradingview.com/chart/mhFm6knv/?symbol=NSE%3AHIKAL</t>
  </si>
  <si>
    <t>https://in.tradingview.com/chart/mhFm6knv/?symbol=NSE%3AHILINFRA</t>
  </si>
  <si>
    <t>https://in.tradingview.com/chart/mhFm6knv/?symbol=NSE%3AHILTON</t>
  </si>
  <si>
    <t>https://in.tradingview.com/chart/mhFm6knv/?symbol=NSE%3AHFCL</t>
  </si>
  <si>
    <t>https://in.tradingview.com/chart/mhFm6knv/?symbol=NSE%3AHSCL</t>
  </si>
  <si>
    <t>https://in.tradingview.com/chart/mhFm6knv/?symbol=NSE%3AHIMATSEIDE</t>
  </si>
  <si>
    <t>https://in.tradingview.com/chart/mhFm6knv/?symbol=NSE%3AHIRECT</t>
  </si>
  <si>
    <t>https://in.tradingview.com/chart/mhFm6knv/?symbol=NSE%3AHINDALCO</t>
  </si>
  <si>
    <t>https://in.tradingview.com/chart/mhFm6knv/?symbol=NSE%3AHINDCON</t>
  </si>
  <si>
    <t>https://in.tradingview.com/chart/mhFm6knv/?symbol=NSE%3AHPIL</t>
  </si>
  <si>
    <t>https://in.tradingview.com/chart/mhFm6knv/?symbol=NSE%3AHGS</t>
  </si>
  <si>
    <t>https://in.tradingview.com/chart/mhFm6knv/?symbol=NSE%3AHAL</t>
  </si>
  <si>
    <t>https://in.tradingview.com/chart/mhFm6knv/?symbol=NSE%3AHINDCOMPOS</t>
  </si>
  <si>
    <t>https://in.tradingview.com/chart/mhFm6knv/?symbol=NSE%3AHCC</t>
  </si>
  <si>
    <t>https://in.tradingview.com/chart/mhFm6knv/?symbol=NSE%3AHINDCOPPER</t>
  </si>
  <si>
    <t>https://in.tradingview.com/chart/mhFm6knv/?symbol=NSE%3AHNDFDS</t>
  </si>
  <si>
    <t>https://in.tradingview.com/chart/mhFm6knv/?symbol=NSE%3AHMVL</t>
  </si>
  <si>
    <t>https://in.tradingview.com/chart/mhFm6knv/?symbol=NSE%3AHINDOILEXP</t>
  </si>
  <si>
    <t>https://in.tradingview.com/chart/mhFm6knv/?symbol=NSE%3AHINDPETRO</t>
  </si>
  <si>
    <t>https://in.tradingview.com/chart/mhFm6knv/?symbol=NSE%3AHINDUNILVR</t>
  </si>
  <si>
    <t>https://in.tradingview.com/chart/mhFm6knv/?symbol=NSE%3AHINDZINC</t>
  </si>
  <si>
    <t>https://in.tradingview.com/chart/mhFm6knv/?symbol=NSE%3AHINDWAREAP</t>
  </si>
  <si>
    <t>https://in.tradingview.com/chart/mhFm6knv/?symbol=NSE%3AHISARMETAL</t>
  </si>
  <si>
    <t>https://in.tradingview.com/chart/mhFm6knv/?symbol=NSE%3APOWERINDIA</t>
  </si>
  <si>
    <t>https://in.tradingview.com/chart/mhFm6knv/?symbol=NSE%3AHITECHCORP</t>
  </si>
  <si>
    <t>https://in.tradingview.com/chart/mhFm6knv/?symbol=NSE%3AHLEGLAS</t>
  </si>
  <si>
    <t>https://in.tradingview.com/chart/mhFm6knv/?symbol=NSE%3AHLVLTD</t>
  </si>
  <si>
    <t>https://in.tradingview.com/chart/mhFm6knv/?symbol=NSE%3AHMAAGRO</t>
  </si>
  <si>
    <t>https://in.tradingview.com/chart/mhFm6knv/?symbol=NSE%3AHMT</t>
  </si>
  <si>
    <t>https://in.tradingview.com/chart/mhFm6knv/?symbol=NSE%3AHOMEFIRST</t>
  </si>
  <si>
    <t>https://in.tradingview.com/chart/mhFm6knv/?symbol=NSE%3AHONASA</t>
  </si>
  <si>
    <t>https://in.tradingview.com/chart/mhFm6knv/?symbol=NSE%3AHONDAPOWER</t>
  </si>
  <si>
    <t>https://in.tradingview.com/chart/mhFm6knv/?symbol=NSE%3AHONAUT</t>
  </si>
  <si>
    <t>https://in.tradingview.com/chart/mhFm6knv/?symbol=NSE%3AHUDCO</t>
  </si>
  <si>
    <t>https://in.tradingview.com/chart/mhFm6knv/?symbol=NSE%3AHPAL</t>
  </si>
  <si>
    <t>https://in.tradingview.com/chart/mhFm6knv/?symbol=NSE%3AHPL</t>
  </si>
  <si>
    <t>https://in.tradingview.com/chart/mhFm6knv/?symbol=NSE%3AHTMEDIA</t>
  </si>
  <si>
    <t>https://in.tradingview.com/chart/mhFm6knv/?symbol=NSE%3AHUBTOWN</t>
  </si>
  <si>
    <t>https://in.tradingview.com/chart/mhFm6knv/?symbol=NSE%3AHUHTAMAKI</t>
  </si>
  <si>
    <t>https://in.tradingview.com/chart/mhFm6knv/?symbol=NSE%3AHYBRIDFIN</t>
  </si>
  <si>
    <t>https://in.tradingview.com/chart/mhFm6knv/?symbol=NSE%3AHYUNDAI</t>
  </si>
  <si>
    <t>https://in.tradingview.com/chart/mhFm6knv/?symbol=NSE%3AICDSLTD</t>
  </si>
  <si>
    <t>https://in.tradingview.com/chart/mhFm6knv/?symbol=NSE%3AICEMAKE</t>
  </si>
  <si>
    <t>https://in.tradingview.com/chart/mhFm6knv/?symbol=NSE%3AICICIBANK</t>
  </si>
  <si>
    <t>https://in.tradingview.com/chart/mhFm6knv/?symbol=NSE%3AICICIGI</t>
  </si>
  <si>
    <t>https://in.tradingview.com/chart/mhFm6knv/?symbol=NSE%3ACASHIETF</t>
  </si>
  <si>
    <t>https://in.tradingview.com/chart/mhFm6knv/?symbol=NSE%3AFMCGIETF</t>
  </si>
  <si>
    <t>https://in.tradingview.com/chart/mhFm6knv/?symbol=NSE%3AGOLDIETF</t>
  </si>
  <si>
    <t>https://in.tradingview.com/chart/mhFm6knv/?symbol=NSE%3AHEALTHIETF</t>
  </si>
  <si>
    <t>https://in.tradingview.com/chart/mhFm6knv/?symbol=NSE%3AITIETF</t>
  </si>
  <si>
    <t>https://in.tradingview.com/chart/mhFm6knv/?symbol=NSE%3AICICIPRULI</t>
  </si>
  <si>
    <t>https://in.tradingview.com/chart/mhFm6knv/?symbol=NSE%3AGSEC10IETF</t>
  </si>
  <si>
    <t>https://in.tradingview.com/chart/mhFm6knv/?symbol=NSE%3ANIF100IETF</t>
  </si>
  <si>
    <t>https://in.tradingview.com/chart/mhFm6knv/?symbol=NSE%3ALOWVOLIETF</t>
  </si>
  <si>
    <t>https://in.tradingview.com/chart/mhFm6knv/?symbol=NSE%3AMOM30IETF</t>
  </si>
  <si>
    <t>https://in.tradingview.com/chart/mhFm6knv/?symbol=NSE%3AQUAL30IETF</t>
  </si>
  <si>
    <t>https://in.tradingview.com/chart/mhFm6knv/?symbol=NSE%3AGSEC5IETF</t>
  </si>
  <si>
    <t>https://in.tradingview.com/chart/mhFm6knv/?symbol=NSE%3AALPL30IETF</t>
  </si>
  <si>
    <t>https://in.tradingview.com/chart/mhFm6knv/?symbol=NSE%3AAUTOIETF</t>
  </si>
  <si>
    <t>https://in.tradingview.com/chart/mhFm6knv/?symbol=NSE%3ABANKIETF</t>
  </si>
  <si>
    <t>https://in.tradingview.com/chart/mhFm6knv/?symbol=NSE%3ACOMMOIETF</t>
  </si>
  <si>
    <t>https://in.tradingview.com/chart/mhFm6knv/?symbol=NSE%3AEVIETF</t>
  </si>
  <si>
    <t>https://in.tradingview.com/chart/mhFm6knv/?symbol=NSE%3AFINIETF</t>
  </si>
  <si>
    <t>https://in.tradingview.com/chart/mhFm6knv/?symbol=NSE%3ACONSUMIETF</t>
  </si>
  <si>
    <t>https://in.tradingview.com/chart/mhFm6knv/?symbol=NSE%3AINFRAIETF</t>
  </si>
  <si>
    <t>https://in.tradingview.com/chart/mhFm6knv/?symbol=NSE%3AMETALIETF</t>
  </si>
  <si>
    <t>https://in.tradingview.com/chart/mhFm6knv/?symbol=NSE%3AMIDCAPIETF</t>
  </si>
  <si>
    <t>https://in.tradingview.com/chart/mhFm6knv/?symbol=NSE%3ANEXT50IETF</t>
  </si>
  <si>
    <t>https://in.tradingview.com/chart/mhFm6knv/?symbol=NSE%3AOILIETF</t>
  </si>
  <si>
    <t>https://in.tradingview.com/chart/mhFm6knv/?symbol=NSE%3APVTBANIETF</t>
  </si>
  <si>
    <t>https://in.tradingview.com/chart/mhFm6knv/?symbol=NSE%3APSUBNKIETF</t>
  </si>
  <si>
    <t>https://in.tradingview.com/chart/mhFm6knv/?symbol=NSE%3ATOP15IETF</t>
  </si>
  <si>
    <t>https://in.tradingview.com/chart/mhFm6knv/?symbol=NSE%3AVAL30IETF</t>
  </si>
  <si>
    <t>https://in.tradingview.com/chart/mhFm6knv/?symbol=NSE%3ANV20IETF</t>
  </si>
  <si>
    <t>https://in.tradingview.com/chart/mhFm6knv/?symbol=NSE%3ABSE500IETF</t>
  </si>
  <si>
    <t>https://in.tradingview.com/chart/mhFm6knv/?symbol=NSE%3ALIQUIDIETF</t>
  </si>
  <si>
    <t>https://in.tradingview.com/chart/mhFm6knv/?symbol=NSE%3AMIDSELIETF</t>
  </si>
  <si>
    <t>https://in.tradingview.com/chart/mhFm6knv/?symbol=NSE%3ASENSEXIETF</t>
  </si>
  <si>
    <t>https://in.tradingview.com/chart/mhFm6knv/?symbol=NSE%3ASILVERIETF</t>
  </si>
  <si>
    <t>https://in.tradingview.com/chart/mhFm6knv/?symbol=NSE%3AICRA</t>
  </si>
  <si>
    <t>https://in.tradingview.com/chart/mhFm6knv/?symbol=NSE%3AIDBI</t>
  </si>
  <si>
    <t>https://in.tradingview.com/chart/mhFm6knv/?symbol=NSE%3AIDEA</t>
  </si>
  <si>
    <t>https://in.tradingview.com/chart/mhFm6knv/?symbol=NSE%3AIDEAFORGE</t>
  </si>
  <si>
    <t>https://in.tradingview.com/chart/mhFm6knv/?symbol=NSE%3AIDFCFIRSTB</t>
  </si>
  <si>
    <t>https://in.tradingview.com/chart/mhFm6knv/?symbol=NSE%3AIFBAGRO</t>
  </si>
  <si>
    <t>https://in.tradingview.com/chart/mhFm6knv/?symbol=NSE%3AIFBIND</t>
  </si>
  <si>
    <t>https://in.tradingview.com/chart/mhFm6knv/?symbol=NSE%3AIFCI</t>
  </si>
  <si>
    <t>https://in.tradingview.com/chart/mhFm6knv/?symbol=NSE%3AIFGLEXPOR</t>
  </si>
  <si>
    <t>https://in.tradingview.com/chart/mhFm6knv/?symbol=NSE%3AIGPL</t>
  </si>
  <si>
    <t>https://in.tradingview.com/chart/mhFm6knv/?symbol=NSE%3AIGARASHI</t>
  </si>
  <si>
    <t>https://in.tradingview.com/chart/mhFm6knv/?symbol=NSE%3AIIFLCAPS</t>
  </si>
  <si>
    <t>https://in.tradingview.com/chart/mhFm6knv/?symbol=NSE%3AIIFL</t>
  </si>
  <si>
    <t>https://in.tradingview.com/chart/mhFm6knv/?symbol=NSE%3AIKIO</t>
  </si>
  <si>
    <t>https://in.tradingview.com/chart/mhFm6knv/?symbol=NSE%3AIL&amp;FSENGG</t>
  </si>
  <si>
    <t>https://in.tradingview.com/chart/mhFm6knv/?symbol=NSE%3AIVC</t>
  </si>
  <si>
    <t>https://in.tradingview.com/chart/mhFm6knv/?symbol=NSE%3AIMAGICAA</t>
  </si>
  <si>
    <t>https://in.tradingview.com/chart/mhFm6knv/?symbol=NSE%3AINCREDIBLE</t>
  </si>
  <si>
    <t>https://in.tradingview.com/chart/mhFm6knv/?symbol=NSE%3AINDSWFTLAB</t>
  </si>
  <si>
    <t>https://in.tradingview.com/chart/mhFm6knv/?symbol=NSE%3AINDBANK</t>
  </si>
  <si>
    <t>https://in.tradingview.com/chart/mhFm6knv/?symbol=NSE%3ABAJAJINDEF</t>
  </si>
  <si>
    <t>https://in.tradingview.com/chart/mhFm6knv/?symbol=NSE%3AINDGN</t>
  </si>
  <si>
    <t>https://in.tradingview.com/chart/mhFm6knv/?symbol=NSE%3AINDIAGLYCO</t>
  </si>
  <si>
    <t>https://in.tradingview.com/chart/mhFm6knv/?symbol=NSE%3AIMPAL</t>
  </si>
  <si>
    <t>https://in.tradingview.com/chart/mhFm6knv/?symbol=NSE%3AINDNIPPON</t>
  </si>
  <si>
    <t>https://in.tradingview.com/chart/mhFm6knv/?symbol=NSE%3AIPL</t>
  </si>
  <si>
    <t>https://in.tradingview.com/chart/mhFm6knv/?symbol=NSE%3AINDIASHLTR</t>
  </si>
  <si>
    <t>https://in.tradingview.com/chart/mhFm6knv/?symbol=NSE%3AITDC</t>
  </si>
  <si>
    <t>https://in.tradingview.com/chart/mhFm6knv/?symbol=NSE%3AINDIAVIX</t>
  </si>
  <si>
    <t>https://in.tradingview.com/chart/mhFm6knv/?symbol=NSE%3AIBULLSLTD</t>
  </si>
  <si>
    <t>https://in.tradingview.com/chart/mhFm6knv/?symbol=NSE%3AINDIAMART</t>
  </si>
  <si>
    <t>https://in.tradingview.com/chart/mhFm6knv/?symbol=NSE%3AINDIANB</t>
  </si>
  <si>
    <t>https://in.tradingview.com/chart/mhFm6knv/?symbol=NSE%3AINDIANCARD</t>
  </si>
  <si>
    <t>https://in.tradingview.com/chart/mhFm6knv/?symbol=NSE%3AIEX</t>
  </si>
  <si>
    <t>https://in.tradingview.com/chart/mhFm6knv/?symbol=NSE%3AINDIANHUME</t>
  </si>
  <si>
    <t>https://in.tradingview.com/chart/mhFm6knv/?symbol=NSE%3AIMFA</t>
  </si>
  <si>
    <t>https://in.tradingview.com/chart/mhFm6knv/?symbol=NSE%3AIOC</t>
  </si>
  <si>
    <t>https://in.tradingview.com/chart/mhFm6knv/?symbol=NSE%3AIOB</t>
  </si>
  <si>
    <t>https://in.tradingview.com/chart/mhFm6knv/?symbol=NSE%3AIRCTC</t>
  </si>
  <si>
    <t>https://in.tradingview.com/chart/mhFm6knv/?symbol=NSE%3AIRFC</t>
  </si>
  <si>
    <t>https://in.tradingview.com/chart/mhFm6knv/?symbol=NSE%3AIREDA</t>
  </si>
  <si>
    <t>https://in.tradingview.com/chart/mhFm6knv/?symbol=NSE%3AINDTERRAIN</t>
  </si>
  <si>
    <t>https://in.tradingview.com/chart/mhFm6knv/?symbol=NSE%3AINDIGOPNTS</t>
  </si>
  <si>
    <t>https://in.tradingview.com/chart/mhFm6knv/?symbol=NSE%3AINDIQUBE</t>
  </si>
  <si>
    <t>https://in.tradingview.com/chart/mhFm6knv/?symbol=NSE%3AINDOAMIN</t>
  </si>
  <si>
    <t>https://in.tradingview.com/chart/mhFm6knv/?symbol=NSE%3AINDOBORAX</t>
  </si>
  <si>
    <t>https://in.tradingview.com/chart/mhFm6knv/?symbol=NSE%3AICIL</t>
  </si>
  <si>
    <t>https://in.tradingview.com/chart/mhFm6knv/?symbol=NSE%3AINDOFARM</t>
  </si>
  <si>
    <t>https://in.tradingview.com/chart/mhFm6knv/?symbol=NSE%3AINDORAMA</t>
  </si>
  <si>
    <t>https://in.tradingview.com/chart/mhFm6knv/?symbol=NSE%3AINDOTECH</t>
  </si>
  <si>
    <t>https://in.tradingview.com/chart/mhFm6knv/?symbol=NSE%3AINDOTHAI</t>
  </si>
  <si>
    <t>https://in.tradingview.com/chart/mhFm6knv/?symbol=NSE%3AINDOUS</t>
  </si>
  <si>
    <t>https://in.tradingview.com/chart/mhFm6knv/?symbol=NSE%3ANIPPOBATRY</t>
  </si>
  <si>
    <t>https://in.tradingview.com/chart/mhFm6knv/?symbol=NSE%3AINDOCO</t>
  </si>
  <si>
    <t>https://in.tradingview.com/chart/mhFm6knv/?symbol=NSE%3AIGCL</t>
  </si>
  <si>
    <t>https://in.tradingview.com/chart/mhFm6knv/?symbol=NSE%3AWAAREEINDO</t>
  </si>
  <si>
    <t>https://in.tradingview.com/chart/mhFm6knv/?symbol=NSE%3AINDOSTAR</t>
  </si>
  <si>
    <t>https://in.tradingview.com/chart/mhFm6knv/?symbol=NSE%3AINDOWIND</t>
  </si>
  <si>
    <t>https://in.tradingview.com/chart/mhFm6knv/?symbol=NSE%3AIGL</t>
  </si>
  <si>
    <t>https://in.tradingview.com/chart/mhFm6knv/?symbol=NSE%3AINDRAMEDCO</t>
  </si>
  <si>
    <t>https://in.tradingview.com/chart/mhFm6knv/?symbol=NSE%3AINDUSTOWER</t>
  </si>
  <si>
    <t>https://in.tradingview.com/chart/mhFm6knv/?symbol=NSE%3AINDUSINDBK</t>
  </si>
  <si>
    <t>https://in.tradingview.com/chart/mhFm6knv/?symbol=NSE%3AIITL</t>
  </si>
  <si>
    <t>https://in.tradingview.com/chart/mhFm6knv/?symbol=NSE%3AINFIBEAM</t>
  </si>
  <si>
    <t>https://in.tradingview.com/chart/mhFm6knv/?symbol=NSE%3ANAUKRI</t>
  </si>
  <si>
    <t>https://in.tradingview.com/chart/mhFm6knv/?symbol=NSE%3AINFOBEAN</t>
  </si>
  <si>
    <t>https://in.tradingview.com/chart/mhFm6knv/?symbol=NSE%3AINFOMEDIA</t>
  </si>
  <si>
    <t>https://in.tradingview.com/chart/mhFm6knv/?symbol=NSE%3AINFY</t>
  </si>
  <si>
    <t>https://in.tradingview.com/chart/mhFm6knv/?symbol=NSE%3AINGERRAND</t>
  </si>
  <si>
    <t>https://in.tradingview.com/chart/mhFm6knv/?symbol=NSE%3AINNOVACAP</t>
  </si>
  <si>
    <t>https://in.tradingview.com/chart/mhFm6knv/?symbol=NSE%3AINNOVANA</t>
  </si>
  <si>
    <t>https://in.tradingview.com/chart/mhFm6knv/?symbol=NSE%3AINOXGREEN</t>
  </si>
  <si>
    <t>https://in.tradingview.com/chart/mhFm6knv/?symbol=NSE%3AINOXINDIA</t>
  </si>
  <si>
    <t>https://in.tradingview.com/chart/mhFm6knv/?symbol=NSE%3AINOXWIND</t>
  </si>
  <si>
    <t>https://in.tradingview.com/chart/mhFm6knv/?symbol=NSE%3AINSECTICID</t>
  </si>
  <si>
    <t>https://in.tradingview.com/chart/mhFm6knv/?symbol=NSE%3AINSPIRISYS</t>
  </si>
  <si>
    <t>https://in.tradingview.com/chart/mhFm6knv/?symbol=NSE%3AINTELLECT</t>
  </si>
  <si>
    <t>https://in.tradingview.com/chart/mhFm6knv/?symbol=NSE%3AINTENTECH</t>
  </si>
  <si>
    <t>https://in.tradingview.com/chart/mhFm6knv/?symbol=NSE%3AINTERARCH</t>
  </si>
  <si>
    <t>https://in.tradingview.com/chart/mhFm6knv/?symbol=NSE%3AINDIGO</t>
  </si>
  <si>
    <t>https://in.tradingview.com/chart/mhFm6knv/?symbol=NSE%3AINTLCONV</t>
  </si>
  <si>
    <t>https://in.tradingview.com/chart/mhFm6knv/?symbol=NSE%3AIGIL</t>
  </si>
  <si>
    <t>https://in.tradingview.com/chart/mhFm6knv/?symbol=NSE%3AISFT</t>
  </si>
  <si>
    <t>https://in.tradingview.com/chart/mhFm6knv/?symbol=NSE%3AIKS</t>
  </si>
  <si>
    <t>https://in.tradingview.com/chart/mhFm6knv/?symbol=NSE%3AIVZINGOLD</t>
  </si>
  <si>
    <t>https://in.tradingview.com/chart/mhFm6knv/?symbol=NSE%3AIVZINNIFTY</t>
  </si>
  <si>
    <t>https://in.tradingview.com/chart/mhFm6knv/?symbol=NSE%3AIOLCP</t>
  </si>
  <si>
    <t>https://in.tradingview.com/chart/mhFm6knv/?symbol=NSE%3AIONEXCHANG</t>
  </si>
  <si>
    <t>https://in.tradingview.com/chart/mhFm6knv/?symbol=NSE%3AIPCALAB</t>
  </si>
  <si>
    <t>https://in.tradingview.com/chart/mhFm6knv/?symbol=NSE%3AIRB</t>
  </si>
  <si>
    <t>https://in.tradingview.com/chart/mhFm6knv/?symbol=NSE%3AIRCON</t>
  </si>
  <si>
    <t>https://in.tradingview.com/chart/mhFm6knv/?symbol=NSE%3AIRIS</t>
  </si>
  <si>
    <t>https://in.tradingview.com/chart/mhFm6knv/?symbol=NSE%3AIRISDOREME</t>
  </si>
  <si>
    <t>https://in.tradingview.com/chart/mhFm6knv/?symbol=NSE%3AIRMENERGY</t>
  </si>
  <si>
    <t>https://in.tradingview.com/chart/mhFm6knv/?symbol=NSE%3AISGEC</t>
  </si>
  <si>
    <t>https://in.tradingview.com/chart/mhFm6knv/?symbol=NSE%3AISHANCH</t>
  </si>
  <si>
    <t>https://in.tradingview.com/chart/mhFm6knv/?symbol=NSE%3AITCHOTELS</t>
  </si>
  <si>
    <t>https://in.tradingview.com/chart/mhFm6knv/?symbol=NSE%3AITC</t>
  </si>
  <si>
    <t>https://in.tradingview.com/chart/mhFm6knv/?symbol=NSE%3AITI</t>
  </si>
  <si>
    <t>https://in.tradingview.com/chart/mhFm6knv/?symbol=NSE%3AIVALUE</t>
  </si>
  <si>
    <t>https://in.tradingview.com/chart/mhFm6knv/?symbol=NSE%3AIVP</t>
  </si>
  <si>
    <t>https://in.tradingview.com/chart/mhFm6knv/?symbol=NSE%3AIZMO</t>
  </si>
  <si>
    <t>https://in.tradingview.com/chart/mhFm6knv/?symbol=NSE%3AJGCHEM</t>
  </si>
  <si>
    <t>https://in.tradingview.com/chart/mhFm6knv/?symbol=NSE%3AJKIL</t>
  </si>
  <si>
    <t>https://in.tradingview.com/chart/mhFm6knv/?symbol=NSE%3AJAGRAN</t>
  </si>
  <si>
    <t>https://in.tradingview.com/chart/mhFm6knv/?symbol=NSE%3AJAGSNPHARM</t>
  </si>
  <si>
    <t>https://in.tradingview.com/chart/mhFm6knv/?symbol=NSE%3AJAIBALAJI</t>
  </si>
  <si>
    <t>https://in.tradingview.com/chart/mhFm6knv/?symbol=NSE%3AJAICORPLTD</t>
  </si>
  <si>
    <t>https://in.tradingview.com/chart/mhFm6knv/?symbol=NSE%3AJISLJALEQS</t>
  </si>
  <si>
    <t>https://in.tradingview.com/chart/mhFm6knv/?symbol=NSE%3AJISLDVREQS</t>
  </si>
  <si>
    <t>https://in.tradingview.com/chart/mhFm6knv/?symbol=NSE%3AJAINREC</t>
  </si>
  <si>
    <t>https://in.tradingview.com/chart/mhFm6knv/?symbol=NSE%3AJPPOWER</t>
  </si>
  <si>
    <t>https://in.tradingview.com/chart/mhFm6knv/?symbol=NSE%3AJAMNAAUTO</t>
  </si>
  <si>
    <t>https://in.tradingview.com/chart/mhFm6knv/?symbol=NSE%3AJSFB</t>
  </si>
  <si>
    <t>https://in.tradingview.com/chart/mhFm6knv/?symbol=NSE%3AJARO</t>
  </si>
  <si>
    <t>https://in.tradingview.com/chart/mhFm6knv/?symbol=NSE%3AJASH</t>
  </si>
  <si>
    <t>https://in.tradingview.com/chart/mhFm6knv/?symbol=NSE%3AJAYBARMARU</t>
  </si>
  <si>
    <t>https://in.tradingview.com/chart/mhFm6knv/?symbol=NSE%3AJAYAGROGN</t>
  </si>
  <si>
    <t>https://in.tradingview.com/chart/mhFm6knv/?symbol=NSE%3AJAYNECOIND</t>
  </si>
  <si>
    <t>https://in.tradingview.com/chart/mhFm6knv/?symbol=NSE%3AJAYSREETEA</t>
  </si>
  <si>
    <t>https://in.tradingview.com/chart/mhFm6knv/?symbol=NSE%3AJBCHEPHARM</t>
  </si>
  <si>
    <t>https://in.tradingview.com/chart/mhFm6knv/?symbol=NSE%3AJBMA</t>
  </si>
  <si>
    <t>https://in.tradingview.com/chart/mhFm6knv/?symbol=NSE%3AJSLL</t>
  </si>
  <si>
    <t>https://in.tradingview.com/chart/mhFm6knv/?symbol=NSE%3AJETFREIGHT</t>
  </si>
  <si>
    <t>https://in.tradingview.com/chart/mhFm6knv/?symbol=NSE%3AJHS</t>
  </si>
  <si>
    <t>https://in.tradingview.com/chart/mhFm6knv/?symbol=NSE%3ARETAIL</t>
  </si>
  <si>
    <t>https://in.tradingview.com/chart/mhFm6knv/?symbol=NSE%3AJINDRILL</t>
  </si>
  <si>
    <t>https://in.tradingview.com/chart/mhFm6knv/?symbol=NSE%3AJINDALPHOT</t>
  </si>
  <si>
    <t>https://in.tradingview.com/chart/mhFm6knv/?symbol=NSE%3AJINDALPOLY</t>
  </si>
  <si>
    <t>https://in.tradingview.com/chart/mhFm6knv/?symbol=NSE%3AJPOLYINVST</t>
  </si>
  <si>
    <t>https://in.tradingview.com/chart/mhFm6knv/?symbol=NSE%3AJINDALSAW</t>
  </si>
  <si>
    <t>https://in.tradingview.com/chart/mhFm6knv/?symbol=NSE%3AJSL</t>
  </si>
  <si>
    <t>https://in.tradingview.com/chart/mhFm6knv/?symbol=NSE%3AJINDALSTEL</t>
  </si>
  <si>
    <t>https://in.tradingview.com/chart/mhFm6knv/?symbol=NSE%3AJINDWORLD</t>
  </si>
  <si>
    <t>https://in.tradingview.com/chart/mhFm6knv/?symbol=NSE%3AJIOFIN</t>
  </si>
  <si>
    <t>https://in.tradingview.com/chart/mhFm6knv/?symbol=NSE%3AJITFINFRA</t>
  </si>
  <si>
    <t>https://in.tradingview.com/chart/mhFm6knv/?symbol=NSE%3AJKCEMENT</t>
  </si>
  <si>
    <t>https://in.tradingview.com/chart/mhFm6knv/?symbol=NSE%3AJKLAKSHMI</t>
  </si>
  <si>
    <t>https://in.tradingview.com/chart/mhFm6knv/?symbol=NSE%3AJKPAPER</t>
  </si>
  <si>
    <t>https://in.tradingview.com/chart/mhFm6knv/?symbol=NSE%3AJKTYRE</t>
  </si>
  <si>
    <t>https://in.tradingview.com/chart/mhFm6knv/?symbol=NSE%3AJMFINANCIL</t>
  </si>
  <si>
    <t>https://in.tradingview.com/chart/mhFm6knv/?symbol=NSE%3AJNKINDIA</t>
  </si>
  <si>
    <t>https://in.tradingview.com/chart/mhFm6knv/?symbol=NSE%3AJOCIL</t>
  </si>
  <si>
    <t>https://in.tradingview.com/chart/mhFm6knv/?symbol=NSE%3AJCHAC</t>
  </si>
  <si>
    <t>https://in.tradingview.com/chart/mhFm6knv/?symbol=NSE%3AJSWCEMENT</t>
  </si>
  <si>
    <t>https://in.tradingview.com/chart/mhFm6knv/?symbol=NSE%3AJSWENERGY</t>
  </si>
  <si>
    <t>https://in.tradingview.com/chart/mhFm6knv/?symbol=NSE%3AJSWHL</t>
  </si>
  <si>
    <t>https://in.tradingview.com/chart/mhFm6knv/?symbol=NSE%3AJSWINFRA</t>
  </si>
  <si>
    <t>https://in.tradingview.com/chart/mhFm6knv/?symbol=NSE%3AJSWSTEEL</t>
  </si>
  <si>
    <t>https://in.tradingview.com/chart/mhFm6knv/?symbol=NSE%3AJTEKTINDIA</t>
  </si>
  <si>
    <t>https://in.tradingview.com/chart/mhFm6knv/?symbol=NSE%3AJTLIND</t>
  </si>
  <si>
    <t>https://in.tradingview.com/chart/mhFm6knv/?symbol=NSE%3AJUBLCPL</t>
  </si>
  <si>
    <t>https://in.tradingview.com/chart/mhFm6knv/?symbol=NSE%3AJUBLFOOD</t>
  </si>
  <si>
    <t>https://in.tradingview.com/chart/mhFm6knv/?symbol=NSE%3AJUBLINGREA</t>
  </si>
  <si>
    <t>https://in.tradingview.com/chart/mhFm6knv/?symbol=NSE%3AJUBLPHARMA</t>
  </si>
  <si>
    <t>https://in.tradingview.com/chart/mhFm6knv/?symbol=NSE%3AJMA</t>
  </si>
  <si>
    <t>https://in.tradingview.com/chart/mhFm6knv/?symbol=NSE%3AJUNIPER</t>
  </si>
  <si>
    <t>https://in.tradingview.com/chart/mhFm6knv/?symbol=NSE%3AJLHL</t>
  </si>
  <si>
    <t>https://in.tradingview.com/chart/mhFm6knv/?symbol=NSE%3AJWL</t>
  </si>
  <si>
    <t>https://in.tradingview.com/chart/mhFm6knv/?symbol=NSE%3AJUSTDIAL</t>
  </si>
  <si>
    <t>https://in.tradingview.com/chart/mhFm6knv/?symbol=NSE%3AJYOTHYLAB</t>
  </si>
  <si>
    <t>https://in.tradingview.com/chart/mhFm6knv/?symbol=NSE%3AJYOTICNC</t>
  </si>
  <si>
    <t>https://in.tradingview.com/chart/mhFm6knv/?symbol=NSE%3AJYOTISTRUC</t>
  </si>
  <si>
    <t>https://in.tradingview.com/chart/mhFm6knv/?symbol=NSE%3AKMSUGAR</t>
  </si>
  <si>
    <t>https://in.tradingview.com/chart/mhFm6knv/?symbol=NSE%3AKPEL</t>
  </si>
  <si>
    <t>https://in.tradingview.com/chart/mhFm6knv/?symbol=NSE%3AKPRMILL</t>
  </si>
  <si>
    <t>https://in.tradingview.com/chart/mhFm6knv/?symbol=NSE%3AKABRAEXTRU</t>
  </si>
  <si>
    <t>https://in.tradingview.com/chart/mhFm6knv/?symbol=NSE%3AKAJARIACER</t>
  </si>
  <si>
    <t>https://in.tradingview.com/chart/mhFm6knv/?symbol=NSE%3AKAKATCEM</t>
  </si>
  <si>
    <t>https://in.tradingview.com/chart/mhFm6knv/?symbol=NSE%3AKALPATARU</t>
  </si>
  <si>
    <t>https://in.tradingview.com/chart/mhFm6knv/?symbol=NSE%3AKPIL</t>
  </si>
  <si>
    <t>https://in.tradingview.com/chart/mhFm6knv/?symbol=NSE%3AKALYANKJIL</t>
  </si>
  <si>
    <t>https://in.tradingview.com/chart/mhFm6knv/?symbol=NSE%3AKALYANIFRG</t>
  </si>
  <si>
    <t>https://in.tradingview.com/chart/mhFm6knv/?symbol=NSE%3AKICL</t>
  </si>
  <si>
    <t>https://in.tradingview.com/chart/mhFm6knv/?symbol=NSE%3AKSL</t>
  </si>
  <si>
    <t>https://in.tradingview.com/chart/mhFm6knv/?symbol=NSE%3AKAMATHOTEL</t>
  </si>
  <si>
    <t>https://in.tradingview.com/chart/mhFm6knv/?symbol=NSE%3AKAMDHENU</t>
  </si>
  <si>
    <t>https://in.tradingview.com/chart/mhFm6knv/?symbol=NSE%3AKAMOPAINTS</t>
  </si>
  <si>
    <t>https://in.tradingview.com/chart/mhFm6knv/?symbol=NSE%3AKANORICHEM</t>
  </si>
  <si>
    <t>https://in.tradingview.com/chart/mhFm6knv/?symbol=NSE%3AKANPRPLA</t>
  </si>
  <si>
    <t>https://in.tradingview.com/chart/mhFm6knv/?symbol=NSE%3AKANSAINER</t>
  </si>
  <si>
    <t>https://in.tradingview.com/chart/mhFm6knv/?symbol=NSE%3AKAPSTON</t>
  </si>
  <si>
    <t>https://in.tradingview.com/chart/mhFm6knv/?symbol=NSE%3AKARMAENG</t>
  </si>
  <si>
    <t>https://in.tradingview.com/chart/mhFm6knv/?symbol=NSE%3AKARURVYSYA</t>
  </si>
  <si>
    <t>https://in.tradingview.com/chart/mhFm6knv/?symbol=NSE%3AKAUSHALYA</t>
  </si>
  <si>
    <t>https://in.tradingview.com/chart/mhFm6knv/?symbol=NSE%3AKSCL</t>
  </si>
  <si>
    <t>https://in.tradingview.com/chart/mhFm6knv/?symbol=NSE%3AKAVDEFENCE</t>
  </si>
  <si>
    <t>https://in.tradingview.com/chart/mhFm6knv/?symbol=NSE%3AKAYA</t>
  </si>
  <si>
    <t>https://in.tradingview.com/chart/mhFm6knv/?symbol=NSE%3AKAYNES</t>
  </si>
  <si>
    <t>https://in.tradingview.com/chart/mhFm6knv/?symbol=NSE%3AKCP</t>
  </si>
  <si>
    <t>https://in.tradingview.com/chart/mhFm6knv/?symbol=NSE%3AKCPSUGIND</t>
  </si>
  <si>
    <t>https://in.tradingview.com/chart/mhFm6knv/?symbol=NSE%3AKDDL</t>
  </si>
  <si>
    <t>https://in.tradingview.com/chart/mhFm6knv/?symbol=NSE%3AKEC</t>
  </si>
  <si>
    <t>https://in.tradingview.com/chart/mhFm6knv/?symbol=NSE%3AKEI</t>
  </si>
  <si>
    <t>https://in.tradingview.com/chart/mhFm6knv/?symbol=NSE%3AKELLTONTEC</t>
  </si>
  <si>
    <t>https://in.tradingview.com/chart/mhFm6knv/?symbol=NSE%3AKERNEX</t>
  </si>
  <si>
    <t>https://in.tradingview.com/chart/mhFm6knv/?symbol=NSE%3AKESORAMIND</t>
  </si>
  <si>
    <t>https://in.tradingview.com/chart/mhFm6knv/?symbol=NSE%3AKKCL</t>
  </si>
  <si>
    <t>https://in.tradingview.com/chart/mhFm6knv/?symbol=NSE%3AKEYFINSERV</t>
  </si>
  <si>
    <t>https://in.tradingview.com/chart/mhFm6knv/?symbol=NSE%3ARUSTOMJEE</t>
  </si>
  <si>
    <t>https://in.tradingview.com/chart/mhFm6knv/?symbol=NSE%3AKFINTECH</t>
  </si>
  <si>
    <t>https://in.tradingview.com/chart/mhFm6knv/?symbol=NSE%3AKHADIM</t>
  </si>
  <si>
    <t>https://in.tradingview.com/chart/mhFm6knv/?symbol=NSE%3AKHAITANLTD</t>
  </si>
  <si>
    <t>https://in.tradingview.com/chart/mhFm6knv/?symbol=NSE%3AKHAICHEM</t>
  </si>
  <si>
    <t>https://in.tradingview.com/chart/mhFm6knv/?symbol=NSE%3AKHANDSE</t>
  </si>
  <si>
    <t>https://in.tradingview.com/chart/mhFm6knv/?symbol=NSE%3AKILITCH</t>
  </si>
  <si>
    <t>https://in.tradingview.com/chart/mhFm6knv/?symbol=NSE%3AKINGFA</t>
  </si>
  <si>
    <t>https://in.tradingview.com/chart/mhFm6knv/?symbol=NSE%3AKIOCL</t>
  </si>
  <si>
    <t>https://in.tradingview.com/chart/mhFm6knv/?symbol=NSE%3AKIRIINDUS</t>
  </si>
  <si>
    <t>https://in.tradingview.com/chart/mhFm6knv/?symbol=NSE%3AKIRLOSBROS</t>
  </si>
  <si>
    <t>https://in.tradingview.com/chart/mhFm6knv/?symbol=NSE%3AKECL</t>
  </si>
  <si>
    <t>https://in.tradingview.com/chart/mhFm6knv/?symbol=NSE%3AKIRLOSIND</t>
  </si>
  <si>
    <t>https://in.tradingview.com/chart/mhFm6knv/?symbol=NSE%3AKIRLOSENG</t>
  </si>
  <si>
    <t>https://in.tradingview.com/chart/mhFm6knv/?symbol=NSE%3AKIRLPNU</t>
  </si>
  <si>
    <t>https://in.tradingview.com/chart/mhFm6knv/?symbol=NSE%3AKITEX</t>
  </si>
  <si>
    <t>https://in.tradingview.com/chart/mhFm6knv/?symbol=NSE%3AKNAGRI</t>
  </si>
  <si>
    <t>https://in.tradingview.com/chart/mhFm6knv/?symbol=NSE%3AKMEW</t>
  </si>
  <si>
    <t>https://in.tradingview.com/chart/mhFm6knv/?symbol=NSE%3AKNRCON</t>
  </si>
  <si>
    <t>https://in.tradingview.com/chart/mhFm6knv/?symbol=NSE%3AKOHINOOR</t>
  </si>
  <si>
    <t>https://in.tradingview.com/chart/mhFm6knv/?symbol=NSE%3AKOKUYOCMLN</t>
  </si>
  <si>
    <t>https://in.tradingview.com/chart/mhFm6knv/?symbol=NSE%3AKOLTEPATIL</t>
  </si>
  <si>
    <t>https://in.tradingview.com/chart/mhFm6knv/?symbol=NSE%3AKOPRAN</t>
  </si>
  <si>
    <t>https://in.tradingview.com/chart/mhFm6knv/?symbol=NSE%3AGOLD1</t>
  </si>
  <si>
    <t>https://in.tradingview.com/chart/mhFm6knv/?symbol=NSE%3AIT</t>
  </si>
  <si>
    <t>https://in.tradingview.com/chart/mhFm6knv/?symbol=NSE%3AKOTAKBANK</t>
  </si>
  <si>
    <t>https://in.tradingview.com/chart/mhFm6knv/?symbol=NSE%3AMSCIINDIA</t>
  </si>
  <si>
    <t>https://in.tradingview.com/chart/mhFm6knv/?symbol=NSE%3ANIFTY100EW</t>
  </si>
  <si>
    <t>https://in.tradingview.com/chart/mhFm6knv/?symbol=NSE%3ALOWVOL1</t>
  </si>
  <si>
    <t>https://in.tradingview.com/chart/mhFm6knv/?symbol=NSE%3ALIQUID1</t>
  </si>
  <si>
    <t>https://in.tradingview.com/chart/mhFm6knv/?symbol=NSE%3AMOMENTUM30</t>
  </si>
  <si>
    <t>https://in.tradingview.com/chart/mhFm6knv/?symbol=NSE%3AALPHA</t>
  </si>
  <si>
    <t>https://in.tradingview.com/chart/mhFm6knv/?symbol=NSE%3ACHEMICAL</t>
  </si>
  <si>
    <t>https://in.tradingview.com/chart/mhFm6knv/?symbol=NSE%3ACONS</t>
  </si>
  <si>
    <t>https://in.tradingview.com/chart/mhFm6knv/?symbol=NSE%3AMID150</t>
  </si>
  <si>
    <t>https://in.tradingview.com/chart/mhFm6knv/?symbol=NSE%3AMIDCAP</t>
  </si>
  <si>
    <t>https://in.tradingview.com/chart/mhFm6knv/?symbol=NSE%3AMNC</t>
  </si>
  <si>
    <t>https://in.tradingview.com/chart/mhFm6knv/?symbol=NSE%3APSUBANK</t>
  </si>
  <si>
    <t>https://in.tradingview.com/chart/mhFm6knv/?symbol=NSE%3AQUALITY30</t>
  </si>
  <si>
    <t>https://in.tradingview.com/chart/mhFm6knv/?symbol=NSE%3ASILVER1</t>
  </si>
  <si>
    <t>https://in.tradingview.com/chart/mhFm6knv/?symbol=NSE%3AKOTHARIPET</t>
  </si>
  <si>
    <t>https://in.tradingview.com/chart/mhFm6knv/?symbol=NSE%3AKOTHARIPRO</t>
  </si>
  <si>
    <t>https://in.tradingview.com/chart/mhFm6knv/?symbol=NSE%3AKOTARISUG</t>
  </si>
  <si>
    <t>https://in.tradingview.com/chart/mhFm6knv/?symbol=NSE%3AKPIGREEN</t>
  </si>
  <si>
    <t>https://in.tradingview.com/chart/mhFm6knv/?symbol=NSE%3AKPITTECH</t>
  </si>
  <si>
    <t>https://in.tradingview.com/chart/mhFm6knv/?symbol=NSE%3AKRBL</t>
  </si>
  <si>
    <t>https://in.tradingview.com/chart/mhFm6knv/?symbol=NSE%3AKREBSBIO</t>
  </si>
  <si>
    <t>https://in.tradingview.com/chart/mhFm6knv/?symbol=NSE%3AKRISHANA</t>
  </si>
  <si>
    <t>https://in.tradingview.com/chart/mhFm6knv/?symbol=NSE%3AKIMS</t>
  </si>
  <si>
    <t>https://in.tradingview.com/chart/mhFm6knv/?symbol=NSE%3AKRITI</t>
  </si>
  <si>
    <t>https://in.tradingview.com/chart/mhFm6knv/?symbol=NSE%3AKRITINUT</t>
  </si>
  <si>
    <t>https://in.tradingview.com/chart/mhFm6knv/?symbol=NSE%3AKRITIKA</t>
  </si>
  <si>
    <t>https://in.tradingview.com/chart/mhFm6knv/?symbol=NSE%3AKRN</t>
  </si>
  <si>
    <t>https://in.tradingview.com/chart/mhFm6knv/?symbol=NSE%3AKRONOX</t>
  </si>
  <si>
    <t>https://in.tradingview.com/chart/mhFm6knv/?symbol=NSE%3AKROSS</t>
  </si>
  <si>
    <t>https://in.tradingview.com/chart/mhFm6knv/?symbol=NSE%3AKRSNAA</t>
  </si>
  <si>
    <t>https://in.tradingview.com/chart/mhFm6knv/?symbol=NSE%3AKRYSTAL</t>
  </si>
  <si>
    <t>https://in.tradingview.com/chart/mhFm6knv/?symbol=NSE%3AKSB</t>
  </si>
  <si>
    <t>https://in.tradingview.com/chart/mhFm6knv/?symbol=NSE%3AKSOLVES</t>
  </si>
  <si>
    <t>https://in.tradingview.com/chart/mhFm6knv/?symbol=NSE%3AKSR</t>
  </si>
  <si>
    <t>https://in.tradingview.com/chart/mhFm6knv/?symbol=NSE%3AKUANTUM</t>
  </si>
  <si>
    <t>https://in.tradingview.com/chart/mhFm6knv/?symbol=NSE%3ALTFOODS</t>
  </si>
  <si>
    <t>https://in.tradingview.com/chart/mhFm6knv/?symbol=NSE%3ALTF</t>
  </si>
  <si>
    <t>https://in.tradingview.com/chart/mhFm6knv/?symbol=NSE%3ALTTS</t>
  </si>
  <si>
    <t>https://in.tradingview.com/chart/mhFm6knv/?symbol=NSE%3ALAOPALA</t>
  </si>
  <si>
    <t>https://in.tradingview.com/chart/mhFm6knv/?symbol=NSE%3ALAGNAM</t>
  </si>
  <si>
    <t>https://in.tradingview.com/chart/mhFm6knv/?symbol=NSE%3ALFIC</t>
  </si>
  <si>
    <t>https://in.tradingview.com/chart/mhFm6knv/?symbol=NSE%3ALAMBODHARA</t>
  </si>
  <si>
    <t>https://in.tradingview.com/chart/mhFm6knv/?symbol=NSE%3ALANCORHOL</t>
  </si>
  <si>
    <t>https://in.tradingview.com/chart/mhFm6knv/?symbol=NSE%3ALANDMARK</t>
  </si>
  <si>
    <t>https://in.tradingview.com/chart/mhFm6knv/?symbol=NSE%3ALPDC</t>
  </si>
  <si>
    <t>https://in.tradingview.com/chart/mhFm6knv/?symbol=NSE%3ALT</t>
  </si>
  <si>
    <t>https://in.tradingview.com/chart/mhFm6knv/?symbol=NSE%3ALASA</t>
  </si>
  <si>
    <t>https://in.tradingview.com/chart/mhFm6knv/?symbol=NSE%3ALATENTVIEW</t>
  </si>
  <si>
    <t>https://in.tradingview.com/chart/mhFm6knv/?symbol=NSE%3ALATTEYS</t>
  </si>
  <si>
    <t>https://in.tradingview.com/chart/mhFm6knv/?symbol=NSE%3ALAURUSLABS</t>
  </si>
  <si>
    <t>https://in.tradingview.com/chart/mhFm6knv/?symbol=NSE%3ALAXMICOT</t>
  </si>
  <si>
    <t>https://in.tradingview.com/chart/mhFm6knv/?symbol=NSE%3ALAXMIDENTL</t>
  </si>
  <si>
    <t>https://in.tradingview.com/chart/mhFm6knv/?symbol=NSE%3ALGHL</t>
  </si>
  <si>
    <t>https://in.tradingview.com/chart/mhFm6knv/?symbol=NSE%3ALAXMIINDIA</t>
  </si>
  <si>
    <t>https://in.tradingview.com/chart/mhFm6knv/?symbol=NSE%3ALXCHEM</t>
  </si>
  <si>
    <t>https://in.tradingview.com/chart/mhFm6knv/?symbol=NSE%3ALEMERITE</t>
  </si>
  <si>
    <t>https://in.tradingview.com/chart/mhFm6knv/?symbol=NSE%3AIXIGO</t>
  </si>
  <si>
    <t>https://in.tradingview.com/chart/mhFm6knv/?symbol=NSE%3ALEMONTREE</t>
  </si>
  <si>
    <t>https://in.tradingview.com/chart/mhFm6knv/?symbol=NSE%3ALENSKART</t>
  </si>
  <si>
    <t>https://in.tradingview.com/chart/mhFm6knv/?symbol=NSE%3ALEXUS</t>
  </si>
  <si>
    <t>https://in.tradingview.com/chart/mhFm6knv/?symbol=NSE%3ALGBBROSLTD</t>
  </si>
  <si>
    <t>https://in.tradingview.com/chart/mhFm6knv/?symbol=NSE%3ALGEINDIA</t>
  </si>
  <si>
    <t>https://in.tradingview.com/chart/mhFm6knv/?symbol=NSE%3ALIBAS</t>
  </si>
  <si>
    <t>https://in.tradingview.com/chart/mhFm6knv/?symbol=NSE%3ALIBERTSHOE</t>
  </si>
  <si>
    <t>https://in.tradingview.com/chart/mhFm6knv/?symbol=NSE%3ALICHSGFIN</t>
  </si>
  <si>
    <t>https://in.tradingview.com/chart/mhFm6knv/?symbol=NSE%3ALICMFGOLD</t>
  </si>
  <si>
    <t>https://in.tradingview.com/chart/mhFm6knv/?symbol=NSE%3ALICNMID100</t>
  </si>
  <si>
    <t>https://in.tradingview.com/chart/mhFm6knv/?symbol=NSE%3ALICNFNHGP</t>
  </si>
  <si>
    <t>https://in.tradingview.com/chart/mhFm6knv/?symbol=NSE%3ALICNETFN50</t>
  </si>
  <si>
    <t>https://in.tradingview.com/chart/mhFm6knv/?symbol=NSE%3ALICNETFSEN</t>
  </si>
  <si>
    <t>https://in.tradingview.com/chart/mhFm6knv/?symbol=NSE%3ALICNETFGSC</t>
  </si>
  <si>
    <t>https://in.tradingview.com/chart/mhFm6knv/?symbol=NSE%3ALICI</t>
  </si>
  <si>
    <t>https://in.tradingview.com/chart/mhFm6knv/?symbol=NSE%3ALIKHITHA</t>
  </si>
  <si>
    <t>https://in.tradingview.com/chart/mhFm6knv/?symbol=NSE%3ALINC</t>
  </si>
  <si>
    <t>https://in.tradingview.com/chart/mhFm6knv/?symbol=NSE%3ALINCOLN</t>
  </si>
  <si>
    <t>https://in.tradingview.com/chart/mhFm6knv/?symbol=NSE%3ALINDEINDIA</t>
  </si>
  <si>
    <t>https://in.tradingview.com/chart/mhFm6knv/?symbol=NSE%3ALLOYDSENGG</t>
  </si>
  <si>
    <t>https://in.tradingview.com/chart/mhFm6knv/?symbol=NSE%3ALLOYDSENT</t>
  </si>
  <si>
    <t>https://in.tradingview.com/chart/mhFm6knv/?symbol=NSE%3ALLOYDSME</t>
  </si>
  <si>
    <t>https://in.tradingview.com/chart/mhFm6knv/?symbol=NSE%3ALMW</t>
  </si>
  <si>
    <t>https://in.tradingview.com/chart/mhFm6knv/?symbol=NSE%3ALOKESHMACH</t>
  </si>
  <si>
    <t>https://in.tradingview.com/chart/mhFm6knv/?symbol=NSE%3ALORDSCHLO</t>
  </si>
  <si>
    <t>https://in.tradingview.com/chart/mhFm6knv/?symbol=NSE%3ALAL</t>
  </si>
  <si>
    <t>https://in.tradingview.com/chart/mhFm6knv/?symbol=NSE%3ALOTUSEYE</t>
  </si>
  <si>
    <t>https://in.tradingview.com/chart/mhFm6knv/?symbol=NSE%3ALOVABLE</t>
  </si>
  <si>
    <t>https://in.tradingview.com/chart/mhFm6knv/?symbol=NSE%3ALOYALTEX</t>
  </si>
  <si>
    <t>https://in.tradingview.com/chart/mhFm6knv/?symbol=NSE%3ALTIM</t>
  </si>
  <si>
    <t>https://in.tradingview.com/chart/mhFm6knv/?symbol=NSE%3ALUMAXTECH</t>
  </si>
  <si>
    <t>https://in.tradingview.com/chart/mhFm6knv/?symbol=NSE%3ALUMAXIND</t>
  </si>
  <si>
    <t>https://in.tradingview.com/chart/mhFm6knv/?symbol=NSE%3ALUPIN</t>
  </si>
  <si>
    <t>https://in.tradingview.com/chart/mhFm6knv/?symbol=NSE%3ALUXIND</t>
  </si>
  <si>
    <t>https://in.tradingview.com/chart/mhFm6knv/?symbol=NSE%3ALYKALABS</t>
  </si>
  <si>
    <t>https://in.tradingview.com/chart/mhFm6knv/?symbol=NSE%3AMBEL</t>
  </si>
  <si>
    <t>https://in.tradingview.com/chart/mhFm6knv/?symbol=NSE%3AMKPL</t>
  </si>
  <si>
    <t>https://in.tradingview.com/chart/mhFm6knv/?symbol=NSE%3AMAANALU</t>
  </si>
  <si>
    <t>https://in.tradingview.com/chart/mhFm6knv/?symbol=NSE%3AMACPOWER</t>
  </si>
  <si>
    <t>https://in.tradingview.com/chart/mhFm6knv/?symbol=NSE%3ALODHA</t>
  </si>
  <si>
    <t>https://in.tradingview.com/chart/mhFm6knv/?symbol=NSE%3AMCL</t>
  </si>
  <si>
    <t>https://in.tradingview.com/chart/mhFm6knv/?symbol=NSE%3AMADHAV</t>
  </si>
  <si>
    <t>https://in.tradingview.com/chart/mhFm6knv/?symbol=NSE%3AMADHUCON</t>
  </si>
  <si>
    <t>https://in.tradingview.com/chart/mhFm6knv/?symbol=NSE%3AMBAPL</t>
  </si>
  <si>
    <t>https://in.tradingview.com/chart/mhFm6knv/?symbol=NSE%3AMADRASFERT</t>
  </si>
  <si>
    <t>https://in.tradingview.com/chart/mhFm6knv/?symbol=NSE%3AMAGADSUGAR</t>
  </si>
  <si>
    <t>https://in.tradingview.com/chart/mhFm6knv/?symbol=NSE%3AMCLOUD</t>
  </si>
  <si>
    <t>https://in.tradingview.com/chart/mhFm6knv/?symbol=NSE%3AMAGNUM</t>
  </si>
  <si>
    <t>https://in.tradingview.com/chart/mhFm6knv/?symbol=NSE%3AMAHAPEXLTD</t>
  </si>
  <si>
    <t>https://in.tradingview.com/chart/mhFm6knv/?symbol=NSE%3AMFML</t>
  </si>
  <si>
    <t>https://in.tradingview.com/chart/mhFm6knv/?symbol=NSE%3AMHLXMIRU</t>
  </si>
  <si>
    <t>https://in.tradingview.com/chart/mhFm6knv/?symbol=NSE%3AMAHASTEEL</t>
  </si>
  <si>
    <t>https://in.tradingview.com/chart/mhFm6knv/?symbol=NSE%3AMGL</t>
  </si>
  <si>
    <t>https://in.tradingview.com/chart/mhFm6knv/?symbol=NSE%3AMTNL</t>
  </si>
  <si>
    <t>https://in.tradingview.com/chart/mhFm6knv/?symbol=NSE%3AMAHSCOOTER</t>
  </si>
  <si>
    <t>https://in.tradingview.com/chart/mhFm6knv/?symbol=NSE%3AMAHSEAMLES</t>
  </si>
  <si>
    <t>https://in.tradingview.com/chart/mhFm6knv/?symbol=NSE%3AMAHESHWARI</t>
  </si>
  <si>
    <t>https://in.tradingview.com/chart/mhFm6knv/?symbol=NSE%3AM&amp;MFIN</t>
  </si>
  <si>
    <t>https://in.tradingview.com/chart/mhFm6knv/?symbol=NSE%3AM&amp;M</t>
  </si>
  <si>
    <t>https://in.tradingview.com/chart/mhFm6knv/?symbol=NSE%3AMAHEPC</t>
  </si>
  <si>
    <t>https://in.tradingview.com/chart/mhFm6knv/?symbol=NSE%3AMHRIL</t>
  </si>
  <si>
    <t>https://in.tradingview.com/chart/mhFm6knv/?symbol=NSE%3AMAHLIFE</t>
  </si>
  <si>
    <t>https://in.tradingview.com/chart/mhFm6knv/?symbol=NSE%3AMAHLOG</t>
  </si>
  <si>
    <t>https://in.tradingview.com/chart/mhFm6knv/?symbol=NSE%3AMAITHANALL</t>
  </si>
  <si>
    <t>https://in.tradingview.com/chart/mhFm6knv/?symbol=NSE%3AMALLCOM</t>
  </si>
  <si>
    <t>https://in.tradingview.com/chart/mhFm6knv/?symbol=NSE%3AMALUPAPER</t>
  </si>
  <si>
    <t>https://in.tradingview.com/chart/mhFm6knv/?symbol=NSE%3AMAMATA</t>
  </si>
  <si>
    <t>https://in.tradingview.com/chart/mhFm6knv/?symbol=NSE%3AMANINDS</t>
  </si>
  <si>
    <t>https://in.tradingview.com/chart/mhFm6knv/?symbol=NSE%3AMANINFRA</t>
  </si>
  <si>
    <t>https://in.tradingview.com/chart/mhFm6knv/?symbol=NSE%3AMANAKALUCO</t>
  </si>
  <si>
    <t>https://in.tradingview.com/chart/mhFm6knv/?symbol=NSE%3AMANAKCOAT</t>
  </si>
  <si>
    <t>https://in.tradingview.com/chart/mhFm6knv/?symbol=NSE%3AMANAKSIA</t>
  </si>
  <si>
    <t>https://in.tradingview.com/chart/mhFm6knv/?symbol=NSE%3AMANAKSTEEL</t>
  </si>
  <si>
    <t>https://in.tradingview.com/chart/mhFm6knv/?symbol=NSE%3AMANALIPETC</t>
  </si>
  <si>
    <t>https://in.tradingview.com/chart/mhFm6knv/?symbol=NSE%3AMANAPPURAM</t>
  </si>
  <si>
    <t>https://in.tradingview.com/chart/mhFm6knv/?symbol=NSE%3AMANBA</t>
  </si>
  <si>
    <t>https://in.tradingview.com/chart/mhFm6knv/?symbol=NSE%3AMANCREDIT</t>
  </si>
  <si>
    <t>https://in.tradingview.com/chart/mhFm6knv/?symbol=NSE%3AMEIL</t>
  </si>
  <si>
    <t>https://in.tradingview.com/chart/mhFm6knv/?symbol=NSE%3AMANGLMCEM</t>
  </si>
  <si>
    <t>https://in.tradingview.com/chart/mhFm6knv/?symbol=NSE%3AMANGALAM</t>
  </si>
  <si>
    <t>https://in.tradingview.com/chart/mhFm6knv/?symbol=NSE%3AMGEL</t>
  </si>
  <si>
    <t>https://in.tradingview.com/chart/mhFm6knv/?symbol=NSE%3AMANORG</t>
  </si>
  <si>
    <t>https://in.tradingview.com/chart/mhFm6knv/?symbol=NSE%3AMWL</t>
  </si>
  <si>
    <t>https://in.tradingview.com/chart/mhFm6knv/?symbol=NSE%3AMRPL</t>
  </si>
  <si>
    <t>https://in.tradingview.com/chart/mhFm6knv/?symbol=NSE%3AMANKIND</t>
  </si>
  <si>
    <t>https://in.tradingview.com/chart/mhFm6knv/?symbol=NSE%3AMVGJL</t>
  </si>
  <si>
    <t>https://in.tradingview.com/chart/mhFm6knv/?symbol=NSE%3AMANOMAY</t>
  </si>
  <si>
    <t>https://in.tradingview.com/chart/mhFm6knv/?symbol=NSE%3AMANORAMA</t>
  </si>
  <si>
    <t>https://in.tradingview.com/chart/mhFm6knv/?symbol=NSE%3AMANUGRAPH</t>
  </si>
  <si>
    <t>https://in.tradingview.com/chart/mhFm6knv/?symbol=NSE%3AMARALOVER</t>
  </si>
  <si>
    <t>https://in.tradingview.com/chart/mhFm6knv/?symbol=NSE%3AMARATHON</t>
  </si>
  <si>
    <t>https://in.tradingview.com/chart/mhFm6knv/?symbol=NSE%3AMARICO</t>
  </si>
  <si>
    <t>https://in.tradingview.com/chart/mhFm6knv/?symbol=NSE%3AMARINE</t>
  </si>
  <si>
    <t>https://in.tradingview.com/chart/mhFm6knv/?symbol=NSE%3AMARKOLINES</t>
  </si>
  <si>
    <t>https://in.tradingview.com/chart/mhFm6knv/?symbol=NSE%3AMARKSANS</t>
  </si>
  <si>
    <t>https://in.tradingview.com/chart/mhFm6knv/?symbol=NSE%3AMARUTI</t>
  </si>
  <si>
    <t>https://in.tradingview.com/chart/mhFm6knv/?symbol=NSE%3AMASFIN</t>
  </si>
  <si>
    <t>https://in.tradingview.com/chart/mhFm6knv/?symbol=NSE%3AMASKINVEST</t>
  </si>
  <si>
    <t>https://in.tradingview.com/chart/mhFm6knv/?symbol=NSE%3AMASTEK</t>
  </si>
  <si>
    <t>https://in.tradingview.com/chart/mhFm6knv/?symbol=NSE%3AMASTERTR</t>
  </si>
  <si>
    <t>https://in.tradingview.com/chart/mhFm6knv/?symbol=NSE%3AMATRIMONY</t>
  </si>
  <si>
    <t>https://in.tradingview.com/chart/mhFm6knv/?symbol=NSE%3AMAWANASUG</t>
  </si>
  <si>
    <t>https://in.tradingview.com/chart/mhFm6knv/?symbol=NSE%3AMAXESTATES</t>
  </si>
  <si>
    <t>https://in.tradingview.com/chart/mhFm6knv/?symbol=NSE%3AMFSL</t>
  </si>
  <si>
    <t>https://in.tradingview.com/chart/mhFm6knv/?symbol=NSE%3AMAXHEALTH</t>
  </si>
  <si>
    <t>https://in.tradingview.com/chart/mhFm6knv/?symbol=NSE%3AMAXIND</t>
  </si>
  <si>
    <t>https://in.tradingview.com/chart/mhFm6knv/?symbol=NSE%3AMAYURUNIQ</t>
  </si>
  <si>
    <t>https://in.tradingview.com/chart/mhFm6knv/?symbol=NSE%3AMAZDOCK</t>
  </si>
  <si>
    <t>https://in.tradingview.com/chart/mhFm6knv/?symbol=NSE%3AMAZDA</t>
  </si>
  <si>
    <t>https://in.tradingview.com/chart/mhFm6knv/?symbol=NSE%3AMBLINFRA</t>
  </si>
  <si>
    <t>https://in.tradingview.com/chart/mhFm6knv/?symbol=NSE%3AMCLEODRUSS</t>
  </si>
  <si>
    <t>https://in.tradingview.com/chart/mhFm6knv/?symbol=NSE%3AMEDIASSIST</t>
  </si>
  <si>
    <t>https://in.tradingview.com/chart/mhFm6knv/?symbol=NSE%3AMEDICAMEQ</t>
  </si>
  <si>
    <t>https://in.tradingview.com/chart/mhFm6knv/?symbol=NSE%3AMEDICO</t>
  </si>
  <si>
    <t>https://in.tradingview.com/chart/mhFm6knv/?symbol=NSE%3AMEDPLUS</t>
  </si>
  <si>
    <t>https://in.tradingview.com/chart/mhFm6knv/?symbol=NSE%3AMEGASOFT</t>
  </si>
  <si>
    <t>https://in.tradingview.com/chart/mhFm6knv/?symbol=NSE%3AMEGASTAR</t>
  </si>
  <si>
    <t>https://in.tradingview.com/chart/mhFm6knv/?symbol=NSE%3AMOL</t>
  </si>
  <si>
    <t>https://in.tradingview.com/chart/mhFm6knv/?symbol=NSE%3AMENONBE</t>
  </si>
  <si>
    <t>https://in.tradingview.com/chart/mhFm6knv/?symbol=NSE%3AMETROBRAND</t>
  </si>
  <si>
    <t>https://in.tradingview.com/chart/mhFm6knv/?symbol=NSE%3AMETROPOLIS</t>
  </si>
  <si>
    <t>https://in.tradingview.com/chart/mhFm6knv/?symbol=NSE%3AMICEL</t>
  </si>
  <si>
    <t>https://in.tradingview.com/chart/mhFm6knv/?symbol=NSE%3AMIDWESTLTD</t>
  </si>
  <si>
    <t>https://in.tradingview.com/chart/mhFm6knv/?symbol=NSE%3AMINDACORP</t>
  </si>
  <si>
    <t>https://in.tradingview.com/chart/mhFm6knv/?symbol=NSE%3AMINDTECK</t>
  </si>
  <si>
    <t>https://in.tradingview.com/chart/mhFm6knv/?symbol=NSE%3AMIDSMALL</t>
  </si>
  <si>
    <t>https://in.tradingview.com/chart/mhFm6knv/?symbol=NSE%3AEQUAL200</t>
  </si>
  <si>
    <t>https://in.tradingview.com/chart/mhFm6knv/?symbol=NSE%3ASELECTIPO</t>
  </si>
  <si>
    <t>https://in.tradingview.com/chart/mhFm6knv/?symbol=NSE%3AGOLDETF</t>
  </si>
  <si>
    <t>https://in.tradingview.com/chart/mhFm6knv/?symbol=NSE%3AMAHKTECH</t>
  </si>
  <si>
    <t>https://in.tradingview.com/chart/mhFm6knv/?symbol=NSE%3AESG</t>
  </si>
  <si>
    <t>https://in.tradingview.com/chart/mhFm6knv/?symbol=NSE%3ALOWVOL</t>
  </si>
  <si>
    <t>https://in.tradingview.com/chart/mhFm6knv/?symbol=NSE%3ALIQUID</t>
  </si>
  <si>
    <t>https://in.tradingview.com/chart/mhFm6knv/?symbol=NSE%3ALIQUIDPLUS</t>
  </si>
  <si>
    <t>https://in.tradingview.com/chart/mhFm6knv/?symbol=NSE%3AALPHAETF</t>
  </si>
  <si>
    <t>https://in.tradingview.com/chart/mhFm6knv/?symbol=NSE%3AGSEC10YEAR</t>
  </si>
  <si>
    <t>https://in.tradingview.com/chart/mhFm6knv/?symbol=NSE%3ABANKETF</t>
  </si>
  <si>
    <t>https://in.tradingview.com/chart/mhFm6knv/?symbol=NSE%3AEVINDIA</t>
  </si>
  <si>
    <t>https://in.tradingview.com/chart/mhFm6knv/?symbol=NSE%3ABFSI</t>
  </si>
  <si>
    <t>https://in.tradingview.com/chart/mhFm6knv/?symbol=NSE%3AINTERNET</t>
  </si>
  <si>
    <t>https://in.tradingview.com/chart/mhFm6knv/?symbol=NSE%3AMAKEINDIA</t>
  </si>
  <si>
    <t>https://in.tradingview.com/chart/mhFm6knv/?symbol=NSE%3ACONSUMER</t>
  </si>
  <si>
    <t>https://in.tradingview.com/chart/mhFm6knv/?symbol=NSE%3AITETF</t>
  </si>
  <si>
    <t>https://in.tradingview.com/chart/mhFm6knv/?symbol=NSE%3AMETAL</t>
  </si>
  <si>
    <t>https://in.tradingview.com/chart/mhFm6knv/?symbol=NSE%3AMIDCAPETF</t>
  </si>
  <si>
    <t>https://in.tradingview.com/chart/mhFm6knv/?symbol=NSE%3ANEXT50</t>
  </si>
  <si>
    <t>https://in.tradingview.com/chart/mhFm6knv/?symbol=NSE%3ABANKPSU</t>
  </si>
  <si>
    <t>https://in.tradingview.com/chart/mhFm6knv/?symbol=NSE%3ASMALLCAP</t>
  </si>
  <si>
    <t>https://in.tradingview.com/chart/mhFm6knv/?symbol=NSE%3AEQUAL50</t>
  </si>
  <si>
    <t>https://in.tradingview.com/chart/mhFm6knv/?symbol=NSE%3AMULTICAP</t>
  </si>
  <si>
    <t>https://in.tradingview.com/chart/mhFm6knv/?symbol=NSE%3AMAFANG</t>
  </si>
  <si>
    <t>https://in.tradingview.com/chart/mhFm6knv/?symbol=NSE%3AMASPTOP50</t>
  </si>
  <si>
    <t>https://in.tradingview.com/chart/mhFm6knv/?symbol=NSE%3ASENSEXETF</t>
  </si>
  <si>
    <t>https://in.tradingview.com/chart/mhFm6knv/?symbol=NSE%3ASILVERAG</t>
  </si>
  <si>
    <t>https://in.tradingview.com/chart/mhFm6knv/?symbol=NSE%3AMIRCELECTR</t>
  </si>
  <si>
    <t>https://in.tradingview.com/chart/mhFm6knv/?symbol=NSE%3AMIRZAINT</t>
  </si>
  <si>
    <t>https://in.tradingview.com/chart/mhFm6knv/?symbol=NSE%3AMIDHANI</t>
  </si>
  <si>
    <t>https://in.tradingview.com/chart/mhFm6knv/?symbol=NSE%3AMITCON</t>
  </si>
  <si>
    <t>https://in.tradingview.com/chart/mhFm6knv/?symbol=NSE%3AMMFL</t>
  </si>
  <si>
    <t>https://in.tradingview.com/chart/mhFm6knv/?symbol=NSE%3AMMP</t>
  </si>
  <si>
    <t>https://in.tradingview.com/chart/mhFm6knv/?symbol=NSE%3AMMTC</t>
  </si>
  <si>
    <t>https://in.tradingview.com/chart/mhFm6knv/?symbol=NSE%3AMODTHREAD</t>
  </si>
  <si>
    <t>https://in.tradingview.com/chart/mhFm6knv/?symbol=NSE%3AMODIRUBBER</t>
  </si>
  <si>
    <t>https://in.tradingview.com/chart/mhFm6knv/?symbol=NSE%3AMODIS</t>
  </si>
  <si>
    <t>https://in.tradingview.com/chart/mhFm6knv/?symbol=NSE%3AMODISONLTD</t>
  </si>
  <si>
    <t>https://in.tradingview.com/chart/mhFm6knv/?symbol=NSE%3AMOHITIND</t>
  </si>
  <si>
    <t>https://in.tradingview.com/chart/mhFm6knv/?symbol=NSE%3AMOIL</t>
  </si>
  <si>
    <t>https://in.tradingview.com/chart/mhFm6knv/?symbol=NSE%3AMOKSH</t>
  </si>
  <si>
    <t>https://in.tradingview.com/chart/mhFm6knv/?symbol=NSE%3AMOLDTKPAC</t>
  </si>
  <si>
    <t>https://in.tradingview.com/chart/mhFm6knv/?symbol=NSE%3AMOLDTECH</t>
  </si>
  <si>
    <t>https://in.tradingview.com/chart/mhFm6knv/?symbol=NSE%3AMOMGF</t>
  </si>
  <si>
    <t>https://in.tradingview.com/chart/mhFm6knv/?symbol=NSE%3AMONARCH</t>
  </si>
  <si>
    <t>https://in.tradingview.com/chart/mhFm6knv/?symbol=NSE%3AMONEYBOXX</t>
  </si>
  <si>
    <t>https://in.tradingview.com/chart/mhFm6knv/?symbol=NSE%3AMONTECARLO</t>
  </si>
  <si>
    <t>https://in.tradingview.com/chart/mhFm6knv/?symbol=NSE%3AMORARJEE</t>
  </si>
  <si>
    <t>https://in.tradingview.com/chart/mhFm6knv/?symbol=NSE%3AMOREPENLAB</t>
  </si>
  <si>
    <t>https://in.tradingview.com/chart/mhFm6knv/?symbol=NSE%3AMOSCHIP</t>
  </si>
  <si>
    <t>https://in.tradingview.com/chart/mhFm6knv/?symbol=NSE%3AMOTHERSON</t>
  </si>
  <si>
    <t>https://in.tradingview.com/chart/mhFm6knv/?symbol=NSE%3AMSUMI</t>
  </si>
  <si>
    <t>https://in.tradingview.com/chart/mhFm6knv/?symbol=NSE%3AMOGSEC</t>
  </si>
  <si>
    <t>https://in.tradingview.com/chart/mhFm6knv/?symbol=NSE%3AMOINFRA</t>
  </si>
  <si>
    <t>https://in.tradingview.com/chart/mhFm6knv/?symbol=NSE%3AMOIPO</t>
  </si>
  <si>
    <t>https://in.tradingview.com/chart/mhFm6knv/?symbol=NSE%3AMOTILALOFS</t>
  </si>
  <si>
    <t>https://in.tradingview.com/chart/mhFm6knv/?symbol=NSE%3AMOGOLD</t>
  </si>
  <si>
    <t>https://in.tradingview.com/chart/mhFm6knv/?symbol=NSE%3AMOM50</t>
  </si>
  <si>
    <t>https://in.tradingview.com/chart/mhFm6knv/?symbol=NSE%3AMOM100</t>
  </si>
  <si>
    <t>https://in.tradingview.com/chart/mhFm6knv/?symbol=NSE%3AMON100</t>
  </si>
  <si>
    <t>https://in.tradingview.com/chart/mhFm6knv/?symbol=NSE%3AMONQ50</t>
  </si>
  <si>
    <t>https://in.tradingview.com/chart/mhFm6knv/?symbol=NSE%3AMONIFTY100</t>
  </si>
  <si>
    <t>https://in.tradingview.com/chart/mhFm6knv/?symbol=NSE%3AMOMOMENTUM</t>
  </si>
  <si>
    <t>https://in.tradingview.com/chart/mhFm6knv/?symbol=NSE%3AMON50EQUAL</t>
  </si>
  <si>
    <t>https://in.tradingview.com/chart/mhFm6knv/?symbol=NSE%3AMONIFTY500</t>
  </si>
  <si>
    <t>https://in.tradingview.com/chart/mhFm6knv/?symbol=NSE%3AMOMENTUM50</t>
  </si>
  <si>
    <t>https://in.tradingview.com/chart/mhFm6knv/?symbol=NSE%3AMOALPHA50</t>
  </si>
  <si>
    <t>https://in.tradingview.com/chart/mhFm6knv/?symbol=NSE%3AMOCAPITAL</t>
  </si>
  <si>
    <t>https://in.tradingview.com/chart/mhFm6knv/?symbol=NSE%3AMOENERGY</t>
  </si>
  <si>
    <t>https://in.tradingview.com/chart/mhFm6knv/?symbol=NSE%3AMODEFENCE</t>
  </si>
  <si>
    <t>https://in.tradingview.com/chart/mhFm6knv/?symbol=NSE%3AMOTOUR</t>
  </si>
  <si>
    <t>https://in.tradingview.com/chart/mhFm6knv/?symbol=NSE%3AMOMIDMTM</t>
  </si>
  <si>
    <t>https://in.tradingview.com/chart/mhFm6knv/?symbol=NSE%3AMONEXT50</t>
  </si>
  <si>
    <t>https://in.tradingview.com/chart/mhFm6knv/?symbol=NSE%3AMOPSE</t>
  </si>
  <si>
    <t>https://in.tradingview.com/chart/mhFm6knv/?symbol=NSE%3AMOREALTY</t>
  </si>
  <si>
    <t>https://in.tradingview.com/chart/mhFm6knv/?symbol=NSE%3AMOSERVICE</t>
  </si>
  <si>
    <t>https://in.tradingview.com/chart/mhFm6knv/?symbol=NSE%3AMOSMALL250</t>
  </si>
  <si>
    <t>https://in.tradingview.com/chart/mhFm6knv/?symbol=NSE%3AMOVALUE</t>
  </si>
  <si>
    <t>https://in.tradingview.com/chart/mhFm6knv/?symbol=NSE%3AMOHEALTH</t>
  </si>
  <si>
    <t>https://in.tradingview.com/chart/mhFm6knv/?symbol=NSE%3AMOLOWVOL</t>
  </si>
  <si>
    <t>https://in.tradingview.com/chart/mhFm6knv/?symbol=NSE%3AMOQUALITY</t>
  </si>
  <si>
    <t>https://in.tradingview.com/chart/mhFm6knv/?symbol=NSE%3AMOSILVER</t>
  </si>
  <si>
    <t>https://in.tradingview.com/chart/mhFm6knv/?symbol=NSE%3AMOTISONS</t>
  </si>
  <si>
    <t>https://in.tradingview.com/chart/mhFm6knv/?symbol=NSE%3AMPHASIS</t>
  </si>
  <si>
    <t>https://in.tradingview.com/chart/mhFm6knv/?symbol=NSE%3AMPSLTD</t>
  </si>
  <si>
    <t>https://in.tradingview.com/chart/mhFm6knv/?symbol=NSE%3AMRF</t>
  </si>
  <si>
    <t>https://in.tradingview.com/chart/mhFm6knv/?symbol=NSE%3ABECTORFOOD</t>
  </si>
  <si>
    <t>https://in.tradingview.com/chart/mhFm6knv/?symbol=NSE%3AMSPL</t>
  </si>
  <si>
    <t>https://in.tradingview.com/chart/mhFm6knv/?symbol=NSE%3AMSTCLTD</t>
  </si>
  <si>
    <t>https://in.tradingview.com/chart/mhFm6knv/?symbol=NSE%3AMTARTECH</t>
  </si>
  <si>
    <t>https://in.tradingview.com/chart/mhFm6knv/?symbol=NSE%3AMUFIN</t>
  </si>
  <si>
    <t>https://in.tradingview.com/chart/mhFm6knv/?symbol=NSE%3AMUKANDLTD</t>
  </si>
  <si>
    <t>https://in.tradingview.com/chart/mhFm6knv/?symbol=NSE%3AMUKKA</t>
  </si>
  <si>
    <t>https://in.tradingview.com/chart/mhFm6knv/?symbol=NSE%3AMUKTAARTS</t>
  </si>
  <si>
    <t>https://in.tradingview.com/chart/mhFm6knv/?symbol=NSE%3AMCX</t>
  </si>
  <si>
    <t>https://in.tradingview.com/chart/mhFm6knv/?symbol=NSE%3AMUNJALAU</t>
  </si>
  <si>
    <t>https://in.tradingview.com/chart/mhFm6knv/?symbol=NSE%3AMUNJALSHOW</t>
  </si>
  <si>
    <t>https://in.tradingview.com/chart/mhFm6knv/?symbol=NSE%3AMURUDCERA</t>
  </si>
  <si>
    <t>https://in.tradingview.com/chart/mhFm6knv/?symbol=NSE%3ARADIOCITY</t>
  </si>
  <si>
    <t>https://in.tradingview.com/chart/mhFm6knv/?symbol=NSE%3AMUTHOOTCAP</t>
  </si>
  <si>
    <t>https://in.tradingview.com/chart/mhFm6knv/?symbol=NSE%3AMUTHOOTFIN</t>
  </si>
  <si>
    <t>https://in.tradingview.com/chart/mhFm6knv/?symbol=NSE%3AMUTHOOTMF</t>
  </si>
  <si>
    <t>https://in.tradingview.com/chart/mhFm6knv/?symbol=NSE%3ANRAIL</t>
  </si>
  <si>
    <t>https://in.tradingview.com/chart/mhFm6knv/?symbol=NSE%3ANBIFIN</t>
  </si>
  <si>
    <t>https://in.tradingview.com/chart/mhFm6knv/?symbol=NSE%3ANACLIND</t>
  </si>
  <si>
    <t>https://in.tradingview.com/chart/mhFm6knv/?symbol=NSE%3ANDGL</t>
  </si>
  <si>
    <t>https://in.tradingview.com/chart/mhFm6knv/?symbol=NSE%3ANAGREEKCAP</t>
  </si>
  <si>
    <t>https://in.tradingview.com/chart/mhFm6knv/?symbol=NSE%3ANAGREEKEXP</t>
  </si>
  <si>
    <t>https://in.tradingview.com/chart/mhFm6knv/?symbol=NSE%3ANAHARCAP</t>
  </si>
  <si>
    <t>https://in.tradingview.com/chart/mhFm6knv/?symbol=NSE%3ANAHARINDUS</t>
  </si>
  <si>
    <t>https://in.tradingview.com/chart/mhFm6knv/?symbol=NSE%3ANAHARPOLY</t>
  </si>
  <si>
    <t>https://in.tradingview.com/chart/mhFm6knv/?symbol=NSE%3ANAHARSPING</t>
  </si>
  <si>
    <t>https://in.tradingview.com/chart/mhFm6knv/?symbol=NSE%3ANGIL</t>
  </si>
  <si>
    <t>https://in.tradingview.com/chart/mhFm6knv/?symbol=NSE%3ANSIL</t>
  </si>
  <si>
    <t>https://in.tradingview.com/chart/mhFm6knv/?symbol=NSE%3AJAIPURKURT</t>
  </si>
  <si>
    <t>https://in.tradingview.com/chart/mhFm6knv/?symbol=NSE%3ANH</t>
  </si>
  <si>
    <t>https://in.tradingview.com/chart/mhFm6knv/?symbol=NSE%3ANARMADA</t>
  </si>
  <si>
    <t>https://in.tradingview.com/chart/mhFm6knv/?symbol=NSE%3ANATCOPHARM</t>
  </si>
  <si>
    <t>https://in.tradingview.com/chart/mhFm6knv/?symbol=NSE%3ANATHBIOGEN</t>
  </si>
  <si>
    <t>https://in.tradingview.com/chart/mhFm6knv/?symbol=NSE%3ANATIONALUM</t>
  </si>
  <si>
    <t>https://in.tradingview.com/chart/mhFm6knv/?symbol=NSE%3ANFL</t>
  </si>
  <si>
    <t>https://in.tradingview.com/chart/mhFm6knv/?symbol=NSE%3ANATCAPSUQ</t>
  </si>
  <si>
    <t>https://in.tradingview.com/chart/mhFm6knv/?symbol=NSE%3ANAVA</t>
  </si>
  <si>
    <t>https://in.tradingview.com/chart/mhFm6knv/?symbol=NSE%3ANAVINFLUOR</t>
  </si>
  <si>
    <t>https://in.tradingview.com/chart/mhFm6knv/?symbol=NSE%3ANAVKARCORP</t>
  </si>
  <si>
    <t>https://in.tradingview.com/chart/mhFm6knv/?symbol=NSE%3ANAVNETEDUL</t>
  </si>
  <si>
    <t>https://in.tradingview.com/chart/mhFm6knv/?symbol=NSE%3ANAZARA</t>
  </si>
  <si>
    <t>https://in.tradingview.com/chart/mhFm6knv/?symbol=NSE%3ANBCC</t>
  </si>
  <si>
    <t>https://in.tradingview.com/chart/mhFm6knv/?symbol=NSE%3ANCC</t>
  </si>
  <si>
    <t>https://in.tradingview.com/chart/mhFm6knv/?symbol=NSE%3ANCLIND</t>
  </si>
  <si>
    <t>https://in.tradingview.com/chart/mhFm6knv/?symbol=NSE%3ANDLVENTURE</t>
  </si>
  <si>
    <t>https://in.tradingview.com/chart/mhFm6knv/?symbol=NSE%3ANDRAUTO</t>
  </si>
  <si>
    <t>https://in.tradingview.com/chart/mhFm6knv/?symbol=NSE%3ANECLIFE</t>
  </si>
  <si>
    <t>https://in.tradingview.com/chart/mhFm6knv/?symbol=NSE%3ANELCAST</t>
  </si>
  <si>
    <t>https://in.tradingview.com/chart/mhFm6knv/?symbol=NSE%3ANELCO</t>
  </si>
  <si>
    <t>https://in.tradingview.com/chart/mhFm6knv/?symbol=NSE%3ANEOGEN</t>
  </si>
  <si>
    <t>https://in.tradingview.com/chart/mhFm6knv/?symbol=NSE%3ANESCO</t>
  </si>
  <si>
    <t>https://in.tradingview.com/chart/mhFm6knv/?symbol=NSE%3ANESTLEIND</t>
  </si>
  <si>
    <t>https://in.tradingview.com/chart/mhFm6knv/?symbol=NSE%3ANETWEB</t>
  </si>
  <si>
    <t>https://in.tradingview.com/chart/mhFm6knv/?symbol=NSE%3ANPST</t>
  </si>
  <si>
    <t>https://in.tradingview.com/chart/mhFm6knv/?symbol=NSE%3ANETWORK18</t>
  </si>
  <si>
    <t>https://in.tradingview.com/chart/mhFm6knv/?symbol=NSE%3ANEULANDLAB</t>
  </si>
  <si>
    <t>https://in.tradingview.com/chart/mhFm6knv/?symbol=NSE%3ANDTV</t>
  </si>
  <si>
    <t>https://in.tradingview.com/chart/mhFm6knv/?symbol=NSE%3ANIACL</t>
  </si>
  <si>
    <t>https://in.tradingview.com/chart/mhFm6knv/?symbol=NSE%3ANEWGEN</t>
  </si>
  <si>
    <t>https://in.tradingview.com/chart/mhFm6knv/?symbol=NSE%3ANEXTMEDIA</t>
  </si>
  <si>
    <t>https://in.tradingview.com/chart/mhFm6knv/?symbol=NSE%3ANGLFINE</t>
  </si>
  <si>
    <t>https://in.tradingview.com/chart/mhFm6knv/?symbol=NSE%3ANHPC</t>
  </si>
  <si>
    <t>https://in.tradingview.com/chart/mhFm6knv/?symbol=NSE%3ANIBE</t>
  </si>
  <si>
    <t>https://in.tradingview.com/chart/mhFm6knv/?symbol=NSE%3ANIFTY</t>
  </si>
  <si>
    <t>https://in.tradingview.com/chart/mhFm6knv/?symbol=NSE%3ACNXIT</t>
  </si>
  <si>
    <t>https://in.tradingview.com/chart/mhFm6knv/?symbol=NSE%3ANIFTYMIDCAP150</t>
  </si>
  <si>
    <t>https://in.tradingview.com/chart/mhFm6knv/?symbol=NSE%3ANIFTYTOTALMKT</t>
  </si>
  <si>
    <t>https://in.tradingview.com/chart/mhFm6knv/?symbol=NSE%3ANIFTY1</t>
  </si>
  <si>
    <t>https://in.tradingview.com/chart/mhFm6knv/?symbol=NSE%3ANIFTY100</t>
  </si>
  <si>
    <t>https://in.tradingview.com/chart/mhFm6knv/?symbol=NSE%3ANIFTY100EQLWGT</t>
  </si>
  <si>
    <t>https://in.tradingview.com/chart/mhFm6knv/?symbol=NSE%3ANIFTY100ESG</t>
  </si>
  <si>
    <t>https://in.tradingview.com/chart/mhFm6knv/?symbol=NSE%3ANIFTY100ESGSECLDR</t>
  </si>
  <si>
    <t>https://in.tradingview.com/chart/mhFm6knv/?symbol=NSE%3ANIFTY100LIQ15</t>
  </si>
  <si>
    <t>https://in.tradingview.com/chart/mhFm6knv/?symbol=NSE%3ANIFTY100LOWVOL30</t>
  </si>
  <si>
    <t>https://in.tradingview.com/chart/mhFm6knv/?symbol=NSE%3ANIFTY200</t>
  </si>
  <si>
    <t>https://in.tradingview.com/chart/mhFm6knv/?symbol=NSE%3ANIFTY200ALPHA30</t>
  </si>
  <si>
    <t>https://in.tradingview.com/chart/mhFm6knv/?symbol=NSE%3ANIFTY200MOMENTM30</t>
  </si>
  <si>
    <t>https://in.tradingview.com/chart/mhFm6knv/?symbol=NSE%3ANIFTY200QUALITY30</t>
  </si>
  <si>
    <t>https://in.tradingview.com/chart/mhFm6knv/?symbol=NSE%3ANV20</t>
  </si>
  <si>
    <t>https://in.tradingview.com/chart/mhFm6knv/?symbol=NSE%3ANIFTY500</t>
  </si>
  <si>
    <t>https://in.tradingview.com/chart/mhFm6knv/?symbol=NSE%3ANIFTY500MOMENTM50</t>
  </si>
  <si>
    <t>https://in.tradingview.com/chart/mhFm6knv/?symbol=NSE%3ANIFTY500MULTICAP</t>
  </si>
  <si>
    <t>https://in.tradingview.com/chart/mhFm6knv/?symbol=NSE%3ANIFTY50DIVPOINT</t>
  </si>
  <si>
    <t>https://in.tradingview.com/chart/mhFm6knv/?symbol=NSE%3ANIFTY50EQLWGT</t>
  </si>
  <si>
    <t>https://in.tradingview.com/chart/mhFm6knv/?symbol=NSE%3ANIFTY50PR1XINV</t>
  </si>
  <si>
    <t>https://in.tradingview.com/chart/mhFm6knv/?symbol=NSE%3ANIFTY50PR2XLEV</t>
  </si>
  <si>
    <t>https://in.tradingview.com/chart/mhFm6knv/?symbol=NSE%3ANIFTY50TR1XINV</t>
  </si>
  <si>
    <t>https://in.tradingview.com/chart/mhFm6knv/?symbol=NSE%3ANIFTY50TR2XLEV</t>
  </si>
  <si>
    <t>https://in.tradingview.com/chart/mhFm6knv/?symbol=NSE%3ANIFTY50VALUE20</t>
  </si>
  <si>
    <t>https://in.tradingview.com/chart/mhFm6knv/?symbol=NSE%3ANIFTY50VALUE30</t>
  </si>
  <si>
    <t>https://in.tradingview.com/chart/mhFm6knv/?symbol=NSE%3ANIFTYALPHA50</t>
  </si>
  <si>
    <t>https://in.tradingview.com/chart/mhFm6knv/?symbol=NSE%3ANIFTYALPHALOWVOL</t>
  </si>
  <si>
    <t>https://in.tradingview.com/chart/mhFm6knv/?symbol=NSE%3ANIFTYAUTO</t>
  </si>
  <si>
    <t>https://in.tradingview.com/chart/mhFm6knv/?symbol=NSE%3ANIFTYBEES</t>
  </si>
  <si>
    <t>https://in.tradingview.com/chart/mhFm6knv/?symbol=NSE%3ANIFTYCAPITALMKT</t>
  </si>
  <si>
    <t>https://in.tradingview.com/chart/mhFm6knv/?symbol=NSE%3ANIFTYCOMMODITIES</t>
  </si>
  <si>
    <t>https://in.tradingview.com/chart/mhFm6knv/?symbol=NSE%3ANIFTYCONSUMPTION</t>
  </si>
  <si>
    <t>https://in.tradingview.com/chart/mhFm6knv/?symbol=NSE%3ANIFTYCONSURDURBL</t>
  </si>
  <si>
    <t>https://in.tradingview.com/chart/mhFm6knv/?symbol=NSE%3ANIFTYCPSE</t>
  </si>
  <si>
    <t>https://in.tradingview.com/chart/mhFm6knv/?symbol=NSE%3ANIFTYDIVOPPS50</t>
  </si>
  <si>
    <t>https://in.tradingview.com/chart/mhFm6knv/?symbol=NSE%3ANIFTYETF</t>
  </si>
  <si>
    <t>https://in.tradingview.com/chart/mhFm6knv/?symbol=NSE%3ANIFTYFINSERVICE</t>
  </si>
  <si>
    <t>https://in.tradingview.com/chart/mhFm6knv/?symbol=NSE%3ANIFTYFINSRV2550</t>
  </si>
  <si>
    <t>https://in.tradingview.com/chart/mhFm6knv/?symbol=NSE%3ANIFTYFMCG</t>
  </si>
  <si>
    <t>https://in.tradingview.com/chart/mhFm6knv/?symbol=NSE%3ANIFTYGROWSECT15</t>
  </si>
  <si>
    <t>https://in.tradingview.com/chart/mhFm6knv/?symbol=NSE%3ANIFTYGS10YR</t>
  </si>
  <si>
    <t>https://in.tradingview.com/chart/mhFm6knv/?symbol=NSE%3ANIFTYGS10YRCLN</t>
  </si>
  <si>
    <t>https://in.tradingview.com/chart/mhFm6knv/?symbol=NSE%3ANIFTYGS1115YR</t>
  </si>
  <si>
    <t>https://in.tradingview.com/chart/mhFm6knv/?symbol=NSE%3ANIFTYGS15YRPLUS</t>
  </si>
  <si>
    <t>https://in.tradingview.com/chart/mhFm6knv/?symbol=NSE%3ANIFTYGS48YR</t>
  </si>
  <si>
    <t>https://in.tradingview.com/chart/mhFm6knv/?symbol=NSE%3ANIFTYGS813YR</t>
  </si>
  <si>
    <t>https://in.tradingview.com/chart/mhFm6knv/?symbol=NSE%3ANIFTYGSCOMPSITE</t>
  </si>
  <si>
    <t>https://in.tradingview.com/chart/mhFm6knv/?symbol=NSE%3ANIFTYHEALTHCARE</t>
  </si>
  <si>
    <t>https://in.tradingview.com/chart/mhFm6knv/?symbol=NSE%3ANIFTYIETF</t>
  </si>
  <si>
    <t>https://in.tradingview.com/chart/mhFm6knv/?symbol=NSE%3ANIFTYINDDEFENCE</t>
  </si>
  <si>
    <t>https://in.tradingview.com/chart/mhFm6knv/?symbol=NSE%3ANIFTYINDDIGITAL</t>
  </si>
  <si>
    <t>https://in.tradingview.com/chart/mhFm6knv/?symbol=NSE%3ANIFTYINDIAMFG</t>
  </si>
  <si>
    <t>https://in.tradingview.com/chart/mhFm6knv/?symbol=NSE%3ANIFTYINDTOURISM</t>
  </si>
  <si>
    <t>https://in.tradingview.com/chart/mhFm6knv/?symbol=NSE%3ANIFTYLARGEMID250</t>
  </si>
  <si>
    <t>https://in.tradingview.com/chart/mhFm6knv/?symbol=NSE%3ANIFTYM150MOMNTM50</t>
  </si>
  <si>
    <t>https://in.tradingview.com/chart/mhFm6knv/?symbol=NSE%3ANIFTYM150QLTY50</t>
  </si>
  <si>
    <t>https://in.tradingview.com/chart/mhFm6knv/?symbol=NSE%3ANIFTYMEDIA</t>
  </si>
  <si>
    <t>https://in.tradingview.com/chart/mhFm6knv/?symbol=NSE%3ANIFTYMETAL</t>
  </si>
  <si>
    <t>https://in.tradingview.com/chart/mhFm6knv/?symbol=NSE%3ANIFTYMICROCAP250</t>
  </si>
  <si>
    <t>https://in.tradingview.com/chart/mhFm6knv/?symbol=NSE%3ANIFTYMIDCAP50</t>
  </si>
  <si>
    <t>https://in.tradingview.com/chart/mhFm6knv/?symbol=NSE%3ANIFTYMIDLIQ15</t>
  </si>
  <si>
    <t>https://in.tradingview.com/chart/mhFm6knv/?symbol=NSE%3ANIFTYMIDSELECT</t>
  </si>
  <si>
    <t>https://in.tradingview.com/chart/mhFm6knv/?symbol=NSE%3ANIFTYMIDSMALLCAP400</t>
  </si>
  <si>
    <t>https://in.tradingview.com/chart/mhFm6knv/?symbol=NSE%3ANIFTYMIDSMLHLTH</t>
  </si>
  <si>
    <t>https://in.tradingview.com/chart/mhFm6knv/?symbol=NSE%3ANIFTYMS400MQ100</t>
  </si>
  <si>
    <t>https://in.tradingview.com/chart/mhFm6knv/?symbol=NSE%3ANIFTYMULTIINFRA</t>
  </si>
  <si>
    <t>https://in.tradingview.com/chart/mhFm6knv/?symbol=NSE%3ANIFTYMULTIMFG</t>
  </si>
  <si>
    <t>https://in.tradingview.com/chart/mhFm6knv/?symbol=NSE%3ANIFTYOILANDGAS</t>
  </si>
  <si>
    <t>https://in.tradingview.com/chart/mhFm6knv/?symbol=NSE%3ANIFTYPSUBANK</t>
  </si>
  <si>
    <t>https://in.tradingview.com/chart/mhFm6knv/?symbol=NSE%3ANIFTYPVTBANK</t>
  </si>
  <si>
    <t>https://in.tradingview.com/chart/mhFm6knv/?symbol=NSE%3ANIFTYSERVSECTOR</t>
  </si>
  <si>
    <t>https://in.tradingview.com/chart/mhFm6knv/?symbol=NSE%3ANIFTYSMALLCAP250</t>
  </si>
  <si>
    <t>https://in.tradingview.com/chart/mhFm6knv/?symbol=NSE%3ANIFTYSMALLCAP50</t>
  </si>
  <si>
    <t>https://in.tradingview.com/chart/mhFm6knv/?symbol=NSE%3ANIFTYSML250MQ100</t>
  </si>
  <si>
    <t>https://in.tradingview.com/chart/mhFm6knv/?symbol=NSE%3ANIFTYTATA25CAP</t>
  </si>
  <si>
    <t>https://in.tradingview.com/chart/mhFm6knv/?symbol=NSE%3ANIFTYTOP10EW</t>
  </si>
  <si>
    <t>https://in.tradingview.com/chart/mhFm6knv/?symbol=NSE%3ANIITMTS</t>
  </si>
  <si>
    <t>https://in.tradingview.com/chart/mhFm6knv/?symbol=NSE%3ANIITLTD</t>
  </si>
  <si>
    <t>https://in.tradingview.com/chart/mhFm6knv/?symbol=NSE%3ANILAINFRA</t>
  </si>
  <si>
    <t>https://in.tradingview.com/chart/mhFm6knv/?symbol=NSE%3ANILASPACES</t>
  </si>
  <si>
    <t>https://in.tradingview.com/chart/mhFm6knv/?symbol=NSE%3ANILKAMAL</t>
  </si>
  <si>
    <t>https://in.tradingview.com/chart/mhFm6knv/?symbol=NSE%3ANINSYS</t>
  </si>
  <si>
    <t>https://in.tradingview.com/chart/mhFm6knv/?symbol=NSE%3ASNXT30BEES</t>
  </si>
  <si>
    <t>https://in.tradingview.com/chart/mhFm6knv/?symbol=NSE%3ADIVOPPBEES</t>
  </si>
  <si>
    <t>https://in.tradingview.com/chart/mhFm6knv/?symbol=NSE%3AGILT5YBEES</t>
  </si>
  <si>
    <t>https://in.tradingview.com/chart/mhFm6knv/?symbol=NSE%3ABANKBEES</t>
  </si>
  <si>
    <t>https://in.tradingview.com/chart/mhFm6knv/?symbol=NSE%3AGOLDBEES</t>
  </si>
  <si>
    <t>https://in.tradingview.com/chart/mhFm6knv/?symbol=NSE%3AHNGSNGBEES</t>
  </si>
  <si>
    <t>https://in.tradingview.com/chart/mhFm6knv/?symbol=NSE%3AINFRABEES</t>
  </si>
  <si>
    <t>https://in.tradingview.com/chart/mhFm6knv/?symbol=NSE%3AJUNIORBEES</t>
  </si>
  <si>
    <t>https://in.tradingview.com/chart/mhFm6knv/?symbol=NSE%3ALIQUIDBEES</t>
  </si>
  <si>
    <t>https://in.tradingview.com/chart/mhFm6knv/?symbol=NSE%3ANIF100BEES</t>
  </si>
  <si>
    <t>https://in.tradingview.com/chart/mhFm6knv/?symbol=NSE%3ANV20BEES</t>
  </si>
  <si>
    <t>https://in.tradingview.com/chart/mhFm6knv/?symbol=NSE%3ALTGILTBEES</t>
  </si>
  <si>
    <t>https://in.tradingview.com/chart/mhFm6knv/?symbol=NSE%3ACONSUMBEES</t>
  </si>
  <si>
    <t>https://in.tradingview.com/chart/mhFm6knv/?symbol=NSE%3AITBEES</t>
  </si>
  <si>
    <t>https://in.tradingview.com/chart/mhFm6knv/?symbol=NSE%3AMID150BEES</t>
  </si>
  <si>
    <t>https://in.tradingview.com/chart/mhFm6knv/?symbol=NSE%3ASDL26BEES</t>
  </si>
  <si>
    <t>https://in.tradingview.com/chart/mhFm6knv/?symbol=NSE%3APSUBNKBEES</t>
  </si>
  <si>
    <t>https://in.tradingview.com/chart/mhFm6knv/?symbol=NSE%3ASHARIABEES</t>
  </si>
  <si>
    <t>https://in.tradingview.com/chart/mhFm6knv/?symbol=NSE%3ALIQGRWBEES</t>
  </si>
  <si>
    <t>https://in.tradingview.com/chart/mhFm6knv/?symbol=NSE%3AAUTOBEES</t>
  </si>
  <si>
    <t>https://in.tradingview.com/chart/mhFm6knv/?symbol=NSE%3AMANUFGBEES</t>
  </si>
  <si>
    <t>https://in.tradingview.com/chart/mhFm6knv/?symbol=NSE%3APHARMABEES</t>
  </si>
  <si>
    <t>https://in.tradingview.com/chart/mhFm6knv/?symbol=NSE%3ASILVERBEES</t>
  </si>
  <si>
    <t>https://in.tradingview.com/chart/mhFm6knv/?symbol=NSE%3ANAM-INDIA</t>
  </si>
  <si>
    <t>https://in.tradingview.com/chart/mhFm6knv/?symbol=NSE%3ANIRAJ</t>
  </si>
  <si>
    <t>https://in.tradingview.com/chart/mhFm6knv/?symbol=NSE%3ANIRAJISPAT</t>
  </si>
  <si>
    <t>https://in.tradingview.com/chart/mhFm6knv/?symbol=NSE%3ANITCO</t>
  </si>
  <si>
    <t>https://in.tradingview.com/chart/mhFm6knv/?symbol=NSE%3ANITINSPIN</t>
  </si>
  <si>
    <t>https://in.tradingview.com/chart/mhFm6knv/?symbol=NSE%3ANITIRAJ</t>
  </si>
  <si>
    <t>https://in.tradingview.com/chart/mhFm6knv/?symbol=NSE%3ANIVABUPA</t>
  </si>
  <si>
    <t>https://in.tradingview.com/chart/mhFm6knv/?symbol=NSE%3ANKIND</t>
  </si>
  <si>
    <t>https://in.tradingview.com/chart/mhFm6knv/?symbol=NSE%3ANLCINDIA</t>
  </si>
  <si>
    <t>https://in.tradingview.com/chart/mhFm6knv/?symbol=NSE%3ANMDC</t>
  </si>
  <si>
    <t>https://in.tradingview.com/chart/mhFm6knv/?symbol=NSE%3ANSLNISP</t>
  </si>
  <si>
    <t>https://in.tradingview.com/chart/mhFm6knv/?symbol=NSE%3ANOCIL</t>
  </si>
  <si>
    <t>https://in.tradingview.com/chart/mhFm6knv/?symbol=NSE%3ANORBTEAEXP</t>
  </si>
  <si>
    <t>https://in.tradingview.com/chart/mhFm6knv/?symbol=NSE%3ANECCLTD</t>
  </si>
  <si>
    <t>https://in.tradingview.com/chart/mhFm6knv/?symbol=NSE%3ANORTHARC</t>
  </si>
  <si>
    <t>https://in.tradingview.com/chart/mhFm6knv/?symbol=NSE%3ANOVAAGRI</t>
  </si>
  <si>
    <t>https://in.tradingview.com/chart/mhFm6knv/?symbol=NSE%3ANRBBEARING</t>
  </si>
  <si>
    <t>https://in.tradingview.com/chart/mhFm6knv/?symbol=NSE%3ANIBL</t>
  </si>
  <si>
    <t>https://in.tradingview.com/chart/mhFm6knv/?symbol=NSE%3ANTPCGREEN</t>
  </si>
  <si>
    <t>https://in.tradingview.com/chart/mhFm6knv/?symbol=NSE%3ANTPC</t>
  </si>
  <si>
    <t>https://in.tradingview.com/chart/mhFm6knv/?symbol=NSE%3ANUCLEUS</t>
  </si>
  <si>
    <t>https://in.tradingview.com/chart/mhFm6knv/?symbol=NSE%3ANRL</t>
  </si>
  <si>
    <t>https://in.tradingview.com/chart/mhFm6knv/?symbol=NSE%3ANURECA</t>
  </si>
  <si>
    <t>https://in.tradingview.com/chart/mhFm6knv/?symbol=NSE%3ANUVAMA</t>
  </si>
  <si>
    <t>https://in.tradingview.com/chart/mhFm6knv/?symbol=NSE%3ANUVOCO</t>
  </si>
  <si>
    <t>https://in.tradingview.com/chart/mhFm6knv/?symbol=NSE%3AOBEROIRLTY</t>
  </si>
  <si>
    <t>https://in.tradingview.com/chart/mhFm6knv/?symbol=NSE%3AOCCLLTD</t>
  </si>
  <si>
    <t>https://in.tradingview.com/chart/mhFm6knv/?symbol=NSE%3AODIGMA</t>
  </si>
  <si>
    <t>https://in.tradingview.com/chart/mhFm6knv/?symbol=NSE%3AONGC</t>
  </si>
  <si>
    <t>https://in.tradingview.com/chart/mhFm6knv/?symbol=NSE%3AOILCOUNTUB</t>
  </si>
  <si>
    <t>https://in.tradingview.com/chart/mhFm6knv/?symbol=NSE%3AOIL</t>
  </si>
  <si>
    <t>https://in.tradingview.com/chart/mhFm6knv/?symbol=NSE%3AOLAELEC</t>
  </si>
  <si>
    <t>https://in.tradingview.com/chart/mhFm6knv/?symbol=NSE%3AOLECTRA</t>
  </si>
  <si>
    <t>https://in.tradingview.com/chart/mhFm6knv/?symbol=NSE%3AOMFREIGHT</t>
  </si>
  <si>
    <t>https://in.tradingview.com/chart/mhFm6knv/?symbol=NSE%3AOMINFRAL</t>
  </si>
  <si>
    <t>https://in.tradingview.com/chart/mhFm6knv/?symbol=NSE%3AOMAXAUTO</t>
  </si>
  <si>
    <t>https://in.tradingview.com/chart/mhFm6knv/?symbol=NSE%3AOMAXE</t>
  </si>
  <si>
    <t>https://in.tradingview.com/chart/mhFm6knv/?symbol=NSE%3AOMKARCHEM</t>
  </si>
  <si>
    <t>https://in.tradingview.com/chart/mhFm6knv/?symbol=NSE%3APAYTM</t>
  </si>
  <si>
    <t>https://in.tradingview.com/chart/mhFm6knv/?symbol=NSE%3AMOBIKWIK</t>
  </si>
  <si>
    <t>https://in.tradingview.com/chart/mhFm6knv/?symbol=NSE%3AONEPOINT</t>
  </si>
  <si>
    <t>https://in.tradingview.com/chart/mhFm6knv/?symbol=NSE%3AONELIFECAP</t>
  </si>
  <si>
    <t>https://in.tradingview.com/chart/mhFm6knv/?symbol=NSE%3AONESOURCE</t>
  </si>
  <si>
    <t>https://in.tradingview.com/chart/mhFm6knv/?symbol=NSE%3AONMOBILE</t>
  </si>
  <si>
    <t>https://in.tradingview.com/chart/mhFm6knv/?symbol=NSE%3AONWARDTEC</t>
  </si>
  <si>
    <t>https://in.tradingview.com/chart/mhFm6knv/?symbol=NSE%3AOPTIEMUS</t>
  </si>
  <si>
    <t>https://in.tradingview.com/chart/mhFm6knv/?symbol=NSE%3AOFSS</t>
  </si>
  <si>
    <t>https://in.tradingview.com/chart/mhFm6knv/?symbol=NSE%3AORBTEXP</t>
  </si>
  <si>
    <t>https://in.tradingview.com/chart/mhFm6knv/?symbol=NSE%3AORCHPHARMA</t>
  </si>
  <si>
    <t>https://in.tradingview.com/chart/mhFm6knv/?symbol=NSE%3AORICONENT</t>
  </si>
  <si>
    <t>https://in.tradingview.com/chart/mhFm6knv/?symbol=NSE%3AORIENTBELL</t>
  </si>
  <si>
    <t>https://in.tradingview.com/chart/mhFm6knv/?symbol=NSE%3AORIENTCEM</t>
  </si>
  <si>
    <t>https://in.tradingview.com/chart/mhFm6knv/?symbol=NSE%3AORIENTCER</t>
  </si>
  <si>
    <t>https://in.tradingview.com/chart/mhFm6knv/?symbol=NSE%3AORIENTELEC</t>
  </si>
  <si>
    <t>https://in.tradingview.com/chart/mhFm6knv/?symbol=NSE%3AGREENPOWER</t>
  </si>
  <si>
    <t>https://in.tradingview.com/chart/mhFm6knv/?symbol=NSE%3AORIENTPPR</t>
  </si>
  <si>
    <t>https://in.tradingview.com/chart/mhFm6knv/?symbol=NSE%3AORIENTLTD</t>
  </si>
  <si>
    <t>https://in.tradingview.com/chart/mhFm6knv/?symbol=NSE%3AORIENTTECH</t>
  </si>
  <si>
    <t>https://in.tradingview.com/chart/mhFm6knv/?symbol=NSE%3AOAL</t>
  </si>
  <si>
    <t>https://in.tradingview.com/chart/mhFm6knv/?symbol=NSE%3AORIENTHOT</t>
  </si>
  <si>
    <t>https://in.tradingview.com/chart/mhFm6knv/?symbol=NSE%3AORIENTALTL</t>
  </si>
  <si>
    <t>https://in.tradingview.com/chart/mhFm6knv/?symbol=NSE%3AOBCL</t>
  </si>
  <si>
    <t>https://in.tradingview.com/chart/mhFm6knv/?symbol=NSE%3AORKLAINDIA</t>
  </si>
  <si>
    <t>https://in.tradingview.com/chart/mhFm6knv/?symbol=NSE%3AORTINGLOBE</t>
  </si>
  <si>
    <t>https://in.tradingview.com/chart/mhFm6knv/?symbol=NSE%3AOSIAHYPER</t>
  </si>
  <si>
    <t>https://in.tradingview.com/chart/mhFm6knv/?symbol=NSE%3AOSWALAGRO</t>
  </si>
  <si>
    <t>https://in.tradingview.com/chart/mhFm6knv/?symbol=NSE%3AOSWALGREEN</t>
  </si>
  <si>
    <t>https://in.tradingview.com/chart/mhFm6knv/?symbol=NSE%3AOSWALPUMPS</t>
  </si>
  <si>
    <t>https://in.tradingview.com/chart/mhFm6knv/?symbol=NSE%3APNGJL</t>
  </si>
  <si>
    <t>https://in.tradingview.com/chart/mhFm6knv/?symbol=NSE%3APACEDIGITK</t>
  </si>
  <si>
    <t>https://in.tradingview.com/chart/mhFm6knv/?symbol=NSE%3APAGEIND</t>
  </si>
  <si>
    <t>https://in.tradingview.com/chart/mhFm6knv/?symbol=NSE%3APAISALO</t>
  </si>
  <si>
    <t>https://in.tradingview.com/chart/mhFm6knv/?symbol=NSE%3APAKKA</t>
  </si>
  <si>
    <t>https://in.tradingview.com/chart/mhFm6knv/?symbol=NSE%3APALASHSECU</t>
  </si>
  <si>
    <t>https://in.tradingview.com/chart/mhFm6knv/?symbol=NSE%3APALREDTEC</t>
  </si>
  <si>
    <t>https://in.tradingview.com/chart/mhFm6knv/?symbol=NSE%3APANACEABIO</t>
  </si>
  <si>
    <t>https://in.tradingview.com/chart/mhFm6knv/?symbol=NSE%3APANACHE</t>
  </si>
  <si>
    <t>https://in.tradingview.com/chart/mhFm6knv/?symbol=NSE%3APANAMAPET</t>
  </si>
  <si>
    <t>https://in.tradingview.com/chart/mhFm6knv/?symbol=NSE%3APANSARI</t>
  </si>
  <si>
    <t>https://in.tradingview.com/chart/mhFm6knv/?symbol=NSE%3APAR</t>
  </si>
  <si>
    <t>https://in.tradingview.com/chart/mhFm6knv/?symbol=NSE%3APARADEEP</t>
  </si>
  <si>
    <t>https://in.tradingview.com/chart/mhFm6knv/?symbol=NSE%3APARAGMILK</t>
  </si>
  <si>
    <t>https://in.tradingview.com/chart/mhFm6knv/?symbol=NSE%3APARACABLES</t>
  </si>
  <si>
    <t>https://in.tradingview.com/chart/mhFm6knv/?symbol=NSE%3APARAS</t>
  </si>
  <si>
    <t>https://in.tradingview.com/chart/mhFm6knv/?symbol=NSE%3APARSVNATH</t>
  </si>
  <si>
    <t>https://in.tradingview.com/chart/mhFm6knv/?symbol=NSE%3APASHUPATI</t>
  </si>
  <si>
    <t>https://in.tradingview.com/chart/mhFm6knv/?symbol=NSE%3APASUPTAC</t>
  </si>
  <si>
    <t>https://in.tradingview.com/chart/mhFm6knv/?symbol=NSE%3APATANJALI</t>
  </si>
  <si>
    <t>https://in.tradingview.com/chart/mhFm6knv/?symbol=NSE%3APATELENG</t>
  </si>
  <si>
    <t>https://in.tradingview.com/chart/mhFm6knv/?symbol=NSE%3APATINTLOG</t>
  </si>
  <si>
    <t>https://in.tradingview.com/chart/mhFm6knv/?symbol=NSE%3APATELRMART</t>
  </si>
  <si>
    <t>https://in.tradingview.com/chart/mhFm6knv/?symbol=NSE%3APAVNAIND</t>
  </si>
  <si>
    <t>https://in.tradingview.com/chart/mhFm6knv/?symbol=NSE%3APOLICYBZR</t>
  </si>
  <si>
    <t>https://in.tradingview.com/chart/mhFm6knv/?symbol=NSE%3APCJEWELLER</t>
  </si>
  <si>
    <t>https://in.tradingview.com/chart/mhFm6knv/?symbol=NSE%3APCBL</t>
  </si>
  <si>
    <t>https://in.tradingview.com/chart/mhFm6knv/?symbol=NSE%3APDSL</t>
  </si>
  <si>
    <t>https://in.tradingview.com/chart/mhFm6knv/?symbol=NSE%3APGIL</t>
  </si>
  <si>
    <t>https://in.tradingview.com/chart/mhFm6knv/?symbol=NSE%3APEARLPOLY</t>
  </si>
  <si>
    <t>https://in.tradingview.com/chart/mhFm6knv/?symbol=NSE%3APENINLAND</t>
  </si>
  <si>
    <t>https://in.tradingview.com/chart/mhFm6knv/?symbol=NSE%3APENIND</t>
  </si>
  <si>
    <t>https://in.tradingview.com/chart/mhFm6knv/?symbol=NSE%3APERSISTENT</t>
  </si>
  <si>
    <t>https://in.tradingview.com/chart/mhFm6knv/?symbol=NSE%3APETRONET</t>
  </si>
  <si>
    <t>https://in.tradingview.com/chart/mhFm6knv/?symbol=NSE%3APFIZER</t>
  </si>
  <si>
    <t>https://in.tradingview.com/chart/mhFm6knv/?symbol=NSE%3APGEL</t>
  </si>
  <si>
    <t>https://in.tradingview.com/chart/mhFm6knv/?symbol=NSE%3APWL</t>
  </si>
  <si>
    <t>https://in.tradingview.com/chart/mhFm6knv/?symbol=NSE%3APIIND</t>
  </si>
  <si>
    <t>https://in.tradingview.com/chart/mhFm6knv/?symbol=NSE%3APICCADIL</t>
  </si>
  <si>
    <t>https://in.tradingview.com/chart/mhFm6knv/?symbol=NSE%3APIDILITIND</t>
  </si>
  <si>
    <t>https://in.tradingview.com/chart/mhFm6knv/?symbol=NSE%3APILITA</t>
  </si>
  <si>
    <t>https://in.tradingview.com/chart/mhFm6knv/?symbol=NSE%3APILANIINVS</t>
  </si>
  <si>
    <t>https://in.tradingview.com/chart/mhFm6knv/?symbol=NSE%3APINELABS</t>
  </si>
  <si>
    <t>https://in.tradingview.com/chart/mhFm6knv/?symbol=NSE%3APIONEEREMB</t>
  </si>
  <si>
    <t>https://in.tradingview.com/chart/mhFm6knv/?symbol=NSE%3APPLPHARMA</t>
  </si>
  <si>
    <t>https://in.tradingview.com/chart/mhFm6knv/?symbol=NSE%3APIRAMALFIN</t>
  </si>
  <si>
    <t>https://in.tradingview.com/chart/mhFm6knv/?symbol=NSE%3APITTIENG</t>
  </si>
  <si>
    <t>https://in.tradingview.com/chart/mhFm6knv/?symbol=NSE%3APIXTRANS</t>
  </si>
  <si>
    <t>https://in.tradingview.com/chart/mhFm6knv/?symbol=NSE%3APLASTIBLEN</t>
  </si>
  <si>
    <t>https://in.tradingview.com/chart/mhFm6knv/?symbol=NSE%3APLATIND</t>
  </si>
  <si>
    <t>https://in.tradingview.com/chart/mhFm6knv/?symbol=NSE%3APLAZACABLE</t>
  </si>
  <si>
    <t>https://in.tradingview.com/chart/mhFm6knv/?symbol=NSE%3APNBGILTS</t>
  </si>
  <si>
    <t>https://in.tradingview.com/chart/mhFm6knv/?symbol=NSE%3APNBHOUSING</t>
  </si>
  <si>
    <t>https://in.tradingview.com/chart/mhFm6knv/?symbol=NSE%3APNCINFRA</t>
  </si>
  <si>
    <t>https://in.tradingview.com/chart/mhFm6knv/?symbol=NSE%3APODDARMENT</t>
  </si>
  <si>
    <t>https://in.tradingview.com/chart/mhFm6knv/?symbol=NSE%3APOKARNA</t>
  </si>
  <si>
    <t>https://in.tradingview.com/chart/mhFm6knv/?symbol=NSE%3APOLYMED</t>
  </si>
  <si>
    <t>https://in.tradingview.com/chart/mhFm6knv/?symbol=NSE%3APOLYCAB</t>
  </si>
  <si>
    <t>https://in.tradingview.com/chart/mhFm6knv/?symbol=NSE%3APOLYPLEX</t>
  </si>
  <si>
    <t>https://in.tradingview.com/chart/mhFm6knv/?symbol=NSE%3APOCL</t>
  </si>
  <si>
    <t>https://in.tradingview.com/chart/mhFm6knv/?symbol=NSE%3APONNIERODE</t>
  </si>
  <si>
    <t>https://in.tradingview.com/chart/mhFm6knv/?symbol=NSE%3APOONAWALLA</t>
  </si>
  <si>
    <t>https://in.tradingview.com/chart/mhFm6knv/?symbol=NSE%3APVSL</t>
  </si>
  <si>
    <t>https://in.tradingview.com/chart/mhFm6knv/?symbol=NSE%3APIGL</t>
  </si>
  <si>
    <t>https://in.tradingview.com/chart/mhFm6knv/?symbol=NSE%3APFC</t>
  </si>
  <si>
    <t>https://in.tradingview.com/chart/mhFm6knv/?symbol=NSE%3APOWERGRID</t>
  </si>
  <si>
    <t>https://in.tradingview.com/chart/mhFm6knv/?symbol=NSE%3APOWERMECH</t>
  </si>
  <si>
    <t>https://in.tradingview.com/chart/mhFm6knv/?symbol=NSE%3APPAP</t>
  </si>
  <si>
    <t>https://in.tradingview.com/chart/mhFm6knv/?symbol=NSE%3APRABHA</t>
  </si>
  <si>
    <t>https://in.tradingview.com/chart/mhFm6knv/?symbol=NSE%3APRAJIND</t>
  </si>
  <si>
    <t>https://in.tradingview.com/chart/mhFm6knv/?symbol=NSE%3APRAENG</t>
  </si>
  <si>
    <t>https://in.tradingview.com/chart/mhFm6knv/?symbol=NSE%3APRAKASH</t>
  </si>
  <si>
    <t>https://in.tradingview.com/chart/mhFm6knv/?symbol=NSE%3APPL</t>
  </si>
  <si>
    <t>https://in.tradingview.com/chart/mhFm6knv/?symbol=NSE%3ADIAMONDYD</t>
  </si>
  <si>
    <t>https://in.tradingview.com/chart/mhFm6knv/?symbol=NSE%3APRAXIS</t>
  </si>
  <si>
    <t>https://in.tradingview.com/chart/mhFm6knv/?symbol=NSE%3APRECAM</t>
  </si>
  <si>
    <t>https://in.tradingview.com/chart/mhFm6knv/?symbol=NSE%3APRECWIRE</t>
  </si>
  <si>
    <t>https://in.tradingview.com/chart/mhFm6knv/?symbol=NSE%3APRECOT</t>
  </si>
  <si>
    <t>https://in.tradingview.com/chart/mhFm6knv/?symbol=NSE%3APREMIERENE</t>
  </si>
  <si>
    <t>https://in.tradingview.com/chart/mhFm6knv/?symbol=NSE%3APREMEXPLN</t>
  </si>
  <si>
    <t>https://in.tradingview.com/chart/mhFm6knv/?symbol=NSE%3APREMIERPOL</t>
  </si>
  <si>
    <t>https://in.tradingview.com/chart/mhFm6knv/?symbol=NSE%3APRESTIGE</t>
  </si>
  <si>
    <t>https://in.tradingview.com/chart/mhFm6knv/?symbol=NSE%3APRICOLLTD</t>
  </si>
  <si>
    <t>https://in.tradingview.com/chart/mhFm6knv/?symbol=NSE%3APFOCUS</t>
  </si>
  <si>
    <t>https://in.tradingview.com/chart/mhFm6knv/?symbol=NSE%3APRIMESECU</t>
  </si>
  <si>
    <t>https://in.tradingview.com/chart/mhFm6knv/?symbol=NSE%3APRIMO</t>
  </si>
  <si>
    <t>https://in.tradingview.com/chart/mhFm6knv/?symbol=NSE%3APRINCEPIPE</t>
  </si>
  <si>
    <t>https://in.tradingview.com/chart/mhFm6knv/?symbol=NSE%3APRSMJOHNSN</t>
  </si>
  <si>
    <t>https://in.tradingview.com/chart/mhFm6knv/?symbol=NSE%3APRITI</t>
  </si>
  <si>
    <t>https://in.tradingview.com/chart/mhFm6knv/?symbol=NSE%3APRITIKAUTO</t>
  </si>
  <si>
    <t>https://in.tradingview.com/chart/mhFm6knv/?symbol=NSE%3APNC</t>
  </si>
  <si>
    <t>https://in.tradingview.com/chart/mhFm6knv/?symbol=NSE%3APRIVISCL</t>
  </si>
  <si>
    <t>https://in.tradingview.com/chart/mhFm6knv/?symbol=NSE%3APGHL</t>
  </si>
  <si>
    <t>https://in.tradingview.com/chart/mhFm6knv/?symbol=NSE%3APGHH</t>
  </si>
  <si>
    <t>https://in.tradingview.com/chart/mhFm6knv/?symbol=NSE%3APROSTARM</t>
  </si>
  <si>
    <t>https://in.tradingview.com/chart/mhFm6knv/?symbol=NSE%3APROTEAN</t>
  </si>
  <si>
    <t>https://in.tradingview.com/chart/mhFm6knv/?symbol=NSE%3APROZONER</t>
  </si>
  <si>
    <t>https://in.tradingview.com/chart/mhFm6knv/?symbol=NSE%3APRUDENT</t>
  </si>
  <si>
    <t>https://in.tradingview.com/chart/mhFm6knv/?symbol=NSE%3APRUDMOULI</t>
  </si>
  <si>
    <t>https://in.tradingview.com/chart/mhFm6knv/?symbol=NSE%3APSPPROJECT</t>
  </si>
  <si>
    <t>https://in.tradingview.com/chart/mhFm6knv/?symbol=NSE%3APFS</t>
  </si>
  <si>
    <t>https://in.tradingview.com/chart/mhFm6knv/?symbol=NSE%3APTC</t>
  </si>
  <si>
    <t>https://in.tradingview.com/chart/mhFm6knv/?symbol=NSE%3APTCIL</t>
  </si>
  <si>
    <t>https://in.tradingview.com/chart/mhFm6knv/?symbol=NSE%3APTL</t>
  </si>
  <si>
    <t>https://in.tradingview.com/chart/mhFm6knv/?symbol=NSE%3APDMJEPAPER</t>
  </si>
  <si>
    <t>https://in.tradingview.com/chart/mhFm6knv/?symbol=NSE%3APSB</t>
  </si>
  <si>
    <t>https://in.tradingview.com/chart/mhFm6knv/?symbol=NSE%3APUNJABCHEM</t>
  </si>
  <si>
    <t>https://in.tradingview.com/chart/mhFm6knv/?symbol=NSE%3APNB</t>
  </si>
  <si>
    <t>https://in.tradingview.com/chart/mhFm6knv/?symbol=NSE%3APURVA</t>
  </si>
  <si>
    <t>https://in.tradingview.com/chart/mhFm6knv/?symbol=NSE%3APVP</t>
  </si>
  <si>
    <t>https://in.tradingview.com/chart/mhFm6knv/?symbol=NSE%3APVRINOX</t>
  </si>
  <si>
    <t>https://in.tradingview.com/chart/mhFm6knv/?symbol=NSE%3APYRAMID</t>
  </si>
  <si>
    <t>https://in.tradingview.com/chart/mhFm6knv/?symbol=NSE%3AQNIFTY</t>
  </si>
  <si>
    <t>https://in.tradingview.com/chart/mhFm6knv/?symbol=NSE%3AQUADFUTURE</t>
  </si>
  <si>
    <t>https://in.tradingview.com/chart/mhFm6knv/?symbol=NSE%3AQPOWER</t>
  </si>
  <si>
    <t>https://in.tradingview.com/chart/mhFm6knv/?symbol=NSE%3AQGOLDHALF</t>
  </si>
  <si>
    <t>https://in.tradingview.com/chart/mhFm6knv/?symbol=NSE%3AQUESS</t>
  </si>
  <si>
    <t>https://in.tradingview.com/chart/mhFm6knv/?symbol=NSE%3AQUICKHEAL</t>
  </si>
  <si>
    <t>https://in.tradingview.com/chart/mhFm6knv/?symbol=NSE%3ARKSWAMY</t>
  </si>
  <si>
    <t>https://in.tradingview.com/chart/mhFm6knv/?symbol=NSE%3ARMDRIP</t>
  </si>
  <si>
    <t>https://in.tradingview.com/chart/mhFm6knv/?symbol=NSE%3ARRKABEL</t>
  </si>
  <si>
    <t>https://in.tradingview.com/chart/mhFm6knv/?symbol=NSE%3ARSYSTEMS</t>
  </si>
  <si>
    <t>https://in.tradingview.com/chart/mhFm6knv/?symbol=NSE%3ARSSOFTWARE</t>
  </si>
  <si>
    <t>https://in.tradingview.com/chart/mhFm6knv/?symbol=NSE%3ARPPINFRA</t>
  </si>
  <si>
    <t>https://in.tradingview.com/chart/mhFm6knv/?symbol=NSE%3ARNBDENIMS</t>
  </si>
  <si>
    <t>https://in.tradingview.com/chart/mhFm6knv/?symbol=NSE%3ARACE</t>
  </si>
  <si>
    <t>https://in.tradingview.com/chart/mhFm6knv/?symbol=NSE%3ARACLGEAR</t>
  </si>
  <si>
    <t>https://in.tradingview.com/chart/mhFm6knv/?symbol=NSE%3ARADHIKAJWE</t>
  </si>
  <si>
    <t>https://in.tradingview.com/chart/mhFm6knv/?symbol=NSE%3ARADIANTCMS</t>
  </si>
  <si>
    <t>https://in.tradingview.com/chart/mhFm6knv/?symbol=NSE%3ARADICO</t>
  </si>
  <si>
    <t>https://in.tradingview.com/chart/mhFm6knv/?symbol=NSE%3ARPEL</t>
  </si>
  <si>
    <t>https://in.tradingview.com/chart/mhFm6knv/?symbol=NSE%3ARVNL</t>
  </si>
  <si>
    <t>https://in.tradingview.com/chart/mhFm6knv/?symbol=NSE%3ARAILTEL</t>
  </si>
  <si>
    <t>https://in.tradingview.com/chart/mhFm6knv/?symbol=NSE%3ARAIN</t>
  </si>
  <si>
    <t>https://in.tradingview.com/chart/mhFm6knv/?symbol=NSE%3ARAINBOW</t>
  </si>
  <si>
    <t>https://in.tradingview.com/chart/mhFm6knv/?symbol=NSE%3AROML</t>
  </si>
  <si>
    <t>https://in.tradingview.com/chart/mhFm6knv/?symbol=NSE%3ARAJRILTD</t>
  </si>
  <si>
    <t>https://in.tradingview.com/chart/mhFm6knv/?symbol=NSE%3ARAJTV</t>
  </si>
  <si>
    <t>https://in.tradingview.com/chart/mhFm6knv/?symbol=NSE%3AARENTERP</t>
  </si>
  <si>
    <t>https://in.tradingview.com/chart/mhFm6knv/?symbol=NSE%3ARAJESHEXPO</t>
  </si>
  <si>
    <t>https://in.tradingview.com/chart/mhFm6knv/?symbol=NSE%3ARAJOOENG</t>
  </si>
  <si>
    <t>https://in.tradingview.com/chart/mhFm6knv/?symbol=NSE%3ARAJRATAN</t>
  </si>
  <si>
    <t>https://in.tradingview.com/chart/mhFm6knv/?symbol=NSE%3ARPPL</t>
  </si>
  <si>
    <t>https://in.tradingview.com/chart/mhFm6knv/?symbol=NSE%3ARAJSREESUG</t>
  </si>
  <si>
    <t>https://in.tradingview.com/chart/mhFm6knv/?symbol=NSE%3ARALLIS</t>
  </si>
  <si>
    <t>https://in.tradingview.com/chart/mhFm6knv/?symbol=NSE%3ARAMRAT</t>
  </si>
  <si>
    <t>https://in.tradingview.com/chart/mhFm6knv/?symbol=NSE%3ARAMAPHO</t>
  </si>
  <si>
    <t>https://in.tradingview.com/chart/mhFm6knv/?symbol=NSE%3ARAMASTEEL</t>
  </si>
  <si>
    <t>https://in.tradingview.com/chart/mhFm6knv/?symbol=NSE%3ARAMCOIND</t>
  </si>
  <si>
    <t>https://in.tradingview.com/chart/mhFm6knv/?symbol=NSE%3ARAMCOSYS</t>
  </si>
  <si>
    <t>https://in.tradingview.com/chart/mhFm6knv/?symbol=NSE%3ARKFORGE</t>
  </si>
  <si>
    <t>https://in.tradingview.com/chart/mhFm6knv/?symbol=NSE%3ARAMKY</t>
  </si>
  <si>
    <t>https://in.tradingview.com/chart/mhFm6knv/?symbol=NSE%3ARANASUG</t>
  </si>
  <si>
    <t>https://in.tradingview.com/chart/mhFm6knv/?symbol=NSE%3ARML</t>
  </si>
  <si>
    <t>https://in.tradingview.com/chart/mhFm6knv/?symbol=NSE%3ARANEHOLDIN</t>
  </si>
  <si>
    <t>https://in.tradingview.com/chart/mhFm6knv/?symbol=NSE%3ARPTECH</t>
  </si>
  <si>
    <t>https://in.tradingview.com/chart/mhFm6knv/?symbol=NSE%3ARCF</t>
  </si>
  <si>
    <t>https://in.tradingview.com/chart/mhFm6knv/?symbol=NSE%3ARATEGAIN</t>
  </si>
  <si>
    <t>https://in.tradingview.com/chart/mhFm6knv/?symbol=NSE%3ARATNAMANI</t>
  </si>
  <si>
    <t>https://in.tradingview.com/chart/mhFm6knv/?symbol=NSE%3ARATNAVEER</t>
  </si>
  <si>
    <t>https://in.tradingview.com/chart/mhFm6knv/?symbol=NSE%3ARTNINDIA</t>
  </si>
  <si>
    <t>https://in.tradingview.com/chart/mhFm6knv/?symbol=NSE%3ARTNPOWER</t>
  </si>
  <si>
    <t>https://in.tradingview.com/chart/mhFm6knv/?symbol=NSE%3ARKDL</t>
  </si>
  <si>
    <t>https://in.tradingview.com/chart/mhFm6knv/?symbol=NSE%3ARVHL</t>
  </si>
  <si>
    <t>https://in.tradingview.com/chart/mhFm6knv/?symbol=NSE%3ARELTD</t>
  </si>
  <si>
    <t>https://in.tradingview.com/chart/mhFm6knv/?symbol=NSE%3ARAYMONDLSL</t>
  </si>
  <si>
    <t>https://in.tradingview.com/chart/mhFm6knv/?symbol=NSE%3ARAYMOND</t>
  </si>
  <si>
    <t>https://in.tradingview.com/chart/mhFm6knv/?symbol=NSE%3ARAYMONDREL</t>
  </si>
  <si>
    <t>https://in.tradingview.com/chart/mhFm6knv/?symbol=NSE%3ARBLBANK</t>
  </si>
  <si>
    <t>https://in.tradingview.com/chart/mhFm6knv/?symbol=NSE%3ARBZJEWEL</t>
  </si>
  <si>
    <t>https://in.tradingview.com/chart/mhFm6knv/?symbol=NSE%3AREDINGTON</t>
  </si>
  <si>
    <t>https://in.tradingview.com/chart/mhFm6knv/?symbol=NSE%3AREDTAPE</t>
  </si>
  <si>
    <t>https://in.tradingview.com/chart/mhFm6knv/?symbol=NSE%3AREFEX</t>
  </si>
  <si>
    <t>https://in.tradingview.com/chart/mhFm6knv/?symbol=NSE%3AREGAAL</t>
  </si>
  <si>
    <t>https://in.tradingview.com/chart/mhFm6knv/?symbol=NSE%3AREGENCERAM</t>
  </si>
  <si>
    <t>https://in.tradingview.com/chart/mhFm6knv/?symbol=NSE%3ARELAXO</t>
  </si>
  <si>
    <t>https://in.tradingview.com/chart/mhFm6knv/?symbol=NSE%3ARELIABLE</t>
  </si>
  <si>
    <t>https://in.tradingview.com/chart/mhFm6knv/?symbol=NSE%3ARELCHEMQ</t>
  </si>
  <si>
    <t>https://in.tradingview.com/chart/mhFm6knv/?symbol=NSE%3ARIIL</t>
  </si>
  <si>
    <t>https://in.tradingview.com/chart/mhFm6knv/?symbol=NSE%3ARELIANCE</t>
  </si>
  <si>
    <t>https://in.tradingview.com/chart/mhFm6knv/?symbol=NSE%3ARELINFRA</t>
  </si>
  <si>
    <t>https://in.tradingview.com/chart/mhFm6knv/?symbol=NSE%3ARPOWER</t>
  </si>
  <si>
    <t>https://in.tradingview.com/chart/mhFm6knv/?symbol=NSE%3ARELIGARE</t>
  </si>
  <si>
    <t>https://in.tradingview.com/chart/mhFm6knv/?symbol=NSE%3AREMSONSIND</t>
  </si>
  <si>
    <t>https://in.tradingview.com/chart/mhFm6knv/?symbol=NSE%3ARGL</t>
  </si>
  <si>
    <t>https://in.tradingview.com/chart/mhFm6knv/?symbol=NSE%3AREPCOHOME</t>
  </si>
  <si>
    <t>https://in.tradingview.com/chart/mhFm6knv/?symbol=NSE%3AREPRO</t>
  </si>
  <si>
    <t>https://in.tradingview.com/chart/mhFm6knv/?symbol=NSE%3ARESPONIND</t>
  </si>
  <si>
    <t>https://in.tradingview.com/chart/mhFm6knv/?symbol=NSE%3ARBA</t>
  </si>
  <si>
    <t>https://in.tradingview.com/chart/mhFm6knv/?symbol=NSE%3ARVTH</t>
  </si>
  <si>
    <t>https://in.tradingview.com/chart/mhFm6knv/?symbol=NSE%3ARHETAN</t>
  </si>
  <si>
    <t>https://in.tradingview.com/chart/mhFm6knv/?symbol=NSE%3ARHIM</t>
  </si>
  <si>
    <t>https://in.tradingview.com/chart/mhFm6knv/?symbol=NSE%3ARICOAUTO</t>
  </si>
  <si>
    <t>https://in.tradingview.com/chart/mhFm6knv/?symbol=NSE%3ARISHABH</t>
  </si>
  <si>
    <t>https://in.tradingview.com/chart/mhFm6knv/?symbol=NSE%3ARITCO</t>
  </si>
  <si>
    <t>https://in.tradingview.com/chart/mhFm6knv/?symbol=NSE%3ARITES</t>
  </si>
  <si>
    <t>https://in.tradingview.com/chart/mhFm6knv/?symbol=NSE%3ARKEC</t>
  </si>
  <si>
    <t>https://in.tradingview.com/chart/mhFm6knv/?symbol=NSE%3ARHL</t>
  </si>
  <si>
    <t>https://in.tradingview.com/chart/mhFm6knv/?symbol=NSE%3AROLEXRINGS</t>
  </si>
  <si>
    <t>https://in.tradingview.com/chart/mhFm6knv/?symbol=NSE%3AROSSARI</t>
  </si>
  <si>
    <t>https://in.tradingview.com/chart/mhFm6knv/?symbol=NSE%3AROSSELLIND</t>
  </si>
  <si>
    <t>https://in.tradingview.com/chart/mhFm6knv/?symbol=NSE%3AROSSTECH</t>
  </si>
  <si>
    <t>https://in.tradingview.com/chart/mhFm6knv/?symbol=NSE%3AROTO</t>
  </si>
  <si>
    <t>https://in.tradingview.com/chart/mhFm6knv/?symbol=NSE%3AROUTE</t>
  </si>
  <si>
    <t>https://in.tradingview.com/chart/mhFm6knv/?symbol=NSE%3AROHLTD</t>
  </si>
  <si>
    <t>https://in.tradingview.com/chart/mhFm6knv/?symbol=NSE%3ARPGLIFE</t>
  </si>
  <si>
    <t>https://in.tradingview.com/chart/mhFm6knv/?symbol=NSE%3ARPSGVENT</t>
  </si>
  <si>
    <t>https://in.tradingview.com/chart/mhFm6knv/?symbol=NSE%3ARSWM</t>
  </si>
  <si>
    <t>https://in.tradingview.com/chart/mhFm6knv/?symbol=NSE%3ARUBFILA</t>
  </si>
  <si>
    <t>https://in.tradingview.com/chart/mhFm6knv/?symbol=NSE%3ARUBICON</t>
  </si>
  <si>
    <t>https://in.tradingview.com/chart/mhFm6knv/?symbol=NSE%3ARUCHINFRA</t>
  </si>
  <si>
    <t>https://in.tradingview.com/chart/mhFm6knv/?symbol=NSE%3ARUCHIRA</t>
  </si>
  <si>
    <t>https://in.tradingview.com/chart/mhFm6knv/?symbol=NSE%3AREPL</t>
  </si>
  <si>
    <t>https://in.tradingview.com/chart/mhFm6knv/?symbol=NSE%3ARUPA</t>
  </si>
  <si>
    <t>https://in.tradingview.com/chart/mhFm6knv/?symbol=NSE%3ARECLTD</t>
  </si>
  <si>
    <t>https://in.tradingview.com/chart/mhFm6knv/?symbol=NSE%3ARUSHIL</t>
  </si>
  <si>
    <t>https://in.tradingview.com/chart/mhFm6knv/?symbol=NSE%3AS&amp;SPOWER</t>
  </si>
  <si>
    <t>https://in.tradingview.com/chart/mhFm6knv/?symbol=NSE%3ASCHAND</t>
  </si>
  <si>
    <t>https://in.tradingview.com/chart/mhFm6knv/?symbol=NSE%3ASHK</t>
  </si>
  <si>
    <t>https://in.tradingview.com/chart/mhFm6knv/?symbol=NSE%3ASJS</t>
  </si>
  <si>
    <t>https://in.tradingview.com/chart/mhFm6knv/?symbol=NSE%3ASPAL</t>
  </si>
  <si>
    <t>https://in.tradingview.com/chart/mhFm6knv/?symbol=NSE%3ASAATVIKGL</t>
  </si>
  <si>
    <t>https://in.tradingview.com/chart/mhFm6knv/?symbol=NSE%3ASABEVENTS</t>
  </si>
  <si>
    <t>https://in.tradingview.com/chart/mhFm6knv/?symbol=NSE%3ASADBHAV</t>
  </si>
  <si>
    <t>https://in.tradingview.com/chart/mhFm6knv/?symbol=NSE%3ASADHNANIQ</t>
  </si>
  <si>
    <t>https://in.tradingview.com/chart/mhFm6knv/?symbol=NSE%3ASAFARI</t>
  </si>
  <si>
    <t>https://in.tradingview.com/chart/mhFm6knv/?symbol=NSE%3ASAGCEM</t>
  </si>
  <si>
    <t>https://in.tradingview.com/chart/mhFm6knv/?symbol=NSE%3ASAGARDEEP</t>
  </si>
  <si>
    <t>https://in.tradingview.com/chart/mhFm6knv/?symbol=NSE%3ASAGILITY</t>
  </si>
  <si>
    <t>https://in.tradingview.com/chart/mhFm6knv/?symbol=NSE%3ASAHYADRI</t>
  </si>
  <si>
    <t>https://in.tradingview.com/chart/mhFm6knv/?symbol=NSE%3ASAILIFE</t>
  </si>
  <si>
    <t>https://in.tradingview.com/chart/mhFm6knv/?symbol=NSE%3AKALAMANDIR</t>
  </si>
  <si>
    <t>https://in.tradingview.com/chart/mhFm6knv/?symbol=NSE%3ASAKAR</t>
  </si>
  <si>
    <t>https://in.tradingview.com/chart/mhFm6knv/?symbol=NSE%3ASAKSOFT</t>
  </si>
  <si>
    <t>https://in.tradingview.com/chart/mhFm6knv/?symbol=NSE%3ASAKHTISUG</t>
  </si>
  <si>
    <t>https://in.tradingview.com/chart/mhFm6knv/?symbol=NSE%3ASALSTEEL</t>
  </si>
  <si>
    <t>https://in.tradingview.com/chart/mhFm6knv/?symbol=NSE%3ASALASAR</t>
  </si>
  <si>
    <t>https://in.tradingview.com/chart/mhFm6knv/?symbol=NSE%3ASALONA</t>
  </si>
  <si>
    <t>https://in.tradingview.com/chart/mhFm6knv/?symbol=NSE%3ASALZERELEC</t>
  </si>
  <si>
    <t>https://in.tradingview.com/chart/mhFm6knv/?symbol=NSE%3ASAMBHAAV</t>
  </si>
  <si>
    <t>https://in.tradingview.com/chart/mhFm6knv/?symbol=NSE%3ASAMBHV</t>
  </si>
  <si>
    <t>https://in.tradingview.com/chart/mhFm6knv/?symbol=NSE%3ASAMHI</t>
  </si>
  <si>
    <t>https://in.tradingview.com/chart/mhFm6knv/?symbol=NSE%3ASAMMAANCAP</t>
  </si>
  <si>
    <t>https://in.tradingview.com/chart/mhFm6knv/?symbol=NSE%3ASAMPANN</t>
  </si>
  <si>
    <t>https://in.tradingview.com/chart/mhFm6knv/?symbol=NSE%3ASANATHAN</t>
  </si>
  <si>
    <t>https://in.tradingview.com/chart/mhFm6knv/?symbol=NSE%3ASANDHAR</t>
  </si>
  <si>
    <t>https://in.tradingview.com/chart/mhFm6knv/?symbol=NSE%3ASANDUMA</t>
  </si>
  <si>
    <t>https://in.tradingview.com/chart/mhFm6knv/?symbol=NSE%3ASANGAMIND</t>
  </si>
  <si>
    <t>https://in.tradingview.com/chart/mhFm6knv/?symbol=NSE%3ASANGHIIND</t>
  </si>
  <si>
    <t>https://in.tradingview.com/chart/mhFm6knv/?symbol=NSE%3ASANGHVIMOV</t>
  </si>
  <si>
    <t>https://in.tradingview.com/chart/mhFm6knv/?symbol=NSE%3ASANGINITA</t>
  </si>
  <si>
    <t>https://in.tradingview.com/chart/mhFm6knv/?symbol=NSE%3ASANOFICONR</t>
  </si>
  <si>
    <t>https://in.tradingview.com/chart/mhFm6knv/?symbol=NSE%3ASANOFI</t>
  </si>
  <si>
    <t>https://in.tradingview.com/chart/mhFm6knv/?symbol=NSE%3ASANSERA</t>
  </si>
  <si>
    <t>https://in.tradingview.com/chart/mhFm6knv/?symbol=NSE%3ASANSTAR</t>
  </si>
  <si>
    <t>https://in.tradingview.com/chart/mhFm6knv/?symbol=NSE%3ASAPPHIRE</t>
  </si>
  <si>
    <t>https://in.tradingview.com/chart/mhFm6knv/?symbol=NSE%3ASSDL</t>
  </si>
  <si>
    <t>https://in.tradingview.com/chart/mhFm6knv/?symbol=NSE%3ASARDAEN</t>
  </si>
  <si>
    <t>https://in.tradingview.com/chart/mhFm6knv/?symbol=NSE%3ASAREGAMA</t>
  </si>
  <si>
    <t>https://in.tradingview.com/chart/mhFm6knv/?symbol=NSE%3ASARLAPOLY</t>
  </si>
  <si>
    <t>https://in.tradingview.com/chart/mhFm6knv/?symbol=NSE%3ASMLT</t>
  </si>
  <si>
    <t>https://in.tradingview.com/chart/mhFm6knv/?symbol=NSE%3ASASKEN</t>
  </si>
  <si>
    <t>https://in.tradingview.com/chart/mhFm6knv/?symbol=NSE%3ASASTASUNDR</t>
  </si>
  <si>
    <t>https://in.tradingview.com/chart/mhFm6knv/?symbol=NSE%3ASATIA</t>
  </si>
  <si>
    <t>https://in.tradingview.com/chart/mhFm6knv/?symbol=NSE%3ASATIN</t>
  </si>
  <si>
    <t>https://in.tradingview.com/chart/mhFm6knv/?symbol=NSE%3ASAURASHCEM</t>
  </si>
  <si>
    <t>https://in.tradingview.com/chart/mhFm6knv/?symbol=NSE%3ASOTL</t>
  </si>
  <si>
    <t>https://in.tradingview.com/chart/mhFm6knv/?symbol=NSE%3ASBC</t>
  </si>
  <si>
    <t>https://in.tradingview.com/chart/mhFm6knv/?symbol=NSE%3ASBFC</t>
  </si>
  <si>
    <t>https://in.tradingview.com/chart/mhFm6knv/?symbol=NSE%3ASBIETFQLTY</t>
  </si>
  <si>
    <t>https://in.tradingview.com/chart/mhFm6knv/?symbol=NSE%3ASBIBPB</t>
  </si>
  <si>
    <t>https://in.tradingview.com/chart/mhFm6knv/?symbol=NSE%3ASBICARD</t>
  </si>
  <si>
    <t>https://in.tradingview.com/chart/mhFm6knv/?symbol=NSE%3ASBIETFCON</t>
  </si>
  <si>
    <t>https://in.tradingview.com/chart/mhFm6knv/?symbol=NSE%3ASBIETFIT</t>
  </si>
  <si>
    <t>https://in.tradingview.com/chart/mhFm6knv/?symbol=NSE%3ASETFNIF50</t>
  </si>
  <si>
    <t>https://in.tradingview.com/chart/mhFm6knv/?symbol=NSE%3ASETFNIFBK</t>
  </si>
  <si>
    <t>https://in.tradingview.com/chart/mhFm6knv/?symbol=NSE%3ASBIETFPB</t>
  </si>
  <si>
    <t>https://in.tradingview.com/chart/mhFm6knv/?symbol=NSE%3ASETFGOLD</t>
  </si>
  <si>
    <t>https://in.tradingview.com/chart/mhFm6knv/?symbol=NSE%3ASBILIFE</t>
  </si>
  <si>
    <t>https://in.tradingview.com/chart/mhFm6knv/?symbol=NSE%3ALIQUIDSBI</t>
  </si>
  <si>
    <t>https://in.tradingview.com/chart/mhFm6knv/?symbol=NSE%3ASBILIQETF</t>
  </si>
  <si>
    <t>https://in.tradingview.com/chart/mhFm6knv/?symbol=NSE%3ASETFNN50</t>
  </si>
  <si>
    <t>https://in.tradingview.com/chart/mhFm6knv/?symbol=NSE%3ASBINEQWETF</t>
  </si>
  <si>
    <t>https://in.tradingview.com/chart/mhFm6knv/?symbol=NSE%3ASBISILVER</t>
  </si>
  <si>
    <t>https://in.tradingview.com/chart/mhFm6knv/?symbol=NSE%3ASETF10GILT</t>
  </si>
  <si>
    <t>https://in.tradingview.com/chart/mhFm6knv/?symbol=NSE%3ASCHAEFFLER</t>
  </si>
  <si>
    <t>https://in.tradingview.com/chart/mhFm6knv/?symbol=NSE%3ATHELEELA</t>
  </si>
  <si>
    <t>https://in.tradingview.com/chart/mhFm6knv/?symbol=NSE%3ASCHNEIDER</t>
  </si>
  <si>
    <t>https://in.tradingview.com/chart/mhFm6knv/?symbol=NSE%3ASCODATUBES</t>
  </si>
  <si>
    <t>https://in.tradingview.com/chart/mhFm6knv/?symbol=NSE%3ASEAMECLTD</t>
  </si>
  <si>
    <t>https://in.tradingview.com/chart/mhFm6knv/?symbol=NSE%3ASECMARK</t>
  </si>
  <si>
    <t>https://in.tradingview.com/chart/mhFm6knv/?symbol=NSE%3ASECURKLOUD</t>
  </si>
  <si>
    <t>https://in.tradingview.com/chart/mhFm6knv/?symbol=NSE%3ASIS</t>
  </si>
  <si>
    <t>https://in.tradingview.com/chart/mhFm6knv/?symbol=NSE%3ASEJALLTD</t>
  </si>
  <si>
    <t>https://in.tradingview.com/chart/mhFm6knv/?symbol=NSE%3ASELMC</t>
  </si>
  <si>
    <t>https://in.tradingview.com/chart/mhFm6knv/?symbol=NSE%3ASEMAC</t>
  </si>
  <si>
    <t>https://in.tradingview.com/chart/mhFm6knv/?symbol=NSE%3ASENCO</t>
  </si>
  <si>
    <t>https://in.tradingview.com/chart/mhFm6knv/?symbol=NSE%3ASENORES</t>
  </si>
  <si>
    <t>https://in.tradingview.com/chart/mhFm6knv/?symbol=NSE%3ASEPC</t>
  </si>
  <si>
    <t>https://in.tradingview.com/chart/mhFm6knv/?symbol=NSE%3ASEQUENT</t>
  </si>
  <si>
    <t>https://in.tradingview.com/chart/mhFm6knv/?symbol=NSE%3ASERVOTECH</t>
  </si>
  <si>
    <t>https://in.tradingview.com/chart/mhFm6knv/?symbol=NSE%3ASTYL</t>
  </si>
  <si>
    <t>https://in.tradingview.com/chart/mhFm6knv/?symbol=NSE%3ASESHAPAPER</t>
  </si>
  <si>
    <t>https://in.tradingview.com/chart/mhFm6knv/?symbol=NSE%3ASETCO</t>
  </si>
  <si>
    <t>https://in.tradingview.com/chart/mhFm6knv/?symbol=NSE%3ASEYAIND</t>
  </si>
  <si>
    <t>https://in.tradingview.com/chart/mhFm6knv/?symbol=NSE%3ASGFIN</t>
  </si>
  <si>
    <t>https://in.tradingview.com/chart/mhFm6knv/?symbol=NSE%3ASGMART</t>
  </si>
  <si>
    <t>https://in.tradingview.com/chart/mhFm6knv/?symbol=NSE%3ASHAHALLOYS</t>
  </si>
  <si>
    <t>https://in.tradingview.com/chart/mhFm6knv/?symbol=NSE%3ASHAILY</t>
  </si>
  <si>
    <t>https://in.tradingview.com/chart/mhFm6knv/?symbol=NSE%3ASHAKTIPUMP</t>
  </si>
  <si>
    <t>https://in.tradingview.com/chart/mhFm6knv/?symbol=NSE%3ASHALBY</t>
  </si>
  <si>
    <t>https://in.tradingview.com/chart/mhFm6knv/?symbol=NSE%3ASHALPAINTS</t>
  </si>
  <si>
    <t>https://in.tradingview.com/chart/mhFm6knv/?symbol=NSE%3ASRD</t>
  </si>
  <si>
    <t>https://in.tradingview.com/chart/mhFm6knv/?symbol=NSE%3ASHANKARA</t>
  </si>
  <si>
    <t>https://in.tradingview.com/chart/mhFm6knv/?symbol=NSE%3ASHANTIGEAR</t>
  </si>
  <si>
    <t>https://in.tradingview.com/chart/mhFm6knv/?symbol=NSE%3ASHANTIGOLD</t>
  </si>
  <si>
    <t>https://in.tradingview.com/chart/mhFm6knv/?symbol=NSE%3ASHANTI</t>
  </si>
  <si>
    <t>https://in.tradingview.com/chart/mhFm6knv/?symbol=NSE%3ASHARDACROP</t>
  </si>
  <si>
    <t>https://in.tradingview.com/chart/mhFm6knv/?symbol=NSE%3ASHARDAMOTR</t>
  </si>
  <si>
    <t>https://in.tradingview.com/chart/mhFm6knv/?symbol=NSE%3ASHAREINDIA</t>
  </si>
  <si>
    <t>https://in.tradingview.com/chart/mhFm6knv/?symbol=NSE%3ASFL</t>
  </si>
  <si>
    <t>https://in.tradingview.com/chart/mhFm6knv/?symbol=NSE%3ASCPL</t>
  </si>
  <si>
    <t>https://in.tradingview.com/chart/mhFm6knv/?symbol=NSE%3ASHEKHAWATI</t>
  </si>
  <si>
    <t>https://in.tradingview.com/chart/mhFm6knv/?symbol=NSE%3ASHEMAROO</t>
  </si>
  <si>
    <t>https://in.tradingview.com/chart/mhFm6knv/?symbol=NSE%3ASHILCTECH</t>
  </si>
  <si>
    <t>https://in.tradingview.com/chart/mhFm6knv/?symbol=NSE%3ASHILPAMED</t>
  </si>
  <si>
    <t>https://in.tradingview.com/chart/mhFm6knv/?symbol=NSE%3ASCILAL</t>
  </si>
  <si>
    <t>https://in.tradingview.com/chart/mhFm6knv/?symbol=NSE%3ASCI</t>
  </si>
  <si>
    <t>https://in.tradingview.com/chart/mhFm6knv/?symbol=NSE%3ASHIVAMILLS</t>
  </si>
  <si>
    <t>https://in.tradingview.com/chart/mhFm6knv/?symbol=NSE%3ASHIVATEX</t>
  </si>
  <si>
    <t>https://in.tradingview.com/chart/mhFm6knv/?symbol=NSE%3ASBCL</t>
  </si>
  <si>
    <t>https://in.tradingview.com/chart/mhFm6knv/?symbol=NSE%3ASHIVALIK</t>
  </si>
  <si>
    <t>https://in.tradingview.com/chart/mhFm6knv/?symbol=NSE%3ASHIVAMAUTO</t>
  </si>
  <si>
    <t>https://in.tradingview.com/chart/mhFm6knv/?symbol=NSE%3ASHOPERSTOP</t>
  </si>
  <si>
    <t>https://in.tradingview.com/chart/mhFm6knv/?symbol=NSE%3ASHRADHA</t>
  </si>
  <si>
    <t>https://in.tradingview.com/chart/mhFm6knv/?symbol=NSE%3ASHREECEM</t>
  </si>
  <si>
    <t>https://in.tradingview.com/chart/mhFm6knv/?symbol=NSE%3ASHREDIGCEM</t>
  </si>
  <si>
    <t>https://in.tradingview.com/chart/mhFm6knv/?symbol=NSE%3ASHREEPUSHK</t>
  </si>
  <si>
    <t>https://in.tradingview.com/chart/mhFm6knv/?symbol=NSE%3ASHREERAMA</t>
  </si>
  <si>
    <t>https://in.tradingview.com/chart/mhFm6knv/?symbol=NSE%3ARAMANEWS</t>
  </si>
  <si>
    <t>https://in.tradingview.com/chart/mhFm6knv/?symbol=NSE%3ARENUKA</t>
  </si>
  <si>
    <t>https://in.tradingview.com/chart/mhFm6knv/?symbol=NSE%3ABALAJEE</t>
  </si>
  <si>
    <t>https://in.tradingview.com/chart/mhFm6knv/?symbol=NSE%3ASVLL</t>
  </si>
  <si>
    <t>https://in.tradingview.com/chart/mhFm6knv/?symbol=NSE%3ASHREEJISPG</t>
  </si>
  <si>
    <t>https://in.tradingview.com/chart/mhFm6knv/?symbol=NSE%3AOSWALSEEDS</t>
  </si>
  <si>
    <t>https://in.tradingview.com/chart/mhFm6knv/?symbol=NSE%3ASHREYANIND</t>
  </si>
  <si>
    <t>https://in.tradingview.com/chart/mhFm6knv/?symbol=NSE%3ATRANSWORLD</t>
  </si>
  <si>
    <t>https://in.tradingview.com/chart/mhFm6knv/?symbol=NSE%3ASHRINGARMS</t>
  </si>
  <si>
    <t>https://in.tradingview.com/chart/mhFm6knv/?symbol=NSE%3ASHRIRAMFIN</t>
  </si>
  <si>
    <t>https://in.tradingview.com/chart/mhFm6knv/?symbol=NSE%3ALIQUIDSHRI</t>
  </si>
  <si>
    <t>https://in.tradingview.com/chart/mhFm6knv/?symbol=NSE%3ASHRIPISTON</t>
  </si>
  <si>
    <t>https://in.tradingview.com/chart/mhFm6knv/?symbol=NSE%3ASHRIRAMPPS</t>
  </si>
  <si>
    <t>https://in.tradingview.com/chart/mhFm6knv/?symbol=NSE%3ASHYAMCENT</t>
  </si>
  <si>
    <t>https://in.tradingview.com/chart/mhFm6knv/?symbol=NSE%3ASHYAMMETL</t>
  </si>
  <si>
    <t>https://in.tradingview.com/chart/mhFm6knv/?symbol=NSE%3ASHYAMTEL</t>
  </si>
  <si>
    <t>https://in.tradingview.com/chart/mhFm6knv/?symbol=NSE%3ASICALLOG</t>
  </si>
  <si>
    <t>https://in.tradingview.com/chart/mhFm6knv/?symbol=NSE%3AENRIN</t>
  </si>
  <si>
    <t>https://in.tradingview.com/chart/mhFm6knv/?symbol=NSE%3ASIEMENS</t>
  </si>
  <si>
    <t>https://in.tradingview.com/chart/mhFm6knv/?symbol=NSE%3ASIGACHI</t>
  </si>
  <si>
    <t>https://in.tradingview.com/chart/mhFm6knv/?symbol=NSE%3ASIGMA</t>
  </si>
  <si>
    <t>https://in.tradingview.com/chart/mhFm6knv/?symbol=NSE%3ASIGNATURE</t>
  </si>
  <si>
    <t>https://in.tradingview.com/chart/mhFm6knv/?symbol=NSE%3ASIGIND</t>
  </si>
  <si>
    <t>https://in.tradingview.com/chart/mhFm6knv/?symbol=NSE%3ASIGNPOST</t>
  </si>
  <si>
    <t>https://in.tradingview.com/chart/mhFm6knv/?symbol=NSE%3ASILINV</t>
  </si>
  <si>
    <t>https://in.tradingview.com/chart/mhFm6knv/?symbol=NSE%3ASILGO</t>
  </si>
  <si>
    <t>https://in.tradingview.com/chart/mhFm6knv/?symbol=NSE%3ASILLYMONKS</t>
  </si>
  <si>
    <t>https://in.tradingview.com/chart/mhFm6knv/?symbol=NSE%3ASILVERTUC</t>
  </si>
  <si>
    <t>https://in.tradingview.com/chart/mhFm6knv/?symbol=NSE%3ASIMBHALS</t>
  </si>
  <si>
    <t>https://in.tradingview.com/chart/mhFm6knv/?symbol=NSE%3ASIMPLEXINF</t>
  </si>
  <si>
    <t>https://in.tradingview.com/chart/mhFm6knv/?symbol=NSE%3ASINCLAIR</t>
  </si>
  <si>
    <t>https://in.tradingview.com/chart/mhFm6knv/?symbol=NSE%3ASINDHUTRAD</t>
  </si>
  <si>
    <t>https://in.tradingview.com/chart/mhFm6knv/?symbol=NSE%3ASINTERCOM</t>
  </si>
  <si>
    <t>https://in.tradingview.com/chart/mhFm6knv/?symbol=NSE%3ASIRCA</t>
  </si>
  <si>
    <t>https://in.tradingview.com/chart/mhFm6knv/?symbol=NSE%3ASIYSIL</t>
  </si>
  <si>
    <t>https://in.tradingview.com/chart/mhFm6knv/?symbol=NSE%3ASJVN</t>
  </si>
  <si>
    <t>https://in.tradingview.com/chart/mhFm6knv/?symbol=NSE%3ASKFINDIA</t>
  </si>
  <si>
    <t>https://in.tradingview.com/chart/mhFm6knv/?symbol=NSE%3ASKIPPER</t>
  </si>
  <si>
    <t>https://in.tradingview.com/chart/mhFm6knv/?symbol=NSE%3ASKMEGGPROD</t>
  </si>
  <si>
    <t>https://in.tradingview.com/chart/mhFm6knv/?symbol=NSE%3ASKYGOLD</t>
  </si>
  <si>
    <t>https://in.tradingview.com/chart/mhFm6knv/?symbol=NSE%3ASMALL250</t>
  </si>
  <si>
    <t>https://in.tradingview.com/chart/mhFm6knv/?symbol=NSE%3ASMARTLINK</t>
  </si>
  <si>
    <t>https://in.tradingview.com/chart/mhFm6knv/?symbol=NSE%3ASMARTWORKS</t>
  </si>
  <si>
    <t>https://in.tradingview.com/chart/mhFm6knv/?symbol=NSE%3ASMCGLOBAL</t>
  </si>
  <si>
    <t>https://in.tradingview.com/chart/mhFm6knv/?symbol=NSE%3ASMLMAH</t>
  </si>
  <si>
    <t>https://in.tradingview.com/chart/mhFm6knv/?symbol=NSE%3ASMSPHARMA</t>
  </si>
  <si>
    <t>https://in.tradingview.com/chart/mhFm6knv/?symbol=NSE%3ASNOWMAN</t>
  </si>
  <si>
    <t>https://in.tradingview.com/chart/mhFm6knv/?symbol=NSE%3ASOBHA</t>
  </si>
  <si>
    <t>https://in.tradingview.com/chart/mhFm6knv/?symbol=NSE%3ASOFTTECH</t>
  </si>
  <si>
    <t>https://in.tradingview.com/chart/mhFm6knv/?symbol=NSE%3ASOLARINDS</t>
  </si>
  <si>
    <t>https://in.tradingview.com/chart/mhFm6knv/?symbol=NSE%3ASOLARA</t>
  </si>
  <si>
    <t>https://in.tradingview.com/chart/mhFm6knv/?symbol=NSE%3ASOLARWORLD</t>
  </si>
  <si>
    <t>https://in.tradingview.com/chart/mhFm6knv/?symbol=NSE%3ASOLEX</t>
  </si>
  <si>
    <t>https://in.tradingview.com/chart/mhFm6knv/?symbol=NSE%3ASDBL</t>
  </si>
  <si>
    <t>https://in.tradingview.com/chart/mhFm6knv/?symbol=NSE%3ASOMATEX</t>
  </si>
  <si>
    <t>https://in.tradingview.com/chart/mhFm6knv/?symbol=NSE%3ASOMANYCERA</t>
  </si>
  <si>
    <t>https://in.tradingview.com/chart/mhFm6knv/?symbol=NSE%3ASOMICONVEY</t>
  </si>
  <si>
    <t>https://in.tradingview.com/chart/mhFm6knv/?symbol=NSE%3ASONACOMS</t>
  </si>
  <si>
    <t>https://in.tradingview.com/chart/mhFm6knv/?symbol=NSE%3ASONAMLTD</t>
  </si>
  <si>
    <t>https://in.tradingview.com/chart/mhFm6knv/?symbol=NSE%3ASONATSOFTW</t>
  </si>
  <si>
    <t>https://in.tradingview.com/chart/mhFm6knv/?symbol=NSE%3ASOUTHWEST</t>
  </si>
  <si>
    <t>https://in.tradingview.com/chart/mhFm6knv/?symbol=NSE%3ASPIC</t>
  </si>
  <si>
    <t>https://in.tradingview.com/chart/mhFm6knv/?symbol=NSE%3ASPCENET</t>
  </si>
  <si>
    <t>https://in.tradingview.com/chart/mhFm6knv/?symbol=NSE%3ASPANDANA</t>
  </si>
  <si>
    <t>https://in.tradingview.com/chart/mhFm6knv/?symbol=NSE%3ASPECIALITY</t>
  </si>
  <si>
    <t>https://in.tradingview.com/chart/mhFm6knv/?symbol=NSE%3ASPECTRUM</t>
  </si>
  <si>
    <t>https://in.tradingview.com/chart/mhFm6knv/?symbol=NSE%3ASPENCERS</t>
  </si>
  <si>
    <t>https://in.tradingview.com/chart/mhFm6knv/?symbol=NSE%3ASPLIL</t>
  </si>
  <si>
    <t>https://in.tradingview.com/chart/mhFm6knv/?symbol=NSE%3ASPMLINFRA</t>
  </si>
  <si>
    <t>https://in.tradingview.com/chart/mhFm6knv/?symbol=NSE%3ASPORTKING</t>
  </si>
  <si>
    <t>https://in.tradingview.com/chart/mhFm6knv/?symbol=NSE%3ASRHHYPOLTD</t>
  </si>
  <si>
    <t>https://in.tradingview.com/chart/mhFm6knv/?symbol=NSE%3ASREEL</t>
  </si>
  <si>
    <t>https://in.tradingview.com/chart/mhFm6knv/?symbol=NSE%3ASRF</t>
  </si>
  <si>
    <t>https://in.tradingview.com/chart/mhFm6knv/?symbol=NSE%3ASRGHFL</t>
  </si>
  <si>
    <t>https://in.tradingview.com/chart/mhFm6knv/?symbol=NSE%3ASABTNL</t>
  </si>
  <si>
    <t>https://in.tradingview.com/chart/mhFm6knv/?symbol=NSE%3ALOTUSDEV</t>
  </si>
  <si>
    <t>https://in.tradingview.com/chart/mhFm6knv/?symbol=NSE%3ASRM</t>
  </si>
  <si>
    <t>https://in.tradingview.com/chart/mhFm6knv/?symbol=NSE%3ASTALLION</t>
  </si>
  <si>
    <t>https://in.tradingview.com/chart/mhFm6knv/?symbol=NSE%3ASGLTL</t>
  </si>
  <si>
    <t>https://in.tradingview.com/chart/mhFm6knv/?symbol=NSE%3ASIL</t>
  </si>
  <si>
    <t>https://in.tradingview.com/chart/mhFm6knv/?symbol=NSE%3ASTANLEY</t>
  </si>
  <si>
    <t>https://in.tradingview.com/chart/mhFm6knv/?symbol=NSE%3ASTARCEMENT</t>
  </si>
  <si>
    <t>https://in.tradingview.com/chart/mhFm6knv/?symbol=NSE%3ASTARHEALTH</t>
  </si>
  <si>
    <t>https://in.tradingview.com/chart/mhFm6knv/?symbol=NSE%3ASTARPAPER</t>
  </si>
  <si>
    <t>https://in.tradingview.com/chart/mhFm6knv/?symbol=NSE%3ASTARTECK</t>
  </si>
  <si>
    <t>https://in.tradingview.com/chart/mhFm6knv/?symbol=NSE%3ASBIN</t>
  </si>
  <si>
    <t>https://in.tradingview.com/chart/mhFm6knv/?symbol=NSE%3ASAIL</t>
  </si>
  <si>
    <t>https://in.tradingview.com/chart/mhFm6knv/?symbol=NSE%3ASTEELCITY</t>
  </si>
  <si>
    <t>https://in.tradingview.com/chart/mhFm6knv/?symbol=NSE%3ASTEELXIND</t>
  </si>
  <si>
    <t>https://in.tradingview.com/chart/mhFm6knv/?symbol=NSE%3ASSWL</t>
  </si>
  <si>
    <t>https://in.tradingview.com/chart/mhFm6knv/?symbol=NSE%3ASTEELCAS</t>
  </si>
  <si>
    <t>https://in.tradingview.com/chart/mhFm6knv/?symbol=NSE%3ASTEL</t>
  </si>
  <si>
    <t>https://in.tradingview.com/chart/mhFm6knv/?symbol=NSE%3ASWSOLAR</t>
  </si>
  <si>
    <t>https://in.tradingview.com/chart/mhFm6knv/?symbol=NSE%3ASTERTOOLS</t>
  </si>
  <si>
    <t>https://in.tradingview.com/chart/mhFm6knv/?symbol=NSE%3ASTLTECH</t>
  </si>
  <si>
    <t>https://in.tradingview.com/chart/mhFm6knv/?symbol=NSE%3ASGL</t>
  </si>
  <si>
    <t>https://in.tradingview.com/chart/mhFm6knv/?symbol=NSE%3ASTLNETWORK</t>
  </si>
  <si>
    <t>https://in.tradingview.com/chart/mhFm6knv/?symbol=NSE%3ASTOVEKRAFT</t>
  </si>
  <si>
    <t>https://in.tradingview.com/chart/mhFm6knv/?symbol=NSE%3ASTAR</t>
  </si>
  <si>
    <t>https://in.tradingview.com/chart/mhFm6knv/?symbol=NSE%3ASTUDDS</t>
  </si>
  <si>
    <t>https://in.tradingview.com/chart/mhFm6knv/?symbol=NSE%3ASTYLAMIND</t>
  </si>
  <si>
    <t>https://in.tradingview.com/chart/mhFm6knv/?symbol=NSE%3ASTYRENIX</t>
  </si>
  <si>
    <t>https://in.tradingview.com/chart/mhFm6knv/?symbol=NSE%3ASUBEXLTD</t>
  </si>
  <si>
    <t>https://in.tradingview.com/chart/mhFm6knv/?symbol=NSE%3ASUBROS</t>
  </si>
  <si>
    <t>https://in.tradingview.com/chart/mhFm6knv/?symbol=NSE%3ASUDARSCHEM</t>
  </si>
  <si>
    <t>https://in.tradingview.com/chart/mhFm6knv/?symbol=NSE%3ASUDEEPPHRM</t>
  </si>
  <si>
    <t>https://in.tradingview.com/chart/mhFm6knv/?symbol=NSE%3ASUKHJITS</t>
  </si>
  <si>
    <t>https://in.tradingview.com/chart/mhFm6knv/?symbol=NSE%3ASULA</t>
  </si>
  <si>
    <t>https://in.tradingview.com/chart/mhFm6knv/?symbol=NSE%3ASUMEETINDS</t>
  </si>
  <si>
    <t>https://in.tradingview.com/chart/mhFm6knv/?symbol=NSE%3ASUMIT</t>
  </si>
  <si>
    <t>https://in.tradingview.com/chart/mhFm6knv/?symbol=NSE%3ASUMICHEM</t>
  </si>
  <si>
    <t>https://in.tradingview.com/chart/mhFm6knv/?symbol=NSE%3ASUMMITSEC</t>
  </si>
  <si>
    <t>https://in.tradingview.com/chart/mhFm6knv/?symbol=NSE%3ASPARC</t>
  </si>
  <si>
    <t>https://in.tradingview.com/chart/mhFm6knv/?symbol=NSE%3ASUNPHARMA</t>
  </si>
  <si>
    <t>https://in.tradingview.com/chart/mhFm6knv/?symbol=NSE%3ASUNTV</t>
  </si>
  <si>
    <t>https://in.tradingview.com/chart/mhFm6knv/?symbol=NSE%3ASUNDRMBRAK</t>
  </si>
  <si>
    <t>https://in.tradingview.com/chart/mhFm6knv/?symbol=NSE%3ASUNCLAY</t>
  </si>
  <si>
    <t>https://in.tradingview.com/chart/mhFm6knv/?symbol=NSE%3ASUNDARMFIN</t>
  </si>
  <si>
    <t>https://in.tradingview.com/chart/mhFm6knv/?symbol=NSE%3ASUNDRMFAST</t>
  </si>
  <si>
    <t>https://in.tradingview.com/chart/mhFm6knv/?symbol=NSE%3ASUNDROP</t>
  </si>
  <si>
    <t>https://in.tradingview.com/chart/mhFm6knv/?symbol=NSE%3ASUNFLAG</t>
  </si>
  <si>
    <t>https://in.tradingview.com/chart/mhFm6knv/?symbol=NSE%3ASUNTECK</t>
  </si>
  <si>
    <t>https://in.tradingview.com/chart/mhFm6knv/?symbol=NSE%3ASUPERSPIN</t>
  </si>
  <si>
    <t>https://in.tradingview.com/chart/mhFm6knv/?symbol=NSE%3ASUPERHOUSE</t>
  </si>
  <si>
    <t>https://in.tradingview.com/chart/mhFm6knv/?symbol=NSE%3ASUPRAJIT</t>
  </si>
  <si>
    <t>https://in.tradingview.com/chart/mhFm6knv/?symbol=NSE%3ASUPREME</t>
  </si>
  <si>
    <t>https://in.tradingview.com/chart/mhFm6knv/?symbol=NSE%3ASUPREMEIND</t>
  </si>
  <si>
    <t>https://in.tradingview.com/chart/mhFm6knv/?symbol=NSE%3ASUPREMEINF</t>
  </si>
  <si>
    <t>https://in.tradingview.com/chart/mhFm6knv/?symbol=NSE%3ASPLPETRO</t>
  </si>
  <si>
    <t>https://in.tradingview.com/chart/mhFm6knv/?symbol=NSE%3ASUPRIYA</t>
  </si>
  <si>
    <t>https://in.tradingview.com/chart/mhFm6knv/?symbol=NSE%3ASURAJEST</t>
  </si>
  <si>
    <t>https://in.tradingview.com/chart/mhFm6knv/?symbol=NSE%3ASURAJLTD</t>
  </si>
  <si>
    <t>https://in.tradingview.com/chart/mhFm6knv/?symbol=NSE%3ASURAKSHA</t>
  </si>
  <si>
    <t>https://in.tradingview.com/chart/mhFm6knv/?symbol=NSE%3ASURANASOL</t>
  </si>
  <si>
    <t>https://in.tradingview.com/chart/mhFm6knv/?symbol=NSE%3ASURANAT&amp;P</t>
  </si>
  <si>
    <t>https://in.tradingview.com/chart/mhFm6knv/?symbol=NSE%3ASBGLP</t>
  </si>
  <si>
    <t>https://in.tradingview.com/chart/mhFm6knv/?symbol=NSE%3ASURYAROSNI</t>
  </si>
  <si>
    <t>https://in.tradingview.com/chart/mhFm6knv/?symbol=NSE%3ASURYALAXMI</t>
  </si>
  <si>
    <t>https://in.tradingview.com/chart/mhFm6knv/?symbol=NSE%3ASURYODAY</t>
  </si>
  <si>
    <t>https://in.tradingview.com/chart/mhFm6knv/?symbol=NSE%3ASUTLEJTEX</t>
  </si>
  <si>
    <t>https://in.tradingview.com/chart/mhFm6knv/?symbol=NSE%3ASUVEN</t>
  </si>
  <si>
    <t>https://in.tradingview.com/chart/mhFm6knv/?symbol=NSE%3ASUYOG</t>
  </si>
  <si>
    <t>https://in.tradingview.com/chart/mhFm6knv/?symbol=NSE%3ASUZLON</t>
  </si>
  <si>
    <t>https://in.tradingview.com/chart/mhFm6knv/?symbol=NSE%3ASWANCORP</t>
  </si>
  <si>
    <t>https://in.tradingview.com/chart/mhFm6knv/?symbol=NSE%3ASWANDEF</t>
  </si>
  <si>
    <t>https://in.tradingview.com/chart/mhFm6knv/?symbol=NSE%3ASWARAJENG</t>
  </si>
  <si>
    <t>https://in.tradingview.com/chart/mhFm6knv/?symbol=NSE%3ASWELECTES</t>
  </si>
  <si>
    <t>https://in.tradingview.com/chart/mhFm6knv/?symbol=NSE%3ASWIGGY</t>
  </si>
  <si>
    <t>https://in.tradingview.com/chart/mhFm6knv/?symbol=NSE%3ASYMPHONY</t>
  </si>
  <si>
    <t>https://in.tradingview.com/chart/mhFm6knv/?symbol=NSE%3ASYNCOMF</t>
  </si>
  <si>
    <t>https://in.tradingview.com/chart/mhFm6knv/?symbol=NSE%3ASGIL</t>
  </si>
  <si>
    <t>https://in.tradingview.com/chart/mhFm6knv/?symbol=NSE%3ASYNGENE</t>
  </si>
  <si>
    <t>https://in.tradingview.com/chart/mhFm6knv/?symbol=NSE%3ASYRMA</t>
  </si>
  <si>
    <t>https://in.tradingview.com/chart/mhFm6knv/?symbol=NSE%3ASYSTMTXC</t>
  </si>
  <si>
    <t>https://in.tradingview.com/chart/mhFm6knv/?symbol=NSE%3ATTL</t>
  </si>
  <si>
    <t>https://in.tradingview.com/chart/mhFm6knv/?symbol=NSE%3ATAINWALCHM</t>
  </si>
  <si>
    <t>https://in.tradingview.com/chart/mhFm6knv/?symbol=NSE%3ATAJGVK</t>
  </si>
  <si>
    <t>https://in.tradingview.com/chart/mhFm6knv/?symbol=NSE%3ATAKE</t>
  </si>
  <si>
    <t>https://in.tradingview.com/chart/mhFm6knv/?symbol=NSE%3ATALBROAUTO</t>
  </si>
  <si>
    <t>https://in.tradingview.com/chart/mhFm6knv/?symbol=NSE%3ATNPL</t>
  </si>
  <si>
    <t>https://in.tradingview.com/chart/mhFm6knv/?symbol=NSE%3ATMB</t>
  </si>
  <si>
    <t>https://in.tradingview.com/chart/mhFm6knv/?symbol=NSE%3ATNPETRO</t>
  </si>
  <si>
    <t>https://in.tradingview.com/chart/mhFm6knv/?symbol=NSE%3ATNTELE</t>
  </si>
  <si>
    <t>https://in.tradingview.com/chart/mhFm6knv/?symbol=NSE%3ATANLA</t>
  </si>
  <si>
    <t>https://in.tradingview.com/chart/mhFm6knv/?symbol=NSE%3ATICL</t>
  </si>
  <si>
    <t>https://in.tradingview.com/chart/mhFm6knv/?symbol=NSE%3ATARACHAND</t>
  </si>
  <si>
    <t>https://in.tradingview.com/chart/mhFm6knv/?symbol=NSE%3ATARAPUR</t>
  </si>
  <si>
    <t>https://in.tradingview.com/chart/mhFm6knv/?symbol=NSE%3ATARMAT</t>
  </si>
  <si>
    <t>https://in.tradingview.com/chart/mhFm6knv/?symbol=NSE%3ATARSONS</t>
  </si>
  <si>
    <t>https://in.tradingview.com/chart/mhFm6knv/?symbol=NSE%3ATASTYBITE</t>
  </si>
  <si>
    <t>https://in.tradingview.com/chart/mhFm6knv/?symbol=NSE%3ATATACAP</t>
  </si>
  <si>
    <t>https://in.tradingview.com/chart/mhFm6knv/?symbol=NSE%3ATATACHEM</t>
  </si>
  <si>
    <t>https://in.tradingview.com/chart/mhFm6knv/?symbol=NSE%3ATATACOMM</t>
  </si>
  <si>
    <t>https://in.tradingview.com/chart/mhFm6knv/?symbol=NSE%3ATCS</t>
  </si>
  <si>
    <t>https://in.tradingview.com/chart/mhFm6knv/?symbol=NSE%3ATATACONSUM</t>
  </si>
  <si>
    <t>https://in.tradingview.com/chart/mhFm6knv/?symbol=NSE%3ATATAELXSI</t>
  </si>
  <si>
    <t>https://in.tradingview.com/chart/mhFm6knv/?symbol=NSE%3ATATAGOLD</t>
  </si>
  <si>
    <t>https://in.tradingview.com/chart/mhFm6knv/?symbol=NSE%3ATATAINVEST</t>
  </si>
  <si>
    <t>https://in.tradingview.com/chart/mhFm6knv/?symbol=NSE%3ATMPV</t>
  </si>
  <si>
    <t>https://in.tradingview.com/chart/mhFm6knv/?symbol=NSE%3ANETF</t>
  </si>
  <si>
    <t>https://in.tradingview.com/chart/mhFm6knv/?symbol=NSE%3ATNIDETF</t>
  </si>
  <si>
    <t>https://in.tradingview.com/chart/mhFm6knv/?symbol=NSE%3ANPBET</t>
  </si>
  <si>
    <t>https://in.tradingview.com/chart/mhFm6knv/?symbol=NSE%3ATATAPOWER</t>
  </si>
  <si>
    <t>https://in.tradingview.com/chart/mhFm6knv/?symbol=NSE%3ATATSILV</t>
  </si>
  <si>
    <t>https://in.tradingview.com/chart/mhFm6knv/?symbol=NSE%3ATATASTEEL</t>
  </si>
  <si>
    <t>https://in.tradingview.com/chart/mhFm6knv/?symbol=NSE%3ATATATECH</t>
  </si>
  <si>
    <t>https://in.tradingview.com/chart/mhFm6knv/?symbol=NSE%3ATTML</t>
  </si>
  <si>
    <t>https://in.tradingview.com/chart/mhFm6knv/?symbol=NSE%3ATATVA</t>
  </si>
  <si>
    <t>https://in.tradingview.com/chart/mhFm6knv/?symbol=NSE%3ATBOTEK</t>
  </si>
  <si>
    <t>https://in.tradingview.com/chart/mhFm6knv/?symbol=NSE%3ATCIEXP</t>
  </si>
  <si>
    <t>https://in.tradingview.com/chart/mhFm6knv/?symbol=NSE%3ATCIFINANCE</t>
  </si>
  <si>
    <t>https://in.tradingview.com/chart/mhFm6knv/?symbol=NSE%3ATCPLPACK</t>
  </si>
  <si>
    <t>https://in.tradingview.com/chart/mhFm6knv/?symbol=NSE%3ATDPOWERSYS</t>
  </si>
  <si>
    <t>https://in.tradingview.com/chart/mhFm6knv/?symbol=NSE%3ATEAMGTY</t>
  </si>
  <si>
    <t>https://in.tradingview.com/chart/mhFm6knv/?symbol=NSE%3ATEAMLEASE</t>
  </si>
  <si>
    <t>https://in.tradingview.com/chart/mhFm6knv/?symbol=NSE%3ATECHM</t>
  </si>
  <si>
    <t>https://in.tradingview.com/chart/mhFm6knv/?symbol=NSE%3ATECHNOE</t>
  </si>
  <si>
    <t>https://in.tradingview.com/chart/mhFm6knv/?symbol=NSE%3ATIIL</t>
  </si>
  <si>
    <t>https://in.tradingview.com/chart/mhFm6knv/?symbol=NSE%3ATECILCHEM</t>
  </si>
  <si>
    <t>https://in.tradingview.com/chart/mhFm6knv/?symbol=NSE%3ATEGA</t>
  </si>
  <si>
    <t>https://in.tradingview.com/chart/mhFm6knv/?symbol=NSE%3ATEJASNET</t>
  </si>
  <si>
    <t>https://in.tradingview.com/chart/mhFm6knv/?symbol=NSE%3ATEMBO</t>
  </si>
  <si>
    <t>https://in.tradingview.com/chart/mhFm6knv/?symbol=NSE%3ATENNIND</t>
  </si>
  <si>
    <t>https://in.tradingview.com/chart/mhFm6knv/?symbol=NSE%3ATERASOFT</t>
  </si>
  <si>
    <t>https://in.tradingview.com/chart/mhFm6knv/?symbol=NSE%3ATEXINFRA</t>
  </si>
  <si>
    <t>https://in.tradingview.com/chart/mhFm6knv/?symbol=NSE%3ATEXRAIL</t>
  </si>
  <si>
    <t>https://in.tradingview.com/chart/mhFm6knv/?symbol=NSE%3ATEXMOPIPES</t>
  </si>
  <si>
    <t>https://in.tradingview.com/chart/mhFm6knv/?symbol=NSE%3ATGBHOTELS</t>
  </si>
  <si>
    <t>https://in.tradingview.com/chart/mhFm6knv/?symbol=NSE%3ATHANGAMAYL</t>
  </si>
  <si>
    <t>https://in.tradingview.com/chart/mhFm6knv/?symbol=NSE%3AANDHRSUGAR</t>
  </si>
  <si>
    <t>https://in.tradingview.com/chart/mhFm6knv/?symbol=NSE%3AANUP</t>
  </si>
  <si>
    <t>https://in.tradingview.com/chart/mhFm6knv/?symbol=NSE%3ABYKE</t>
  </si>
  <si>
    <t>https://in.tradingview.com/chart/mhFm6knv/?symbol=NSE%3AFEDERALBNK</t>
  </si>
  <si>
    <t>https://in.tradingview.com/chart/mhFm6knv/?symbol=NSE%3AGESHIP</t>
  </si>
  <si>
    <t>https://in.tradingview.com/chart/mhFm6knv/?symbol=NSE%3AGROBTEA</t>
  </si>
  <si>
    <t>https://in.tradingview.com/chart/mhFm6knv/?symbol=NSE%3AHITECHGEAR</t>
  </si>
  <si>
    <t>https://in.tradingview.com/chart/mhFm6knv/?symbol=NSE%3AINDIACEM</t>
  </si>
  <si>
    <t>https://in.tradingview.com/chart/mhFm6knv/?symbol=NSE%3AINDHOTEL</t>
  </si>
  <si>
    <t>https://in.tradingview.com/chart/mhFm6knv/?symbol=NSE%3ATHEINVEST</t>
  </si>
  <si>
    <t>https://in.tradingview.com/chart/mhFm6knv/?symbol=NSE%3AJ&amp;KBANK</t>
  </si>
  <si>
    <t>https://in.tradingview.com/chart/mhFm6knv/?symbol=NSE%3AKTKBANK</t>
  </si>
  <si>
    <t>https://in.tradingview.com/chart/mhFm6knv/?symbol=NSE%3AMOTOGENFIN</t>
  </si>
  <si>
    <t>https://in.tradingview.com/chart/mhFm6knv/?symbol=NSE%3AORISSAMINE</t>
  </si>
  <si>
    <t>https://in.tradingview.com/chart/mhFm6knv/?symbol=NSE%3APKTEA</t>
  </si>
  <si>
    <t>https://in.tradingview.com/chart/mhFm6knv/?symbol=NSE%3APHOENIXLTD</t>
  </si>
  <si>
    <t>https://in.tradingview.com/chart/mhFm6knv/?symbol=NSE%3ARAMCOCEM</t>
  </si>
  <si>
    <t>https://in.tradingview.com/chart/mhFm6knv/?symbol=NSE%3ARUBYMILLS</t>
  </si>
  <si>
    <t>https://in.tradingview.com/chart/mhFm6knv/?symbol=NSE%3ASANDESH</t>
  </si>
  <si>
    <t>https://in.tradingview.com/chart/mhFm6knv/?symbol=NSE%3ASOUTHBANK</t>
  </si>
  <si>
    <t>https://in.tradingview.com/chart/mhFm6knv/?symbol=NSE%3ASTCINDIA</t>
  </si>
  <si>
    <t>https://in.tradingview.com/chart/mhFm6knv/?symbol=NSE%3AUGARSUGAR</t>
  </si>
  <si>
    <t>https://in.tradingview.com/chart/mhFm6knv/?symbol=NSE%3AUNITEDTEA</t>
  </si>
  <si>
    <t>https://in.tradingview.com/chart/mhFm6knv/?symbol=NSE%3ATHEJO</t>
  </si>
  <si>
    <t>https://in.tradingview.com/chart/mhFm6knv/?symbol=NSE%3ATHEMISMED</t>
  </si>
  <si>
    <t>https://in.tradingview.com/chart/mhFm6knv/?symbol=NSE%3ATHERMAX</t>
  </si>
  <si>
    <t>https://in.tradingview.com/chart/mhFm6knv/?symbol=NSE%3ATIRUMALCHM</t>
  </si>
  <si>
    <t>https://in.tradingview.com/chart/mhFm6knv/?symbol=NSE%3ATHOMASCOOK</t>
  </si>
  <si>
    <t>https://in.tradingview.com/chart/mhFm6knv/?symbol=NSE%3ATHOMASCOTT</t>
  </si>
  <si>
    <t>https://in.tradingview.com/chart/mhFm6knv/?symbol=NSE%3ATHYROCARE</t>
  </si>
  <si>
    <t>https://in.tradingview.com/chart/mhFm6knv/?symbol=NSE%3ATIGERLOGS</t>
  </si>
  <si>
    <t>https://in.tradingview.com/chart/mhFm6knv/?symbol=NSE%3ATIJARIA</t>
  </si>
  <si>
    <t>https://in.tradingview.com/chart/mhFm6knv/?symbol=NSE%3ATIL</t>
  </si>
  <si>
    <t>https://in.tradingview.com/chart/mhFm6knv/?symbol=NSE%3ATI</t>
  </si>
  <si>
    <t>https://in.tradingview.com/chart/mhFm6knv/?symbol=NSE%3ATIMETECHNO</t>
  </si>
  <si>
    <t>https://in.tradingview.com/chart/mhFm6knv/?symbol=NSE%3ATIMKEN</t>
  </si>
  <si>
    <t>https://in.tradingview.com/chart/mhFm6knv/?symbol=NSE%3ATINNARUBR</t>
  </si>
  <si>
    <t>https://in.tradingview.com/chart/mhFm6knv/?symbol=NSE%3ATIPSFILMS</t>
  </si>
  <si>
    <t>https://in.tradingview.com/chart/mhFm6knv/?symbol=NSE%3ATIPSMUSIC</t>
  </si>
  <si>
    <t>https://in.tradingview.com/chart/mhFm6knv/?symbol=NSE%3ATIRUPATIFL</t>
  </si>
  <si>
    <t>https://in.tradingview.com/chart/mhFm6knv/?symbol=NSE%3ATITAGARH</t>
  </si>
  <si>
    <t>https://in.tradingview.com/chart/mhFm6knv/?symbol=NSE%3ATITAN</t>
  </si>
  <si>
    <t>https://in.tradingview.com/chart/mhFm6knv/?symbol=NSE%3ATMCV</t>
  </si>
  <si>
    <t>https://in.tradingview.com/chart/mhFm6knv/?symbol=NSE%3ATOKYOPLAST</t>
  </si>
  <si>
    <t>https://in.tradingview.com/chart/mhFm6knv/?symbol=NSE%3ATOLINS</t>
  </si>
  <si>
    <t>https://in.tradingview.com/chart/mhFm6knv/?symbol=NSE%3ATORNTPHARM</t>
  </si>
  <si>
    <t>https://in.tradingview.com/chart/mhFm6knv/?symbol=NSE%3ATORNTPOWER</t>
  </si>
  <si>
    <t>https://in.tradingview.com/chart/mhFm6knv/?symbol=NSE%3ATOTAL</t>
  </si>
  <si>
    <t>https://in.tradingview.com/chart/mhFm6knv/?symbol=NSE%3ATOUCHWOOD</t>
  </si>
  <si>
    <t>https://in.tradingview.com/chart/mhFm6knv/?symbol=NSE%3ATFCILTD</t>
  </si>
  <si>
    <t>https://in.tradingview.com/chart/mhFm6knv/?symbol=NSE%3ATPLPLASTEH</t>
  </si>
  <si>
    <t>https://in.tradingview.com/chart/mhFm6knv/?symbol=NSE%3ATRACXN</t>
  </si>
  <si>
    <t>https://in.tradingview.com/chart/mhFm6knv/?symbol=NSE%3ATARIL</t>
  </si>
  <si>
    <t>https://in.tradingview.com/chart/mhFm6knv/?symbol=NSE%3ATREL</t>
  </si>
  <si>
    <t>https://in.tradingview.com/chart/mhFm6knv/?symbol=NSE%3ATCI</t>
  </si>
  <si>
    <t>https://in.tradingview.com/chart/mhFm6knv/?symbol=NSE%3ATRANSRAILL</t>
  </si>
  <si>
    <t>https://in.tradingview.com/chart/mhFm6knv/?symbol=NSE%3ATFL</t>
  </si>
  <si>
    <t>https://in.tradingview.com/chart/mhFm6knv/?symbol=NSE%3ATRAVELFOOD</t>
  </si>
  <si>
    <t>https://in.tradingview.com/chart/mhFm6knv/?symbol=NSE%3ATREEHOUSE</t>
  </si>
  <si>
    <t>https://in.tradingview.com/chart/mhFm6knv/?symbol=NSE%3ATREJHARA</t>
  </si>
  <si>
    <t>https://in.tradingview.com/chart/mhFm6knv/?symbol=NSE%3ATRENT</t>
  </si>
  <si>
    <t>https://in.tradingview.com/chart/mhFm6knv/?symbol=NSE%3ATRF</t>
  </si>
  <si>
    <t>https://in.tradingview.com/chart/mhFm6knv/?symbol=NSE%3ATBZ</t>
  </si>
  <si>
    <t>https://in.tradingview.com/chart/mhFm6knv/?symbol=NSE%3ATRIDENT</t>
  </si>
  <si>
    <t>https://in.tradingview.com/chart/mhFm6knv/?symbol=NSE%3ATRIGYN</t>
  </si>
  <si>
    <t>https://in.tradingview.com/chart/mhFm6knv/?symbol=NSE%3ATRIVENI</t>
  </si>
  <si>
    <t>https://in.tradingview.com/chart/mhFm6knv/?symbol=NSE%3ATRITURBINE</t>
  </si>
  <si>
    <t>https://in.tradingview.com/chart/mhFm6knv/?symbol=NSE%3ATRU</t>
  </si>
  <si>
    <t>https://in.tradingview.com/chart/mhFm6knv/?symbol=NSE%3ATSFINV</t>
  </si>
  <si>
    <t>https://in.tradingview.com/chart/mhFm6knv/?symbol=NSE%3ATTKHLTCARE</t>
  </si>
  <si>
    <t>https://in.tradingview.com/chart/mhFm6knv/?symbol=NSE%3ATTKPRESTIG</t>
  </si>
  <si>
    <t>https://in.tradingview.com/chart/mhFm6knv/?symbol=NSE%3ATIINDIA</t>
  </si>
  <si>
    <t>https://in.tradingview.com/chart/mhFm6knv/?symbol=NSE%3ATVTODAY</t>
  </si>
  <si>
    <t>https://in.tradingview.com/chart/mhFm6knv/?symbol=NSE%3ATVVISION</t>
  </si>
  <si>
    <t>https://in.tradingview.com/chart/mhFm6knv/?symbol=NSE%3ATVSELECT</t>
  </si>
  <si>
    <t>https://in.tradingview.com/chart/mhFm6knv/?symbol=NSE%3ATVSHLTD</t>
  </si>
  <si>
    <t>https://in.tradingview.com/chart/mhFm6knv/?symbol=NSE%3ATVSMOTOR</t>
  </si>
  <si>
    <t>https://in.tradingview.com/chart/mhFm6knv/?symbol=NSE%3ATVSSRICHAK</t>
  </si>
  <si>
    <t>https://in.tradingview.com/chart/mhFm6knv/?symbol=NSE%3ATVSSCS</t>
  </si>
  <si>
    <t>https://in.tradingview.com/chart/mhFm6knv/?symbol=NSE%3A21STCENMGM</t>
  </si>
  <si>
    <t>https://in.tradingview.com/chart/mhFm6knv/?symbol=NSE%3AUYFINCORP</t>
  </si>
  <si>
    <t>https://in.tradingview.com/chart/mhFm6knv/?symbol=NSE%3AUCAL</t>
  </si>
  <si>
    <t>https://in.tradingview.com/chart/mhFm6knv/?symbol=NSE%3AUCOBANK</t>
  </si>
  <si>
    <t>https://in.tradingview.com/chart/mhFm6knv/?symbol=NSE%3AUSK</t>
  </si>
  <si>
    <t>https://in.tradingview.com/chart/mhFm6knv/?symbol=NSE%3AUFLEX</t>
  </si>
  <si>
    <t>https://in.tradingview.com/chart/mhFm6knv/?symbol=NSE%3AUFO</t>
  </si>
  <si>
    <t>https://in.tradingview.com/chart/mhFm6knv/?symbol=NSE%3AUGROCAP</t>
  </si>
  <si>
    <t>https://in.tradingview.com/chart/mhFm6knv/?symbol=NSE%3AUEL</t>
  </si>
  <si>
    <t>https://in.tradingview.com/chart/mhFm6knv/?symbol=NSE%3AUJJIVANSFB</t>
  </si>
  <si>
    <t>https://in.tradingview.com/chart/mhFm6knv/?symbol=NSE%3AULTRACEMCO</t>
  </si>
  <si>
    <t>https://in.tradingview.com/chart/mhFm6knv/?symbol=NSE%3AUMAEXPORTS</t>
  </si>
  <si>
    <t>https://in.tradingview.com/chart/mhFm6knv/?symbol=NSE%3AUMIYA-MRO</t>
  </si>
  <si>
    <t>https://in.tradingview.com/chart/mhFm6knv/?symbol=NSE%3AUNICHEMLAB</t>
  </si>
  <si>
    <t>https://in.tradingview.com/chart/mhFm6knv/?symbol=NSE%3AUNIECOM</t>
  </si>
  <si>
    <t>https://in.tradingview.com/chart/mhFm6knv/?symbol=NSE%3AUNIINFO</t>
  </si>
  <si>
    <t>https://in.tradingview.com/chart/mhFm6knv/?symbol=NSE%3AUNIMECH</t>
  </si>
  <si>
    <t>https://in.tradingview.com/chart/mhFm6knv/?symbol=NSE%3AUNIONBANK</t>
  </si>
  <si>
    <t>https://in.tradingview.com/chart/mhFm6knv/?symbol=NSE%3AUNIONGOLD</t>
  </si>
  <si>
    <t>https://in.tradingview.com/chart/mhFm6knv/?symbol=NSE%3AUNIPARTS</t>
  </si>
  <si>
    <t>https://in.tradingview.com/chart/mhFm6knv/?symbol=NSE%3AUNIENTER</t>
  </si>
  <si>
    <t>https://in.tradingview.com/chart/mhFm6knv/?symbol=NSE%3AUNITECH</t>
  </si>
  <si>
    <t>https://in.tradingview.com/chart/mhFm6knv/?symbol=NSE%3AUBL</t>
  </si>
  <si>
    <t>https://in.tradingview.com/chart/mhFm6knv/?symbol=NSE%3AUNIDT</t>
  </si>
  <si>
    <t>https://in.tradingview.com/chart/mhFm6knv/?symbol=NSE%3AUFBL</t>
  </si>
  <si>
    <t>https://in.tradingview.com/chart/mhFm6knv/?symbol=NSE%3AUNITEDPOLY</t>
  </si>
  <si>
    <t>https://in.tradingview.com/chart/mhFm6knv/?symbol=NSE%3AUNITDSPR</t>
  </si>
  <si>
    <t>https://in.tradingview.com/chart/mhFm6knv/?symbol=NSE%3AUNIVAFOODS</t>
  </si>
  <si>
    <t>https://in.tradingview.com/chart/mhFm6knv/?symbol=NSE%3AUNIVASTU</t>
  </si>
  <si>
    <t>https://in.tradingview.com/chart/mhFm6knv/?symbol=NSE%3AUNIVCABLES</t>
  </si>
  <si>
    <t>https://in.tradingview.com/chart/mhFm6knv/?symbol=NSE%3AUNIVPHOTO</t>
  </si>
  <si>
    <t>https://in.tradingview.com/chart/mhFm6knv/?symbol=NSE%3AUNOMINDA</t>
  </si>
  <si>
    <t>https://in.tradingview.com/chart/mhFm6knv/?symbol=NSE%3AUDS</t>
  </si>
  <si>
    <t>https://in.tradingview.com/chart/mhFm6knv/?symbol=NSE%3AUPL</t>
  </si>
  <si>
    <t>https://in.tradingview.com/chart/mhFm6knv/?symbol=NSE%3AURAVIDEF</t>
  </si>
  <si>
    <t>https://in.tradingview.com/chart/mhFm6knv/?symbol=NSE%3AURBANCO</t>
  </si>
  <si>
    <t>https://in.tradingview.com/chart/mhFm6knv/?symbol=NSE%3AURJA</t>
  </si>
  <si>
    <t>https://in.tradingview.com/chart/mhFm6knv/?symbol=NSE%3AUSHAMART</t>
  </si>
  <si>
    <t>https://in.tradingview.com/chart/mhFm6knv/?symbol=NSE%3AGOLDSHARE</t>
  </si>
  <si>
    <t>https://in.tradingview.com/chart/mhFm6knv/?symbol=NSE%3AUTIAMC</t>
  </si>
  <si>
    <t>https://in.tradingview.com/chart/mhFm6knv/?symbol=NSE%3AUTIBANKETF</t>
  </si>
  <si>
    <t>https://in.tradingview.com/chart/mhFm6knv/?symbol=NSE%3ANIF10GETF</t>
  </si>
  <si>
    <t>https://in.tradingview.com/chart/mhFm6knv/?symbol=NSE%3ANIF5GETF</t>
  </si>
  <si>
    <t>https://in.tradingview.com/chart/mhFm6knv/?symbol=NSE%3AUTINIFTETF</t>
  </si>
  <si>
    <t>https://in.tradingview.com/chart/mhFm6knv/?symbol=NSE%3ANIFITETF</t>
  </si>
  <si>
    <t>https://in.tradingview.com/chart/mhFm6knv/?symbol=NSE%3ANIFMID150</t>
  </si>
  <si>
    <t>https://in.tradingview.com/chart/mhFm6knv/?symbol=NSE%3AUTINEXT50</t>
  </si>
  <si>
    <t>https://in.tradingview.com/chart/mhFm6knv/?symbol=NSE%3AUTISXN50</t>
  </si>
  <si>
    <t>https://in.tradingview.com/chart/mhFm6knv/?symbol=NSE%3AUTISENSETF</t>
  </si>
  <si>
    <t>https://in.tradingview.com/chart/mhFm6knv/?symbol=NSE%3ASILVERETF</t>
  </si>
  <si>
    <t>https://in.tradingview.com/chart/mhFm6knv/?symbol=NSE%3AUTKARSHBNK</t>
  </si>
  <si>
    <t>https://in.tradingview.com/chart/mhFm6knv/?symbol=NSE%3AUTTAMSUGAR</t>
  </si>
  <si>
    <t>https://in.tradingview.com/chart/mhFm6knv/?symbol=NSE%3AVGUARD</t>
  </si>
  <si>
    <t>https://in.tradingview.com/chart/mhFm6knv/?symbol=NSE%3AVMART</t>
  </si>
  <si>
    <t>https://in.tradingview.com/chart/mhFm6knv/?symbol=NSE%3AVSTTILLERS</t>
  </si>
  <si>
    <t>https://in.tradingview.com/chart/mhFm6knv/?symbol=NSE%3AV2RETAIL</t>
  </si>
  <si>
    <t>https://in.tradingview.com/chart/mhFm6knv/?symbol=NSE%3AWABAG</t>
  </si>
  <si>
    <t>https://in.tradingview.com/chart/mhFm6knv/?symbol=NSE%3AVADILALIND</t>
  </si>
  <si>
    <t>https://in.tradingview.com/chart/mhFm6knv/?symbol=NSE%3AVAIBHAVGBL</t>
  </si>
  <si>
    <t>https://in.tradingview.com/chart/mhFm6knv/?symbol=NSE%3AVAISHALI</t>
  </si>
  <si>
    <t>https://in.tradingview.com/chart/mhFm6knv/?symbol=NSE%3AVAKRANGEE</t>
  </si>
  <si>
    <t>https://in.tradingview.com/chart/mhFm6knv/?symbol=NSE%3AVALIANTLAB</t>
  </si>
  <si>
    <t>https://in.tradingview.com/chart/mhFm6knv/?symbol=NSE%3AVALIANTORG</t>
  </si>
  <si>
    <t>https://in.tradingview.com/chart/mhFm6knv/?symbol=NSE%3AVARDHACRLC</t>
  </si>
  <si>
    <t>https://in.tradingview.com/chart/mhFm6knv/?symbol=NSE%3AVHL</t>
  </si>
  <si>
    <t>https://in.tradingview.com/chart/mhFm6knv/?symbol=NSE%3AVARDMNPOLY</t>
  </si>
  <si>
    <t>https://in.tradingview.com/chart/mhFm6knv/?symbol=NSE%3AVSSL</t>
  </si>
  <si>
    <t>https://in.tradingview.com/chart/mhFm6knv/?symbol=NSE%3AVTL</t>
  </si>
  <si>
    <t>https://in.tradingview.com/chart/mhFm6knv/?symbol=NSE%3AVARROC</t>
  </si>
  <si>
    <t>https://in.tradingview.com/chart/mhFm6knv/?symbol=NSE%3AVBL</t>
  </si>
  <si>
    <t>https://in.tradingview.com/chart/mhFm6knv/?symbol=NSE%3AVGL</t>
  </si>
  <si>
    <t>https://in.tradingview.com/chart/mhFm6knv/?symbol=NSE%3AVASCONEQ</t>
  </si>
  <si>
    <t>https://in.tradingview.com/chart/mhFm6knv/?symbol=NSE%3AVASWANI</t>
  </si>
  <si>
    <t>https://in.tradingview.com/chart/mhFm6knv/?symbol=NSE%3AMANYAVAR</t>
  </si>
  <si>
    <t>https://in.tradingview.com/chart/mhFm6knv/?symbol=NSE%3AVEDL</t>
  </si>
  <si>
    <t>https://in.tradingview.com/chart/mhFm6knv/?symbol=NSE%3AVEEDOL</t>
  </si>
  <si>
    <t>https://in.tradingview.com/chart/mhFm6knv/?symbol=NSE%3AVENKEYS</t>
  </si>
  <si>
    <t>https://in.tradingview.com/chart/mhFm6knv/?symbol=NSE%3AVENTIVE</t>
  </si>
  <si>
    <t>https://in.tradingview.com/chart/mhFm6knv/?symbol=NSE%3AVENUSPIPES</t>
  </si>
  <si>
    <t>https://in.tradingview.com/chart/mhFm6knv/?symbol=NSE%3AVENUSREM</t>
  </si>
  <si>
    <t>https://in.tradingview.com/chart/mhFm6knv/?symbol=NSE%3AVERANDA</t>
  </si>
  <si>
    <t>https://in.tradingview.com/chart/mhFm6knv/?symbol=NSE%3AVERTOZ</t>
  </si>
  <si>
    <t>https://in.tradingview.com/chart/mhFm6knv/?symbol=NSE%3AVESUVIUS</t>
  </si>
  <si>
    <t>https://in.tradingview.com/chart/mhFm6knv/?symbol=NSE%3AVETO</t>
  </si>
  <si>
    <t>https://in.tradingview.com/chart/mhFm6knv/?symbol=NSE%3AVSTL</t>
  </si>
  <si>
    <t>https://in.tradingview.com/chart/mhFm6knv/?symbol=NSE%3AVHLTD</t>
  </si>
  <si>
    <t>https://in.tradingview.com/chart/mhFm6knv/?symbol=NSE%3AVIDHIING</t>
  </si>
  <si>
    <t>https://in.tradingview.com/chart/mhFm6knv/?symbol=NSE%3AVIJAYA</t>
  </si>
  <si>
    <t>https://in.tradingview.com/chart/mhFm6knv/?symbol=NSE%3AVIKRAMSOLR</t>
  </si>
  <si>
    <t>https://in.tradingview.com/chart/mhFm6knv/?symbol=NSE%3AVIKRAN</t>
  </si>
  <si>
    <t>https://in.tradingview.com/chart/mhFm6knv/?symbol=NSE%3AVIMTALABS</t>
  </si>
  <si>
    <t>https://in.tradingview.com/chart/mhFm6knv/?symbol=NSE%3AVINATIORGA</t>
  </si>
  <si>
    <t>https://in.tradingview.com/chart/mhFm6knv/?symbol=NSE%3AVINDHYATEL</t>
  </si>
  <si>
    <t>https://in.tradingview.com/chart/mhFm6knv/?symbol=NSE%3AVINEETLAB</t>
  </si>
  <si>
    <t>https://in.tradingview.com/chart/mhFm6knv/?symbol=NSE%3AVINCOFE</t>
  </si>
  <si>
    <t>https://in.tradingview.com/chart/mhFm6knv/?symbol=NSE%3AVINYLINDIA</t>
  </si>
  <si>
    <t>https://in.tradingview.com/chart/mhFm6knv/?symbol=NSE%3AVIPCLOTHNG</t>
  </si>
  <si>
    <t>https://in.tradingview.com/chart/mhFm6knv/?symbol=NSE%3AVIPIND</t>
  </si>
  <si>
    <t>https://in.tradingview.com/chart/mhFm6knv/?symbol=NSE%3AVIPULLTD</t>
  </si>
  <si>
    <t>https://in.tradingview.com/chart/mhFm6knv/?symbol=NSE%3AVIRINCHI</t>
  </si>
  <si>
    <t>https://in.tradingview.com/chart/mhFm6knv/?symbol=NSE%3AVISASTEEL</t>
  </si>
  <si>
    <t>https://in.tradingview.com/chart/mhFm6knv/?symbol=NSE%3AVISAKAIND</t>
  </si>
  <si>
    <t>https://in.tradingview.com/chart/mhFm6knv/?symbol=NSE%3AVMM</t>
  </si>
  <si>
    <t>https://in.tradingview.com/chart/mhFm6knv/?symbol=NSE%3AVISHNU</t>
  </si>
  <si>
    <t>https://in.tradingview.com/chart/mhFm6knv/?symbol=NSE%3AVPRPL</t>
  </si>
  <si>
    <t>https://in.tradingview.com/chart/mhFm6knv/?symbol=NSE%3AVISHWARAJ</t>
  </si>
  <si>
    <t>https://in.tradingview.com/chart/mhFm6knv/?symbol=NSE%3AVLEGOV</t>
  </si>
  <si>
    <t>https://in.tradingview.com/chart/mhFm6knv/?symbol=NSE%3AVLSFINANCE</t>
  </si>
  <si>
    <t>https://in.tradingview.com/chart/mhFm6knv/?symbol=NSE%3AVMSTMT</t>
  </si>
  <si>
    <t>https://in.tradingview.com/chart/mhFm6knv/?symbol=NSE%3AVOLTAMP</t>
  </si>
  <si>
    <t>https://in.tradingview.com/chart/mhFm6knv/?symbol=NSE%3AVOLTAS</t>
  </si>
  <si>
    <t>https://in.tradingview.com/chart/mhFm6knv/?symbol=NSE%3AVRAJ</t>
  </si>
  <si>
    <t>https://in.tradingview.com/chart/mhFm6knv/?symbol=NSE%3AVRLLOG</t>
  </si>
  <si>
    <t>https://in.tradingview.com/chart/mhFm6knv/?symbol=NSE%3AVSTIND</t>
  </si>
  <si>
    <t>https://in.tradingview.com/chart/mhFm6knv/?symbol=NSE%3AWSI</t>
  </si>
  <si>
    <t>https://in.tradingview.com/chart/mhFm6knv/?symbol=NSE%3AWAAREEENER</t>
  </si>
  <si>
    <t>https://in.tradingview.com/chart/mhFm6knv/?symbol=NSE%3AWAAREERTL</t>
  </si>
  <si>
    <t>https://in.tradingview.com/chart/mhFm6knv/?symbol=NSE%3AWALCHANNAG</t>
  </si>
  <si>
    <t>https://in.tradingview.com/chart/mhFm6knv/?symbol=NSE%3AWANBURY</t>
  </si>
  <si>
    <t>https://in.tradingview.com/chart/mhFm6knv/?symbol=NSE%3AWEWIN</t>
  </si>
  <si>
    <t>https://in.tradingview.com/chart/mhFm6knv/?symbol=NSE%3AWEALTH</t>
  </si>
  <si>
    <t>https://in.tradingview.com/chart/mhFm6knv/?symbol=NSE%3AWEBELSOLAR</t>
  </si>
  <si>
    <t>https://in.tradingview.com/chart/mhFm6knv/?symbol=NSE%3AWEIZMANIND</t>
  </si>
  <si>
    <t>https://in.tradingview.com/chart/mhFm6knv/?symbol=NSE%3AWELCORP</t>
  </si>
  <si>
    <t>https://in.tradingview.com/chart/mhFm6knv/?symbol=NSE%3AWELENT</t>
  </si>
  <si>
    <t>https://in.tradingview.com/chart/mhFm6knv/?symbol=NSE%3AWELINV</t>
  </si>
  <si>
    <t>https://in.tradingview.com/chart/mhFm6knv/?symbol=NSE%3AWELSPUNLIV</t>
  </si>
  <si>
    <t>https://in.tradingview.com/chart/mhFm6knv/?symbol=NSE%3AWENDT</t>
  </si>
  <si>
    <t>https://in.tradingview.com/chart/mhFm6knv/?symbol=NSE%3AWSTCSTPAPR</t>
  </si>
  <si>
    <t>https://in.tradingview.com/chart/mhFm6knv/?symbol=NSE%3AWCIL</t>
  </si>
  <si>
    <t>https://in.tradingview.com/chart/mhFm6knv/?symbol=NSE%3AWIPL</t>
  </si>
  <si>
    <t>https://in.tradingview.com/chart/mhFm6knv/?symbol=NSE%3AWESTLIFE</t>
  </si>
  <si>
    <t>https://in.tradingview.com/chart/mhFm6knv/?symbol=NSE%3AWEWORK</t>
  </si>
  <si>
    <t>https://in.tradingview.com/chart/mhFm6knv/?symbol=NSE%3AWHEELS</t>
  </si>
  <si>
    <t>https://in.tradingview.com/chart/mhFm6knv/?symbol=NSE%3AWHIRLPOOL</t>
  </si>
  <si>
    <t>https://in.tradingview.com/chart/mhFm6knv/?symbol=NSE%3AWILLAMAGOR</t>
  </si>
  <si>
    <t>https://in.tradingview.com/chart/mhFm6knv/?symbol=NSE%3AWINDLAS</t>
  </si>
  <si>
    <t>https://in.tradingview.com/chart/mhFm6knv/?symbol=NSE%3AWINDMACHIN</t>
  </si>
  <si>
    <t>https://in.tradingview.com/chart/mhFm6knv/?symbol=NSE%3AWIPRO</t>
  </si>
  <si>
    <t>https://in.tradingview.com/chart/mhFm6knv/?symbol=NSE%3AWOCKPHARMA</t>
  </si>
  <si>
    <t>https://in.tradingview.com/chart/mhFm6knv/?symbol=NSE%3AWEL</t>
  </si>
  <si>
    <t>https://in.tradingview.com/chart/mhFm6knv/?symbol=NSE%3AWONDERLA</t>
  </si>
  <si>
    <t>https://in.tradingview.com/chart/mhFm6knv/?symbol=NSE%3AWORTHPERI</t>
  </si>
  <si>
    <t>https://in.tradingview.com/chart/mhFm6knv/?symbol=NSE%3AXCHANGING</t>
  </si>
  <si>
    <t>https://in.tradingview.com/chart/mhFm6knv/?symbol=NSE%3AXELPMOC</t>
  </si>
  <si>
    <t>https://in.tradingview.com/chart/mhFm6knv/?symbol=NSE%3AXPROINDIA</t>
  </si>
  <si>
    <t>https://in.tradingview.com/chart/mhFm6knv/?symbol=NSE%3AXTGLOBAL</t>
  </si>
  <si>
    <t>https://in.tradingview.com/chart/mhFm6knv/?symbol=NSE%3AYASHO</t>
  </si>
  <si>
    <t>https://in.tradingview.com/chart/mhFm6knv/?symbol=NSE%3AYATHARTH</t>
  </si>
  <si>
    <t>https://in.tradingview.com/chart/mhFm6knv/?symbol=NSE%3AYATRA</t>
  </si>
  <si>
    <t>https://in.tradingview.com/chart/mhFm6knv/?symbol=NSE%3AYESBANK</t>
  </si>
  <si>
    <t>https://in.tradingview.com/chart/mhFm6knv/?symbol=NSE%3AYUKEN</t>
  </si>
  <si>
    <t>https://in.tradingview.com/chart/mhFm6knv/?symbol=NSE%3AZAGGLE</t>
  </si>
  <si>
    <t>https://in.tradingview.com/chart/mhFm6knv/?symbol=NSE%3AZEEL</t>
  </si>
  <si>
    <t>https://in.tradingview.com/chart/mhFm6knv/?symbol=NSE%3AZEELEARN</t>
  </si>
  <si>
    <t>https://in.tradingview.com/chart/mhFm6knv/?symbol=NSE%3AZEEMEDIA</t>
  </si>
  <si>
    <t>https://in.tradingview.com/chart/mhFm6knv/?symbol=NSE%3AZENTEC</t>
  </si>
  <si>
    <t>https://in.tradingview.com/chart/mhFm6knv/?symbol=NSE%3AZENITHEXPO</t>
  </si>
  <si>
    <t>https://in.tradingview.com/chart/mhFm6knv/?symbol=NSE%3AZENITHSTL</t>
  </si>
  <si>
    <t>https://in.tradingview.com/chart/mhFm6knv/?symbol=NSE%3AZENSARTECH</t>
  </si>
  <si>
    <t>https://in.tradingview.com/chart/mhFm6knv/?symbol=NSE%3AGOLDCASE</t>
  </si>
  <si>
    <t>https://in.tradingview.com/chart/mhFm6knv/?symbol=NSE%3ATOP100CASE</t>
  </si>
  <si>
    <t>https://in.tradingview.com/chart/mhFm6knv/?symbol=NSE%3ALIQUIDCASE</t>
  </si>
  <si>
    <t>https://in.tradingview.com/chart/mhFm6knv/?symbol=NSE%3ANIFTYCASE</t>
  </si>
  <si>
    <t>https://in.tradingview.com/chart/mhFm6knv/?symbol=NSE%3ALTGILTCASE</t>
  </si>
  <si>
    <t>https://in.tradingview.com/chart/mhFm6knv/?symbol=NSE%3AMID150CASE</t>
  </si>
  <si>
    <t>https://in.tradingview.com/chart/mhFm6knv/?symbol=NSE%3ASML100CASE</t>
  </si>
  <si>
    <t>https://in.tradingview.com/chart/mhFm6knv/?symbol=NSE%3ASILVERCASE</t>
  </si>
  <si>
    <t>https://in.tradingview.com/chart/mhFm6knv/?symbol=NSE%3AZFCVINDIA</t>
  </si>
  <si>
    <t>https://in.tradingview.com/chart/mhFm6knv/?symbol=NSE%3AZIMLAB</t>
  </si>
  <si>
    <t>https://in.tradingview.com/chart/mhFm6knv/?symbol=NSE%3ABLACKBUCK</t>
  </si>
  <si>
    <t>https://in.tradingview.com/chart/mhFm6knv/?symbol=NSE%3AZODIACLOTH</t>
  </si>
  <si>
    <t>https://in.tradingview.com/chart/mhFm6knv/?symbol=NSE%3AZODIAC</t>
  </si>
  <si>
    <t>https://in.tradingview.com/chart/mhFm6knv/?symbol=NSE%3AZOTA</t>
  </si>
  <si>
    <t>https://in.tradingview.com/chart/mhFm6knv/?symbol=NSE%3AZUARI</t>
  </si>
  <si>
    <t>https://in.tradingview.com/chart/mhFm6knv/?symbol=NSE%3AZUARIIND</t>
  </si>
  <si>
    <t>https://in.tradingview.com/chart/mhFm6knv/?symbol=NSE%3AZYDUSLIFE</t>
  </si>
  <si>
    <t>https://in.tradingview.com/chart/mhFm6knv/?symbol=NSE%3AZYDUSWELL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</si>
</sst>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bXJLby4L/?symbol=NSE%3AASKAUTOLTD" TargetMode="External"/><Relationship Id="rId391" Type="http://schemas.openxmlformats.org/officeDocument/2006/relationships/hyperlink" Target="https://in.tradingview.com/chart/Cgv3Jm6J/?symbol=NSE%3AAUTOIETF" TargetMode="External"/><Relationship Id="rId390" Type="http://schemas.openxmlformats.org/officeDocument/2006/relationships/hyperlink" Target="https://in.tradingview.com/chart/bXJLby4L/?symbol=NSE%3AASIANPAINT" TargetMode="External"/><Relationship Id="rId2180" Type="http://schemas.openxmlformats.org/officeDocument/2006/relationships/hyperlink" Target="https://in.tradingview.com/chart/bXJLby4L/?symbol=NSE%3AJINDALPHOT" TargetMode="External"/><Relationship Id="rId2181" Type="http://schemas.openxmlformats.org/officeDocument/2006/relationships/hyperlink" Target="https://in.tradingview.com/chart/Cgv3Jm6J/?symbol=NSE%3AKRITINUT" TargetMode="External"/><Relationship Id="rId2182" Type="http://schemas.openxmlformats.org/officeDocument/2006/relationships/hyperlink" Target="https://in.tradingview.com/chart/bXJLby4L/?symbol=NSE%3AJINDALPOLY" TargetMode="External"/><Relationship Id="rId2183" Type="http://schemas.openxmlformats.org/officeDocument/2006/relationships/hyperlink" Target="https://in.tradingview.com/chart/Cgv3Jm6J/?symbol=NSE%3AKRN" TargetMode="External"/><Relationship Id="rId385" Type="http://schemas.openxmlformats.org/officeDocument/2006/relationships/hyperlink" Target="https://in.tradingview.com/chart/Cgv3Jm6J/?symbol=NSE%3AAUSOMENT" TargetMode="External"/><Relationship Id="rId2184" Type="http://schemas.openxmlformats.org/officeDocument/2006/relationships/hyperlink" Target="https://in.tradingview.com/chart/bXJLby4L/?symbol=NSE%3AJPOLYINVST" TargetMode="External"/><Relationship Id="rId384" Type="http://schemas.openxmlformats.org/officeDocument/2006/relationships/hyperlink" Target="https://in.tradingview.com/chart/bXJLby4L/?symbol=NSE%3AASIANTILES" TargetMode="External"/><Relationship Id="rId2185" Type="http://schemas.openxmlformats.org/officeDocument/2006/relationships/hyperlink" Target="https://in.tradingview.com/chart/Cgv3Jm6J/?symbol=NSE%3AKRONOX" TargetMode="External"/><Relationship Id="rId383" Type="http://schemas.openxmlformats.org/officeDocument/2006/relationships/hyperlink" Target="https://in.tradingview.com/chart/Cgv3Jm6J/?symbol=NSE%3AAURUM" TargetMode="External"/><Relationship Id="rId2186" Type="http://schemas.openxmlformats.org/officeDocument/2006/relationships/hyperlink" Target="https://in.tradingview.com/chart/bXJLby4L/?symbol=NSE%3AJINDALSAW" TargetMode="External"/><Relationship Id="rId382" Type="http://schemas.openxmlformats.org/officeDocument/2006/relationships/hyperlink" Target="https://in.tradingview.com/chart/bXJLby4L/?symbol=NSE%3AASIANENE" TargetMode="External"/><Relationship Id="rId2187" Type="http://schemas.openxmlformats.org/officeDocument/2006/relationships/hyperlink" Target="https://in.tradingview.com/chart/Cgv3Jm6J/?symbol=NSE%3AKROSS" TargetMode="External"/><Relationship Id="rId389" Type="http://schemas.openxmlformats.org/officeDocument/2006/relationships/hyperlink" Target="https://in.tradingview.com/chart/Cgv3Jm6J/?symbol=NSE%3AAUTOBEES" TargetMode="External"/><Relationship Id="rId2188" Type="http://schemas.openxmlformats.org/officeDocument/2006/relationships/hyperlink" Target="https://in.tradingview.com/chart/bXJLby4L/?symbol=NSE%3AJSL" TargetMode="External"/><Relationship Id="rId388" Type="http://schemas.openxmlformats.org/officeDocument/2006/relationships/hyperlink" Target="https://in.tradingview.com/chart/bXJLby4L/?symbol=NSE%3AASIANHOTNR" TargetMode="External"/><Relationship Id="rId2189" Type="http://schemas.openxmlformats.org/officeDocument/2006/relationships/hyperlink" Target="https://in.tradingview.com/chart/Cgv3Jm6J/?symbol=NSE%3AKRSNAA" TargetMode="External"/><Relationship Id="rId387" Type="http://schemas.openxmlformats.org/officeDocument/2006/relationships/hyperlink" Target="https://in.tradingview.com/chart/Cgv3Jm6J/?symbol=NSE%3AAUTOAXLES" TargetMode="External"/><Relationship Id="rId386" Type="http://schemas.openxmlformats.org/officeDocument/2006/relationships/hyperlink" Target="https://in.tradingview.com/chart/bXJLby4L/?symbol=NSE%3AAHLEAST" TargetMode="External"/><Relationship Id="rId381" Type="http://schemas.openxmlformats.org/officeDocument/2006/relationships/hyperlink" Target="https://in.tradingview.com/chart/Cgv3Jm6J/?symbol=NSE%3AAUROPHARMA" TargetMode="External"/><Relationship Id="rId380" Type="http://schemas.openxmlformats.org/officeDocument/2006/relationships/hyperlink" Target="https://in.tradingview.com/chart/bXJLby4L/?symbol=NSE%3AASHOKAMET" TargetMode="External"/><Relationship Id="rId379" Type="http://schemas.openxmlformats.org/officeDocument/2006/relationships/hyperlink" Target="https://in.tradingview.com/chart/Cgv3Jm6J/?symbol=NSE%3AAURIONPRO" TargetMode="External"/><Relationship Id="rId2170" Type="http://schemas.openxmlformats.org/officeDocument/2006/relationships/hyperlink" Target="https://in.tradingview.com/chart/bXJLby4L/?symbol=NSE%3AJSLL" TargetMode="External"/><Relationship Id="rId2171" Type="http://schemas.openxmlformats.org/officeDocument/2006/relationships/hyperlink" Target="https://in.tradingview.com/chart/Cgv3Jm6J/?symbol=NSE%3AKRBL" TargetMode="External"/><Relationship Id="rId2172" Type="http://schemas.openxmlformats.org/officeDocument/2006/relationships/hyperlink" Target="https://in.tradingview.com/chart/bXJLby4L/?symbol=NSE%3AJETFREIGHT" TargetMode="External"/><Relationship Id="rId374" Type="http://schemas.openxmlformats.org/officeDocument/2006/relationships/hyperlink" Target="https://in.tradingview.com/chart/bXJLby4L/?symbol=NSE%3AASHIMASYN" TargetMode="External"/><Relationship Id="rId2173" Type="http://schemas.openxmlformats.org/officeDocument/2006/relationships/hyperlink" Target="https://in.tradingview.com/chart/Cgv3Jm6J/?symbol=NSE%3AKREBSBIO" TargetMode="External"/><Relationship Id="rId373" Type="http://schemas.openxmlformats.org/officeDocument/2006/relationships/hyperlink" Target="https://in.tradingview.com/chart/Cgv3Jm6J/?symbol=NSE%3AATUL" TargetMode="External"/><Relationship Id="rId2174" Type="http://schemas.openxmlformats.org/officeDocument/2006/relationships/hyperlink" Target="https://in.tradingview.com/chart/bXJLby4L/?symbol=NSE%3AJHS" TargetMode="External"/><Relationship Id="rId372" Type="http://schemas.openxmlformats.org/officeDocument/2006/relationships/hyperlink" Target="https://in.tradingview.com/chart/bXJLby4L/?symbol=NSE%3AASHIANA" TargetMode="External"/><Relationship Id="rId2175" Type="http://schemas.openxmlformats.org/officeDocument/2006/relationships/hyperlink" Target="https://in.tradingview.com/chart/Cgv3Jm6J/?symbol=NSE%3AKRIDHANINF" TargetMode="External"/><Relationship Id="rId371" Type="http://schemas.openxmlformats.org/officeDocument/2006/relationships/hyperlink" Target="https://in.tradingview.com/chart/Cgv3Jm6J/?symbol=NSE%3AATL" TargetMode="External"/><Relationship Id="rId2176" Type="http://schemas.openxmlformats.org/officeDocument/2006/relationships/hyperlink" Target="https://in.tradingview.com/chart/bXJLby4L/?symbol=NSE%3ARETAIL" TargetMode="External"/><Relationship Id="rId378" Type="http://schemas.openxmlformats.org/officeDocument/2006/relationships/hyperlink" Target="https://in.tradingview.com/chart/bXJLby4L/?symbol=NSE%3AASHOKA" TargetMode="External"/><Relationship Id="rId2177" Type="http://schemas.openxmlformats.org/officeDocument/2006/relationships/hyperlink" Target="https://in.tradingview.com/chart/Cgv3Jm6J/?symbol=NSE%3AKRISHANA" TargetMode="External"/><Relationship Id="rId377" Type="http://schemas.openxmlformats.org/officeDocument/2006/relationships/hyperlink" Target="https://in.tradingview.com/chart/Cgv3Jm6J/?symbol=NSE%3AAUBANK" TargetMode="External"/><Relationship Id="rId2178" Type="http://schemas.openxmlformats.org/officeDocument/2006/relationships/hyperlink" Target="https://in.tradingview.com/chart/bXJLby4L/?symbol=NSE%3AJINDRILL" TargetMode="External"/><Relationship Id="rId376" Type="http://schemas.openxmlformats.org/officeDocument/2006/relationships/hyperlink" Target="https://in.tradingview.com/chart/bXJLby4L/?symbol=NSE%3AASHOKLEY" TargetMode="External"/><Relationship Id="rId2179" Type="http://schemas.openxmlformats.org/officeDocument/2006/relationships/hyperlink" Target="https://in.tradingview.com/chart/Cgv3Jm6J/?symbol=NSE%3AKRITI" TargetMode="External"/><Relationship Id="rId375" Type="http://schemas.openxmlformats.org/officeDocument/2006/relationships/hyperlink" Target="https://in.tradingview.com/chart/Cgv3Jm6J/?symbol=NSE%3AATULAUTO" TargetMode="External"/><Relationship Id="rId2190" Type="http://schemas.openxmlformats.org/officeDocument/2006/relationships/hyperlink" Target="https://in.tradingview.com/chart/bXJLby4L/?symbol=NSE%3AJINDALSTEL" TargetMode="External"/><Relationship Id="rId2191" Type="http://schemas.openxmlformats.org/officeDocument/2006/relationships/hyperlink" Target="https://in.tradingview.com/chart/Cgv3Jm6J/?symbol=NSE%3AKRYSTAL" TargetMode="External"/><Relationship Id="rId2192" Type="http://schemas.openxmlformats.org/officeDocument/2006/relationships/hyperlink" Target="https://in.tradingview.com/chart/bXJLby4L/?symbol=NSE%3AJINDWORLD" TargetMode="External"/><Relationship Id="rId2193" Type="http://schemas.openxmlformats.org/officeDocument/2006/relationships/hyperlink" Target="https://in.tradingview.com/chart/Cgv3Jm6J/?symbol=NSE%3AKSB" TargetMode="External"/><Relationship Id="rId2194" Type="http://schemas.openxmlformats.org/officeDocument/2006/relationships/hyperlink" Target="https://in.tradingview.com/chart/bXJLby4L/?symbol=NSE%3AJIOFIN" TargetMode="External"/><Relationship Id="rId396" Type="http://schemas.openxmlformats.org/officeDocument/2006/relationships/hyperlink" Target="https://in.tradingview.com/chart/bXJLby4L/?symbol=NSE%3AASALCBR" TargetMode="External"/><Relationship Id="rId2195" Type="http://schemas.openxmlformats.org/officeDocument/2006/relationships/hyperlink" Target="https://in.tradingview.com/chart/Cgv3Jm6J/?symbol=NSE%3AKSCL" TargetMode="External"/><Relationship Id="rId395" Type="http://schemas.openxmlformats.org/officeDocument/2006/relationships/hyperlink" Target="https://in.tradingview.com/chart/Cgv3Jm6J/?symbol=NSE%3AAVADHSUGAR" TargetMode="External"/><Relationship Id="rId2196" Type="http://schemas.openxmlformats.org/officeDocument/2006/relationships/hyperlink" Target="https://in.tradingview.com/chart/bXJLby4L/?symbol=NSE%3AJITFINFRA" TargetMode="External"/><Relationship Id="rId394" Type="http://schemas.openxmlformats.org/officeDocument/2006/relationships/hyperlink" Target="https://in.tradingview.com/chart/bXJLby4L/?symbol=NSE%3AASPINWALL" TargetMode="External"/><Relationship Id="rId2197" Type="http://schemas.openxmlformats.org/officeDocument/2006/relationships/hyperlink" Target="https://in.tradingview.com/chart/Cgv3Jm6J/?symbol=NSE%3AKSHITIJPOL" TargetMode="External"/><Relationship Id="rId393" Type="http://schemas.openxmlformats.org/officeDocument/2006/relationships/hyperlink" Target="https://in.tradingview.com/chart/Cgv3Jm6J/?symbol=NSE%3AAUTOIND" TargetMode="External"/><Relationship Id="rId2198" Type="http://schemas.openxmlformats.org/officeDocument/2006/relationships/hyperlink" Target="https://in.tradingview.com/chart/bXJLby4L/?symbol=NSE%3AJKCEMENT" TargetMode="External"/><Relationship Id="rId2199" Type="http://schemas.openxmlformats.org/officeDocument/2006/relationships/hyperlink" Target="https://in.tradingview.com/chart/Cgv3Jm6J/?symbol=NSE%3AKSL" TargetMode="External"/><Relationship Id="rId399" Type="http://schemas.openxmlformats.org/officeDocument/2006/relationships/hyperlink" Target="https://in.tradingview.com/chart/Cgv3Jm6J/?symbol=NSE%3AAVANTEL" TargetMode="External"/><Relationship Id="rId398" Type="http://schemas.openxmlformats.org/officeDocument/2006/relationships/hyperlink" Target="https://in.tradingview.com/chart/bXJLby4L/?symbol=NSE%3AASTEC" TargetMode="External"/><Relationship Id="rId397" Type="http://schemas.openxmlformats.org/officeDocument/2006/relationships/hyperlink" Target="https://in.tradingview.com/chart/Cgv3Jm6J/?symbol=NSE%3AAVALON" TargetMode="External"/><Relationship Id="rId1730" Type="http://schemas.openxmlformats.org/officeDocument/2006/relationships/hyperlink" Target="https://in.tradingview.com/chart/bXJLby4L/?symbol=NSE%3AHDFCBSE500" TargetMode="External"/><Relationship Id="rId1731" Type="http://schemas.openxmlformats.org/officeDocument/2006/relationships/hyperlink" Target="https://in.tradingview.com/chart/Cgv3Jm6J/?symbol=NSE%3AIDEAFORGE" TargetMode="External"/><Relationship Id="rId1732" Type="http://schemas.openxmlformats.org/officeDocument/2006/relationships/hyperlink" Target="https://in.tradingview.com/chart/bXJLby4L/?symbol=NSE%3AHDFCSENSEX" TargetMode="External"/><Relationship Id="rId1733" Type="http://schemas.openxmlformats.org/officeDocument/2006/relationships/hyperlink" Target="https://in.tradingview.com/chart/Cgv3Jm6J/?symbol=NSE%3AIDFCFIRSTB" TargetMode="External"/><Relationship Id="rId1734" Type="http://schemas.openxmlformats.org/officeDocument/2006/relationships/hyperlink" Target="https://in.tradingview.com/chart/bXJLby4L/?symbol=NSE%3AHDFCSILVER" TargetMode="External"/><Relationship Id="rId1735" Type="http://schemas.openxmlformats.org/officeDocument/2006/relationships/hyperlink" Target="https://in.tradingview.com/chart/Cgv3Jm6J/?symbol=NSE%3AIDFNIFTYET" TargetMode="External"/><Relationship Id="rId1736" Type="http://schemas.openxmlformats.org/officeDocument/2006/relationships/hyperlink" Target="https://in.tradingview.com/chart/bXJLby4L/?symbol=NSE%3AHDFCNIFTY" TargetMode="External"/><Relationship Id="rId1737" Type="http://schemas.openxmlformats.org/officeDocument/2006/relationships/hyperlink" Target="https://in.tradingview.com/chart/Cgv3Jm6J/?symbol=NSE%3AIEX" TargetMode="External"/><Relationship Id="rId1738" Type="http://schemas.openxmlformats.org/officeDocument/2006/relationships/hyperlink" Target="https://in.tradingview.com/chart/bXJLby4L/?symbol=NSE%3AHEADSUP" TargetMode="External"/><Relationship Id="rId1739" Type="http://schemas.openxmlformats.org/officeDocument/2006/relationships/hyperlink" Target="https://in.tradingview.com/chart/Cgv3Jm6J/?symbol=NSE%3AIFBAGRO" TargetMode="External"/><Relationship Id="rId1720" Type="http://schemas.openxmlformats.org/officeDocument/2006/relationships/hyperlink" Target="https://in.tradingview.com/chart/bXJLby4L/?symbol=NSE%3AHDFCMID150" TargetMode="External"/><Relationship Id="rId1721" Type="http://schemas.openxmlformats.org/officeDocument/2006/relationships/hyperlink" Target="https://in.tradingview.com/chart/Cgv3Jm6J/?symbol=NSE%3AICICIPRULI" TargetMode="External"/><Relationship Id="rId1722" Type="http://schemas.openxmlformats.org/officeDocument/2006/relationships/hyperlink" Target="https://in.tradingview.com/chart/bXJLby4L/?symbol=NSE%3AHDFCNEXT50" TargetMode="External"/><Relationship Id="rId1723" Type="http://schemas.openxmlformats.org/officeDocument/2006/relationships/hyperlink" Target="https://in.tradingview.com/chart/Cgv3Jm6J/?symbol=NSE%3AICIL" TargetMode="External"/><Relationship Id="rId1724" Type="http://schemas.openxmlformats.org/officeDocument/2006/relationships/hyperlink" Target="https://in.tradingview.com/chart/bXJLby4L/?symbol=NSE%3AHDFCPVTBAN" TargetMode="External"/><Relationship Id="rId1725" Type="http://schemas.openxmlformats.org/officeDocument/2006/relationships/hyperlink" Target="https://in.tradingview.com/chart/Cgv3Jm6J/?symbol=NSE%3AICRA" TargetMode="External"/><Relationship Id="rId1726" Type="http://schemas.openxmlformats.org/officeDocument/2006/relationships/hyperlink" Target="https://in.tradingview.com/chart/bXJLby4L/?symbol=NSE%3AHDFCPSUBK" TargetMode="External"/><Relationship Id="rId1727" Type="http://schemas.openxmlformats.org/officeDocument/2006/relationships/hyperlink" Target="https://in.tradingview.com/chart/Cgv3Jm6J/?symbol=NSE%3AIDBI" TargetMode="External"/><Relationship Id="rId1728" Type="http://schemas.openxmlformats.org/officeDocument/2006/relationships/hyperlink" Target="https://in.tradingview.com/chart/bXJLby4L/?symbol=NSE%3AHDFCSML250" TargetMode="External"/><Relationship Id="rId1729" Type="http://schemas.openxmlformats.org/officeDocument/2006/relationships/hyperlink" Target="https://in.tradingview.com/chart/Cgv3Jm6J/?symbol=NSE%3AIDEA" TargetMode="External"/><Relationship Id="rId1752" Type="http://schemas.openxmlformats.org/officeDocument/2006/relationships/hyperlink" Target="https://in.tradingview.com/chart/bXJLby4L/?symbol=NSE%3AHERCULES" TargetMode="External"/><Relationship Id="rId1753" Type="http://schemas.openxmlformats.org/officeDocument/2006/relationships/hyperlink" Target="https://in.tradingview.com/chart/Cgv3Jm6J/?symbol=NSE%3AIGPL" TargetMode="External"/><Relationship Id="rId1754" Type="http://schemas.openxmlformats.org/officeDocument/2006/relationships/hyperlink" Target="https://in.tradingview.com/chart/bXJLby4L/?symbol=NSE%3AHERITGFOOD" TargetMode="External"/><Relationship Id="rId1755" Type="http://schemas.openxmlformats.org/officeDocument/2006/relationships/hyperlink" Target="https://in.tradingview.com/chart/Cgv3Jm6J/?symbol=NSE%3AIIFL" TargetMode="External"/><Relationship Id="rId1756" Type="http://schemas.openxmlformats.org/officeDocument/2006/relationships/hyperlink" Target="https://in.tradingview.com/chart/bXJLby4L/?symbol=NSE%3AHEROMOTOCO" TargetMode="External"/><Relationship Id="rId1757" Type="http://schemas.openxmlformats.org/officeDocument/2006/relationships/hyperlink" Target="https://in.tradingview.com/chart/Cgv3Jm6J/?symbol=NSE%3AIIFLCAPS" TargetMode="External"/><Relationship Id="rId1758" Type="http://schemas.openxmlformats.org/officeDocument/2006/relationships/hyperlink" Target="https://in.tradingview.com/chart/bXJLby4L/?symbol=NSE%3AHESTERBIO" TargetMode="External"/><Relationship Id="rId1759" Type="http://schemas.openxmlformats.org/officeDocument/2006/relationships/hyperlink" Target="https://in.tradingview.com/chart/Cgv3Jm6J/?symbol=NSE%3AIITL" TargetMode="External"/><Relationship Id="rId1750" Type="http://schemas.openxmlformats.org/officeDocument/2006/relationships/hyperlink" Target="https://in.tradingview.com/chart/bXJLby4L/?symbol=NSE%3AHERANBA" TargetMode="External"/><Relationship Id="rId1751" Type="http://schemas.openxmlformats.org/officeDocument/2006/relationships/hyperlink" Target="https://in.tradingview.com/chart/Cgv3Jm6J/?symbol=NSE%3AIGL" TargetMode="External"/><Relationship Id="rId1741" Type="http://schemas.openxmlformats.org/officeDocument/2006/relationships/hyperlink" Target="https://in.tradingview.com/chart/Cgv3Jm6J/?symbol=NSE%3AIFBIND" TargetMode="External"/><Relationship Id="rId1742" Type="http://schemas.openxmlformats.org/officeDocument/2006/relationships/hyperlink" Target="https://in.tradingview.com/chart/bXJLby4L/?symbol=NSE%3AHECPROJECT" TargetMode="External"/><Relationship Id="rId1743" Type="http://schemas.openxmlformats.org/officeDocument/2006/relationships/hyperlink" Target="https://in.tradingview.com/chart/Cgv3Jm6J/?symbol=NSE%3AIFCI" TargetMode="External"/><Relationship Id="rId1744" Type="http://schemas.openxmlformats.org/officeDocument/2006/relationships/hyperlink" Target="https://in.tradingview.com/chart/bXJLby4L/?symbol=NSE%3AHEG" TargetMode="External"/><Relationship Id="rId1745" Type="http://schemas.openxmlformats.org/officeDocument/2006/relationships/hyperlink" Target="https://in.tradingview.com/chart/Cgv3Jm6J/?symbol=NSE%3AIFGLEXPOR" TargetMode="External"/><Relationship Id="rId1746" Type="http://schemas.openxmlformats.org/officeDocument/2006/relationships/hyperlink" Target="https://in.tradingview.com/chart/bXJLby4L/?symbol=NSE%3AHEIDELBERG" TargetMode="External"/><Relationship Id="rId1747" Type="http://schemas.openxmlformats.org/officeDocument/2006/relationships/hyperlink" Target="https://in.tradingview.com/chart/Cgv3Jm6J/?symbol=NSE%3AIGARASHI" TargetMode="External"/><Relationship Id="rId1748" Type="http://schemas.openxmlformats.org/officeDocument/2006/relationships/hyperlink" Target="https://in.tradingview.com/chart/bXJLby4L/?symbol=NSE%3AHEMIPROP" TargetMode="External"/><Relationship Id="rId1749" Type="http://schemas.openxmlformats.org/officeDocument/2006/relationships/hyperlink" Target="https://in.tradingview.com/chart/Cgv3Jm6J/?symbol=NSE%3AIGIL" TargetMode="External"/><Relationship Id="rId1740" Type="http://schemas.openxmlformats.org/officeDocument/2006/relationships/hyperlink" Target="https://in.tradingview.com/chart/bXJLby4L/?symbol=NSE%3AHCG" TargetMode="External"/><Relationship Id="rId1710" Type="http://schemas.openxmlformats.org/officeDocument/2006/relationships/hyperlink" Target="https://in.tradingview.com/chart/bXJLby4L/?symbol=NSE%3AHDFCMOMENT" TargetMode="External"/><Relationship Id="rId1711" Type="http://schemas.openxmlformats.org/officeDocument/2006/relationships/hyperlink" Target="https://in.tradingview.com/chart/Cgv3Jm6J/?symbol=NSE%3AICDSLTD" TargetMode="External"/><Relationship Id="rId1712" Type="http://schemas.openxmlformats.org/officeDocument/2006/relationships/hyperlink" Target="https://in.tradingview.com/chart/bXJLby4L/?symbol=NSE%3AHDFCVALUE" TargetMode="External"/><Relationship Id="rId1713" Type="http://schemas.openxmlformats.org/officeDocument/2006/relationships/hyperlink" Target="https://in.tradingview.com/chart/Cgv3Jm6J/?symbol=NSE%3AICEMAKE" TargetMode="External"/><Relationship Id="rId1714" Type="http://schemas.openxmlformats.org/officeDocument/2006/relationships/hyperlink" Target="https://in.tradingview.com/chart/bXJLby4L/?symbol=NSE%3AHDFCNIFBAN" TargetMode="External"/><Relationship Id="rId1715" Type="http://schemas.openxmlformats.org/officeDocument/2006/relationships/hyperlink" Target="https://in.tradingview.com/chart/Cgv3Jm6J/?symbol=NSE%3AICICIB22" TargetMode="External"/><Relationship Id="rId1716" Type="http://schemas.openxmlformats.org/officeDocument/2006/relationships/hyperlink" Target="https://in.tradingview.com/chart/bXJLby4L/?symbol=NSE%3AHDFCGROWTH" TargetMode="External"/><Relationship Id="rId1717" Type="http://schemas.openxmlformats.org/officeDocument/2006/relationships/hyperlink" Target="https://in.tradingview.com/chart/Cgv3Jm6J/?symbol=NSE%3AICICIBANK" TargetMode="External"/><Relationship Id="rId1718" Type="http://schemas.openxmlformats.org/officeDocument/2006/relationships/hyperlink" Target="https://in.tradingview.com/chart/bXJLby4L/?symbol=NSE%3AHDFCNIFIT" TargetMode="External"/><Relationship Id="rId1719" Type="http://schemas.openxmlformats.org/officeDocument/2006/relationships/hyperlink" Target="https://in.tradingview.com/chart/Cgv3Jm6J/?symbol=NSE%3AICICIGI" TargetMode="External"/><Relationship Id="rId1700" Type="http://schemas.openxmlformats.org/officeDocument/2006/relationships/hyperlink" Target="https://in.tradingview.com/chart/bXJLby4L/?symbol=NSE%3AHDFCLIFE" TargetMode="External"/><Relationship Id="rId1701" Type="http://schemas.openxmlformats.org/officeDocument/2006/relationships/hyperlink" Target="https://in.tradingview.com/chart/Cgv3Jm6J/?symbol=NSE%3AHUBTOWN" TargetMode="External"/><Relationship Id="rId1702" Type="http://schemas.openxmlformats.org/officeDocument/2006/relationships/hyperlink" Target="https://in.tradingview.com/chart/bXJLby4L/?symbol=NSE%3AHDFCNIF100" TargetMode="External"/><Relationship Id="rId1703" Type="http://schemas.openxmlformats.org/officeDocument/2006/relationships/hyperlink" Target="https://in.tradingview.com/chart/Cgv3Jm6J/?symbol=NSE%3AHUDCO" TargetMode="External"/><Relationship Id="rId1704" Type="http://schemas.openxmlformats.org/officeDocument/2006/relationships/hyperlink" Target="https://in.tradingview.com/chart/bXJLby4L/?symbol=NSE%3AHDFCLOWVOL" TargetMode="External"/><Relationship Id="rId1705" Type="http://schemas.openxmlformats.org/officeDocument/2006/relationships/hyperlink" Target="https://in.tradingview.com/chart/Cgv3Jm6J/?symbol=NSE%3AHUHTAMAKI" TargetMode="External"/><Relationship Id="rId1706" Type="http://schemas.openxmlformats.org/officeDocument/2006/relationships/hyperlink" Target="https://in.tradingview.com/chart/bXJLby4L/?symbol=NSE%3AHDFCQUAL" TargetMode="External"/><Relationship Id="rId1707" Type="http://schemas.openxmlformats.org/officeDocument/2006/relationships/hyperlink" Target="https://in.tradingview.com/chart/Cgv3Jm6J/?symbol=NSE%3AHYBRIDFIN" TargetMode="External"/><Relationship Id="rId1708" Type="http://schemas.openxmlformats.org/officeDocument/2006/relationships/hyperlink" Target="https://in.tradingview.com/chart/bXJLby4L/?symbol=NSE%3AHDFCLIQUID" TargetMode="External"/><Relationship Id="rId1709" Type="http://schemas.openxmlformats.org/officeDocument/2006/relationships/hyperlink" Target="https://in.tradingview.com/chart/Cgv3Jm6J/?symbol=NSE%3AHYUNDAI" TargetMode="External"/><Relationship Id="rId40" Type="http://schemas.openxmlformats.org/officeDocument/2006/relationships/hyperlink" Target="https://in.tradingview.com/chart/bXJLby4L/?symbol=NSE%3AAARTIIND" TargetMode="External"/><Relationship Id="rId3513" Type="http://schemas.openxmlformats.org/officeDocument/2006/relationships/hyperlink" Target="https://in.tradingview.com/chart/Cgv3Jm6J/?symbol=NSE%3ASBIETFPB" TargetMode="External"/><Relationship Id="rId3512" Type="http://schemas.openxmlformats.org/officeDocument/2006/relationships/hyperlink" Target="https://in.tradingview.com/chart/bXJLby4L/?symbol=NSE%3APONNIERODE" TargetMode="External"/><Relationship Id="rId42" Type="http://schemas.openxmlformats.org/officeDocument/2006/relationships/hyperlink" Target="https://in.tradingview.com/chart/bXJLby4L/?symbol=NSE%3AAARTIPHARM" TargetMode="External"/><Relationship Id="rId3515" Type="http://schemas.openxmlformats.org/officeDocument/2006/relationships/hyperlink" Target="https://in.tradingview.com/chart/Cgv3Jm6J/?symbol=NSE%3ASBIETFQLTY" TargetMode="External"/><Relationship Id="rId41" Type="http://schemas.openxmlformats.org/officeDocument/2006/relationships/hyperlink" Target="https://in.tradingview.com/chart/Cgv3Jm6J/?symbol=NSE%3AAARVI" TargetMode="External"/><Relationship Id="rId3514" Type="http://schemas.openxmlformats.org/officeDocument/2006/relationships/hyperlink" Target="https://in.tradingview.com/chart/bXJLby4L/?symbol=NSE%3APOONAWALLA" TargetMode="External"/><Relationship Id="rId44" Type="http://schemas.openxmlformats.org/officeDocument/2006/relationships/hyperlink" Target="https://in.tradingview.com/chart/bXJLby4L/?symbol=NSE%3AAARTISURF" TargetMode="External"/><Relationship Id="rId3517" Type="http://schemas.openxmlformats.org/officeDocument/2006/relationships/hyperlink" Target="https://in.tradingview.com/chart/Cgv3Jm6J/?symbol=NSE%3ASBILIFE" TargetMode="External"/><Relationship Id="rId43" Type="http://schemas.openxmlformats.org/officeDocument/2006/relationships/hyperlink" Target="https://in.tradingview.com/chart/Cgv3Jm6J/?symbol=NSE%3AAAVAS" TargetMode="External"/><Relationship Id="rId3516" Type="http://schemas.openxmlformats.org/officeDocument/2006/relationships/hyperlink" Target="https://in.tradingview.com/chart/bXJLby4L/?symbol=NSE%3APVSL" TargetMode="External"/><Relationship Id="rId46" Type="http://schemas.openxmlformats.org/officeDocument/2006/relationships/hyperlink" Target="https://in.tradingview.com/chart/bXJLby4L/?symbol=NSE%3AAARVI" TargetMode="External"/><Relationship Id="rId3519" Type="http://schemas.openxmlformats.org/officeDocument/2006/relationships/hyperlink" Target="https://in.tradingview.com/chart/Cgv3Jm6J/?symbol=NSE%3ASBIN" TargetMode="External"/><Relationship Id="rId45" Type="http://schemas.openxmlformats.org/officeDocument/2006/relationships/hyperlink" Target="https://in.tradingview.com/chart/Cgv3Jm6J/?symbol=NSE%3AABAN" TargetMode="External"/><Relationship Id="rId3518" Type="http://schemas.openxmlformats.org/officeDocument/2006/relationships/hyperlink" Target="https://in.tradingview.com/chart/bXJLby4L/?symbol=NSE%3APIGL" TargetMode="External"/><Relationship Id="rId48" Type="http://schemas.openxmlformats.org/officeDocument/2006/relationships/hyperlink" Target="https://in.tradingview.com/chart/bXJLby4L/?symbol=NSE%3AAAVAS" TargetMode="External"/><Relationship Id="rId47" Type="http://schemas.openxmlformats.org/officeDocument/2006/relationships/hyperlink" Target="https://in.tradingview.com/chart/Cgv3Jm6J/?symbol=NSE%3AABB" TargetMode="External"/><Relationship Id="rId49" Type="http://schemas.openxmlformats.org/officeDocument/2006/relationships/hyperlink" Target="https://in.tradingview.com/chart/Cgv3Jm6J/?symbol=NSE%3AABBOTINDIA" TargetMode="External"/><Relationship Id="rId3511" Type="http://schemas.openxmlformats.org/officeDocument/2006/relationships/hyperlink" Target="https://in.tradingview.com/chart/Cgv3Jm6J/?symbol=NSE%3ASBIETFIT" TargetMode="External"/><Relationship Id="rId3510" Type="http://schemas.openxmlformats.org/officeDocument/2006/relationships/hyperlink" Target="https://in.tradingview.com/chart/bXJLby4L/?symbol=NSE%3APOCL" TargetMode="External"/><Relationship Id="rId3502" Type="http://schemas.openxmlformats.org/officeDocument/2006/relationships/hyperlink" Target="https://in.tradingview.com/chart/bXJLby4L/?symbol=NSE%3APOKARNA" TargetMode="External"/><Relationship Id="rId3501" Type="http://schemas.openxmlformats.org/officeDocument/2006/relationships/hyperlink" Target="https://in.tradingview.com/chart/Cgv3Jm6J/?symbol=NSE%3ASBC" TargetMode="External"/><Relationship Id="rId31" Type="http://schemas.openxmlformats.org/officeDocument/2006/relationships/hyperlink" Target="https://in.tradingview.com/chart/Cgv3Jm6J/?symbol=NSE%3AAARTIDRUGS" TargetMode="External"/><Relationship Id="rId3504" Type="http://schemas.openxmlformats.org/officeDocument/2006/relationships/hyperlink" Target="https://in.tradingview.com/chart/bXJLby4L/?symbol=NSE%3APOLYMED" TargetMode="External"/><Relationship Id="rId30" Type="http://schemas.openxmlformats.org/officeDocument/2006/relationships/hyperlink" Target="https://in.tradingview.com/chart/bXJLby4L/?symbol=NSE%3AAAKASH" TargetMode="External"/><Relationship Id="rId3503" Type="http://schemas.openxmlformats.org/officeDocument/2006/relationships/hyperlink" Target="https://in.tradingview.com/chart/Cgv3Jm6J/?symbol=NSE%3ASBCL" TargetMode="External"/><Relationship Id="rId33" Type="http://schemas.openxmlformats.org/officeDocument/2006/relationships/hyperlink" Target="https://in.tradingview.com/chart/Cgv3Jm6J/?symbol=NSE%3AAARTIIND" TargetMode="External"/><Relationship Id="rId3506" Type="http://schemas.openxmlformats.org/officeDocument/2006/relationships/hyperlink" Target="https://in.tradingview.com/chart/bXJLby4L/?symbol=NSE%3APOLYCAB" TargetMode="External"/><Relationship Id="rId32" Type="http://schemas.openxmlformats.org/officeDocument/2006/relationships/hyperlink" Target="https://in.tradingview.com/chart/bXJLby4L/?symbol=NSE%3AAAREYDRUGS" TargetMode="External"/><Relationship Id="rId3505" Type="http://schemas.openxmlformats.org/officeDocument/2006/relationships/hyperlink" Target="https://in.tradingview.com/chart/Cgv3Jm6J/?symbol=NSE%3ASBFC" TargetMode="External"/><Relationship Id="rId35" Type="http://schemas.openxmlformats.org/officeDocument/2006/relationships/hyperlink" Target="https://in.tradingview.com/chart/Cgv3Jm6J/?symbol=NSE%3AAARTIPHARM" TargetMode="External"/><Relationship Id="rId3508" Type="http://schemas.openxmlformats.org/officeDocument/2006/relationships/hyperlink" Target="https://in.tradingview.com/chart/bXJLby4L/?symbol=NSE%3APOLYPLEX" TargetMode="External"/><Relationship Id="rId34" Type="http://schemas.openxmlformats.org/officeDocument/2006/relationships/hyperlink" Target="https://in.tradingview.com/chart/bXJLby4L/?symbol=NSE%3AAARON" TargetMode="External"/><Relationship Id="rId3507" Type="http://schemas.openxmlformats.org/officeDocument/2006/relationships/hyperlink" Target="https://in.tradingview.com/chart/Cgv3Jm6J/?symbol=NSE%3ASBICARD" TargetMode="External"/><Relationship Id="rId3509" Type="http://schemas.openxmlformats.org/officeDocument/2006/relationships/hyperlink" Target="https://in.tradingview.com/chart/Cgv3Jm6J/?symbol=NSE%3ASBIETFCON" TargetMode="External"/><Relationship Id="rId37" Type="http://schemas.openxmlformats.org/officeDocument/2006/relationships/hyperlink" Target="https://in.tradingview.com/chart/Cgv3Jm6J/?symbol=NSE%3AAARTISURF" TargetMode="External"/><Relationship Id="rId36" Type="http://schemas.openxmlformats.org/officeDocument/2006/relationships/hyperlink" Target="https://in.tradingview.com/chart/bXJLby4L/?symbol=NSE%3AAARTECH" TargetMode="External"/><Relationship Id="rId39" Type="http://schemas.openxmlformats.org/officeDocument/2006/relationships/hyperlink" Target="https://in.tradingview.com/chart/Cgv3Jm6J/?symbol=NSE%3AAARVEEDEN" TargetMode="External"/><Relationship Id="rId38" Type="http://schemas.openxmlformats.org/officeDocument/2006/relationships/hyperlink" Target="https://in.tradingview.com/chart/bXJLby4L/?symbol=NSE%3AAARTIDRUGS" TargetMode="External"/><Relationship Id="rId3500" Type="http://schemas.openxmlformats.org/officeDocument/2006/relationships/hyperlink" Target="https://in.tradingview.com/chart/bXJLby4L/?symbol=NSE%3APODDARMENT" TargetMode="External"/><Relationship Id="rId2203" Type="http://schemas.openxmlformats.org/officeDocument/2006/relationships/hyperlink" Target="https://in.tradingview.com/chart/Cgv3Jm6J/?symbol=NSE%3AKTKBANK" TargetMode="External"/><Relationship Id="rId3535" Type="http://schemas.openxmlformats.org/officeDocument/2006/relationships/hyperlink" Target="https://in.tradingview.com/chart/Cgv3Jm6J/?symbol=NSE%3ASCPL" TargetMode="External"/><Relationship Id="rId2204" Type="http://schemas.openxmlformats.org/officeDocument/2006/relationships/hyperlink" Target="https://in.tradingview.com/chart/bXJLby4L/?symbol=NSE%3AJKTYRE" TargetMode="External"/><Relationship Id="rId3534" Type="http://schemas.openxmlformats.org/officeDocument/2006/relationships/hyperlink" Target="https://in.tradingview.com/chart/bXJLby4L/?symbol=NSE%3APRAKASH" TargetMode="External"/><Relationship Id="rId20" Type="http://schemas.openxmlformats.org/officeDocument/2006/relationships/hyperlink" Target="https://in.tradingview.com/chart/bXJLby4L/?symbol=NSE%3AABINFRA" TargetMode="External"/><Relationship Id="rId2205" Type="http://schemas.openxmlformats.org/officeDocument/2006/relationships/hyperlink" Target="https://in.tradingview.com/chart/Cgv3Jm6J/?symbol=NSE%3AKUANTUM" TargetMode="External"/><Relationship Id="rId3537" Type="http://schemas.openxmlformats.org/officeDocument/2006/relationships/hyperlink" Target="https://in.tradingview.com/chart/Cgv3Jm6J/?symbol=NSE%3ASDBL" TargetMode="External"/><Relationship Id="rId2206" Type="http://schemas.openxmlformats.org/officeDocument/2006/relationships/hyperlink" Target="https://in.tradingview.com/chart/bXJLby4L/?symbol=NSE%3AJMFINANCIL" TargetMode="External"/><Relationship Id="rId3536" Type="http://schemas.openxmlformats.org/officeDocument/2006/relationships/hyperlink" Target="https://in.tradingview.com/chart/bXJLby4L/?symbol=NSE%3APPL" TargetMode="External"/><Relationship Id="rId22" Type="http://schemas.openxmlformats.org/officeDocument/2006/relationships/hyperlink" Target="https://in.tradingview.com/chart/bXJLby4L/?symbol=NSE%3AABMINTLLTD" TargetMode="External"/><Relationship Id="rId2207" Type="http://schemas.openxmlformats.org/officeDocument/2006/relationships/hyperlink" Target="https://in.tradingview.com/chart/Cgv3Jm6J/?symbol=NSE%3ALAGNAM" TargetMode="External"/><Relationship Id="rId3539" Type="http://schemas.openxmlformats.org/officeDocument/2006/relationships/hyperlink" Target="https://in.tradingview.com/chart/Cgv3Jm6J/?symbol=NSE%3ASDL26BEES" TargetMode="External"/><Relationship Id="rId21" Type="http://schemas.openxmlformats.org/officeDocument/2006/relationships/hyperlink" Target="https://in.tradingview.com/chart/Cgv3Jm6J/?symbol=NSE%3AAADHARHFC" TargetMode="External"/><Relationship Id="rId2208" Type="http://schemas.openxmlformats.org/officeDocument/2006/relationships/hyperlink" Target="https://in.tradingview.com/chart/bXJLby4L/?symbol=NSE%3AJNKINDIA" TargetMode="External"/><Relationship Id="rId3538" Type="http://schemas.openxmlformats.org/officeDocument/2006/relationships/hyperlink" Target="https://in.tradingview.com/chart/bXJLby4L/?symbol=NSE%3ADIAMONDYD" TargetMode="External"/><Relationship Id="rId24" Type="http://schemas.openxmlformats.org/officeDocument/2006/relationships/hyperlink" Target="https://in.tradingview.com/chart/bXJLby4L/?symbol=NSE%3AA2ZINFRA" TargetMode="External"/><Relationship Id="rId2209" Type="http://schemas.openxmlformats.org/officeDocument/2006/relationships/hyperlink" Target="https://in.tradingview.com/chart/Cgv3Jm6J/?symbol=NSE%3ALAKPRE" TargetMode="External"/><Relationship Id="rId23" Type="http://schemas.openxmlformats.org/officeDocument/2006/relationships/hyperlink" Target="https://in.tradingview.com/chart/Cgv3Jm6J/?symbol=NSE%3AAAKASH" TargetMode="External"/><Relationship Id="rId26" Type="http://schemas.openxmlformats.org/officeDocument/2006/relationships/hyperlink" Target="https://in.tradingview.com/chart/bXJLby4L/?symbol=NSE%3AAAATECH" TargetMode="External"/><Relationship Id="rId25" Type="http://schemas.openxmlformats.org/officeDocument/2006/relationships/hyperlink" Target="https://in.tradingview.com/chart/Cgv3Jm6J/?symbol=NSE%3AAAREYDRUGS" TargetMode="External"/><Relationship Id="rId28" Type="http://schemas.openxmlformats.org/officeDocument/2006/relationships/hyperlink" Target="https://in.tradingview.com/chart/bXJLby4L/?symbol=NSE%3AAADHARHFC" TargetMode="External"/><Relationship Id="rId27" Type="http://schemas.openxmlformats.org/officeDocument/2006/relationships/hyperlink" Target="https://in.tradingview.com/chart/Cgv3Jm6J/?symbol=NSE%3AAARON" TargetMode="External"/><Relationship Id="rId3531" Type="http://schemas.openxmlformats.org/officeDocument/2006/relationships/hyperlink" Target="https://in.tradingview.com/chart/Cgv3Jm6J/?symbol=NSE%3ASCI" TargetMode="External"/><Relationship Id="rId29" Type="http://schemas.openxmlformats.org/officeDocument/2006/relationships/hyperlink" Target="https://in.tradingview.com/chart/Cgv3Jm6J/?symbol=NSE%3AAARTECH" TargetMode="External"/><Relationship Id="rId2200" Type="http://schemas.openxmlformats.org/officeDocument/2006/relationships/hyperlink" Target="https://in.tradingview.com/chart/bXJLby4L/?symbol=NSE%3AJKLAKSHMI" TargetMode="External"/><Relationship Id="rId3530" Type="http://schemas.openxmlformats.org/officeDocument/2006/relationships/hyperlink" Target="https://in.tradingview.com/chart/bXJLby4L/?symbol=NSE%3APRAJIND" TargetMode="External"/><Relationship Id="rId2201" Type="http://schemas.openxmlformats.org/officeDocument/2006/relationships/hyperlink" Target="https://in.tradingview.com/chart/Cgv3Jm6J/?symbol=NSE%3AKSOLVES" TargetMode="External"/><Relationship Id="rId3533" Type="http://schemas.openxmlformats.org/officeDocument/2006/relationships/hyperlink" Target="https://in.tradingview.com/chart/Cgv3Jm6J/?symbol=NSE%3ASCILAL" TargetMode="External"/><Relationship Id="rId2202" Type="http://schemas.openxmlformats.org/officeDocument/2006/relationships/hyperlink" Target="https://in.tradingview.com/chart/bXJLby4L/?symbol=NSE%3AJKPAPER" TargetMode="External"/><Relationship Id="rId3532" Type="http://schemas.openxmlformats.org/officeDocument/2006/relationships/hyperlink" Target="https://in.tradingview.com/chart/bXJLby4L/?symbol=NSE%3APRAENG" TargetMode="External"/><Relationship Id="rId3524" Type="http://schemas.openxmlformats.org/officeDocument/2006/relationships/hyperlink" Target="https://in.tradingview.com/chart/bXJLby4L/?symbol=NSE%3APOWERMECH" TargetMode="External"/><Relationship Id="rId3523" Type="http://schemas.openxmlformats.org/officeDocument/2006/relationships/hyperlink" Target="https://in.tradingview.com/chart/Cgv3Jm6J/?symbol=NSE%3ASBISILVER" TargetMode="External"/><Relationship Id="rId3526" Type="http://schemas.openxmlformats.org/officeDocument/2006/relationships/hyperlink" Target="https://in.tradingview.com/chart/bXJLby4L/?symbol=NSE%3APPAP" TargetMode="External"/><Relationship Id="rId3525" Type="http://schemas.openxmlformats.org/officeDocument/2006/relationships/hyperlink" Target="https://in.tradingview.com/chart/Cgv3Jm6J/?symbol=NSE%3ASCHAEFFLER" TargetMode="External"/><Relationship Id="rId11" Type="http://schemas.openxmlformats.org/officeDocument/2006/relationships/hyperlink" Target="https://in.tradingview.com/chart/Cgv3Jm6J/?symbol=NSE%3A3PLAND" TargetMode="External"/><Relationship Id="rId3528" Type="http://schemas.openxmlformats.org/officeDocument/2006/relationships/hyperlink" Target="https://in.tradingview.com/chart/bXJLby4L/?symbol=NSE%3APRABHA" TargetMode="External"/><Relationship Id="rId10" Type="http://schemas.openxmlformats.org/officeDocument/2006/relationships/hyperlink" Target="https://in.tradingview.com/chart/bXJLby4L/?symbol=NSE%3A3IINFOLTD" TargetMode="External"/><Relationship Id="rId3527" Type="http://schemas.openxmlformats.org/officeDocument/2006/relationships/hyperlink" Target="https://in.tradingview.com/chart/Cgv3Jm6J/?symbol=NSE%3ASCHAND" TargetMode="External"/><Relationship Id="rId13" Type="http://schemas.openxmlformats.org/officeDocument/2006/relationships/hyperlink" Target="https://in.tradingview.com/chart/Cgv3Jm6J/?symbol=NSE%3A5PAISA" TargetMode="External"/><Relationship Id="rId12" Type="http://schemas.openxmlformats.org/officeDocument/2006/relationships/hyperlink" Target="https://in.tradingview.com/chart/bXJLby4L/?symbol=NSE%3A3MINDIA" TargetMode="External"/><Relationship Id="rId3529" Type="http://schemas.openxmlformats.org/officeDocument/2006/relationships/hyperlink" Target="https://in.tradingview.com/chart/Cgv3Jm6J/?symbol=NSE%3ASCHNEIDER" TargetMode="External"/><Relationship Id="rId15" Type="http://schemas.openxmlformats.org/officeDocument/2006/relationships/hyperlink" Target="https://in.tradingview.com/chart/Cgv3Jm6J/?symbol=NSE%3A63MOONS" TargetMode="External"/><Relationship Id="rId14" Type="http://schemas.openxmlformats.org/officeDocument/2006/relationships/hyperlink" Target="https://in.tradingview.com/chart/bXJLby4L/?symbol=NSE%3A3PLAND" TargetMode="External"/><Relationship Id="rId17" Type="http://schemas.openxmlformats.org/officeDocument/2006/relationships/hyperlink" Target="https://in.tradingview.com/chart/Cgv3Jm6J/?symbol=NSE%3AA2ZINFRA" TargetMode="External"/><Relationship Id="rId16" Type="http://schemas.openxmlformats.org/officeDocument/2006/relationships/hyperlink" Target="https://in.tradingview.com/chart/bXJLby4L/?symbol=NSE%3A5PAISA" TargetMode="External"/><Relationship Id="rId19" Type="http://schemas.openxmlformats.org/officeDocument/2006/relationships/hyperlink" Target="https://in.tradingview.com/chart/Cgv3Jm6J/?symbol=NSE%3AAAATECH" TargetMode="External"/><Relationship Id="rId3520" Type="http://schemas.openxmlformats.org/officeDocument/2006/relationships/hyperlink" Target="https://in.tradingview.com/chart/bXJLby4L/?symbol=NSE%3APFC" TargetMode="External"/><Relationship Id="rId18" Type="http://schemas.openxmlformats.org/officeDocument/2006/relationships/hyperlink" Target="https://in.tradingview.com/chart/bXJLby4L/?symbol=NSE%3A63MOONS" TargetMode="External"/><Relationship Id="rId3522" Type="http://schemas.openxmlformats.org/officeDocument/2006/relationships/hyperlink" Target="https://in.tradingview.com/chart/bXJLby4L/?symbol=NSE%3APOWERGRID" TargetMode="External"/><Relationship Id="rId3521" Type="http://schemas.openxmlformats.org/officeDocument/2006/relationships/hyperlink" Target="https://in.tradingview.com/chart/Cgv3Jm6J/?symbol=NSE%3ASBINEQWETF" TargetMode="External"/><Relationship Id="rId84" Type="http://schemas.openxmlformats.org/officeDocument/2006/relationships/hyperlink" Target="https://in.tradingview.com/chart/bXJLby4L/?symbol=NSE%3AATGL" TargetMode="External"/><Relationship Id="rId1774" Type="http://schemas.openxmlformats.org/officeDocument/2006/relationships/hyperlink" Target="https://in.tradingview.com/chart/bXJLby4L/?symbol=NSE%3AHFCL" TargetMode="External"/><Relationship Id="rId83" Type="http://schemas.openxmlformats.org/officeDocument/2006/relationships/hyperlink" Target="https://in.tradingview.com/chart/Cgv3Jm6J/?symbol=NSE%3AACI" TargetMode="External"/><Relationship Id="rId1775" Type="http://schemas.openxmlformats.org/officeDocument/2006/relationships/hyperlink" Target="https://in.tradingview.com/chart/Cgv3Jm6J/?symbol=NSE%3AIMPEXFERRO" TargetMode="External"/><Relationship Id="rId86" Type="http://schemas.openxmlformats.org/officeDocument/2006/relationships/hyperlink" Target="https://in.tradingview.com/chart/bXJLby4L/?symbol=NSE%3AAWL" TargetMode="External"/><Relationship Id="rId1776" Type="http://schemas.openxmlformats.org/officeDocument/2006/relationships/hyperlink" Target="https://in.tradingview.com/chart/bXJLby4L/?symbol=NSE%3AHSCL" TargetMode="External"/><Relationship Id="rId85" Type="http://schemas.openxmlformats.org/officeDocument/2006/relationships/hyperlink" Target="https://in.tradingview.com/chart/Cgv3Jm6J/?symbol=NSE%3AACL" TargetMode="External"/><Relationship Id="rId1777" Type="http://schemas.openxmlformats.org/officeDocument/2006/relationships/hyperlink" Target="https://in.tradingview.com/chart/Cgv3Jm6J/?symbol=NSE%3AINCREDIBLE" TargetMode="External"/><Relationship Id="rId88" Type="http://schemas.openxmlformats.org/officeDocument/2006/relationships/hyperlink" Target="https://in.tradingview.com/chart/bXJLby4L/?symbol=NSE%3AADFFOODS" TargetMode="External"/><Relationship Id="rId1778" Type="http://schemas.openxmlformats.org/officeDocument/2006/relationships/hyperlink" Target="https://in.tradingview.com/chart/bXJLby4L/?symbol=NSE%3AHIMATSEIDE" TargetMode="External"/><Relationship Id="rId87" Type="http://schemas.openxmlformats.org/officeDocument/2006/relationships/hyperlink" Target="https://in.tradingview.com/chart/Cgv3Jm6J/?symbol=NSE%3AACLGATI" TargetMode="External"/><Relationship Id="rId1779" Type="http://schemas.openxmlformats.org/officeDocument/2006/relationships/hyperlink" Target="https://in.tradingview.com/chart/Cgv3Jm6J/?symbol=NSE%3AINDBANK" TargetMode="External"/><Relationship Id="rId89" Type="http://schemas.openxmlformats.org/officeDocument/2006/relationships/hyperlink" Target="https://in.tradingview.com/chart/Cgv3Jm6J/?symbol=NSE%3AACMESOLAR" TargetMode="External"/><Relationship Id="rId80" Type="http://schemas.openxmlformats.org/officeDocument/2006/relationships/hyperlink" Target="https://in.tradingview.com/chart/bXJLby4L/?symbol=NSE%3AADANIPORTS" TargetMode="External"/><Relationship Id="rId82" Type="http://schemas.openxmlformats.org/officeDocument/2006/relationships/hyperlink" Target="https://in.tradingview.com/chart/bXJLby4L/?symbol=NSE%3AADANIPOWER" TargetMode="External"/><Relationship Id="rId81" Type="http://schemas.openxmlformats.org/officeDocument/2006/relationships/hyperlink" Target="https://in.tradingview.com/chart/Cgv3Jm6J/?symbol=NSE%3AACEINTEG" TargetMode="External"/><Relationship Id="rId1770" Type="http://schemas.openxmlformats.org/officeDocument/2006/relationships/hyperlink" Target="https://in.tradingview.com/chart/bXJLby4L/?symbol=NSE%3AHILINFRA" TargetMode="External"/><Relationship Id="rId1771" Type="http://schemas.openxmlformats.org/officeDocument/2006/relationships/hyperlink" Target="https://in.tradingview.com/chart/Cgv3Jm6J/?symbol=NSE%3AIMFA" TargetMode="External"/><Relationship Id="rId1772" Type="http://schemas.openxmlformats.org/officeDocument/2006/relationships/hyperlink" Target="https://in.tradingview.com/chart/bXJLby4L/?symbol=NSE%3AHILTON" TargetMode="External"/><Relationship Id="rId1773" Type="http://schemas.openxmlformats.org/officeDocument/2006/relationships/hyperlink" Target="https://in.tradingview.com/chart/Cgv3Jm6J/?symbol=NSE%3AIMPAL" TargetMode="External"/><Relationship Id="rId73" Type="http://schemas.openxmlformats.org/officeDocument/2006/relationships/hyperlink" Target="https://in.tradingview.com/chart/Cgv3Jm6J/?symbol=NSE%3AACC" TargetMode="External"/><Relationship Id="rId1763" Type="http://schemas.openxmlformats.org/officeDocument/2006/relationships/hyperlink" Target="https://in.tradingview.com/chart/Cgv3Jm6J/?symbol=NSE%3AIKS" TargetMode="External"/><Relationship Id="rId72" Type="http://schemas.openxmlformats.org/officeDocument/2006/relationships/hyperlink" Target="https://in.tradingview.com/chart/bXJLby4L/?symbol=NSE%3AACUTAAS" TargetMode="External"/><Relationship Id="rId1764" Type="http://schemas.openxmlformats.org/officeDocument/2006/relationships/hyperlink" Target="https://in.tradingview.com/chart/bXJLby4L/?symbol=NSE%3AHEXT" TargetMode="External"/><Relationship Id="rId75" Type="http://schemas.openxmlformats.org/officeDocument/2006/relationships/hyperlink" Target="https://in.tradingview.com/chart/Cgv3Jm6J/?symbol=NSE%3AACCELYA" TargetMode="External"/><Relationship Id="rId1765" Type="http://schemas.openxmlformats.org/officeDocument/2006/relationships/hyperlink" Target="https://in.tradingview.com/chart/Cgv3Jm6J/?symbol=NSE%3AIL_FSENGG" TargetMode="External"/><Relationship Id="rId74" Type="http://schemas.openxmlformats.org/officeDocument/2006/relationships/hyperlink" Target="https://in.tradingview.com/chart/bXJLby4L/?symbol=NSE%3AADANIENSOL" TargetMode="External"/><Relationship Id="rId1766" Type="http://schemas.openxmlformats.org/officeDocument/2006/relationships/hyperlink" Target="https://in.tradingview.com/chart/bXJLby4L/?symbol=NSE%3AHITECH" TargetMode="External"/><Relationship Id="rId77" Type="http://schemas.openxmlformats.org/officeDocument/2006/relationships/hyperlink" Target="https://in.tradingview.com/chart/Cgv3Jm6J/?symbol=NSE%3AACCURACY" TargetMode="External"/><Relationship Id="rId1767" Type="http://schemas.openxmlformats.org/officeDocument/2006/relationships/hyperlink" Target="https://in.tradingview.com/chart/Cgv3Jm6J/?symbol=NSE%3AIL_FSTRANS" TargetMode="External"/><Relationship Id="rId76" Type="http://schemas.openxmlformats.org/officeDocument/2006/relationships/hyperlink" Target="https://in.tradingview.com/chart/bXJLby4L/?symbol=NSE%3AADANIENT" TargetMode="External"/><Relationship Id="rId1768" Type="http://schemas.openxmlformats.org/officeDocument/2006/relationships/hyperlink" Target="https://in.tradingview.com/chart/bXJLby4L/?symbol=NSE%3AHIKAL" TargetMode="External"/><Relationship Id="rId79" Type="http://schemas.openxmlformats.org/officeDocument/2006/relationships/hyperlink" Target="https://in.tradingview.com/chart/Cgv3Jm6J/?symbol=NSE%3AACE" TargetMode="External"/><Relationship Id="rId1769" Type="http://schemas.openxmlformats.org/officeDocument/2006/relationships/hyperlink" Target="https://in.tradingview.com/chart/Cgv3Jm6J/?symbol=NSE%3AIMAGICAA" TargetMode="External"/><Relationship Id="rId78" Type="http://schemas.openxmlformats.org/officeDocument/2006/relationships/hyperlink" Target="https://in.tradingview.com/chart/bXJLby4L/?symbol=NSE%3AADANIGREEN" TargetMode="External"/><Relationship Id="rId71" Type="http://schemas.openxmlformats.org/officeDocument/2006/relationships/hyperlink" Target="https://in.tradingview.com/chart/Cgv3Jm6J/?symbol=NSE%3AABSLPSE" TargetMode="External"/><Relationship Id="rId70" Type="http://schemas.openxmlformats.org/officeDocument/2006/relationships/hyperlink" Target="https://in.tradingview.com/chart/bXJLby4L/?symbol=NSE%3AACE" TargetMode="External"/><Relationship Id="rId1760" Type="http://schemas.openxmlformats.org/officeDocument/2006/relationships/hyperlink" Target="https://in.tradingview.com/chart/bXJLby4L/?symbol=NSE%3AHEUBACHIND" TargetMode="External"/><Relationship Id="rId1761" Type="http://schemas.openxmlformats.org/officeDocument/2006/relationships/hyperlink" Target="https://in.tradingview.com/chart/Cgv3Jm6J/?symbol=NSE%3AIKIO" TargetMode="External"/><Relationship Id="rId1762" Type="http://schemas.openxmlformats.org/officeDocument/2006/relationships/hyperlink" Target="https://in.tradingview.com/chart/bXJLby4L/?symbol=NSE%3AHEXATRADEX" TargetMode="External"/><Relationship Id="rId62" Type="http://schemas.openxmlformats.org/officeDocument/2006/relationships/hyperlink" Target="https://in.tradingview.com/chart/bXJLby4L/?symbol=NSE%3AACCELYA" TargetMode="External"/><Relationship Id="rId1796" Type="http://schemas.openxmlformats.org/officeDocument/2006/relationships/hyperlink" Target="https://in.tradingview.com/chart/bXJLby4L/?symbol=NSE%3AHINDCOPPER" TargetMode="External"/><Relationship Id="rId61" Type="http://schemas.openxmlformats.org/officeDocument/2006/relationships/hyperlink" Target="https://in.tradingview.com/chart/Cgv3Jm6J/?symbol=NSE%3AABREL" TargetMode="External"/><Relationship Id="rId1797" Type="http://schemas.openxmlformats.org/officeDocument/2006/relationships/hyperlink" Target="https://in.tradingview.com/chart/Cgv3Jm6J/?symbol=NSE%3AINDIASHLTR" TargetMode="External"/><Relationship Id="rId64" Type="http://schemas.openxmlformats.org/officeDocument/2006/relationships/hyperlink" Target="https://in.tradingview.com/chart/bXJLby4L/?symbol=NSE%3AACCURACY" TargetMode="External"/><Relationship Id="rId1798" Type="http://schemas.openxmlformats.org/officeDocument/2006/relationships/hyperlink" Target="https://in.tradingview.com/chart/bXJLby4L/?symbol=NSE%3AHNDFDS" TargetMode="External"/><Relationship Id="rId63" Type="http://schemas.openxmlformats.org/officeDocument/2006/relationships/hyperlink" Target="https://in.tradingview.com/chart/Cgv3Jm6J/?symbol=NSE%3AABSLAMC" TargetMode="External"/><Relationship Id="rId1799" Type="http://schemas.openxmlformats.org/officeDocument/2006/relationships/hyperlink" Target="https://in.tradingview.com/chart/Cgv3Jm6J/?symbol=NSE%3AINDIGO" TargetMode="External"/><Relationship Id="rId66" Type="http://schemas.openxmlformats.org/officeDocument/2006/relationships/hyperlink" Target="https://in.tradingview.com/chart/bXJLby4L/?symbol=NSE%3AACEINTEG" TargetMode="External"/><Relationship Id="rId65" Type="http://schemas.openxmlformats.org/officeDocument/2006/relationships/hyperlink" Target="https://in.tradingview.com/chart/Cgv3Jm6J/?symbol=NSE%3AABSLBANETF" TargetMode="External"/><Relationship Id="rId68" Type="http://schemas.openxmlformats.org/officeDocument/2006/relationships/hyperlink" Target="https://in.tradingview.com/chart/bXJLby4L/?symbol=NSE%3AACMESOLAR" TargetMode="External"/><Relationship Id="rId67" Type="http://schemas.openxmlformats.org/officeDocument/2006/relationships/hyperlink" Target="https://in.tradingview.com/chart/Cgv3Jm6J/?symbol=NSE%3AABSLLIQUID" TargetMode="External"/><Relationship Id="rId60" Type="http://schemas.openxmlformats.org/officeDocument/2006/relationships/hyperlink" Target="https://in.tradingview.com/chart/bXJLby4L/?symbol=NSE%3AACC" TargetMode="External"/><Relationship Id="rId69" Type="http://schemas.openxmlformats.org/officeDocument/2006/relationships/hyperlink" Target="https://in.tradingview.com/chart/Cgv3Jm6J/?symbol=NSE%3AABSLNN50ET" TargetMode="External"/><Relationship Id="rId1790" Type="http://schemas.openxmlformats.org/officeDocument/2006/relationships/hyperlink" Target="https://in.tradingview.com/chart/bXJLby4L/?symbol=NSE%3AHAL" TargetMode="External"/><Relationship Id="rId1791" Type="http://schemas.openxmlformats.org/officeDocument/2006/relationships/hyperlink" Target="https://in.tradingview.com/chart/Cgv3Jm6J/?symbol=NSE%3AINDIANB" TargetMode="External"/><Relationship Id="rId1792" Type="http://schemas.openxmlformats.org/officeDocument/2006/relationships/hyperlink" Target="https://in.tradingview.com/chart/bXJLby4L/?symbol=NSE%3AHINDCOMPOS" TargetMode="External"/><Relationship Id="rId1793" Type="http://schemas.openxmlformats.org/officeDocument/2006/relationships/hyperlink" Target="https://in.tradingview.com/chart/Cgv3Jm6J/?symbol=NSE%3AINDIANCARD" TargetMode="External"/><Relationship Id="rId1794" Type="http://schemas.openxmlformats.org/officeDocument/2006/relationships/hyperlink" Target="https://in.tradingview.com/chart/bXJLby4L/?symbol=NSE%3AHCC" TargetMode="External"/><Relationship Id="rId1795" Type="http://schemas.openxmlformats.org/officeDocument/2006/relationships/hyperlink" Target="https://in.tradingview.com/chart/Cgv3Jm6J/?symbol=NSE%3AINDIANHUME" TargetMode="External"/><Relationship Id="rId51" Type="http://schemas.openxmlformats.org/officeDocument/2006/relationships/hyperlink" Target="https://in.tradingview.com/chart/Cgv3Jm6J/?symbol=NSE%3AABCAPITAL" TargetMode="External"/><Relationship Id="rId1785" Type="http://schemas.openxmlformats.org/officeDocument/2006/relationships/hyperlink" Target="https://in.tradingview.com/chart/Cgv3Jm6J/?symbol=NSE%3AINDIACEM" TargetMode="External"/><Relationship Id="rId50" Type="http://schemas.openxmlformats.org/officeDocument/2006/relationships/hyperlink" Target="https://in.tradingview.com/chart/bXJLby4L/?symbol=NSE%3AABCOTS" TargetMode="External"/><Relationship Id="rId1786" Type="http://schemas.openxmlformats.org/officeDocument/2006/relationships/hyperlink" Target="https://in.tradingview.com/chart/bXJLby4L/?symbol=NSE%3AHPIL" TargetMode="External"/><Relationship Id="rId53" Type="http://schemas.openxmlformats.org/officeDocument/2006/relationships/hyperlink" Target="https://in.tradingview.com/chart/Cgv3Jm6J/?symbol=NSE%3AABDL" TargetMode="External"/><Relationship Id="rId1787" Type="http://schemas.openxmlformats.org/officeDocument/2006/relationships/hyperlink" Target="https://in.tradingview.com/chart/Cgv3Jm6J/?symbol=NSE%3AINDIAGLYCO" TargetMode="External"/><Relationship Id="rId52" Type="http://schemas.openxmlformats.org/officeDocument/2006/relationships/hyperlink" Target="https://in.tradingview.com/chart/bXJLby4L/?symbol=NSE%3AABAN" TargetMode="External"/><Relationship Id="rId1788" Type="http://schemas.openxmlformats.org/officeDocument/2006/relationships/hyperlink" Target="https://in.tradingview.com/chart/bXJLby4L/?symbol=NSE%3AHGS" TargetMode="External"/><Relationship Id="rId55" Type="http://schemas.openxmlformats.org/officeDocument/2006/relationships/hyperlink" Target="https://in.tradingview.com/chart/Cgv3Jm6J/?symbol=NSE%3AABFRL" TargetMode="External"/><Relationship Id="rId1789" Type="http://schemas.openxmlformats.org/officeDocument/2006/relationships/hyperlink" Target="https://in.tradingview.com/chart/Cgv3Jm6J/?symbol=NSE%3AINDIAMART" TargetMode="External"/><Relationship Id="rId54" Type="http://schemas.openxmlformats.org/officeDocument/2006/relationships/hyperlink" Target="https://in.tradingview.com/chart/bXJLby4L/?symbol=NSE%3AAFSL" TargetMode="External"/><Relationship Id="rId57" Type="http://schemas.openxmlformats.org/officeDocument/2006/relationships/hyperlink" Target="https://in.tradingview.com/chart/Cgv3Jm6J/?symbol=NSE%3AABINFRA" TargetMode="External"/><Relationship Id="rId56" Type="http://schemas.openxmlformats.org/officeDocument/2006/relationships/hyperlink" Target="https://in.tradingview.com/chart/bXJLby4L/?symbol=NSE%3AABB" TargetMode="External"/><Relationship Id="rId59" Type="http://schemas.openxmlformats.org/officeDocument/2006/relationships/hyperlink" Target="https://in.tradingview.com/chart/Cgv3Jm6J/?symbol=NSE%3AABMINTLLTD" TargetMode="External"/><Relationship Id="rId58" Type="http://schemas.openxmlformats.org/officeDocument/2006/relationships/hyperlink" Target="https://in.tradingview.com/chart/bXJLby4L/?symbol=NSE%3AABBOTINDIA" TargetMode="External"/><Relationship Id="rId1780" Type="http://schemas.openxmlformats.org/officeDocument/2006/relationships/hyperlink" Target="https://in.tradingview.com/chart/bXJLby4L/?symbol=NSE%3AHIRECT" TargetMode="External"/><Relationship Id="rId1781" Type="http://schemas.openxmlformats.org/officeDocument/2006/relationships/hyperlink" Target="https://in.tradingview.com/chart/Cgv3Jm6J/?symbol=NSE%3AINDGN" TargetMode="External"/><Relationship Id="rId1782" Type="http://schemas.openxmlformats.org/officeDocument/2006/relationships/hyperlink" Target="https://in.tradingview.com/chart/bXJLby4L/?symbol=NSE%3AHINDALCO" TargetMode="External"/><Relationship Id="rId1783" Type="http://schemas.openxmlformats.org/officeDocument/2006/relationships/hyperlink" Target="https://in.tradingview.com/chart/Cgv3Jm6J/?symbol=NSE%3AINDHOTEL" TargetMode="External"/><Relationship Id="rId1784" Type="http://schemas.openxmlformats.org/officeDocument/2006/relationships/hyperlink" Target="https://in.tradingview.com/chart/bXJLby4L/?symbol=NSE%3AHINDCON" TargetMode="External"/><Relationship Id="rId2269" Type="http://schemas.openxmlformats.org/officeDocument/2006/relationships/hyperlink" Target="https://in.tradingview.com/chart/Cgv3Jm6J/?symbol=NSE%3ALIQUID" TargetMode="External"/><Relationship Id="rId349" Type="http://schemas.openxmlformats.org/officeDocument/2006/relationships/hyperlink" Target="https://in.tradingview.com/chart/Cgv3Jm6J/?symbol=NSE%3AASMS" TargetMode="External"/><Relationship Id="rId348" Type="http://schemas.openxmlformats.org/officeDocument/2006/relationships/hyperlink" Target="https://in.tradingview.com/chart/bXJLby4L/?symbol=NSE%3AARMANFIN" TargetMode="External"/><Relationship Id="rId347" Type="http://schemas.openxmlformats.org/officeDocument/2006/relationships/hyperlink" Target="https://in.tradingview.com/chart/Cgv3Jm6J/?symbol=NSE%3AASKAUTOLTD" TargetMode="External"/><Relationship Id="rId346" Type="http://schemas.openxmlformats.org/officeDocument/2006/relationships/hyperlink" Target="https://in.tradingview.com/chart/bXJLby4L/?symbol=NSE%3AARKADE" TargetMode="External"/><Relationship Id="rId3591" Type="http://schemas.openxmlformats.org/officeDocument/2006/relationships/hyperlink" Target="https://in.tradingview.com/chart/Cgv3Jm6J/?symbol=NSE%3ASGLTL" TargetMode="External"/><Relationship Id="rId2260" Type="http://schemas.openxmlformats.org/officeDocument/2006/relationships/hyperlink" Target="https://in.tradingview.com/chart/bXJLby4L/?symbol=NSE%3AKAJARIACER" TargetMode="External"/><Relationship Id="rId3590" Type="http://schemas.openxmlformats.org/officeDocument/2006/relationships/hyperlink" Target="https://in.tradingview.com/chart/bXJLby4L/?symbol=NSE%3APSPPROJECT" TargetMode="External"/><Relationship Id="rId341" Type="http://schemas.openxmlformats.org/officeDocument/2006/relationships/hyperlink" Target="https://in.tradingview.com/chart/Cgv3Jm6J/?symbol=NSE%3AASIANHOTNR" TargetMode="External"/><Relationship Id="rId2261" Type="http://schemas.openxmlformats.org/officeDocument/2006/relationships/hyperlink" Target="https://in.tradingview.com/chart/Cgv3Jm6J/?symbol=NSE%3ALIKHITHA" TargetMode="External"/><Relationship Id="rId3593" Type="http://schemas.openxmlformats.org/officeDocument/2006/relationships/hyperlink" Target="https://in.tradingview.com/chart/Cgv3Jm6J/?symbol=NSE%3ASHAH" TargetMode="External"/><Relationship Id="rId340" Type="http://schemas.openxmlformats.org/officeDocument/2006/relationships/hyperlink" Target="https://in.tradingview.com/chart/bXJLby4L/?symbol=NSE%3AARIHANTCAP" TargetMode="External"/><Relationship Id="rId2262" Type="http://schemas.openxmlformats.org/officeDocument/2006/relationships/hyperlink" Target="https://in.tradingview.com/chart/bXJLby4L/?symbol=NSE%3AKAKATCEM" TargetMode="External"/><Relationship Id="rId3592" Type="http://schemas.openxmlformats.org/officeDocument/2006/relationships/hyperlink" Target="https://in.tradingview.com/chart/bXJLby4L/?symbol=NSE%3APFS" TargetMode="External"/><Relationship Id="rId2263" Type="http://schemas.openxmlformats.org/officeDocument/2006/relationships/hyperlink" Target="https://in.tradingview.com/chart/Cgv3Jm6J/?symbol=NSE%3ALINC" TargetMode="External"/><Relationship Id="rId3595" Type="http://schemas.openxmlformats.org/officeDocument/2006/relationships/hyperlink" Target="https://in.tradingview.com/chart/Cgv3Jm6J/?symbol=NSE%3ASHAHALLOYS" TargetMode="External"/><Relationship Id="rId2264" Type="http://schemas.openxmlformats.org/officeDocument/2006/relationships/hyperlink" Target="https://in.tradingview.com/chart/bXJLby4L/?symbol=NSE%3AKALPATARU" TargetMode="External"/><Relationship Id="rId3594" Type="http://schemas.openxmlformats.org/officeDocument/2006/relationships/hyperlink" Target="https://in.tradingview.com/chart/bXJLby4L/?symbol=NSE%3APTC" TargetMode="External"/><Relationship Id="rId345" Type="http://schemas.openxmlformats.org/officeDocument/2006/relationships/hyperlink" Target="https://in.tradingview.com/chart/Cgv3Jm6J/?symbol=NSE%3AASIANTILES" TargetMode="External"/><Relationship Id="rId2265" Type="http://schemas.openxmlformats.org/officeDocument/2006/relationships/hyperlink" Target="https://in.tradingview.com/chart/Cgv3Jm6J/?symbol=NSE%3ALINCOLN" TargetMode="External"/><Relationship Id="rId3597" Type="http://schemas.openxmlformats.org/officeDocument/2006/relationships/hyperlink" Target="https://in.tradingview.com/chart/Cgv3Jm6J/?symbol=NSE%3ASHAILY" TargetMode="External"/><Relationship Id="rId344" Type="http://schemas.openxmlformats.org/officeDocument/2006/relationships/hyperlink" Target="https://in.tradingview.com/chart/bXJLby4L/?symbol=NSE%3AARISINFRA" TargetMode="External"/><Relationship Id="rId2266" Type="http://schemas.openxmlformats.org/officeDocument/2006/relationships/hyperlink" Target="https://in.tradingview.com/chart/bXJLby4L/?symbol=NSE%3AKPIL" TargetMode="External"/><Relationship Id="rId3596" Type="http://schemas.openxmlformats.org/officeDocument/2006/relationships/hyperlink" Target="https://in.tradingview.com/chart/bXJLby4L/?symbol=NSE%3APTCIL" TargetMode="External"/><Relationship Id="rId343" Type="http://schemas.openxmlformats.org/officeDocument/2006/relationships/hyperlink" Target="https://in.tradingview.com/chart/Cgv3Jm6J/?symbol=NSE%3AASIANPAINT" TargetMode="External"/><Relationship Id="rId2267" Type="http://schemas.openxmlformats.org/officeDocument/2006/relationships/hyperlink" Target="https://in.tradingview.com/chart/Cgv3Jm6J/?symbol=NSE%3ALINDEINDIA" TargetMode="External"/><Relationship Id="rId3599" Type="http://schemas.openxmlformats.org/officeDocument/2006/relationships/hyperlink" Target="https://in.tradingview.com/chart/Cgv3Jm6J/?symbol=NSE%3ASHAKTIPUMP" TargetMode="External"/><Relationship Id="rId342" Type="http://schemas.openxmlformats.org/officeDocument/2006/relationships/hyperlink" Target="https://in.tradingview.com/chart/bXJLby4L/?symbol=NSE%3AARIHANTSUP" TargetMode="External"/><Relationship Id="rId2268" Type="http://schemas.openxmlformats.org/officeDocument/2006/relationships/hyperlink" Target="https://in.tradingview.com/chart/bXJLby4L/?symbol=NSE%3AKALYANKJIL" TargetMode="External"/><Relationship Id="rId3598" Type="http://schemas.openxmlformats.org/officeDocument/2006/relationships/hyperlink" Target="https://in.tradingview.com/chart/bXJLby4L/?symbol=NSE%3APTL" TargetMode="External"/><Relationship Id="rId2258" Type="http://schemas.openxmlformats.org/officeDocument/2006/relationships/hyperlink" Target="https://in.tradingview.com/chart/bXJLby4L/?symbol=NSE%3AKABRAEXTRU" TargetMode="External"/><Relationship Id="rId2259" Type="http://schemas.openxmlformats.org/officeDocument/2006/relationships/hyperlink" Target="https://in.tradingview.com/chart/Cgv3Jm6J/?symbol=NSE%3ALICNMID100" TargetMode="External"/><Relationship Id="rId3589" Type="http://schemas.openxmlformats.org/officeDocument/2006/relationships/hyperlink" Target="https://in.tradingview.com/chart/Cgv3Jm6J/?symbol=NSE%3ASGL" TargetMode="External"/><Relationship Id="rId338" Type="http://schemas.openxmlformats.org/officeDocument/2006/relationships/hyperlink" Target="https://in.tradingview.com/chart/bXJLby4L/?symbol=NSE%3AARIES" TargetMode="External"/><Relationship Id="rId337" Type="http://schemas.openxmlformats.org/officeDocument/2006/relationships/hyperlink" Target="https://in.tradingview.com/chart/Cgv3Jm6J/?symbol=NSE%3AASHOKLEY" TargetMode="External"/><Relationship Id="rId336" Type="http://schemas.openxmlformats.org/officeDocument/2006/relationships/hyperlink" Target="https://in.tradingview.com/chart/bXJLby4L/?symbol=NSE%3AARFIN" TargetMode="External"/><Relationship Id="rId335" Type="http://schemas.openxmlformats.org/officeDocument/2006/relationships/hyperlink" Target="https://in.tradingview.com/chart/Cgv3Jm6J/?symbol=NSE%3AASHOKAMET" TargetMode="External"/><Relationship Id="rId3580" Type="http://schemas.openxmlformats.org/officeDocument/2006/relationships/hyperlink" Target="https://in.tradingview.com/chart/bXJLby4L/?symbol=NSE%3APROSTARM" TargetMode="External"/><Relationship Id="rId339" Type="http://schemas.openxmlformats.org/officeDocument/2006/relationships/hyperlink" Target="https://in.tradingview.com/chart/Cgv3Jm6J/?symbol=NSE%3AASIANENE" TargetMode="External"/><Relationship Id="rId330" Type="http://schemas.openxmlformats.org/officeDocument/2006/relationships/hyperlink" Target="https://in.tradingview.com/chart/bXJLby4L/?symbol=NSE%3AADL" TargetMode="External"/><Relationship Id="rId2250" Type="http://schemas.openxmlformats.org/officeDocument/2006/relationships/hyperlink" Target="https://in.tradingview.com/chart/bXJLby4L/?symbol=NSE%3AJYOTISTRUC" TargetMode="External"/><Relationship Id="rId3582" Type="http://schemas.openxmlformats.org/officeDocument/2006/relationships/hyperlink" Target="https://in.tradingview.com/chart/bXJLby4L/?symbol=NSE%3APROTEAN" TargetMode="External"/><Relationship Id="rId2251" Type="http://schemas.openxmlformats.org/officeDocument/2006/relationships/hyperlink" Target="https://in.tradingview.com/chart/Cgv3Jm6J/?symbol=NSE%3ALICNETFGSC" TargetMode="External"/><Relationship Id="rId3581" Type="http://schemas.openxmlformats.org/officeDocument/2006/relationships/hyperlink" Target="https://in.tradingview.com/chart/Cgv3Jm6J/?symbol=NSE%3ASETUINFRA" TargetMode="External"/><Relationship Id="rId2252" Type="http://schemas.openxmlformats.org/officeDocument/2006/relationships/hyperlink" Target="https://in.tradingview.com/chart/bXJLby4L/?symbol=NSE%3AKMSUGAR" TargetMode="External"/><Relationship Id="rId3584" Type="http://schemas.openxmlformats.org/officeDocument/2006/relationships/hyperlink" Target="https://in.tradingview.com/chart/bXJLby4L/?symbol=NSE%3APROZONER" TargetMode="External"/><Relationship Id="rId2253" Type="http://schemas.openxmlformats.org/officeDocument/2006/relationships/hyperlink" Target="https://in.tradingview.com/chart/Cgv3Jm6J/?symbol=NSE%3ALICNETFN50" TargetMode="External"/><Relationship Id="rId3583" Type="http://schemas.openxmlformats.org/officeDocument/2006/relationships/hyperlink" Target="https://in.tradingview.com/chart/Cgv3Jm6J/?symbol=NSE%3ASEYAIND" TargetMode="External"/><Relationship Id="rId334" Type="http://schemas.openxmlformats.org/officeDocument/2006/relationships/hyperlink" Target="https://in.tradingview.com/chart/bXJLby4L/?symbol=NSE%3AARCHIES" TargetMode="External"/><Relationship Id="rId2254" Type="http://schemas.openxmlformats.org/officeDocument/2006/relationships/hyperlink" Target="https://in.tradingview.com/chart/bXJLby4L/?symbol=NSE%3AKPEL" TargetMode="External"/><Relationship Id="rId3586" Type="http://schemas.openxmlformats.org/officeDocument/2006/relationships/hyperlink" Target="https://in.tradingview.com/chart/bXJLby4L/?symbol=NSE%3APRUDENT" TargetMode="External"/><Relationship Id="rId333" Type="http://schemas.openxmlformats.org/officeDocument/2006/relationships/hyperlink" Target="https://in.tradingview.com/chart/Cgv3Jm6J/?symbol=NSE%3AASHOKA" TargetMode="External"/><Relationship Id="rId2255" Type="http://schemas.openxmlformats.org/officeDocument/2006/relationships/hyperlink" Target="https://in.tradingview.com/chart/Cgv3Jm6J/?symbol=NSE%3ALICNETFSEN" TargetMode="External"/><Relationship Id="rId3585" Type="http://schemas.openxmlformats.org/officeDocument/2006/relationships/hyperlink" Target="https://in.tradingview.com/chart/Cgv3Jm6J/?symbol=NSE%3ASFL" TargetMode="External"/><Relationship Id="rId332" Type="http://schemas.openxmlformats.org/officeDocument/2006/relationships/hyperlink" Target="https://in.tradingview.com/chart/bXJLby4L/?symbol=NSE%3AARCHIDPLY" TargetMode="External"/><Relationship Id="rId2256" Type="http://schemas.openxmlformats.org/officeDocument/2006/relationships/hyperlink" Target="https://in.tradingview.com/chart/bXJLby4L/?symbol=NSE%3AKPRMILL" TargetMode="External"/><Relationship Id="rId3588" Type="http://schemas.openxmlformats.org/officeDocument/2006/relationships/hyperlink" Target="https://in.tradingview.com/chart/bXJLby4L/?symbol=NSE%3APRUDMOULI" TargetMode="External"/><Relationship Id="rId331" Type="http://schemas.openxmlformats.org/officeDocument/2006/relationships/hyperlink" Target="https://in.tradingview.com/chart/Cgv3Jm6J/?symbol=NSE%3AASHIMASYN" TargetMode="External"/><Relationship Id="rId2257" Type="http://schemas.openxmlformats.org/officeDocument/2006/relationships/hyperlink" Target="https://in.tradingview.com/chart/Cgv3Jm6J/?symbol=NSE%3ALICNFNHGP" TargetMode="External"/><Relationship Id="rId3587" Type="http://schemas.openxmlformats.org/officeDocument/2006/relationships/hyperlink" Target="https://in.tradingview.com/chart/Cgv3Jm6J/?symbol=NSE%3ASGIL" TargetMode="External"/><Relationship Id="rId370" Type="http://schemas.openxmlformats.org/officeDocument/2006/relationships/hyperlink" Target="https://in.tradingview.com/chart/bXJLby4L/?symbol=NSE%3AASHAPURMIN" TargetMode="External"/><Relationship Id="rId369" Type="http://schemas.openxmlformats.org/officeDocument/2006/relationships/hyperlink" Target="https://in.tradingview.com/chart/Cgv3Jm6J/?symbol=NSE%3AATGL" TargetMode="External"/><Relationship Id="rId368" Type="http://schemas.openxmlformats.org/officeDocument/2006/relationships/hyperlink" Target="https://in.tradingview.com/chart/bXJLby4L/?symbol=NSE%3AASAHISONG" TargetMode="External"/><Relationship Id="rId2280" Type="http://schemas.openxmlformats.org/officeDocument/2006/relationships/hyperlink" Target="https://in.tradingview.com/chart/bXJLby4L/?symbol=NSE%3AKAMOPAINTS" TargetMode="External"/><Relationship Id="rId2281" Type="http://schemas.openxmlformats.org/officeDocument/2006/relationships/hyperlink" Target="https://in.tradingview.com/chart/Cgv3Jm6J/?symbol=NSE%3ALIQUIDETF" TargetMode="External"/><Relationship Id="rId2282" Type="http://schemas.openxmlformats.org/officeDocument/2006/relationships/hyperlink" Target="https://in.tradingview.com/chart/bXJLby4L/?symbol=NSE%3AKANORICHEM" TargetMode="External"/><Relationship Id="rId363" Type="http://schemas.openxmlformats.org/officeDocument/2006/relationships/hyperlink" Target="https://in.tradingview.com/chart/Cgv3Jm6J/?symbol=NSE%3AASTRON" TargetMode="External"/><Relationship Id="rId2283" Type="http://schemas.openxmlformats.org/officeDocument/2006/relationships/hyperlink" Target="https://in.tradingview.com/chart/Cgv3Jm6J/?symbol=NSE%3ALIQUIDIETF" TargetMode="External"/><Relationship Id="rId362" Type="http://schemas.openxmlformats.org/officeDocument/2006/relationships/hyperlink" Target="https://in.tradingview.com/chart/bXJLby4L/?symbol=NSE%3AARVIND" TargetMode="External"/><Relationship Id="rId2284" Type="http://schemas.openxmlformats.org/officeDocument/2006/relationships/hyperlink" Target="https://in.tradingview.com/chart/bXJLby4L/?symbol=NSE%3AKANPRPLA" TargetMode="External"/><Relationship Id="rId361" Type="http://schemas.openxmlformats.org/officeDocument/2006/relationships/hyperlink" Target="https://in.tradingview.com/chart/Cgv3Jm6J/?symbol=NSE%3AASTRAZEN" TargetMode="External"/><Relationship Id="rId2285" Type="http://schemas.openxmlformats.org/officeDocument/2006/relationships/hyperlink" Target="https://in.tradingview.com/chart/Cgv3Jm6J/?symbol=NSE%3ALIQUIDPLUS" TargetMode="External"/><Relationship Id="rId360" Type="http://schemas.openxmlformats.org/officeDocument/2006/relationships/hyperlink" Target="https://in.tradingview.com/chart/bXJLby4L/?symbol=NSE%3AARVINDFASN" TargetMode="External"/><Relationship Id="rId2286" Type="http://schemas.openxmlformats.org/officeDocument/2006/relationships/hyperlink" Target="https://in.tradingview.com/chart/bXJLby4L/?symbol=NSE%3AKANSAINER" TargetMode="External"/><Relationship Id="rId367" Type="http://schemas.openxmlformats.org/officeDocument/2006/relationships/hyperlink" Target="https://in.tradingview.com/chart/Cgv3Jm6J/?symbol=NSE%3AATAM" TargetMode="External"/><Relationship Id="rId2287" Type="http://schemas.openxmlformats.org/officeDocument/2006/relationships/hyperlink" Target="https://in.tradingview.com/chart/Cgv3Jm6J/?symbol=NSE%3ALIQUIDSBI" TargetMode="External"/><Relationship Id="rId366" Type="http://schemas.openxmlformats.org/officeDocument/2006/relationships/hyperlink" Target="https://in.tradingview.com/chart/bXJLby4L/?symbol=NSE%3AASAHIINDIA" TargetMode="External"/><Relationship Id="rId2288" Type="http://schemas.openxmlformats.org/officeDocument/2006/relationships/hyperlink" Target="https://in.tradingview.com/chart/bXJLby4L/?symbol=NSE%3AKAPSTON" TargetMode="External"/><Relationship Id="rId365" Type="http://schemas.openxmlformats.org/officeDocument/2006/relationships/hyperlink" Target="https://in.tradingview.com/chart/Cgv3Jm6J/?symbol=NSE%3AATALREAL" TargetMode="External"/><Relationship Id="rId2289" Type="http://schemas.openxmlformats.org/officeDocument/2006/relationships/hyperlink" Target="https://in.tradingview.com/chart/Cgv3Jm6J/?symbol=NSE%3ALIQUIDSHRI" TargetMode="External"/><Relationship Id="rId364" Type="http://schemas.openxmlformats.org/officeDocument/2006/relationships/hyperlink" Target="https://in.tradingview.com/chart/bXJLby4L/?symbol=NSE%3AARVSMART" TargetMode="External"/><Relationship Id="rId95" Type="http://schemas.openxmlformats.org/officeDocument/2006/relationships/hyperlink" Target="https://in.tradingview.com/chart/Cgv3Jm6J/?symbol=NSE%3AADANIGREEN" TargetMode="External"/><Relationship Id="rId94" Type="http://schemas.openxmlformats.org/officeDocument/2006/relationships/hyperlink" Target="https://in.tradingview.com/chart/bXJLby4L/?symbol=NSE%3AABLBL" TargetMode="External"/><Relationship Id="rId97" Type="http://schemas.openxmlformats.org/officeDocument/2006/relationships/hyperlink" Target="https://in.tradingview.com/chart/Cgv3Jm6J/?symbol=NSE%3AADANIPORTS" TargetMode="External"/><Relationship Id="rId96" Type="http://schemas.openxmlformats.org/officeDocument/2006/relationships/hyperlink" Target="https://in.tradingview.com/chart/bXJLby4L/?symbol=NSE%3ABIRLAMONEY" TargetMode="External"/><Relationship Id="rId99" Type="http://schemas.openxmlformats.org/officeDocument/2006/relationships/hyperlink" Target="https://in.tradingview.com/chart/Cgv3Jm6J/?symbol=NSE%3AADANIPOWER" TargetMode="External"/><Relationship Id="rId98" Type="http://schemas.openxmlformats.org/officeDocument/2006/relationships/hyperlink" Target="https://in.tradingview.com/chart/bXJLby4L/?symbol=NSE%3AABREL" TargetMode="External"/><Relationship Id="rId91" Type="http://schemas.openxmlformats.org/officeDocument/2006/relationships/hyperlink" Target="https://in.tradingview.com/chart/Cgv3Jm6J/?symbol=NSE%3AADANIENSOL" TargetMode="External"/><Relationship Id="rId90" Type="http://schemas.openxmlformats.org/officeDocument/2006/relationships/hyperlink" Target="https://in.tradingview.com/chart/bXJLby4L/?symbol=NSE%3AABCAPITAL" TargetMode="External"/><Relationship Id="rId93" Type="http://schemas.openxmlformats.org/officeDocument/2006/relationships/hyperlink" Target="https://in.tradingview.com/chart/Cgv3Jm6J/?symbol=NSE%3AADANIENT" TargetMode="External"/><Relationship Id="rId92" Type="http://schemas.openxmlformats.org/officeDocument/2006/relationships/hyperlink" Target="https://in.tradingview.com/chart/bXJLby4L/?symbol=NSE%3AABFRL" TargetMode="External"/><Relationship Id="rId359" Type="http://schemas.openxmlformats.org/officeDocument/2006/relationships/hyperlink" Target="https://in.tradingview.com/chart/Cgv3Jm6J/?symbol=NSE%3AASTRAMICRO" TargetMode="External"/><Relationship Id="rId358" Type="http://schemas.openxmlformats.org/officeDocument/2006/relationships/hyperlink" Target="https://in.tradingview.com/chart/bXJLby4L/?symbol=NSE%3AARVEE" TargetMode="External"/><Relationship Id="rId357" Type="http://schemas.openxmlformats.org/officeDocument/2006/relationships/hyperlink" Target="https://in.tradingview.com/chart/Cgv3Jm6J/?symbol=NSE%3AASTRAL" TargetMode="External"/><Relationship Id="rId2270" Type="http://schemas.openxmlformats.org/officeDocument/2006/relationships/hyperlink" Target="https://in.tradingview.com/chart/bXJLby4L/?symbol=NSE%3AKALYANIFRG" TargetMode="External"/><Relationship Id="rId2271" Type="http://schemas.openxmlformats.org/officeDocument/2006/relationships/hyperlink" Target="https://in.tradingview.com/chart/Cgv3Jm6J/?symbol=NSE%3ALIQUID1" TargetMode="External"/><Relationship Id="rId352" Type="http://schemas.openxmlformats.org/officeDocument/2006/relationships/hyperlink" Target="https://in.tradingview.com/chart/bXJLby4L/?symbol=NSE%3AARROWGREEN" TargetMode="External"/><Relationship Id="rId2272" Type="http://schemas.openxmlformats.org/officeDocument/2006/relationships/hyperlink" Target="https://in.tradingview.com/chart/bXJLby4L/?symbol=NSE%3AKICL" TargetMode="External"/><Relationship Id="rId351" Type="http://schemas.openxmlformats.org/officeDocument/2006/relationships/hyperlink" Target="https://in.tradingview.com/chart/Cgv3Jm6J/?symbol=NSE%3AASPINWALL" TargetMode="External"/><Relationship Id="rId2273" Type="http://schemas.openxmlformats.org/officeDocument/2006/relationships/hyperlink" Target="https://in.tradingview.com/chart/Cgv3Jm6J/?symbol=NSE%3ALIQUIDADD" TargetMode="External"/><Relationship Id="rId350" Type="http://schemas.openxmlformats.org/officeDocument/2006/relationships/hyperlink" Target="https://in.tradingview.com/chart/bXJLby4L/?symbol=NSE%3AAROGRANITE" TargetMode="External"/><Relationship Id="rId2274" Type="http://schemas.openxmlformats.org/officeDocument/2006/relationships/hyperlink" Target="https://in.tradingview.com/chart/bXJLby4L/?symbol=NSE%3AKSL" TargetMode="External"/><Relationship Id="rId2275" Type="http://schemas.openxmlformats.org/officeDocument/2006/relationships/hyperlink" Target="https://in.tradingview.com/chart/Cgv3Jm6J/?symbol=NSE%3ALIQUIDBEES" TargetMode="External"/><Relationship Id="rId356" Type="http://schemas.openxmlformats.org/officeDocument/2006/relationships/hyperlink" Target="https://in.tradingview.com/chart/bXJLby4L/?symbol=NSE%3AARTEMISMED" TargetMode="External"/><Relationship Id="rId2276" Type="http://schemas.openxmlformats.org/officeDocument/2006/relationships/hyperlink" Target="https://in.tradingview.com/chart/bXJLby4L/?symbol=NSE%3AKAMATHOTEL" TargetMode="External"/><Relationship Id="rId355" Type="http://schemas.openxmlformats.org/officeDocument/2006/relationships/hyperlink" Target="https://in.tradingview.com/chart/Cgv3Jm6J/?symbol=NSE%3AASTERDM" TargetMode="External"/><Relationship Id="rId2277" Type="http://schemas.openxmlformats.org/officeDocument/2006/relationships/hyperlink" Target="https://in.tradingview.com/chart/Cgv3Jm6J/?symbol=NSE%3ALIQUIDBETF" TargetMode="External"/><Relationship Id="rId354" Type="http://schemas.openxmlformats.org/officeDocument/2006/relationships/hyperlink" Target="https://in.tradingview.com/chart/bXJLby4L/?symbol=NSE%3AARTNIRMAN" TargetMode="External"/><Relationship Id="rId2278" Type="http://schemas.openxmlformats.org/officeDocument/2006/relationships/hyperlink" Target="https://in.tradingview.com/chart/bXJLby4L/?symbol=NSE%3AKAMDHENU" TargetMode="External"/><Relationship Id="rId353" Type="http://schemas.openxmlformats.org/officeDocument/2006/relationships/hyperlink" Target="https://in.tradingview.com/chart/Cgv3Jm6J/?symbol=NSE%3AASTEC" TargetMode="External"/><Relationship Id="rId2279" Type="http://schemas.openxmlformats.org/officeDocument/2006/relationships/hyperlink" Target="https://in.tradingview.com/chart/Cgv3Jm6J/?symbol=NSE%3ALIQUIDCASE" TargetMode="External"/><Relationship Id="rId2225" Type="http://schemas.openxmlformats.org/officeDocument/2006/relationships/hyperlink" Target="https://in.tradingview.com/chart/Cgv3Jm6J/?symbol=NSE%3ALAURUSLABS" TargetMode="External"/><Relationship Id="rId3557" Type="http://schemas.openxmlformats.org/officeDocument/2006/relationships/hyperlink" Target="https://in.tradingview.com/chart/Cgv3Jm6J/?symbol=NSE%3ASENSEXETF" TargetMode="External"/><Relationship Id="rId2226" Type="http://schemas.openxmlformats.org/officeDocument/2006/relationships/hyperlink" Target="https://in.tradingview.com/chart/bXJLby4L/?symbol=NSE%3AJTLIND" TargetMode="External"/><Relationship Id="rId3556" Type="http://schemas.openxmlformats.org/officeDocument/2006/relationships/hyperlink" Target="https://in.tradingview.com/chart/bXJLby4L/?symbol=NSE%3APRICOLLTD" TargetMode="External"/><Relationship Id="rId2227" Type="http://schemas.openxmlformats.org/officeDocument/2006/relationships/hyperlink" Target="https://in.tradingview.com/chart/Cgv3Jm6J/?symbol=NSE%3ALAXMICOT" TargetMode="External"/><Relationship Id="rId3559" Type="http://schemas.openxmlformats.org/officeDocument/2006/relationships/hyperlink" Target="https://in.tradingview.com/chart/Cgv3Jm6J/?symbol=NSE%3ASENSEXIETF" TargetMode="External"/><Relationship Id="rId2228" Type="http://schemas.openxmlformats.org/officeDocument/2006/relationships/hyperlink" Target="https://in.tradingview.com/chart/bXJLby4L/?symbol=NSE%3AJUBLCPL" TargetMode="External"/><Relationship Id="rId3558" Type="http://schemas.openxmlformats.org/officeDocument/2006/relationships/hyperlink" Target="https://in.tradingview.com/chart/bXJLby4L/?symbol=NSE%3APFOCUS" TargetMode="External"/><Relationship Id="rId2229" Type="http://schemas.openxmlformats.org/officeDocument/2006/relationships/hyperlink" Target="https://in.tradingview.com/chart/Cgv3Jm6J/?symbol=NSE%3ALAXMIDENTL" TargetMode="External"/><Relationship Id="rId305" Type="http://schemas.openxmlformats.org/officeDocument/2006/relationships/hyperlink" Target="https://in.tradingview.com/chart/Cgv3Jm6J/?symbol=NSE%3AARROWGREEN" TargetMode="External"/><Relationship Id="rId304" Type="http://schemas.openxmlformats.org/officeDocument/2006/relationships/hyperlink" Target="https://in.tradingview.com/chart/bXJLby4L/?symbol=NSE%3AAPARINDS" TargetMode="External"/><Relationship Id="rId303" Type="http://schemas.openxmlformats.org/officeDocument/2006/relationships/hyperlink" Target="https://in.tradingview.com/chart/Cgv3Jm6J/?symbol=NSE%3AAROGRANITE" TargetMode="External"/><Relationship Id="rId302" Type="http://schemas.openxmlformats.org/officeDocument/2006/relationships/hyperlink" Target="https://in.tradingview.com/chart/bXJLby4L/?symbol=NSE%3AAONENIFTY" TargetMode="External"/><Relationship Id="rId309" Type="http://schemas.openxmlformats.org/officeDocument/2006/relationships/hyperlink" Target="https://in.tradingview.com/chart/Cgv3Jm6J/?symbol=NSE%3AARTNIRMAN" TargetMode="External"/><Relationship Id="rId308" Type="http://schemas.openxmlformats.org/officeDocument/2006/relationships/hyperlink" Target="https://in.tradingview.com/chart/bXJLby4L/?symbol=NSE%3APARKHOTELS" TargetMode="External"/><Relationship Id="rId307" Type="http://schemas.openxmlformats.org/officeDocument/2006/relationships/hyperlink" Target="https://in.tradingview.com/chart/Cgv3Jm6J/?symbol=NSE%3AARTEMISMED" TargetMode="External"/><Relationship Id="rId306" Type="http://schemas.openxmlformats.org/officeDocument/2006/relationships/hyperlink" Target="https://in.tradingview.com/chart/bXJLby4L/?symbol=NSE%3AAPCOTEXIND" TargetMode="External"/><Relationship Id="rId3551" Type="http://schemas.openxmlformats.org/officeDocument/2006/relationships/hyperlink" Target="https://in.tradingview.com/chart/Cgv3Jm6J/?symbol=NSE%3ASENCO" TargetMode="External"/><Relationship Id="rId2220" Type="http://schemas.openxmlformats.org/officeDocument/2006/relationships/hyperlink" Target="https://in.tradingview.com/chart/bXJLby4L/?symbol=NSE%3AJSWINFRA" TargetMode="External"/><Relationship Id="rId3550" Type="http://schemas.openxmlformats.org/officeDocument/2006/relationships/hyperlink" Target="https://in.tradingview.com/chart/bXJLby4L/?symbol=NSE%3APREMEXPLN" TargetMode="External"/><Relationship Id="rId301" Type="http://schemas.openxmlformats.org/officeDocument/2006/relationships/hyperlink" Target="https://in.tradingview.com/chart/Cgv3Jm6J/?symbol=NSE%3AARMANFIN" TargetMode="External"/><Relationship Id="rId2221" Type="http://schemas.openxmlformats.org/officeDocument/2006/relationships/hyperlink" Target="https://in.tradingview.com/chart/Cgv3Jm6J/?symbol=NSE%3ALASA" TargetMode="External"/><Relationship Id="rId3553" Type="http://schemas.openxmlformats.org/officeDocument/2006/relationships/hyperlink" Target="https://in.tradingview.com/chart/Cgv3Jm6J/?symbol=NSE%3ASENORES" TargetMode="External"/><Relationship Id="rId300" Type="http://schemas.openxmlformats.org/officeDocument/2006/relationships/hyperlink" Target="https://in.tradingview.com/chart/bXJLby4L/?symbol=NSE%3AANURAS" TargetMode="External"/><Relationship Id="rId2222" Type="http://schemas.openxmlformats.org/officeDocument/2006/relationships/hyperlink" Target="https://in.tradingview.com/chart/bXJLby4L/?symbol=NSE%3AJSWSTEEL" TargetMode="External"/><Relationship Id="rId3552" Type="http://schemas.openxmlformats.org/officeDocument/2006/relationships/hyperlink" Target="https://in.tradingview.com/chart/bXJLby4L/?symbol=NSE%3APREMIERPOL" TargetMode="External"/><Relationship Id="rId2223" Type="http://schemas.openxmlformats.org/officeDocument/2006/relationships/hyperlink" Target="https://in.tradingview.com/chart/Cgv3Jm6J/?symbol=NSE%3ALATENTVIEW" TargetMode="External"/><Relationship Id="rId3555" Type="http://schemas.openxmlformats.org/officeDocument/2006/relationships/hyperlink" Target="https://in.tradingview.com/chart/Cgv3Jm6J/?symbol=NSE%3ASENSEXADD" TargetMode="External"/><Relationship Id="rId2224" Type="http://schemas.openxmlformats.org/officeDocument/2006/relationships/hyperlink" Target="https://in.tradingview.com/chart/bXJLby4L/?symbol=NSE%3AJTEKTINDIA" TargetMode="External"/><Relationship Id="rId3554" Type="http://schemas.openxmlformats.org/officeDocument/2006/relationships/hyperlink" Target="https://in.tradingview.com/chart/bXJLby4L/?symbol=NSE%3APRESTIGE" TargetMode="External"/><Relationship Id="rId2214" Type="http://schemas.openxmlformats.org/officeDocument/2006/relationships/hyperlink" Target="https://in.tradingview.com/chart/bXJLby4L/?symbol=NSE%3AJSWCEMENT" TargetMode="External"/><Relationship Id="rId3546" Type="http://schemas.openxmlformats.org/officeDocument/2006/relationships/hyperlink" Target="https://in.tradingview.com/chart/bXJLby4L/?symbol=NSE%3APRECOT" TargetMode="External"/><Relationship Id="rId2215" Type="http://schemas.openxmlformats.org/officeDocument/2006/relationships/hyperlink" Target="https://in.tradingview.com/chart/Cgv3Jm6J/?symbol=NSE%3ALANCORHOL" TargetMode="External"/><Relationship Id="rId3545" Type="http://schemas.openxmlformats.org/officeDocument/2006/relationships/hyperlink" Target="https://in.tradingview.com/chart/Cgv3Jm6J/?symbol=NSE%3ASECURKLOUD" TargetMode="External"/><Relationship Id="rId2216" Type="http://schemas.openxmlformats.org/officeDocument/2006/relationships/hyperlink" Target="https://in.tradingview.com/chart/bXJLby4L/?symbol=NSE%3AJSWENERGY" TargetMode="External"/><Relationship Id="rId3548" Type="http://schemas.openxmlformats.org/officeDocument/2006/relationships/hyperlink" Target="https://in.tradingview.com/chart/bXJLby4L/?symbol=NSE%3APREMIERENE" TargetMode="External"/><Relationship Id="rId2217" Type="http://schemas.openxmlformats.org/officeDocument/2006/relationships/hyperlink" Target="https://in.tradingview.com/chart/Cgv3Jm6J/?symbol=NSE%3ALANDMARK" TargetMode="External"/><Relationship Id="rId3547" Type="http://schemas.openxmlformats.org/officeDocument/2006/relationships/hyperlink" Target="https://in.tradingview.com/chart/Cgv3Jm6J/?symbol=NSE%3ASEJALLTD" TargetMode="External"/><Relationship Id="rId2218" Type="http://schemas.openxmlformats.org/officeDocument/2006/relationships/hyperlink" Target="https://in.tradingview.com/chart/bXJLby4L/?symbol=NSE%3AJSWHL" TargetMode="External"/><Relationship Id="rId2219" Type="http://schemas.openxmlformats.org/officeDocument/2006/relationships/hyperlink" Target="https://in.tradingview.com/chart/Cgv3Jm6J/?symbol=NSE%3ALAOPALA" TargetMode="External"/><Relationship Id="rId3549" Type="http://schemas.openxmlformats.org/officeDocument/2006/relationships/hyperlink" Target="https://in.tradingview.com/chart/Cgv3Jm6J/?symbol=NSE%3ASELMC" TargetMode="External"/><Relationship Id="rId3540" Type="http://schemas.openxmlformats.org/officeDocument/2006/relationships/hyperlink" Target="https://in.tradingview.com/chart/bXJLby4L/?symbol=NSE%3APRAXIS" TargetMode="External"/><Relationship Id="rId2210" Type="http://schemas.openxmlformats.org/officeDocument/2006/relationships/hyperlink" Target="https://in.tradingview.com/chart/bXJLby4L/?symbol=NSE%3AJOCIL" TargetMode="External"/><Relationship Id="rId3542" Type="http://schemas.openxmlformats.org/officeDocument/2006/relationships/hyperlink" Target="https://in.tradingview.com/chart/bXJLby4L/?symbol=NSE%3APRECAM" TargetMode="External"/><Relationship Id="rId2211" Type="http://schemas.openxmlformats.org/officeDocument/2006/relationships/hyperlink" Target="https://in.tradingview.com/chart/Cgv3Jm6J/?symbol=NSE%3ALALPATHLAB" TargetMode="External"/><Relationship Id="rId3541" Type="http://schemas.openxmlformats.org/officeDocument/2006/relationships/hyperlink" Target="https://in.tradingview.com/chart/Cgv3Jm6J/?symbol=NSE%3ASEAMECLTD" TargetMode="External"/><Relationship Id="rId2212" Type="http://schemas.openxmlformats.org/officeDocument/2006/relationships/hyperlink" Target="https://in.tradingview.com/chart/bXJLby4L/?symbol=NSE%3AJCHAC" TargetMode="External"/><Relationship Id="rId3544" Type="http://schemas.openxmlformats.org/officeDocument/2006/relationships/hyperlink" Target="https://in.tradingview.com/chart/bXJLby4L/?symbol=NSE%3APRECWIRE" TargetMode="External"/><Relationship Id="rId2213" Type="http://schemas.openxmlformats.org/officeDocument/2006/relationships/hyperlink" Target="https://in.tradingview.com/chart/Cgv3Jm6J/?symbol=NSE%3ALAMBODHARA" TargetMode="External"/><Relationship Id="rId3543" Type="http://schemas.openxmlformats.org/officeDocument/2006/relationships/hyperlink" Target="https://in.tradingview.com/chart/Cgv3Jm6J/?symbol=NSE%3ASECMARK" TargetMode="External"/><Relationship Id="rId2247" Type="http://schemas.openxmlformats.org/officeDocument/2006/relationships/hyperlink" Target="https://in.tradingview.com/chart/Cgv3Jm6J/?symbol=NSE%3ALICI" TargetMode="External"/><Relationship Id="rId3579" Type="http://schemas.openxmlformats.org/officeDocument/2006/relationships/hyperlink" Target="https://in.tradingview.com/chart/Cgv3Jm6J/?symbol=NSE%3ASETFNN50" TargetMode="External"/><Relationship Id="rId2248" Type="http://schemas.openxmlformats.org/officeDocument/2006/relationships/hyperlink" Target="https://in.tradingview.com/chart/bXJLby4L/?symbol=NSE%3AJYOTICNC" TargetMode="External"/><Relationship Id="rId3578" Type="http://schemas.openxmlformats.org/officeDocument/2006/relationships/hyperlink" Target="https://in.tradingview.com/chart/bXJLby4L/?symbol=NSE%3APGHH" TargetMode="External"/><Relationship Id="rId2249" Type="http://schemas.openxmlformats.org/officeDocument/2006/relationships/hyperlink" Target="https://in.tradingview.com/chart/Cgv3Jm6J/?symbol=NSE%3ALICMFGOLD" TargetMode="External"/><Relationship Id="rId327" Type="http://schemas.openxmlformats.org/officeDocument/2006/relationships/hyperlink" Target="https://in.tradingview.com/chart/Cgv3Jm6J/?symbol=NSE%3AASHAPURMIN" TargetMode="External"/><Relationship Id="rId326" Type="http://schemas.openxmlformats.org/officeDocument/2006/relationships/hyperlink" Target="https://in.tradingview.com/chart/bXJLby4L/?symbol=NSE%3AAPTUS" TargetMode="External"/><Relationship Id="rId325" Type="http://schemas.openxmlformats.org/officeDocument/2006/relationships/hyperlink" Target="https://in.tradingview.com/chart/Cgv3Jm6J/?symbol=NSE%3AASALCBR" TargetMode="External"/><Relationship Id="rId324" Type="http://schemas.openxmlformats.org/officeDocument/2006/relationships/hyperlink" Target="https://in.tradingview.com/chart/bXJLby4L/?symbol=NSE%3AAPTECHT" TargetMode="External"/><Relationship Id="rId329" Type="http://schemas.openxmlformats.org/officeDocument/2006/relationships/hyperlink" Target="https://in.tradingview.com/chart/Cgv3Jm6J/?symbol=NSE%3AASHIANA" TargetMode="External"/><Relationship Id="rId328" Type="http://schemas.openxmlformats.org/officeDocument/2006/relationships/hyperlink" Target="https://in.tradingview.com/chart/bXJLby4L/?symbol=NSE%3AACI" TargetMode="External"/><Relationship Id="rId3571" Type="http://schemas.openxmlformats.org/officeDocument/2006/relationships/hyperlink" Target="https://in.tradingview.com/chart/Cgv3Jm6J/?symbol=NSE%3ASETF10GILT" TargetMode="External"/><Relationship Id="rId2240" Type="http://schemas.openxmlformats.org/officeDocument/2006/relationships/hyperlink" Target="https://in.tradingview.com/chart/bXJLby4L/?symbol=NSE%3AJLHL" TargetMode="External"/><Relationship Id="rId3570" Type="http://schemas.openxmlformats.org/officeDocument/2006/relationships/hyperlink" Target="https://in.tradingview.com/chart/bXJLby4L/?symbol=NSE%3APRITIKAUTO" TargetMode="External"/><Relationship Id="rId2241" Type="http://schemas.openxmlformats.org/officeDocument/2006/relationships/hyperlink" Target="https://in.tradingview.com/chart/Cgv3Jm6J/?symbol=NSE%3ALIBAS" TargetMode="External"/><Relationship Id="rId3573" Type="http://schemas.openxmlformats.org/officeDocument/2006/relationships/hyperlink" Target="https://in.tradingview.com/chart/Cgv3Jm6J/?symbol=NSE%3ASETFGOLD" TargetMode="External"/><Relationship Id="rId2242" Type="http://schemas.openxmlformats.org/officeDocument/2006/relationships/hyperlink" Target="https://in.tradingview.com/chart/bXJLby4L/?symbol=NSE%3AJWL" TargetMode="External"/><Relationship Id="rId3572" Type="http://schemas.openxmlformats.org/officeDocument/2006/relationships/hyperlink" Target="https://in.tradingview.com/chart/bXJLby4L/?symbol=NSE%3APNC" TargetMode="External"/><Relationship Id="rId323" Type="http://schemas.openxmlformats.org/officeDocument/2006/relationships/hyperlink" Target="https://in.tradingview.com/chart/Cgv3Jm6J/?symbol=NSE%3AASAL" TargetMode="External"/><Relationship Id="rId2243" Type="http://schemas.openxmlformats.org/officeDocument/2006/relationships/hyperlink" Target="https://in.tradingview.com/chart/Cgv3Jm6J/?symbol=NSE%3ALIBERTSHOE" TargetMode="External"/><Relationship Id="rId3575" Type="http://schemas.openxmlformats.org/officeDocument/2006/relationships/hyperlink" Target="https://in.tradingview.com/chart/Cgv3Jm6J/?symbol=NSE%3ASETFNIF50" TargetMode="External"/><Relationship Id="rId322" Type="http://schemas.openxmlformats.org/officeDocument/2006/relationships/hyperlink" Target="https://in.tradingview.com/chart/bXJLby4L/?symbol=NSE%3AAPOLLOTYRE" TargetMode="External"/><Relationship Id="rId2244" Type="http://schemas.openxmlformats.org/officeDocument/2006/relationships/hyperlink" Target="https://in.tradingview.com/chart/bXJLby4L/?symbol=NSE%3AJUSTDIAL" TargetMode="External"/><Relationship Id="rId3574" Type="http://schemas.openxmlformats.org/officeDocument/2006/relationships/hyperlink" Target="https://in.tradingview.com/chart/bXJLby4L/?symbol=NSE%3APRIVISCL" TargetMode="External"/><Relationship Id="rId321" Type="http://schemas.openxmlformats.org/officeDocument/2006/relationships/hyperlink" Target="https://in.tradingview.com/chart/Cgv3Jm6J/?symbol=NSE%3AASAHISONG" TargetMode="External"/><Relationship Id="rId2245" Type="http://schemas.openxmlformats.org/officeDocument/2006/relationships/hyperlink" Target="https://in.tradingview.com/chart/Cgv3Jm6J/?symbol=NSE%3ALICHSGFIN" TargetMode="External"/><Relationship Id="rId3577" Type="http://schemas.openxmlformats.org/officeDocument/2006/relationships/hyperlink" Target="https://in.tradingview.com/chart/Cgv3Jm6J/?symbol=NSE%3ASETFNIFBK" TargetMode="External"/><Relationship Id="rId320" Type="http://schemas.openxmlformats.org/officeDocument/2006/relationships/hyperlink" Target="https://in.tradingview.com/chart/bXJLby4L/?symbol=NSE%3AAPOLSINHOT" TargetMode="External"/><Relationship Id="rId2246" Type="http://schemas.openxmlformats.org/officeDocument/2006/relationships/hyperlink" Target="https://in.tradingview.com/chart/bXJLby4L/?symbol=NSE%3AJYOTHYLAB" TargetMode="External"/><Relationship Id="rId3576" Type="http://schemas.openxmlformats.org/officeDocument/2006/relationships/hyperlink" Target="https://in.tradingview.com/chart/bXJLby4L/?symbol=NSE%3APGHL" TargetMode="External"/><Relationship Id="rId2236" Type="http://schemas.openxmlformats.org/officeDocument/2006/relationships/hyperlink" Target="https://in.tradingview.com/chart/bXJLby4L/?symbol=NSE%3AJMA" TargetMode="External"/><Relationship Id="rId3568" Type="http://schemas.openxmlformats.org/officeDocument/2006/relationships/hyperlink" Target="https://in.tradingview.com/chart/bXJLby4L/?symbol=NSE%3APRITI" TargetMode="External"/><Relationship Id="rId2237" Type="http://schemas.openxmlformats.org/officeDocument/2006/relationships/hyperlink" Target="https://in.tradingview.com/chart/Cgv3Jm6J/?symbol=NSE%3ALGBBROSLTD" TargetMode="External"/><Relationship Id="rId3567" Type="http://schemas.openxmlformats.org/officeDocument/2006/relationships/hyperlink" Target="https://in.tradingview.com/chart/Cgv3Jm6J/?symbol=NSE%3ASESHAPAPER" TargetMode="External"/><Relationship Id="rId2238" Type="http://schemas.openxmlformats.org/officeDocument/2006/relationships/hyperlink" Target="https://in.tradingview.com/chart/bXJLby4L/?symbol=NSE%3AJUNIPER" TargetMode="External"/><Relationship Id="rId2239" Type="http://schemas.openxmlformats.org/officeDocument/2006/relationships/hyperlink" Target="https://in.tradingview.com/chart/Cgv3Jm6J/?symbol=NSE%3ALGHL" TargetMode="External"/><Relationship Id="rId3569" Type="http://schemas.openxmlformats.org/officeDocument/2006/relationships/hyperlink" Target="https://in.tradingview.com/chart/Cgv3Jm6J/?symbol=NSE%3ASETCO" TargetMode="External"/><Relationship Id="rId316" Type="http://schemas.openxmlformats.org/officeDocument/2006/relationships/hyperlink" Target="https://in.tradingview.com/chart/bXJLby4L/?symbol=NSE%3AAPOLLO" TargetMode="External"/><Relationship Id="rId315" Type="http://schemas.openxmlformats.org/officeDocument/2006/relationships/hyperlink" Target="https://in.tradingview.com/chart/Cgv3Jm6J/?symbol=NSE%3AARVINDFASN" TargetMode="External"/><Relationship Id="rId314" Type="http://schemas.openxmlformats.org/officeDocument/2006/relationships/hyperlink" Target="https://in.tradingview.com/chart/bXJLby4L/?symbol=NSE%3AAPOLLOHOSP" TargetMode="External"/><Relationship Id="rId313" Type="http://schemas.openxmlformats.org/officeDocument/2006/relationships/hyperlink" Target="https://in.tradingview.com/chart/Cgv3Jm6J/?symbol=NSE%3AARVIND" TargetMode="External"/><Relationship Id="rId319" Type="http://schemas.openxmlformats.org/officeDocument/2006/relationships/hyperlink" Target="https://in.tradingview.com/chart/Cgv3Jm6J/?symbol=NSE%3AASAHIINDIA" TargetMode="External"/><Relationship Id="rId318" Type="http://schemas.openxmlformats.org/officeDocument/2006/relationships/hyperlink" Target="https://in.tradingview.com/chart/bXJLby4L/?symbol=NSE%3AAPOLLOPIPE" TargetMode="External"/><Relationship Id="rId317" Type="http://schemas.openxmlformats.org/officeDocument/2006/relationships/hyperlink" Target="https://in.tradingview.com/chart/Cgv3Jm6J/?symbol=NSE%3AARVSMART" TargetMode="External"/><Relationship Id="rId3560" Type="http://schemas.openxmlformats.org/officeDocument/2006/relationships/hyperlink" Target="https://in.tradingview.com/chart/bXJLby4L/?symbol=NSE%3APRIMESECU" TargetMode="External"/><Relationship Id="rId2230" Type="http://schemas.openxmlformats.org/officeDocument/2006/relationships/hyperlink" Target="https://in.tradingview.com/chart/bXJLby4L/?symbol=NSE%3AJUBLFOOD" TargetMode="External"/><Relationship Id="rId3562" Type="http://schemas.openxmlformats.org/officeDocument/2006/relationships/hyperlink" Target="https://in.tradingview.com/chart/bXJLby4L/?symbol=NSE%3APRIMO" TargetMode="External"/><Relationship Id="rId2231" Type="http://schemas.openxmlformats.org/officeDocument/2006/relationships/hyperlink" Target="https://in.tradingview.com/chart/Cgv3Jm6J/?symbol=NSE%3ALEMONTREE" TargetMode="External"/><Relationship Id="rId3561" Type="http://schemas.openxmlformats.org/officeDocument/2006/relationships/hyperlink" Target="https://in.tradingview.com/chart/Cgv3Jm6J/?symbol=NSE%3ASEPC" TargetMode="External"/><Relationship Id="rId312" Type="http://schemas.openxmlformats.org/officeDocument/2006/relationships/hyperlink" Target="https://in.tradingview.com/chart/bXJLby4L/?symbol=NSE%3AAPLAPOLLO" TargetMode="External"/><Relationship Id="rId2232" Type="http://schemas.openxmlformats.org/officeDocument/2006/relationships/hyperlink" Target="https://in.tradingview.com/chart/bXJLby4L/?symbol=NSE%3AJUBLINGREA" TargetMode="External"/><Relationship Id="rId3564" Type="http://schemas.openxmlformats.org/officeDocument/2006/relationships/hyperlink" Target="https://in.tradingview.com/chart/bXJLby4L/?symbol=NSE%3APRINCEPIPE" TargetMode="External"/><Relationship Id="rId311" Type="http://schemas.openxmlformats.org/officeDocument/2006/relationships/hyperlink" Target="https://in.tradingview.com/chart/Cgv3Jm6J/?symbol=NSE%3AARVEE" TargetMode="External"/><Relationship Id="rId2233" Type="http://schemas.openxmlformats.org/officeDocument/2006/relationships/hyperlink" Target="https://in.tradingview.com/chart/Cgv3Jm6J/?symbol=NSE%3ALEXUS" TargetMode="External"/><Relationship Id="rId3563" Type="http://schemas.openxmlformats.org/officeDocument/2006/relationships/hyperlink" Target="https://in.tradingview.com/chart/Cgv3Jm6J/?symbol=NSE%3ASEQUENT" TargetMode="External"/><Relationship Id="rId310" Type="http://schemas.openxmlformats.org/officeDocument/2006/relationships/hyperlink" Target="https://in.tradingview.com/chart/bXJLby4L/?symbol=NSE%3AAPEX" TargetMode="External"/><Relationship Id="rId2234" Type="http://schemas.openxmlformats.org/officeDocument/2006/relationships/hyperlink" Target="https://in.tradingview.com/chart/bXJLby4L/?symbol=NSE%3AJUBLPHARMA" TargetMode="External"/><Relationship Id="rId3566" Type="http://schemas.openxmlformats.org/officeDocument/2006/relationships/hyperlink" Target="https://in.tradingview.com/chart/bXJLby4L/?symbol=NSE%3APRSMJOHNSN" TargetMode="External"/><Relationship Id="rId2235" Type="http://schemas.openxmlformats.org/officeDocument/2006/relationships/hyperlink" Target="https://in.tradingview.com/chart/Cgv3Jm6J/?symbol=NSE%3ALFIC" TargetMode="External"/><Relationship Id="rId3565" Type="http://schemas.openxmlformats.org/officeDocument/2006/relationships/hyperlink" Target="https://in.tradingview.com/chart/Cgv3Jm6J/?symbol=NSE%3ASERVOTECH" TargetMode="External"/><Relationship Id="rId4040" Type="http://schemas.openxmlformats.org/officeDocument/2006/relationships/hyperlink" Target="https://in.tradingview.com/chart/bXJLby4L/?symbol=NSE%3ASHILCTECH" TargetMode="External"/><Relationship Id="rId4042" Type="http://schemas.openxmlformats.org/officeDocument/2006/relationships/hyperlink" Target="https://in.tradingview.com/chart/bXJLby4L/?symbol=NSE%3ASHILPAMED" TargetMode="External"/><Relationship Id="rId4041" Type="http://schemas.openxmlformats.org/officeDocument/2006/relationships/hyperlink" Target="https://in.tradingview.com/chart/Cgv3Jm6J/?symbol=NSE%3ATHOMASCOOK" TargetMode="External"/><Relationship Id="rId4044" Type="http://schemas.openxmlformats.org/officeDocument/2006/relationships/hyperlink" Target="https://in.tradingview.com/chart/bXJLby4L/?symbol=NSE%3ASCILAL" TargetMode="External"/><Relationship Id="rId4043" Type="http://schemas.openxmlformats.org/officeDocument/2006/relationships/hyperlink" Target="https://in.tradingview.com/chart/Cgv3Jm6J/?symbol=NSE%3ATHOMASCOTT" TargetMode="External"/><Relationship Id="rId4046" Type="http://schemas.openxmlformats.org/officeDocument/2006/relationships/hyperlink" Target="https://in.tradingview.com/chart/bXJLby4L/?symbol=NSE%3ASCI" TargetMode="External"/><Relationship Id="rId4045" Type="http://schemas.openxmlformats.org/officeDocument/2006/relationships/hyperlink" Target="https://in.tradingview.com/chart/Cgv3Jm6J/?symbol=NSE%3ATHYROCARE" TargetMode="External"/><Relationship Id="rId4048" Type="http://schemas.openxmlformats.org/officeDocument/2006/relationships/hyperlink" Target="https://in.tradingview.com/chart/bXJLby4L/?symbol=NSE%3ASHIVAMILLS" TargetMode="External"/><Relationship Id="rId4047" Type="http://schemas.openxmlformats.org/officeDocument/2006/relationships/hyperlink" Target="https://in.tradingview.com/chart/Cgv3Jm6J/?symbol=NSE%3ATI" TargetMode="External"/><Relationship Id="rId4049" Type="http://schemas.openxmlformats.org/officeDocument/2006/relationships/hyperlink" Target="https://in.tradingview.com/chart/Cgv3Jm6J/?symbol=NSE%3ATICL" TargetMode="External"/><Relationship Id="rId4031" Type="http://schemas.openxmlformats.org/officeDocument/2006/relationships/hyperlink" Target="https://in.tradingview.com/chart/Cgv3Jm6J/?symbol=NSE%3ATHANGAMAYL" TargetMode="External"/><Relationship Id="rId4030" Type="http://schemas.openxmlformats.org/officeDocument/2006/relationships/hyperlink" Target="https://in.tradingview.com/chart/bXJLby4L/?symbol=NSE%3ASHAREINDIA" TargetMode="External"/><Relationship Id="rId297" Type="http://schemas.openxmlformats.org/officeDocument/2006/relationships/hyperlink" Target="https://in.tradingview.com/chart/Cgv3Jm6J/?symbol=NSE%3AARIHANTSUP" TargetMode="External"/><Relationship Id="rId4033" Type="http://schemas.openxmlformats.org/officeDocument/2006/relationships/hyperlink" Target="https://in.tradingview.com/chart/Cgv3Jm6J/?symbol=NSE%3ATHEINVEST" TargetMode="External"/><Relationship Id="rId296" Type="http://schemas.openxmlformats.org/officeDocument/2006/relationships/hyperlink" Target="https://in.tradingview.com/chart/bXJLby4L/?symbol=NSE%3AAWHCL" TargetMode="External"/><Relationship Id="rId4032" Type="http://schemas.openxmlformats.org/officeDocument/2006/relationships/hyperlink" Target="https://in.tradingview.com/chart/bXJLby4L/?symbol=NSE%3ASFL" TargetMode="External"/><Relationship Id="rId295" Type="http://schemas.openxmlformats.org/officeDocument/2006/relationships/hyperlink" Target="https://in.tradingview.com/chart/Cgv3Jm6J/?symbol=NSE%3AARIHANTCAP" TargetMode="External"/><Relationship Id="rId4035" Type="http://schemas.openxmlformats.org/officeDocument/2006/relationships/hyperlink" Target="https://in.tradingview.com/chart/Cgv3Jm6J/?symbol=NSE%3ATHEJO" TargetMode="External"/><Relationship Id="rId294" Type="http://schemas.openxmlformats.org/officeDocument/2006/relationships/hyperlink" Target="https://in.tradingview.com/chart/bXJLby4L/?symbol=NSE%3AANTHEM" TargetMode="External"/><Relationship Id="rId4034" Type="http://schemas.openxmlformats.org/officeDocument/2006/relationships/hyperlink" Target="https://in.tradingview.com/chart/bXJLby4L/?symbol=NSE%3ASCPL" TargetMode="External"/><Relationship Id="rId4037" Type="http://schemas.openxmlformats.org/officeDocument/2006/relationships/hyperlink" Target="https://in.tradingview.com/chart/Cgv3Jm6J/?symbol=NSE%3ATHEMISMED" TargetMode="External"/><Relationship Id="rId4036" Type="http://schemas.openxmlformats.org/officeDocument/2006/relationships/hyperlink" Target="https://in.tradingview.com/chart/bXJLby4L/?symbol=NSE%3ASHEKHAWATI" TargetMode="External"/><Relationship Id="rId299" Type="http://schemas.openxmlformats.org/officeDocument/2006/relationships/hyperlink" Target="https://in.tradingview.com/chart/Cgv3Jm6J/?symbol=NSE%3AARKADE" TargetMode="External"/><Relationship Id="rId4039" Type="http://schemas.openxmlformats.org/officeDocument/2006/relationships/hyperlink" Target="https://in.tradingview.com/chart/Cgv3Jm6J/?symbol=NSE%3ATHERMAX" TargetMode="External"/><Relationship Id="rId298" Type="http://schemas.openxmlformats.org/officeDocument/2006/relationships/hyperlink" Target="https://in.tradingview.com/chart/bXJLby4L/?symbol=NSE%3AANUHPHR" TargetMode="External"/><Relationship Id="rId4038" Type="http://schemas.openxmlformats.org/officeDocument/2006/relationships/hyperlink" Target="https://in.tradingview.com/chart/bXJLby4L/?symbol=NSE%3ASHEMAROO" TargetMode="External"/><Relationship Id="rId4060" Type="http://schemas.openxmlformats.org/officeDocument/2006/relationships/hyperlink" Target="https://in.tradingview.com/chart/bXJLby4L/?symbol=NSE%3ASHRADHA" TargetMode="External"/><Relationship Id="rId4062" Type="http://schemas.openxmlformats.org/officeDocument/2006/relationships/hyperlink" Target="https://in.tradingview.com/chart/bXJLby4L/?symbol=NSE%3ASHREECEM" TargetMode="External"/><Relationship Id="rId4061" Type="http://schemas.openxmlformats.org/officeDocument/2006/relationships/hyperlink" Target="https://in.tradingview.com/chart/Cgv3Jm6J/?symbol=NSE%3ATIMETECHNO" TargetMode="External"/><Relationship Id="rId4064" Type="http://schemas.openxmlformats.org/officeDocument/2006/relationships/hyperlink" Target="https://in.tradingview.com/chart/bXJLby4L/?symbol=NSE%3ASHREDIGCEM" TargetMode="External"/><Relationship Id="rId4063" Type="http://schemas.openxmlformats.org/officeDocument/2006/relationships/hyperlink" Target="https://in.tradingview.com/chart/Cgv3Jm6J/?symbol=NSE%3ATIMKEN" TargetMode="External"/><Relationship Id="rId4066" Type="http://schemas.openxmlformats.org/officeDocument/2006/relationships/hyperlink" Target="https://in.tradingview.com/chart/bXJLby4L/?symbol=NSE%3ASHREEPUSHK" TargetMode="External"/><Relationship Id="rId4065" Type="http://schemas.openxmlformats.org/officeDocument/2006/relationships/hyperlink" Target="https://in.tradingview.com/chart/Cgv3Jm6J/?symbol=NSE%3ATIPSFILMS" TargetMode="External"/><Relationship Id="rId4068" Type="http://schemas.openxmlformats.org/officeDocument/2006/relationships/hyperlink" Target="https://in.tradingview.com/chart/bXJLby4L/?symbol=NSE%3ASHREERAMA" TargetMode="External"/><Relationship Id="rId4067" Type="http://schemas.openxmlformats.org/officeDocument/2006/relationships/hyperlink" Target="https://in.tradingview.com/chart/Cgv3Jm6J/?symbol=NSE%3ATIPSMUSIC" TargetMode="External"/><Relationship Id="rId4069" Type="http://schemas.openxmlformats.org/officeDocument/2006/relationships/hyperlink" Target="https://in.tradingview.com/chart/Cgv3Jm6J/?symbol=NSE%3ATIRUMALCHM" TargetMode="External"/><Relationship Id="rId4051" Type="http://schemas.openxmlformats.org/officeDocument/2006/relationships/hyperlink" Target="https://in.tradingview.com/chart/Cgv3Jm6J/?symbol=NSE%3ATIIL" TargetMode="External"/><Relationship Id="rId4050" Type="http://schemas.openxmlformats.org/officeDocument/2006/relationships/hyperlink" Target="https://in.tradingview.com/chart/bXJLby4L/?symbol=NSE%3ASHIVATEX" TargetMode="External"/><Relationship Id="rId4053" Type="http://schemas.openxmlformats.org/officeDocument/2006/relationships/hyperlink" Target="https://in.tradingview.com/chart/Cgv3Jm6J/?symbol=NSE%3ATIINDIA" TargetMode="External"/><Relationship Id="rId4052" Type="http://schemas.openxmlformats.org/officeDocument/2006/relationships/hyperlink" Target="https://in.tradingview.com/chart/bXJLby4L/?symbol=NSE%3ASBCL" TargetMode="External"/><Relationship Id="rId4055" Type="http://schemas.openxmlformats.org/officeDocument/2006/relationships/hyperlink" Target="https://in.tradingview.com/chart/Cgv3Jm6J/?symbol=NSE%3ATIJARIA" TargetMode="External"/><Relationship Id="rId4054" Type="http://schemas.openxmlformats.org/officeDocument/2006/relationships/hyperlink" Target="https://in.tradingview.com/chart/bXJLby4L/?symbol=NSE%3ASHIVALIK" TargetMode="External"/><Relationship Id="rId4057" Type="http://schemas.openxmlformats.org/officeDocument/2006/relationships/hyperlink" Target="https://in.tradingview.com/chart/Cgv3Jm6J/?symbol=NSE%3ATIL" TargetMode="External"/><Relationship Id="rId4056" Type="http://schemas.openxmlformats.org/officeDocument/2006/relationships/hyperlink" Target="https://in.tradingview.com/chart/bXJLby4L/?symbol=NSE%3ASHIVAMAUTO" TargetMode="External"/><Relationship Id="rId4059" Type="http://schemas.openxmlformats.org/officeDocument/2006/relationships/hyperlink" Target="https://in.tradingview.com/chart/Cgv3Jm6J/?symbol=NSE%3ATIMESGTY" TargetMode="External"/><Relationship Id="rId4058" Type="http://schemas.openxmlformats.org/officeDocument/2006/relationships/hyperlink" Target="https://in.tradingview.com/chart/bXJLby4L/?symbol=NSE%3ASHOPERSTOP" TargetMode="External"/><Relationship Id="rId4008" Type="http://schemas.openxmlformats.org/officeDocument/2006/relationships/hyperlink" Target="https://in.tradingview.com/chart/bXJLby4L/?symbol=NSE%3ASHAILY" TargetMode="External"/><Relationship Id="rId4007" Type="http://schemas.openxmlformats.org/officeDocument/2006/relationships/hyperlink" Target="https://in.tradingview.com/chart/Cgv3Jm6J/?symbol=NSE%3ATECH" TargetMode="External"/><Relationship Id="rId4009" Type="http://schemas.openxmlformats.org/officeDocument/2006/relationships/hyperlink" Target="https://in.tradingview.com/chart/Cgv3Jm6J/?symbol=NSE%3ATECHM" TargetMode="External"/><Relationship Id="rId271" Type="http://schemas.openxmlformats.org/officeDocument/2006/relationships/hyperlink" Target="https://in.tradingview.com/chart/Cgv3Jm6J/?symbol=NSE%3AAPOLLO" TargetMode="External"/><Relationship Id="rId270" Type="http://schemas.openxmlformats.org/officeDocument/2006/relationships/hyperlink" Target="https://in.tradingview.com/chart/bXJLby4L/?symbol=NSE%3AACL" TargetMode="External"/><Relationship Id="rId269" Type="http://schemas.openxmlformats.org/officeDocument/2006/relationships/hyperlink" Target="https://in.tradingview.com/chart/Cgv3Jm6J/?symbol=NSE%3AAPLLTD" TargetMode="External"/><Relationship Id="rId264" Type="http://schemas.openxmlformats.org/officeDocument/2006/relationships/hyperlink" Target="https://in.tradingview.com/chart/bXJLby4L/?symbol=NSE%3AANANDRATHI" TargetMode="External"/><Relationship Id="rId4000" Type="http://schemas.openxmlformats.org/officeDocument/2006/relationships/hyperlink" Target="https://in.tradingview.com/chart/bXJLby4L/?symbol=NSE%3ASEYAIND" TargetMode="External"/><Relationship Id="rId263" Type="http://schemas.openxmlformats.org/officeDocument/2006/relationships/hyperlink" Target="https://in.tradingview.com/chart/Cgv3Jm6J/?symbol=NSE%3AAPCOTEXIND" TargetMode="External"/><Relationship Id="rId262" Type="http://schemas.openxmlformats.org/officeDocument/2006/relationships/hyperlink" Target="https://in.tradingview.com/chart/bXJLby4L/?symbol=NSE%3AARSSBL" TargetMode="External"/><Relationship Id="rId4002" Type="http://schemas.openxmlformats.org/officeDocument/2006/relationships/hyperlink" Target="https://in.tradingview.com/chart/bXJLby4L/?symbol=NSE%3ASGFIN" TargetMode="External"/><Relationship Id="rId261" Type="http://schemas.openxmlformats.org/officeDocument/2006/relationships/hyperlink" Target="https://in.tradingview.com/chart/Cgv3Jm6J/?symbol=NSE%3AAPCL" TargetMode="External"/><Relationship Id="rId4001" Type="http://schemas.openxmlformats.org/officeDocument/2006/relationships/hyperlink" Target="https://in.tradingview.com/chart/Cgv3Jm6J/?symbol=NSE%3ATCS" TargetMode="External"/><Relationship Id="rId268" Type="http://schemas.openxmlformats.org/officeDocument/2006/relationships/hyperlink" Target="https://in.tradingview.com/chart/bXJLby4L/?symbol=NSE%3AANANTRAJ" TargetMode="External"/><Relationship Id="rId4004" Type="http://schemas.openxmlformats.org/officeDocument/2006/relationships/hyperlink" Target="https://in.tradingview.com/chart/bXJLby4L/?symbol=NSE%3ASGMART" TargetMode="External"/><Relationship Id="rId267" Type="http://schemas.openxmlformats.org/officeDocument/2006/relationships/hyperlink" Target="https://in.tradingview.com/chart/Cgv3Jm6J/?symbol=NSE%3AAPLAPOLLO" TargetMode="External"/><Relationship Id="rId4003" Type="http://schemas.openxmlformats.org/officeDocument/2006/relationships/hyperlink" Target="https://in.tradingview.com/chart/Cgv3Jm6J/?symbol=NSE%3ATDPOWERSYS" TargetMode="External"/><Relationship Id="rId266" Type="http://schemas.openxmlformats.org/officeDocument/2006/relationships/hyperlink" Target="https://in.tradingview.com/chart/bXJLby4L/?symbol=NSE%3ATARC" TargetMode="External"/><Relationship Id="rId4006" Type="http://schemas.openxmlformats.org/officeDocument/2006/relationships/hyperlink" Target="https://in.tradingview.com/chart/bXJLby4L/?symbol=NSE%3ASHAHALLOYS" TargetMode="External"/><Relationship Id="rId265" Type="http://schemas.openxmlformats.org/officeDocument/2006/relationships/hyperlink" Target="https://in.tradingview.com/chart/Cgv3Jm6J/?symbol=NSE%3AAPEX" TargetMode="External"/><Relationship Id="rId4005" Type="http://schemas.openxmlformats.org/officeDocument/2006/relationships/hyperlink" Target="https://in.tradingview.com/chart/Cgv3Jm6J/?symbol=NSE%3ATEAMLEASE" TargetMode="External"/><Relationship Id="rId260" Type="http://schemas.openxmlformats.org/officeDocument/2006/relationships/hyperlink" Target="https://in.tradingview.com/chart/bXJLby4L/?symbol=NSE%3AAMRUTANJAN" TargetMode="External"/><Relationship Id="rId259" Type="http://schemas.openxmlformats.org/officeDocument/2006/relationships/hyperlink" Target="https://in.tradingview.com/chart/Cgv3Jm6J/?symbol=NSE%3AAPARINDS" TargetMode="External"/><Relationship Id="rId258" Type="http://schemas.openxmlformats.org/officeDocument/2006/relationships/hyperlink" Target="https://in.tradingview.com/chart/bXJLby4L/?symbol=NSE%3AAMJLAND" TargetMode="External"/><Relationship Id="rId2290" Type="http://schemas.openxmlformats.org/officeDocument/2006/relationships/hyperlink" Target="https://in.tradingview.com/chart/bXJLby4L/?symbol=NSE%3AKARMAENG" TargetMode="External"/><Relationship Id="rId2291" Type="http://schemas.openxmlformats.org/officeDocument/2006/relationships/hyperlink" Target="https://in.tradingview.com/chart/Cgv3Jm6J/?symbol=NSE%3ALLOYDSENGG" TargetMode="External"/><Relationship Id="rId2292" Type="http://schemas.openxmlformats.org/officeDocument/2006/relationships/hyperlink" Target="https://in.tradingview.com/chart/bXJLby4L/?symbol=NSE%3AKARURVYSYA" TargetMode="External"/><Relationship Id="rId2293" Type="http://schemas.openxmlformats.org/officeDocument/2006/relationships/hyperlink" Target="https://in.tradingview.com/chart/Cgv3Jm6J/?symbol=NSE%3ALLOYDSENT" TargetMode="External"/><Relationship Id="rId253" Type="http://schemas.openxmlformats.org/officeDocument/2006/relationships/hyperlink" Target="https://in.tradingview.com/chart/Cgv3Jm6J/?symbol=NSE%3AANUP" TargetMode="External"/><Relationship Id="rId2294" Type="http://schemas.openxmlformats.org/officeDocument/2006/relationships/hyperlink" Target="https://in.tradingview.com/chart/bXJLby4L/?symbol=NSE%3AKAUSHALYA" TargetMode="External"/><Relationship Id="rId252" Type="http://schemas.openxmlformats.org/officeDocument/2006/relationships/hyperlink" Target="https://in.tradingview.com/chart/bXJLby4L/?symbol=NSE%3AAMBUJACEM" TargetMode="External"/><Relationship Id="rId2295" Type="http://schemas.openxmlformats.org/officeDocument/2006/relationships/hyperlink" Target="https://in.tradingview.com/chart/Cgv3Jm6J/?symbol=NSE%3ALLOYDSME" TargetMode="External"/><Relationship Id="rId251" Type="http://schemas.openxmlformats.org/officeDocument/2006/relationships/hyperlink" Target="https://in.tradingview.com/chart/Cgv3Jm6J/?symbol=NSE%3AANUHPHR" TargetMode="External"/><Relationship Id="rId2296" Type="http://schemas.openxmlformats.org/officeDocument/2006/relationships/hyperlink" Target="https://in.tradingview.com/chart/bXJLby4L/?symbol=NSE%3AKSCL" TargetMode="External"/><Relationship Id="rId250" Type="http://schemas.openxmlformats.org/officeDocument/2006/relationships/hyperlink" Target="https://in.tradingview.com/chart/bXJLby4L/?symbol=NSE%3AAMBIKCO" TargetMode="External"/><Relationship Id="rId2297" Type="http://schemas.openxmlformats.org/officeDocument/2006/relationships/hyperlink" Target="https://in.tradingview.com/chart/Cgv3Jm6J/?symbol=NSE%3ALMW" TargetMode="External"/><Relationship Id="rId257" Type="http://schemas.openxmlformats.org/officeDocument/2006/relationships/hyperlink" Target="https://in.tradingview.com/chart/Cgv3Jm6J/?symbol=NSE%3AAONETOTAL" TargetMode="External"/><Relationship Id="rId2298" Type="http://schemas.openxmlformats.org/officeDocument/2006/relationships/hyperlink" Target="https://in.tradingview.com/chart/bXJLby4L/?symbol=NSE%3AKAVDEFENCE" TargetMode="External"/><Relationship Id="rId256" Type="http://schemas.openxmlformats.org/officeDocument/2006/relationships/hyperlink" Target="https://in.tradingview.com/chart/bXJLby4L/?symbol=NSE%3AAMNPLST" TargetMode="External"/><Relationship Id="rId2299" Type="http://schemas.openxmlformats.org/officeDocument/2006/relationships/hyperlink" Target="https://in.tradingview.com/chart/Cgv3Jm6J/?symbol=NSE%3ALODHA" TargetMode="External"/><Relationship Id="rId255" Type="http://schemas.openxmlformats.org/officeDocument/2006/relationships/hyperlink" Target="https://in.tradingview.com/chart/Cgv3Jm6J/?symbol=NSE%3AANURAS" TargetMode="External"/><Relationship Id="rId254" Type="http://schemas.openxmlformats.org/officeDocument/2006/relationships/hyperlink" Target="https://in.tradingview.com/chart/bXJLby4L/?symbol=NSE%3AAMDIND" TargetMode="External"/><Relationship Id="rId4029" Type="http://schemas.openxmlformats.org/officeDocument/2006/relationships/hyperlink" Target="https://in.tradingview.com/chart/Cgv3Jm6J/?symbol=NSE%3ATGBHOTELS" TargetMode="External"/><Relationship Id="rId293" Type="http://schemas.openxmlformats.org/officeDocument/2006/relationships/hyperlink" Target="https://in.tradingview.com/chart/Cgv3Jm6J/?symbol=NSE%3AARIES" TargetMode="External"/><Relationship Id="rId292" Type="http://schemas.openxmlformats.org/officeDocument/2006/relationships/hyperlink" Target="https://in.tradingview.com/chart/bXJLby4L/?symbol=NSE%3AANTELOPUS" TargetMode="External"/><Relationship Id="rId291" Type="http://schemas.openxmlformats.org/officeDocument/2006/relationships/hyperlink" Target="https://in.tradingview.com/chart/Cgv3Jm6J/?symbol=NSE%3AARENTERP" TargetMode="External"/><Relationship Id="rId290" Type="http://schemas.openxmlformats.org/officeDocument/2006/relationships/hyperlink" Target="https://in.tradingview.com/chart/bXJLby4L/?symbol=NSE%3AANMOL" TargetMode="External"/><Relationship Id="rId4020" Type="http://schemas.openxmlformats.org/officeDocument/2006/relationships/hyperlink" Target="https://in.tradingview.com/chart/bXJLby4L/?symbol=NSE%3ASHANTIGEAR" TargetMode="External"/><Relationship Id="rId286" Type="http://schemas.openxmlformats.org/officeDocument/2006/relationships/hyperlink" Target="https://in.tradingview.com/chart/bXJLby4L/?symbol=NSE%3AAPCL" TargetMode="External"/><Relationship Id="rId4022" Type="http://schemas.openxmlformats.org/officeDocument/2006/relationships/hyperlink" Target="https://in.tradingview.com/chart/bXJLby4L/?symbol=NSE%3ASHANTIGOLD" TargetMode="External"/><Relationship Id="rId285" Type="http://schemas.openxmlformats.org/officeDocument/2006/relationships/hyperlink" Target="https://in.tradingview.com/chart/Cgv3Jm6J/?symbol=NSE%3AARCHIDPLY" TargetMode="External"/><Relationship Id="rId4021" Type="http://schemas.openxmlformats.org/officeDocument/2006/relationships/hyperlink" Target="https://in.tradingview.com/chart/Cgv3Jm6J/?symbol=NSE%3ATEXINFRA" TargetMode="External"/><Relationship Id="rId284" Type="http://schemas.openxmlformats.org/officeDocument/2006/relationships/hyperlink" Target="https://in.tradingview.com/chart/bXJLby4L/?symbol=NSE%3AANIKINDS" TargetMode="External"/><Relationship Id="rId4024" Type="http://schemas.openxmlformats.org/officeDocument/2006/relationships/hyperlink" Target="https://in.tradingview.com/chart/bXJLby4L/?symbol=NSE%3ASHANTI" TargetMode="External"/><Relationship Id="rId283" Type="http://schemas.openxmlformats.org/officeDocument/2006/relationships/hyperlink" Target="https://in.tradingview.com/chart/Cgv3Jm6J/?symbol=NSE%3AAPTUS" TargetMode="External"/><Relationship Id="rId4023" Type="http://schemas.openxmlformats.org/officeDocument/2006/relationships/hyperlink" Target="https://in.tradingview.com/chart/Cgv3Jm6J/?symbol=NSE%3ATEXMOPIPES" TargetMode="External"/><Relationship Id="rId4026" Type="http://schemas.openxmlformats.org/officeDocument/2006/relationships/hyperlink" Target="https://in.tradingview.com/chart/bXJLby4L/?symbol=NSE%3ASHARDACROP" TargetMode="External"/><Relationship Id="rId289" Type="http://schemas.openxmlformats.org/officeDocument/2006/relationships/hyperlink" Target="https://in.tradingview.com/chart/Cgv3Jm6J/?symbol=NSE%3AARE_M" TargetMode="External"/><Relationship Id="rId4025" Type="http://schemas.openxmlformats.org/officeDocument/2006/relationships/hyperlink" Target="https://in.tradingview.com/chart/Cgv3Jm6J/?symbol=NSE%3ATEXRAIL" TargetMode="External"/><Relationship Id="rId288" Type="http://schemas.openxmlformats.org/officeDocument/2006/relationships/hyperlink" Target="https://in.tradingview.com/chart/bXJLby4L/?symbol=NSE%3AAHCL" TargetMode="External"/><Relationship Id="rId4028" Type="http://schemas.openxmlformats.org/officeDocument/2006/relationships/hyperlink" Target="https://in.tradingview.com/chart/bXJLby4L/?symbol=NSE%3ASHARDAMOTR" TargetMode="External"/><Relationship Id="rId287" Type="http://schemas.openxmlformats.org/officeDocument/2006/relationships/hyperlink" Target="https://in.tradingview.com/chart/Cgv3Jm6J/?symbol=NSE%3AARCHIES" TargetMode="External"/><Relationship Id="rId4027" Type="http://schemas.openxmlformats.org/officeDocument/2006/relationships/hyperlink" Target="https://in.tradingview.com/chart/Cgv3Jm6J/?symbol=NSE%3ATFCILTD" TargetMode="External"/><Relationship Id="rId4019" Type="http://schemas.openxmlformats.org/officeDocument/2006/relationships/hyperlink" Target="https://in.tradingview.com/chart/Cgv3Jm6J/?symbol=NSE%3ATEMBO" TargetMode="External"/><Relationship Id="rId4018" Type="http://schemas.openxmlformats.org/officeDocument/2006/relationships/hyperlink" Target="https://in.tradingview.com/chart/bXJLby4L/?symbol=NSE%3ASHANKARA" TargetMode="External"/><Relationship Id="rId282" Type="http://schemas.openxmlformats.org/officeDocument/2006/relationships/hyperlink" Target="https://in.tradingview.com/chart/bXJLby4L/?symbol=NSE%3AAONETMMQ50" TargetMode="External"/><Relationship Id="rId281" Type="http://schemas.openxmlformats.org/officeDocument/2006/relationships/hyperlink" Target="https://in.tradingview.com/chart/Cgv3Jm6J/?symbol=NSE%3AAPTECHT" TargetMode="External"/><Relationship Id="rId280" Type="http://schemas.openxmlformats.org/officeDocument/2006/relationships/hyperlink" Target="https://in.tradingview.com/chart/bXJLby4L/?symbol=NSE%3AAONETOTAL" TargetMode="External"/><Relationship Id="rId275" Type="http://schemas.openxmlformats.org/officeDocument/2006/relationships/hyperlink" Target="https://in.tradingview.com/chart/Cgv3Jm6J/?symbol=NSE%3AAPOLLOPIPE" TargetMode="External"/><Relationship Id="rId4011" Type="http://schemas.openxmlformats.org/officeDocument/2006/relationships/hyperlink" Target="https://in.tradingview.com/chart/Cgv3Jm6J/?symbol=NSE%3ATECHNOE" TargetMode="External"/><Relationship Id="rId274" Type="http://schemas.openxmlformats.org/officeDocument/2006/relationships/hyperlink" Target="https://in.tradingview.com/chart/bXJLby4L/?symbol=NSE%3AAONEGOLD" TargetMode="External"/><Relationship Id="rId4010" Type="http://schemas.openxmlformats.org/officeDocument/2006/relationships/hyperlink" Target="https://in.tradingview.com/chart/bXJLby4L/?symbol=NSE%3ASHAKTIPUMP" TargetMode="External"/><Relationship Id="rId273" Type="http://schemas.openxmlformats.org/officeDocument/2006/relationships/hyperlink" Target="https://in.tradingview.com/chart/Cgv3Jm6J/?symbol=NSE%3AAPOLLOHOSP" TargetMode="External"/><Relationship Id="rId4013" Type="http://schemas.openxmlformats.org/officeDocument/2006/relationships/hyperlink" Target="https://in.tradingview.com/chart/Cgv3Jm6J/?symbol=NSE%3ATECILCHEM" TargetMode="External"/><Relationship Id="rId272" Type="http://schemas.openxmlformats.org/officeDocument/2006/relationships/hyperlink" Target="https://in.tradingview.com/chart/bXJLby4L/?symbol=NSE%3AANDHRAPAP" TargetMode="External"/><Relationship Id="rId4012" Type="http://schemas.openxmlformats.org/officeDocument/2006/relationships/hyperlink" Target="https://in.tradingview.com/chart/bXJLby4L/?symbol=NSE%3ASHALBY" TargetMode="External"/><Relationship Id="rId279" Type="http://schemas.openxmlformats.org/officeDocument/2006/relationships/hyperlink" Target="https://in.tradingview.com/chart/Cgv3Jm6J/?symbol=NSE%3AAPOLSINHOT" TargetMode="External"/><Relationship Id="rId4015" Type="http://schemas.openxmlformats.org/officeDocument/2006/relationships/hyperlink" Target="https://in.tradingview.com/chart/Cgv3Jm6J/?symbol=NSE%3ATEGA" TargetMode="External"/><Relationship Id="rId278" Type="http://schemas.openxmlformats.org/officeDocument/2006/relationships/hyperlink" Target="https://in.tradingview.com/chart/bXJLby4L/?symbol=NSE%3AAONELIQUID" TargetMode="External"/><Relationship Id="rId4014" Type="http://schemas.openxmlformats.org/officeDocument/2006/relationships/hyperlink" Target="https://in.tradingview.com/chart/bXJLby4L/?symbol=NSE%3ASHALPAINTS" TargetMode="External"/><Relationship Id="rId277" Type="http://schemas.openxmlformats.org/officeDocument/2006/relationships/hyperlink" Target="https://in.tradingview.com/chart/Cgv3Jm6J/?symbol=NSE%3AAPOLLOTYRE" TargetMode="External"/><Relationship Id="rId4017" Type="http://schemas.openxmlformats.org/officeDocument/2006/relationships/hyperlink" Target="https://in.tradingview.com/chart/Cgv3Jm6J/?symbol=NSE%3ATEJASNET" TargetMode="External"/><Relationship Id="rId276" Type="http://schemas.openxmlformats.org/officeDocument/2006/relationships/hyperlink" Target="https://in.tradingview.com/chart/bXJLby4L/?symbol=NSE%3AANGELONE" TargetMode="External"/><Relationship Id="rId4016" Type="http://schemas.openxmlformats.org/officeDocument/2006/relationships/hyperlink" Target="https://in.tradingview.com/chart/bXJLby4L/?symbol=NSE%3ASRD" TargetMode="External"/><Relationship Id="rId1851" Type="http://schemas.openxmlformats.org/officeDocument/2006/relationships/hyperlink" Target="https://in.tradingview.com/chart/Cgv3Jm6J/?symbol=NSE%3AINOXGREEN" TargetMode="External"/><Relationship Id="rId1852" Type="http://schemas.openxmlformats.org/officeDocument/2006/relationships/hyperlink" Target="https://in.tradingview.com/chart/bXJLby4L/?symbol=NSE%3AICEMAKE" TargetMode="External"/><Relationship Id="rId1853" Type="http://schemas.openxmlformats.org/officeDocument/2006/relationships/hyperlink" Target="https://in.tradingview.com/chart/Cgv3Jm6J/?symbol=NSE%3AINOXINDIA" TargetMode="External"/><Relationship Id="rId1854" Type="http://schemas.openxmlformats.org/officeDocument/2006/relationships/hyperlink" Target="https://in.tradingview.com/chart/bXJLby4L/?symbol=NSE%3AICICIBANK" TargetMode="External"/><Relationship Id="rId1855" Type="http://schemas.openxmlformats.org/officeDocument/2006/relationships/hyperlink" Target="https://in.tradingview.com/chart/Cgv3Jm6J/?symbol=NSE%3AINOXWIND" TargetMode="External"/><Relationship Id="rId1856" Type="http://schemas.openxmlformats.org/officeDocument/2006/relationships/hyperlink" Target="https://in.tradingview.com/chart/bXJLby4L/?symbol=NSE%3AICICIGI" TargetMode="External"/><Relationship Id="rId1857" Type="http://schemas.openxmlformats.org/officeDocument/2006/relationships/hyperlink" Target="https://in.tradingview.com/chart/Cgv3Jm6J/?symbol=NSE%3AINSECTICID" TargetMode="External"/><Relationship Id="rId1858" Type="http://schemas.openxmlformats.org/officeDocument/2006/relationships/hyperlink" Target="https://in.tradingview.com/chart/bXJLby4L/?symbol=NSE%3ACASHIETF" TargetMode="External"/><Relationship Id="rId1859" Type="http://schemas.openxmlformats.org/officeDocument/2006/relationships/hyperlink" Target="https://in.tradingview.com/chart/Cgv3Jm6J/?symbol=NSE%3AINSPIRISYS" TargetMode="External"/><Relationship Id="rId1850" Type="http://schemas.openxmlformats.org/officeDocument/2006/relationships/hyperlink" Target="https://in.tradingview.com/chart/bXJLby4L/?symbol=NSE%3AICDSLTD" TargetMode="External"/><Relationship Id="rId1840" Type="http://schemas.openxmlformats.org/officeDocument/2006/relationships/hyperlink" Target="https://in.tradingview.com/chart/bXJLby4L/?symbol=NSE%3AHTMEDIA" TargetMode="External"/><Relationship Id="rId1841" Type="http://schemas.openxmlformats.org/officeDocument/2006/relationships/hyperlink" Target="https://in.tradingview.com/chart/Cgv3Jm6J/?symbol=NSE%3AINFRAIETF" TargetMode="External"/><Relationship Id="rId1842" Type="http://schemas.openxmlformats.org/officeDocument/2006/relationships/hyperlink" Target="https://in.tradingview.com/chart/bXJLby4L/?symbol=NSE%3AHUBTOWN" TargetMode="External"/><Relationship Id="rId1843" Type="http://schemas.openxmlformats.org/officeDocument/2006/relationships/hyperlink" Target="https://in.tradingview.com/chart/Cgv3Jm6J/?symbol=NSE%3AINFY" TargetMode="External"/><Relationship Id="rId1844" Type="http://schemas.openxmlformats.org/officeDocument/2006/relationships/hyperlink" Target="https://in.tradingview.com/chart/bXJLby4L/?symbol=NSE%3AHUHTAMAKI" TargetMode="External"/><Relationship Id="rId1845" Type="http://schemas.openxmlformats.org/officeDocument/2006/relationships/hyperlink" Target="https://in.tradingview.com/chart/Cgv3Jm6J/?symbol=NSE%3AINGERRAND" TargetMode="External"/><Relationship Id="rId1846" Type="http://schemas.openxmlformats.org/officeDocument/2006/relationships/hyperlink" Target="https://in.tradingview.com/chart/bXJLby4L/?symbol=NSE%3AHYBRIDFIN" TargetMode="External"/><Relationship Id="rId1847" Type="http://schemas.openxmlformats.org/officeDocument/2006/relationships/hyperlink" Target="https://in.tradingview.com/chart/Cgv3Jm6J/?symbol=NSE%3AINNOVACAP" TargetMode="External"/><Relationship Id="rId1848" Type="http://schemas.openxmlformats.org/officeDocument/2006/relationships/hyperlink" Target="https://in.tradingview.com/chart/bXJLby4L/?symbol=NSE%3AHYUNDAI" TargetMode="External"/><Relationship Id="rId1849" Type="http://schemas.openxmlformats.org/officeDocument/2006/relationships/hyperlink" Target="https://in.tradingview.com/chart/Cgv3Jm6J/?symbol=NSE%3AINNOVANA" TargetMode="External"/><Relationship Id="rId1873" Type="http://schemas.openxmlformats.org/officeDocument/2006/relationships/hyperlink" Target="https://in.tradingview.com/chart/Cgv3Jm6J/?symbol=NSE%3AIOC" TargetMode="External"/><Relationship Id="rId1874" Type="http://schemas.openxmlformats.org/officeDocument/2006/relationships/hyperlink" Target="https://in.tradingview.com/chart/bXJLby4L/?symbol=NSE%3ALOWVOLIETF" TargetMode="External"/><Relationship Id="rId1875" Type="http://schemas.openxmlformats.org/officeDocument/2006/relationships/hyperlink" Target="https://in.tradingview.com/chart/Cgv3Jm6J/?symbol=NSE%3AIOLCP" TargetMode="External"/><Relationship Id="rId1876" Type="http://schemas.openxmlformats.org/officeDocument/2006/relationships/hyperlink" Target="https://in.tradingview.com/chart/bXJLby4L/?symbol=NSE%3AMOM30IETF" TargetMode="External"/><Relationship Id="rId1877" Type="http://schemas.openxmlformats.org/officeDocument/2006/relationships/hyperlink" Target="https://in.tradingview.com/chart/Cgv3Jm6J/?symbol=NSE%3AIONEXCHANG" TargetMode="External"/><Relationship Id="rId1878" Type="http://schemas.openxmlformats.org/officeDocument/2006/relationships/hyperlink" Target="https://in.tradingview.com/chart/bXJLby4L/?symbol=NSE%3AQUAL30IETF" TargetMode="External"/><Relationship Id="rId1879" Type="http://schemas.openxmlformats.org/officeDocument/2006/relationships/hyperlink" Target="https://in.tradingview.com/chart/Cgv3Jm6J/?symbol=NSE%3AIPCALAB" TargetMode="External"/><Relationship Id="rId1870" Type="http://schemas.openxmlformats.org/officeDocument/2006/relationships/hyperlink" Target="https://in.tradingview.com/chart/bXJLby4L/?symbol=NSE%3AGSEC10IETF" TargetMode="External"/><Relationship Id="rId1871" Type="http://schemas.openxmlformats.org/officeDocument/2006/relationships/hyperlink" Target="https://in.tradingview.com/chart/Cgv3Jm6J/?symbol=NSE%3AIOB" TargetMode="External"/><Relationship Id="rId1872" Type="http://schemas.openxmlformats.org/officeDocument/2006/relationships/hyperlink" Target="https://in.tradingview.com/chart/bXJLby4L/?symbol=NSE%3ANIF100IETF" TargetMode="External"/><Relationship Id="rId1862" Type="http://schemas.openxmlformats.org/officeDocument/2006/relationships/hyperlink" Target="https://in.tradingview.com/chart/bXJLby4L/?symbol=NSE%3AGOLDIETF" TargetMode="External"/><Relationship Id="rId1863" Type="http://schemas.openxmlformats.org/officeDocument/2006/relationships/hyperlink" Target="https://in.tradingview.com/chart/Cgv3Jm6J/?symbol=NSE%3AINTENTECH" TargetMode="External"/><Relationship Id="rId1864" Type="http://schemas.openxmlformats.org/officeDocument/2006/relationships/hyperlink" Target="https://in.tradingview.com/chart/bXJLby4L/?symbol=NSE%3AHEALTHIETF" TargetMode="External"/><Relationship Id="rId1865" Type="http://schemas.openxmlformats.org/officeDocument/2006/relationships/hyperlink" Target="https://in.tradingview.com/chart/Cgv3Jm6J/?symbol=NSE%3AINTERARCH" TargetMode="External"/><Relationship Id="rId1866" Type="http://schemas.openxmlformats.org/officeDocument/2006/relationships/hyperlink" Target="https://in.tradingview.com/chart/bXJLby4L/?symbol=NSE%3AITIETF" TargetMode="External"/><Relationship Id="rId1867" Type="http://schemas.openxmlformats.org/officeDocument/2006/relationships/hyperlink" Target="https://in.tradingview.com/chart/Cgv3Jm6J/?symbol=NSE%3AINTLCONV" TargetMode="External"/><Relationship Id="rId1868" Type="http://schemas.openxmlformats.org/officeDocument/2006/relationships/hyperlink" Target="https://in.tradingview.com/chart/bXJLby4L/?symbol=NSE%3AICICIPRULI" TargetMode="External"/><Relationship Id="rId1869" Type="http://schemas.openxmlformats.org/officeDocument/2006/relationships/hyperlink" Target="https://in.tradingview.com/chart/Cgv3Jm6J/?symbol=NSE%3AINVENTURE" TargetMode="External"/><Relationship Id="rId1860" Type="http://schemas.openxmlformats.org/officeDocument/2006/relationships/hyperlink" Target="https://in.tradingview.com/chart/bXJLby4L/?symbol=NSE%3AFMCGIETF" TargetMode="External"/><Relationship Id="rId1861" Type="http://schemas.openxmlformats.org/officeDocument/2006/relationships/hyperlink" Target="https://in.tradingview.com/chart/Cgv3Jm6J/?symbol=NSE%3AINTELLECT" TargetMode="External"/><Relationship Id="rId1810" Type="http://schemas.openxmlformats.org/officeDocument/2006/relationships/hyperlink" Target="https://in.tradingview.com/chart/bXJLby4L/?symbol=NSE%3AHINDWAREAP" TargetMode="External"/><Relationship Id="rId1811" Type="http://schemas.openxmlformats.org/officeDocument/2006/relationships/hyperlink" Target="https://in.tradingview.com/chart/Cgv3Jm6J/?symbol=NSE%3AINDOFARM" TargetMode="External"/><Relationship Id="rId1812" Type="http://schemas.openxmlformats.org/officeDocument/2006/relationships/hyperlink" Target="https://in.tradingview.com/chart/bXJLby4L/?symbol=NSE%3AHISARMETAL" TargetMode="External"/><Relationship Id="rId1813" Type="http://schemas.openxmlformats.org/officeDocument/2006/relationships/hyperlink" Target="https://in.tradingview.com/chart/Cgv3Jm6J/?symbol=NSE%3AINDORAMA" TargetMode="External"/><Relationship Id="rId1814" Type="http://schemas.openxmlformats.org/officeDocument/2006/relationships/hyperlink" Target="https://in.tradingview.com/chart/bXJLby4L/?symbol=NSE%3APOWERINDIA" TargetMode="External"/><Relationship Id="rId1815" Type="http://schemas.openxmlformats.org/officeDocument/2006/relationships/hyperlink" Target="https://in.tradingview.com/chart/Cgv3Jm6J/?symbol=NSE%3AINDOSTAR" TargetMode="External"/><Relationship Id="rId1816" Type="http://schemas.openxmlformats.org/officeDocument/2006/relationships/hyperlink" Target="https://in.tradingview.com/chart/bXJLby4L/?symbol=NSE%3AHITECHCORP" TargetMode="External"/><Relationship Id="rId1817" Type="http://schemas.openxmlformats.org/officeDocument/2006/relationships/hyperlink" Target="https://in.tradingview.com/chart/Cgv3Jm6J/?symbol=NSE%3AINDOTECH" TargetMode="External"/><Relationship Id="rId1818" Type="http://schemas.openxmlformats.org/officeDocument/2006/relationships/hyperlink" Target="https://in.tradingview.com/chart/bXJLby4L/?symbol=NSE%3AHLEGLAS" TargetMode="External"/><Relationship Id="rId1819" Type="http://schemas.openxmlformats.org/officeDocument/2006/relationships/hyperlink" Target="https://in.tradingview.com/chart/Cgv3Jm6J/?symbol=NSE%3AINDOTHAI" TargetMode="External"/><Relationship Id="rId4080" Type="http://schemas.openxmlformats.org/officeDocument/2006/relationships/hyperlink" Target="https://in.tradingview.com/chart/bXJLby4L/?symbol=NSE%3AOSWALSEEDS" TargetMode="External"/><Relationship Id="rId4082" Type="http://schemas.openxmlformats.org/officeDocument/2006/relationships/hyperlink" Target="https://in.tradingview.com/chart/bXJLby4L/?symbol=NSE%3ASHREYANIND" TargetMode="External"/><Relationship Id="rId4081" Type="http://schemas.openxmlformats.org/officeDocument/2006/relationships/hyperlink" Target="https://in.tradingview.com/chart/Cgv3Jm6J/?symbol=NSE%3ATNPL" TargetMode="External"/><Relationship Id="rId4084" Type="http://schemas.openxmlformats.org/officeDocument/2006/relationships/hyperlink" Target="https://in.tradingview.com/chart/bXJLby4L/?symbol=NSE%3ATRANSWORLD" TargetMode="External"/><Relationship Id="rId4083" Type="http://schemas.openxmlformats.org/officeDocument/2006/relationships/hyperlink" Target="https://in.tradingview.com/chart/Cgv3Jm6J/?symbol=NSE%3ATNTELE" TargetMode="External"/><Relationship Id="rId4086" Type="http://schemas.openxmlformats.org/officeDocument/2006/relationships/hyperlink" Target="https://in.tradingview.com/chart/bXJLby4L/?symbol=NSE%3ASHRINGARMS" TargetMode="External"/><Relationship Id="rId4085" Type="http://schemas.openxmlformats.org/officeDocument/2006/relationships/hyperlink" Target="https://in.tradingview.com/chart/Cgv3Jm6J/?symbol=NSE%3ATOKYOPLAST" TargetMode="External"/><Relationship Id="rId4088" Type="http://schemas.openxmlformats.org/officeDocument/2006/relationships/hyperlink" Target="https://in.tradingview.com/chart/bXJLby4L/?symbol=NSE%3ASHRIRAMFIN" TargetMode="External"/><Relationship Id="rId4087" Type="http://schemas.openxmlformats.org/officeDocument/2006/relationships/hyperlink" Target="https://in.tradingview.com/chart/Cgv3Jm6J/?symbol=NSE%3ATOLINS" TargetMode="External"/><Relationship Id="rId4089" Type="http://schemas.openxmlformats.org/officeDocument/2006/relationships/hyperlink" Target="https://in.tradingview.com/chart/Cgv3Jm6J/?symbol=NSE%3ATOP100CASE" TargetMode="External"/><Relationship Id="rId1800" Type="http://schemas.openxmlformats.org/officeDocument/2006/relationships/hyperlink" Target="https://in.tradingview.com/chart/bXJLby4L/?symbol=NSE%3AHMVL" TargetMode="External"/><Relationship Id="rId1801" Type="http://schemas.openxmlformats.org/officeDocument/2006/relationships/hyperlink" Target="https://in.tradingview.com/chart/Cgv3Jm6J/?symbol=NSE%3AINDIGOPNTS" TargetMode="External"/><Relationship Id="rId1802" Type="http://schemas.openxmlformats.org/officeDocument/2006/relationships/hyperlink" Target="https://in.tradingview.com/chart/bXJLby4L/?symbol=NSE%3AHINDOILEXP" TargetMode="External"/><Relationship Id="rId1803" Type="http://schemas.openxmlformats.org/officeDocument/2006/relationships/hyperlink" Target="https://in.tradingview.com/chart/Cgv3Jm6J/?symbol=NSE%3AINDNIPPON" TargetMode="External"/><Relationship Id="rId1804" Type="http://schemas.openxmlformats.org/officeDocument/2006/relationships/hyperlink" Target="https://in.tradingview.com/chart/bXJLby4L/?symbol=NSE%3AHINDPETRO" TargetMode="External"/><Relationship Id="rId1805" Type="http://schemas.openxmlformats.org/officeDocument/2006/relationships/hyperlink" Target="https://in.tradingview.com/chart/Cgv3Jm6J/?symbol=NSE%3AINDOAMIN" TargetMode="External"/><Relationship Id="rId1806" Type="http://schemas.openxmlformats.org/officeDocument/2006/relationships/hyperlink" Target="https://in.tradingview.com/chart/bXJLby4L/?symbol=NSE%3AHINDUNILVR" TargetMode="External"/><Relationship Id="rId1807" Type="http://schemas.openxmlformats.org/officeDocument/2006/relationships/hyperlink" Target="https://in.tradingview.com/chart/Cgv3Jm6J/?symbol=NSE%3AINDOBORAX" TargetMode="External"/><Relationship Id="rId1808" Type="http://schemas.openxmlformats.org/officeDocument/2006/relationships/hyperlink" Target="https://in.tradingview.com/chart/bXJLby4L/?symbol=NSE%3AHINDZINC" TargetMode="External"/><Relationship Id="rId1809" Type="http://schemas.openxmlformats.org/officeDocument/2006/relationships/hyperlink" Target="https://in.tradingview.com/chart/Cgv3Jm6J/?symbol=NSE%3AINDOCO" TargetMode="External"/><Relationship Id="rId4071" Type="http://schemas.openxmlformats.org/officeDocument/2006/relationships/hyperlink" Target="https://in.tradingview.com/chart/Cgv3Jm6J/?symbol=NSE%3ATITAGARH" TargetMode="External"/><Relationship Id="rId4070" Type="http://schemas.openxmlformats.org/officeDocument/2006/relationships/hyperlink" Target="https://in.tradingview.com/chart/bXJLby4L/?symbol=NSE%3ARAMANEWS" TargetMode="External"/><Relationship Id="rId4073" Type="http://schemas.openxmlformats.org/officeDocument/2006/relationships/hyperlink" Target="https://in.tradingview.com/chart/Cgv3Jm6J/?symbol=NSE%3ATITAN" TargetMode="External"/><Relationship Id="rId4072" Type="http://schemas.openxmlformats.org/officeDocument/2006/relationships/hyperlink" Target="https://in.tradingview.com/chart/bXJLby4L/?symbol=NSE%3ARENUKA" TargetMode="External"/><Relationship Id="rId4075" Type="http://schemas.openxmlformats.org/officeDocument/2006/relationships/hyperlink" Target="https://in.tradingview.com/chart/Cgv3Jm6J/?symbol=NSE%3ATMB" TargetMode="External"/><Relationship Id="rId4074" Type="http://schemas.openxmlformats.org/officeDocument/2006/relationships/hyperlink" Target="https://in.tradingview.com/chart/bXJLby4L/?symbol=NSE%3ABALAJEE" TargetMode="External"/><Relationship Id="rId4077" Type="http://schemas.openxmlformats.org/officeDocument/2006/relationships/hyperlink" Target="https://in.tradingview.com/chart/Cgv3Jm6J/?symbol=NSE%3ATNIDETF" TargetMode="External"/><Relationship Id="rId4076" Type="http://schemas.openxmlformats.org/officeDocument/2006/relationships/hyperlink" Target="https://in.tradingview.com/chart/bXJLby4L/?symbol=NSE%3ASVLL" TargetMode="External"/><Relationship Id="rId4079" Type="http://schemas.openxmlformats.org/officeDocument/2006/relationships/hyperlink" Target="https://in.tradingview.com/chart/Cgv3Jm6J/?symbol=NSE%3ATNPETRO" TargetMode="External"/><Relationship Id="rId4078" Type="http://schemas.openxmlformats.org/officeDocument/2006/relationships/hyperlink" Target="https://in.tradingview.com/chart/bXJLby4L/?symbol=NSE%3ASHREEJISPG" TargetMode="External"/><Relationship Id="rId1830" Type="http://schemas.openxmlformats.org/officeDocument/2006/relationships/hyperlink" Target="https://in.tradingview.com/chart/bXJLby4L/?symbol=NSE%3AHONDAPOWER" TargetMode="External"/><Relationship Id="rId1831" Type="http://schemas.openxmlformats.org/officeDocument/2006/relationships/hyperlink" Target="https://in.tradingview.com/chart/Cgv3Jm6J/?symbol=NSE%3AINDUSTOWER" TargetMode="External"/><Relationship Id="rId1832" Type="http://schemas.openxmlformats.org/officeDocument/2006/relationships/hyperlink" Target="https://in.tradingview.com/chart/bXJLby4L/?symbol=NSE%3AHONAUT" TargetMode="External"/><Relationship Id="rId1833" Type="http://schemas.openxmlformats.org/officeDocument/2006/relationships/hyperlink" Target="https://in.tradingview.com/chart/Cgv3Jm6J/?symbol=NSE%3AINFIBEAM" TargetMode="External"/><Relationship Id="rId1834" Type="http://schemas.openxmlformats.org/officeDocument/2006/relationships/hyperlink" Target="https://in.tradingview.com/chart/bXJLby4L/?symbol=NSE%3AHUDCO" TargetMode="External"/><Relationship Id="rId1835" Type="http://schemas.openxmlformats.org/officeDocument/2006/relationships/hyperlink" Target="https://in.tradingview.com/chart/Cgv3Jm6J/?symbol=NSE%3AINFOBEAN" TargetMode="External"/><Relationship Id="rId1836" Type="http://schemas.openxmlformats.org/officeDocument/2006/relationships/hyperlink" Target="https://in.tradingview.com/chart/bXJLby4L/?symbol=NSE%3AHPAL" TargetMode="External"/><Relationship Id="rId1837" Type="http://schemas.openxmlformats.org/officeDocument/2006/relationships/hyperlink" Target="https://in.tradingview.com/chart/Cgv3Jm6J/?symbol=NSE%3AINFOMEDIA" TargetMode="External"/><Relationship Id="rId1838" Type="http://schemas.openxmlformats.org/officeDocument/2006/relationships/hyperlink" Target="https://in.tradingview.com/chart/bXJLby4L/?symbol=NSE%3AHPL" TargetMode="External"/><Relationship Id="rId1839" Type="http://schemas.openxmlformats.org/officeDocument/2006/relationships/hyperlink" Target="https://in.tradingview.com/chart/Cgv3Jm6J/?symbol=NSE%3AINFRABEES" TargetMode="External"/><Relationship Id="rId1820" Type="http://schemas.openxmlformats.org/officeDocument/2006/relationships/hyperlink" Target="https://in.tradingview.com/chart/bXJLby4L/?symbol=NSE%3AHLVLTD" TargetMode="External"/><Relationship Id="rId1821" Type="http://schemas.openxmlformats.org/officeDocument/2006/relationships/hyperlink" Target="https://in.tradingview.com/chart/Cgv3Jm6J/?symbol=NSE%3AINDOUS" TargetMode="External"/><Relationship Id="rId1822" Type="http://schemas.openxmlformats.org/officeDocument/2006/relationships/hyperlink" Target="https://in.tradingview.com/chart/bXJLby4L/?symbol=NSE%3AHMAAGRO" TargetMode="External"/><Relationship Id="rId1823" Type="http://schemas.openxmlformats.org/officeDocument/2006/relationships/hyperlink" Target="https://in.tradingview.com/chart/Cgv3Jm6J/?symbol=NSE%3AINDOWIND" TargetMode="External"/><Relationship Id="rId1824" Type="http://schemas.openxmlformats.org/officeDocument/2006/relationships/hyperlink" Target="https://in.tradingview.com/chart/bXJLby4L/?symbol=NSE%3AHMT" TargetMode="External"/><Relationship Id="rId1825" Type="http://schemas.openxmlformats.org/officeDocument/2006/relationships/hyperlink" Target="https://in.tradingview.com/chart/Cgv3Jm6J/?symbol=NSE%3AINDRAMEDCO" TargetMode="External"/><Relationship Id="rId1826" Type="http://schemas.openxmlformats.org/officeDocument/2006/relationships/hyperlink" Target="https://in.tradingview.com/chart/bXJLby4L/?symbol=NSE%3AHOMEFIRST" TargetMode="External"/><Relationship Id="rId1827" Type="http://schemas.openxmlformats.org/officeDocument/2006/relationships/hyperlink" Target="https://in.tradingview.com/chart/Cgv3Jm6J/?symbol=NSE%3AINDTERRAIN" TargetMode="External"/><Relationship Id="rId1828" Type="http://schemas.openxmlformats.org/officeDocument/2006/relationships/hyperlink" Target="https://in.tradingview.com/chart/bXJLby4L/?symbol=NSE%3AHONASA" TargetMode="External"/><Relationship Id="rId1829" Type="http://schemas.openxmlformats.org/officeDocument/2006/relationships/hyperlink" Target="https://in.tradingview.com/chart/Cgv3Jm6J/?symbol=NSE%3AINDUSINDBK" TargetMode="External"/><Relationship Id="rId4091" Type="http://schemas.openxmlformats.org/officeDocument/2006/relationships/hyperlink" Target="https://in.tradingview.com/chart/Cgv3Jm6J/?symbol=NSE%3ATOP10ADD" TargetMode="External"/><Relationship Id="rId4090" Type="http://schemas.openxmlformats.org/officeDocument/2006/relationships/hyperlink" Target="https://in.tradingview.com/chart/bXJLby4L/?symbol=NSE%3ALIQUIDSHRI" TargetMode="External"/><Relationship Id="rId4093" Type="http://schemas.openxmlformats.org/officeDocument/2006/relationships/hyperlink" Target="https://in.tradingview.com/chart/Cgv3Jm6J/?symbol=NSE%3ATORNTPHARM" TargetMode="External"/><Relationship Id="rId4092" Type="http://schemas.openxmlformats.org/officeDocument/2006/relationships/hyperlink" Target="https://in.tradingview.com/chart/bXJLby4L/?symbol=NSE%3ASHRIPISTON" TargetMode="External"/><Relationship Id="rId4095" Type="http://schemas.openxmlformats.org/officeDocument/2006/relationships/hyperlink" Target="https://in.tradingview.com/chart/Cgv3Jm6J/?symbol=NSE%3ATORNTPOWER" TargetMode="External"/><Relationship Id="rId4094" Type="http://schemas.openxmlformats.org/officeDocument/2006/relationships/hyperlink" Target="https://in.tradingview.com/chart/bXJLby4L/?symbol=NSE%3ASHRIRAMPPS" TargetMode="External"/><Relationship Id="rId4097" Type="http://schemas.openxmlformats.org/officeDocument/2006/relationships/hyperlink" Target="https://in.tradingview.com/chart/Cgv3Jm6J/?symbol=NSE%3ATOTAL" TargetMode="External"/><Relationship Id="rId4096" Type="http://schemas.openxmlformats.org/officeDocument/2006/relationships/hyperlink" Target="https://in.tradingview.com/chart/bXJLby4L/?symbol=NSE%3ASHYAMCENT" TargetMode="External"/><Relationship Id="rId4099" Type="http://schemas.openxmlformats.org/officeDocument/2006/relationships/hyperlink" Target="https://in.tradingview.com/chart/Cgv3Jm6J/?symbol=NSE%3ATOUCHWOOD" TargetMode="External"/><Relationship Id="rId4098" Type="http://schemas.openxmlformats.org/officeDocument/2006/relationships/hyperlink" Target="https://in.tradingview.com/chart/bXJLby4L/?symbol=NSE%3ASHYAMMETL" TargetMode="External"/><Relationship Id="rId2302" Type="http://schemas.openxmlformats.org/officeDocument/2006/relationships/hyperlink" Target="https://in.tradingview.com/chart/bXJLby4L/?symbol=NSE%3AKAYNES" TargetMode="External"/><Relationship Id="rId3634" Type="http://schemas.openxmlformats.org/officeDocument/2006/relationships/hyperlink" Target="https://in.tradingview.com/chart/bXJLby4L/?symbol=NSE%3ARSYSTEMS" TargetMode="External"/><Relationship Id="rId2303" Type="http://schemas.openxmlformats.org/officeDocument/2006/relationships/hyperlink" Target="https://in.tradingview.com/chart/Cgv3Jm6J/?symbol=NSE%3ALORDSCHLO" TargetMode="External"/><Relationship Id="rId3633" Type="http://schemas.openxmlformats.org/officeDocument/2006/relationships/hyperlink" Target="https://in.tradingview.com/chart/Cgv3Jm6J/?symbol=NSE%3ASHK" TargetMode="External"/><Relationship Id="rId2304" Type="http://schemas.openxmlformats.org/officeDocument/2006/relationships/hyperlink" Target="https://in.tradingview.com/chart/bXJLby4L/?symbol=NSE%3AKCP" TargetMode="External"/><Relationship Id="rId3636" Type="http://schemas.openxmlformats.org/officeDocument/2006/relationships/hyperlink" Target="https://in.tradingview.com/chart/bXJLby4L/?symbol=NSE%3ARSSOFTWARE" TargetMode="External"/><Relationship Id="rId2305" Type="http://schemas.openxmlformats.org/officeDocument/2006/relationships/hyperlink" Target="https://in.tradingview.com/chart/Cgv3Jm6J/?symbol=NSE%3ALOTUSEYE" TargetMode="External"/><Relationship Id="rId3635" Type="http://schemas.openxmlformats.org/officeDocument/2006/relationships/hyperlink" Target="https://in.tradingview.com/chart/Cgv3Jm6J/?symbol=NSE%3ASHOPERSTOP" TargetMode="External"/><Relationship Id="rId2306" Type="http://schemas.openxmlformats.org/officeDocument/2006/relationships/hyperlink" Target="https://in.tradingview.com/chart/bXJLby4L/?symbol=NSE%3AKCPSUGIND" TargetMode="External"/><Relationship Id="rId3638" Type="http://schemas.openxmlformats.org/officeDocument/2006/relationships/hyperlink" Target="https://in.tradingview.com/chart/bXJLby4L/?symbol=NSE%3ARPPINFRA" TargetMode="External"/><Relationship Id="rId2307" Type="http://schemas.openxmlformats.org/officeDocument/2006/relationships/hyperlink" Target="https://in.tradingview.com/chart/Cgv3Jm6J/?symbol=NSE%3ALOVABLE" TargetMode="External"/><Relationship Id="rId3637" Type="http://schemas.openxmlformats.org/officeDocument/2006/relationships/hyperlink" Target="https://in.tradingview.com/chart/Cgv3Jm6J/?symbol=NSE%3ASHREDIGCEM" TargetMode="External"/><Relationship Id="rId2308" Type="http://schemas.openxmlformats.org/officeDocument/2006/relationships/hyperlink" Target="https://in.tradingview.com/chart/bXJLby4L/?symbol=NSE%3AKDDL" TargetMode="External"/><Relationship Id="rId2309" Type="http://schemas.openxmlformats.org/officeDocument/2006/relationships/hyperlink" Target="https://in.tradingview.com/chart/Cgv3Jm6J/?symbol=NSE%3ALOWVOL" TargetMode="External"/><Relationship Id="rId3639" Type="http://schemas.openxmlformats.org/officeDocument/2006/relationships/hyperlink" Target="https://in.tradingview.com/chart/Cgv3Jm6J/?symbol=NSE%3ASHREECEM" TargetMode="External"/><Relationship Id="rId3630" Type="http://schemas.openxmlformats.org/officeDocument/2006/relationships/hyperlink" Target="https://in.tradingview.com/chart/bXJLby4L/?symbol=NSE%3ARMDRIP" TargetMode="External"/><Relationship Id="rId2300" Type="http://schemas.openxmlformats.org/officeDocument/2006/relationships/hyperlink" Target="https://in.tradingview.com/chart/bXJLby4L/?symbol=NSE%3AKAYA" TargetMode="External"/><Relationship Id="rId3632" Type="http://schemas.openxmlformats.org/officeDocument/2006/relationships/hyperlink" Target="https://in.tradingview.com/chart/bXJLby4L/?symbol=NSE%3ARRKABEL" TargetMode="External"/><Relationship Id="rId2301" Type="http://schemas.openxmlformats.org/officeDocument/2006/relationships/hyperlink" Target="https://in.tradingview.com/chart/Cgv3Jm6J/?symbol=NSE%3ALOKESHMACH" TargetMode="External"/><Relationship Id="rId3631" Type="http://schemas.openxmlformats.org/officeDocument/2006/relationships/hyperlink" Target="https://in.tradingview.com/chart/Cgv3Jm6J/?symbol=NSE%3ASHIVATEX" TargetMode="External"/><Relationship Id="rId3623" Type="http://schemas.openxmlformats.org/officeDocument/2006/relationships/hyperlink" Target="https://in.tradingview.com/chart/Cgv3Jm6J/?symbol=NSE%3ASHILPAMED" TargetMode="External"/><Relationship Id="rId3622" Type="http://schemas.openxmlformats.org/officeDocument/2006/relationships/hyperlink" Target="https://in.tradingview.com/chart/bXJLby4L/?symbol=NSE%3AQGOLDHALF" TargetMode="External"/><Relationship Id="rId3625" Type="http://schemas.openxmlformats.org/officeDocument/2006/relationships/hyperlink" Target="https://in.tradingview.com/chart/Cgv3Jm6J/?symbol=NSE%3ASHIVALIK" TargetMode="External"/><Relationship Id="rId3624" Type="http://schemas.openxmlformats.org/officeDocument/2006/relationships/hyperlink" Target="https://in.tradingview.com/chart/bXJLby4L/?symbol=NSE%3AQUESS" TargetMode="External"/><Relationship Id="rId3627" Type="http://schemas.openxmlformats.org/officeDocument/2006/relationships/hyperlink" Target="https://in.tradingview.com/chart/Cgv3Jm6J/?symbol=NSE%3ASHIVAMAUTO" TargetMode="External"/><Relationship Id="rId3626" Type="http://schemas.openxmlformats.org/officeDocument/2006/relationships/hyperlink" Target="https://in.tradingview.com/chart/bXJLby4L/?symbol=NSE%3AQUICKHEAL" TargetMode="External"/><Relationship Id="rId3629" Type="http://schemas.openxmlformats.org/officeDocument/2006/relationships/hyperlink" Target="https://in.tradingview.com/chart/Cgv3Jm6J/?symbol=NSE%3ASHIVAMILLS" TargetMode="External"/><Relationship Id="rId3628" Type="http://schemas.openxmlformats.org/officeDocument/2006/relationships/hyperlink" Target="https://in.tradingview.com/chart/bXJLby4L/?symbol=NSE%3ARKSWAMY" TargetMode="External"/><Relationship Id="rId3621" Type="http://schemas.openxmlformats.org/officeDocument/2006/relationships/hyperlink" Target="https://in.tradingview.com/chart/Cgv3Jm6J/?symbol=NSE%3ASHEMAROO" TargetMode="External"/><Relationship Id="rId3620" Type="http://schemas.openxmlformats.org/officeDocument/2006/relationships/hyperlink" Target="https://in.tradingview.com/chart/bXJLby4L/?symbol=NSE%3AQPOWER" TargetMode="External"/><Relationship Id="rId2324" Type="http://schemas.openxmlformats.org/officeDocument/2006/relationships/hyperlink" Target="https://in.tradingview.com/chart/bXJLby4L/?symbol=NSE%3ARUSTOMJEE" TargetMode="External"/><Relationship Id="rId3656" Type="http://schemas.openxmlformats.org/officeDocument/2006/relationships/hyperlink" Target="https://in.tradingview.com/chart/bXJLby4L/?symbol=NSE%3ARAILTEL" TargetMode="External"/><Relationship Id="rId2325" Type="http://schemas.openxmlformats.org/officeDocument/2006/relationships/hyperlink" Target="https://in.tradingview.com/chart/Cgv3Jm6J/?symbol=NSE%3ALTGILTBEES" TargetMode="External"/><Relationship Id="rId3655" Type="http://schemas.openxmlformats.org/officeDocument/2006/relationships/hyperlink" Target="https://in.tradingview.com/chart/Cgv3Jm6J/?symbol=NSE%3ASHYAMMETL" TargetMode="External"/><Relationship Id="rId2326" Type="http://schemas.openxmlformats.org/officeDocument/2006/relationships/hyperlink" Target="https://in.tradingview.com/chart/bXJLby4L/?symbol=NSE%3AKFINTECH" TargetMode="External"/><Relationship Id="rId3658" Type="http://schemas.openxmlformats.org/officeDocument/2006/relationships/hyperlink" Target="https://in.tradingview.com/chart/bXJLby4L/?symbol=NSE%3ARAIN" TargetMode="External"/><Relationship Id="rId2327" Type="http://schemas.openxmlformats.org/officeDocument/2006/relationships/hyperlink" Target="https://in.tradingview.com/chart/Cgv3Jm6J/?symbol=NSE%3ALTIM" TargetMode="External"/><Relationship Id="rId3657" Type="http://schemas.openxmlformats.org/officeDocument/2006/relationships/hyperlink" Target="https://in.tradingview.com/chart/Cgv3Jm6J/?symbol=NSE%3ASHYAMTEL" TargetMode="External"/><Relationship Id="rId2328" Type="http://schemas.openxmlformats.org/officeDocument/2006/relationships/hyperlink" Target="https://in.tradingview.com/chart/bXJLby4L/?symbol=NSE%3AKHADIM" TargetMode="External"/><Relationship Id="rId2329" Type="http://schemas.openxmlformats.org/officeDocument/2006/relationships/hyperlink" Target="https://in.tradingview.com/chart/Cgv3Jm6J/?symbol=NSE%3ALTTS" TargetMode="External"/><Relationship Id="rId3659" Type="http://schemas.openxmlformats.org/officeDocument/2006/relationships/hyperlink" Target="https://in.tradingview.com/chart/Cgv3Jm6J/?symbol=NSE%3ASICALLOG" TargetMode="External"/><Relationship Id="rId3650" Type="http://schemas.openxmlformats.org/officeDocument/2006/relationships/hyperlink" Target="https://in.tradingview.com/chart/bXJLby4L/?symbol=NSE%3ARADICO" TargetMode="External"/><Relationship Id="rId2320" Type="http://schemas.openxmlformats.org/officeDocument/2006/relationships/hyperlink" Target="https://in.tradingview.com/chart/bXJLby4L/?symbol=NSE%3AKKCL" TargetMode="External"/><Relationship Id="rId3652" Type="http://schemas.openxmlformats.org/officeDocument/2006/relationships/hyperlink" Target="https://in.tradingview.com/chart/bXJLby4L/?symbol=NSE%3ARPEL" TargetMode="External"/><Relationship Id="rId2321" Type="http://schemas.openxmlformats.org/officeDocument/2006/relationships/hyperlink" Target="https://in.tradingview.com/chart/Cgv3Jm6J/?symbol=NSE%3ALTF" TargetMode="External"/><Relationship Id="rId3651" Type="http://schemas.openxmlformats.org/officeDocument/2006/relationships/hyperlink" Target="https://in.tradingview.com/chart/Cgv3Jm6J/?symbol=NSE%3ASHRIRAMPPS" TargetMode="External"/><Relationship Id="rId2322" Type="http://schemas.openxmlformats.org/officeDocument/2006/relationships/hyperlink" Target="https://in.tradingview.com/chart/bXJLby4L/?symbol=NSE%3AKEYFINSERV" TargetMode="External"/><Relationship Id="rId3654" Type="http://schemas.openxmlformats.org/officeDocument/2006/relationships/hyperlink" Target="https://in.tradingview.com/chart/bXJLby4L/?symbol=NSE%3ARVNL" TargetMode="External"/><Relationship Id="rId2323" Type="http://schemas.openxmlformats.org/officeDocument/2006/relationships/hyperlink" Target="https://in.tradingview.com/chart/Cgv3Jm6J/?symbol=NSE%3ALTFOODS" TargetMode="External"/><Relationship Id="rId3653" Type="http://schemas.openxmlformats.org/officeDocument/2006/relationships/hyperlink" Target="https://in.tradingview.com/chart/Cgv3Jm6J/?symbol=NSE%3ASHYAMCENT" TargetMode="External"/><Relationship Id="rId2313" Type="http://schemas.openxmlformats.org/officeDocument/2006/relationships/hyperlink" Target="https://in.tradingview.com/chart/Cgv3Jm6J/?symbol=NSE%3ALOWVOLIETF" TargetMode="External"/><Relationship Id="rId3645" Type="http://schemas.openxmlformats.org/officeDocument/2006/relationships/hyperlink" Target="https://in.tradingview.com/chart/Cgv3Jm6J/?symbol=NSE%3ASHREYANIND" TargetMode="External"/><Relationship Id="rId2314" Type="http://schemas.openxmlformats.org/officeDocument/2006/relationships/hyperlink" Target="https://in.tradingview.com/chart/bXJLby4L/?symbol=NSE%3AKELLTONTEC" TargetMode="External"/><Relationship Id="rId3644" Type="http://schemas.openxmlformats.org/officeDocument/2006/relationships/hyperlink" Target="https://in.tradingview.com/chart/bXJLby4L/?symbol=NSE%3ARACLGEAR" TargetMode="External"/><Relationship Id="rId2315" Type="http://schemas.openxmlformats.org/officeDocument/2006/relationships/hyperlink" Target="https://in.tradingview.com/chart/Cgv3Jm6J/?symbol=NSE%3ALOYALTEX" TargetMode="External"/><Relationship Id="rId3647" Type="http://schemas.openxmlformats.org/officeDocument/2006/relationships/hyperlink" Target="https://in.tradingview.com/chart/Cgv3Jm6J/?symbol=NSE%3ASHRIPISTON" TargetMode="External"/><Relationship Id="rId2316" Type="http://schemas.openxmlformats.org/officeDocument/2006/relationships/hyperlink" Target="https://in.tradingview.com/chart/bXJLby4L/?symbol=NSE%3AKERNEX" TargetMode="External"/><Relationship Id="rId3646" Type="http://schemas.openxmlformats.org/officeDocument/2006/relationships/hyperlink" Target="https://in.tradingview.com/chart/bXJLby4L/?symbol=NSE%3ARADHIKAJWE" TargetMode="External"/><Relationship Id="rId2317" Type="http://schemas.openxmlformats.org/officeDocument/2006/relationships/hyperlink" Target="https://in.tradingview.com/chart/Cgv3Jm6J/?symbol=NSE%3ALPDC" TargetMode="External"/><Relationship Id="rId3649" Type="http://schemas.openxmlformats.org/officeDocument/2006/relationships/hyperlink" Target="https://in.tradingview.com/chart/Cgv3Jm6J/?symbol=NSE%3ASHRIRAMFIN" TargetMode="External"/><Relationship Id="rId2318" Type="http://schemas.openxmlformats.org/officeDocument/2006/relationships/hyperlink" Target="https://in.tradingview.com/chart/bXJLby4L/?symbol=NSE%3AKESORAMIND" TargetMode="External"/><Relationship Id="rId3648" Type="http://schemas.openxmlformats.org/officeDocument/2006/relationships/hyperlink" Target="https://in.tradingview.com/chart/bXJLby4L/?symbol=NSE%3ARADIANTCMS" TargetMode="External"/><Relationship Id="rId2319" Type="http://schemas.openxmlformats.org/officeDocument/2006/relationships/hyperlink" Target="https://in.tradingview.com/chart/Cgv3Jm6J/?symbol=NSE%3ALT" TargetMode="External"/><Relationship Id="rId3641" Type="http://schemas.openxmlformats.org/officeDocument/2006/relationships/hyperlink" Target="https://in.tradingview.com/chart/Cgv3Jm6J/?symbol=NSE%3ASHREEPUSHK" TargetMode="External"/><Relationship Id="rId2310" Type="http://schemas.openxmlformats.org/officeDocument/2006/relationships/hyperlink" Target="https://in.tradingview.com/chart/bXJLby4L/?symbol=NSE%3AKEC" TargetMode="External"/><Relationship Id="rId3640" Type="http://schemas.openxmlformats.org/officeDocument/2006/relationships/hyperlink" Target="https://in.tradingview.com/chart/bXJLby4L/?symbol=NSE%3ARNBDENIMS" TargetMode="External"/><Relationship Id="rId2311" Type="http://schemas.openxmlformats.org/officeDocument/2006/relationships/hyperlink" Target="https://in.tradingview.com/chart/Cgv3Jm6J/?symbol=NSE%3ALOWVOL1" TargetMode="External"/><Relationship Id="rId3643" Type="http://schemas.openxmlformats.org/officeDocument/2006/relationships/hyperlink" Target="https://in.tradingview.com/chart/Cgv3Jm6J/?symbol=NSE%3ASHRENIK" TargetMode="External"/><Relationship Id="rId2312" Type="http://schemas.openxmlformats.org/officeDocument/2006/relationships/hyperlink" Target="https://in.tradingview.com/chart/bXJLby4L/?symbol=NSE%3AKEI" TargetMode="External"/><Relationship Id="rId3642" Type="http://schemas.openxmlformats.org/officeDocument/2006/relationships/hyperlink" Target="https://in.tradingview.com/chart/bXJLby4L/?symbol=NSE%3ARACE" TargetMode="External"/><Relationship Id="rId1895" Type="http://schemas.openxmlformats.org/officeDocument/2006/relationships/hyperlink" Target="https://in.tradingview.com/chart/Cgv3Jm6J/?symbol=NSE%3AIRMENERGY" TargetMode="External"/><Relationship Id="rId1896" Type="http://schemas.openxmlformats.org/officeDocument/2006/relationships/hyperlink" Target="https://in.tradingview.com/chart/bXJLby4L/?symbol=NSE%3AINFRAIETF" TargetMode="External"/><Relationship Id="rId1897" Type="http://schemas.openxmlformats.org/officeDocument/2006/relationships/hyperlink" Target="https://in.tradingview.com/chart/Cgv3Jm6J/?symbol=NSE%3AISFT" TargetMode="External"/><Relationship Id="rId1898" Type="http://schemas.openxmlformats.org/officeDocument/2006/relationships/hyperlink" Target="https://in.tradingview.com/chart/bXJLby4L/?symbol=NSE%3AMETALIETF" TargetMode="External"/><Relationship Id="rId1899" Type="http://schemas.openxmlformats.org/officeDocument/2006/relationships/hyperlink" Target="https://in.tradingview.com/chart/Cgv3Jm6J/?symbol=NSE%3AISGEC" TargetMode="External"/><Relationship Id="rId1890" Type="http://schemas.openxmlformats.org/officeDocument/2006/relationships/hyperlink" Target="https://in.tradingview.com/chart/bXJLby4L/?symbol=NSE%3AEVIETF" TargetMode="External"/><Relationship Id="rId1891" Type="http://schemas.openxmlformats.org/officeDocument/2006/relationships/hyperlink" Target="https://in.tradingview.com/chart/Cgv3Jm6J/?symbol=NSE%3AIRFC" TargetMode="External"/><Relationship Id="rId1892" Type="http://schemas.openxmlformats.org/officeDocument/2006/relationships/hyperlink" Target="https://in.tradingview.com/chart/bXJLby4L/?symbol=NSE%3AFINIETF" TargetMode="External"/><Relationship Id="rId1893" Type="http://schemas.openxmlformats.org/officeDocument/2006/relationships/hyperlink" Target="https://in.tradingview.com/chart/Cgv3Jm6J/?symbol=NSE%3AIRISDOREME" TargetMode="External"/><Relationship Id="rId1894" Type="http://schemas.openxmlformats.org/officeDocument/2006/relationships/hyperlink" Target="https://in.tradingview.com/chart/bXJLby4L/?symbol=NSE%3ACONSUMIETF" TargetMode="External"/><Relationship Id="rId1884" Type="http://schemas.openxmlformats.org/officeDocument/2006/relationships/hyperlink" Target="https://in.tradingview.com/chart/bXJLby4L/?symbol=NSE%3AAUTOIETF" TargetMode="External"/><Relationship Id="rId1885" Type="http://schemas.openxmlformats.org/officeDocument/2006/relationships/hyperlink" Target="https://in.tradingview.com/chart/Cgv3Jm6J/?symbol=NSE%3AIRCON" TargetMode="External"/><Relationship Id="rId1886" Type="http://schemas.openxmlformats.org/officeDocument/2006/relationships/hyperlink" Target="https://in.tradingview.com/chart/bXJLby4L/?symbol=NSE%3ABANKIETF" TargetMode="External"/><Relationship Id="rId1887" Type="http://schemas.openxmlformats.org/officeDocument/2006/relationships/hyperlink" Target="https://in.tradingview.com/chart/Cgv3Jm6J/?symbol=NSE%3AIRCTC" TargetMode="External"/><Relationship Id="rId1888" Type="http://schemas.openxmlformats.org/officeDocument/2006/relationships/hyperlink" Target="https://in.tradingview.com/chart/bXJLby4L/?symbol=NSE%3ACOMMOIETF" TargetMode="External"/><Relationship Id="rId1889" Type="http://schemas.openxmlformats.org/officeDocument/2006/relationships/hyperlink" Target="https://in.tradingview.com/chart/Cgv3Jm6J/?symbol=NSE%3AIREDA" TargetMode="External"/><Relationship Id="rId1880" Type="http://schemas.openxmlformats.org/officeDocument/2006/relationships/hyperlink" Target="https://in.tradingview.com/chart/bXJLby4L/?symbol=NSE%3AGSEC5IETF" TargetMode="External"/><Relationship Id="rId1881" Type="http://schemas.openxmlformats.org/officeDocument/2006/relationships/hyperlink" Target="https://in.tradingview.com/chart/Cgv3Jm6J/?symbol=NSE%3AIPL" TargetMode="External"/><Relationship Id="rId1882" Type="http://schemas.openxmlformats.org/officeDocument/2006/relationships/hyperlink" Target="https://in.tradingview.com/chart/bXJLby4L/?symbol=NSE%3AALPL30IETF" TargetMode="External"/><Relationship Id="rId1883" Type="http://schemas.openxmlformats.org/officeDocument/2006/relationships/hyperlink" Target="https://in.tradingview.com/chart/Cgv3Jm6J/?symbol=NSE%3AIRB" TargetMode="External"/><Relationship Id="rId3612" Type="http://schemas.openxmlformats.org/officeDocument/2006/relationships/hyperlink" Target="https://in.tradingview.com/chart/bXJLby4L/?symbol=NSE%3APVRINOX" TargetMode="External"/><Relationship Id="rId3611" Type="http://schemas.openxmlformats.org/officeDocument/2006/relationships/hyperlink" Target="https://in.tradingview.com/chart/Cgv3Jm6J/?symbol=NSE%3ASHARDACROP" TargetMode="External"/><Relationship Id="rId3614" Type="http://schemas.openxmlformats.org/officeDocument/2006/relationships/hyperlink" Target="https://in.tradingview.com/chart/bXJLby4L/?symbol=NSE%3APYRAMID" TargetMode="External"/><Relationship Id="rId3613" Type="http://schemas.openxmlformats.org/officeDocument/2006/relationships/hyperlink" Target="https://in.tradingview.com/chart/Cgv3Jm6J/?symbol=NSE%3ASHARDAMOTR" TargetMode="External"/><Relationship Id="rId3616" Type="http://schemas.openxmlformats.org/officeDocument/2006/relationships/hyperlink" Target="https://in.tradingview.com/chart/bXJLby4L/?symbol=NSE%3AQNIFTY" TargetMode="External"/><Relationship Id="rId3615" Type="http://schemas.openxmlformats.org/officeDocument/2006/relationships/hyperlink" Target="https://in.tradingview.com/chart/Cgv3Jm6J/?symbol=NSE%3ASHAREINDIA" TargetMode="External"/><Relationship Id="rId3618" Type="http://schemas.openxmlformats.org/officeDocument/2006/relationships/hyperlink" Target="https://in.tradingview.com/chart/bXJLby4L/?symbol=NSE%3AQUADFUTURE" TargetMode="External"/><Relationship Id="rId3617" Type="http://schemas.openxmlformats.org/officeDocument/2006/relationships/hyperlink" Target="https://in.tradingview.com/chart/Cgv3Jm6J/?symbol=NSE%3ASHARIABEES" TargetMode="External"/><Relationship Id="rId3619" Type="http://schemas.openxmlformats.org/officeDocument/2006/relationships/hyperlink" Target="https://in.tradingview.com/chart/Cgv3Jm6J/?symbol=NSE%3ASHEKHAWATI" TargetMode="External"/><Relationship Id="rId3610" Type="http://schemas.openxmlformats.org/officeDocument/2006/relationships/hyperlink" Target="https://in.tradingview.com/chart/bXJLby4L/?symbol=NSE%3APVP" TargetMode="External"/><Relationship Id="rId3601" Type="http://schemas.openxmlformats.org/officeDocument/2006/relationships/hyperlink" Target="https://in.tradingview.com/chart/Cgv3Jm6J/?symbol=NSE%3ASHALBY" TargetMode="External"/><Relationship Id="rId3600" Type="http://schemas.openxmlformats.org/officeDocument/2006/relationships/hyperlink" Target="https://in.tradingview.com/chart/bXJLby4L/?symbol=NSE%3APDMJEPAPER" TargetMode="External"/><Relationship Id="rId3603" Type="http://schemas.openxmlformats.org/officeDocument/2006/relationships/hyperlink" Target="https://in.tradingview.com/chart/Cgv3Jm6J/?symbol=NSE%3ASHALPAINTS" TargetMode="External"/><Relationship Id="rId3602" Type="http://schemas.openxmlformats.org/officeDocument/2006/relationships/hyperlink" Target="https://in.tradingview.com/chart/bXJLby4L/?symbol=NSE%3APSB" TargetMode="External"/><Relationship Id="rId3605" Type="http://schemas.openxmlformats.org/officeDocument/2006/relationships/hyperlink" Target="https://in.tradingview.com/chart/Cgv3Jm6J/?symbol=NSE%3ASHANKARA" TargetMode="External"/><Relationship Id="rId3604" Type="http://schemas.openxmlformats.org/officeDocument/2006/relationships/hyperlink" Target="https://in.tradingview.com/chart/bXJLby4L/?symbol=NSE%3APUNJABCHEM" TargetMode="External"/><Relationship Id="rId3607" Type="http://schemas.openxmlformats.org/officeDocument/2006/relationships/hyperlink" Target="https://in.tradingview.com/chart/Cgv3Jm6J/?symbol=NSE%3ASHANTI" TargetMode="External"/><Relationship Id="rId3606" Type="http://schemas.openxmlformats.org/officeDocument/2006/relationships/hyperlink" Target="https://in.tradingview.com/chart/bXJLby4L/?symbol=NSE%3APNB" TargetMode="External"/><Relationship Id="rId3609" Type="http://schemas.openxmlformats.org/officeDocument/2006/relationships/hyperlink" Target="https://in.tradingview.com/chart/Cgv3Jm6J/?symbol=NSE%3ASHANTIGEAR" TargetMode="External"/><Relationship Id="rId3608" Type="http://schemas.openxmlformats.org/officeDocument/2006/relationships/hyperlink" Target="https://in.tradingview.com/chart/bXJLby4L/?symbol=NSE%3APURVA" TargetMode="External"/><Relationship Id="rId1059" Type="http://schemas.openxmlformats.org/officeDocument/2006/relationships/hyperlink" Target="https://in.tradingview.com/chart/Cgv3Jm6J/?symbol=NSE%3AECLERX" TargetMode="External"/><Relationship Id="rId228" Type="http://schemas.openxmlformats.org/officeDocument/2006/relationships/hyperlink" Target="https://in.tradingview.com/chart/bXJLby4L/?symbol=NSE%3AALLDIGI" TargetMode="External"/><Relationship Id="rId227" Type="http://schemas.openxmlformats.org/officeDocument/2006/relationships/hyperlink" Target="https://in.tradingview.com/chart/Cgv3Jm6J/?symbol=NSE%3AAMJLAND" TargetMode="External"/><Relationship Id="rId226" Type="http://schemas.openxmlformats.org/officeDocument/2006/relationships/hyperlink" Target="https://in.tradingview.com/chart/bXJLby4L/?symbol=NSE%3AATL" TargetMode="External"/><Relationship Id="rId225" Type="http://schemas.openxmlformats.org/officeDocument/2006/relationships/hyperlink" Target="https://in.tradingview.com/chart/Cgv3Jm6J/?symbol=NSE%3AACUTAAS" TargetMode="External"/><Relationship Id="rId2380" Type="http://schemas.openxmlformats.org/officeDocument/2006/relationships/hyperlink" Target="https://in.tradingview.com/chart/bXJLby4L/?symbol=NSE%3ALOWVOL1" TargetMode="External"/><Relationship Id="rId229" Type="http://schemas.openxmlformats.org/officeDocument/2006/relationships/hyperlink" Target="https://in.tradingview.com/chart/Cgv3Jm6J/?symbol=NSE%3AAMNPLST" TargetMode="External"/><Relationship Id="rId1050" Type="http://schemas.openxmlformats.org/officeDocument/2006/relationships/hyperlink" Target="https://in.tradingview.com/chart/bXJLby4L/?symbol=NSE%3ADEEPAKFERT" TargetMode="External"/><Relationship Id="rId2381" Type="http://schemas.openxmlformats.org/officeDocument/2006/relationships/hyperlink" Target="https://in.tradingview.com/chart/Cgv3Jm6J/?symbol=NSE%3AMAHSCOOTER" TargetMode="External"/><Relationship Id="rId220" Type="http://schemas.openxmlformats.org/officeDocument/2006/relationships/hyperlink" Target="https://in.tradingview.com/chart/bXJLby4L/?symbol=NSE%3AALKYLAMINE" TargetMode="External"/><Relationship Id="rId1051" Type="http://schemas.openxmlformats.org/officeDocument/2006/relationships/hyperlink" Target="https://in.tradingview.com/chart/Cgv3Jm6J/?symbol=NSE%3AEBBETF0430" TargetMode="External"/><Relationship Id="rId2382" Type="http://schemas.openxmlformats.org/officeDocument/2006/relationships/hyperlink" Target="https://in.tradingview.com/chart/bXJLby4L/?symbol=NSE%3ALIQUID1" TargetMode="External"/><Relationship Id="rId1052" Type="http://schemas.openxmlformats.org/officeDocument/2006/relationships/hyperlink" Target="https://in.tradingview.com/chart/bXJLby4L/?symbol=NSE%3ADEEPAKNTR" TargetMode="External"/><Relationship Id="rId2383" Type="http://schemas.openxmlformats.org/officeDocument/2006/relationships/hyperlink" Target="https://in.tradingview.com/chart/Cgv3Jm6J/?symbol=NSE%3AMAHSEAMLES" TargetMode="External"/><Relationship Id="rId1053" Type="http://schemas.openxmlformats.org/officeDocument/2006/relationships/hyperlink" Target="https://in.tradingview.com/chart/Cgv3Jm6J/?symbol=NSE%3AEBBETF0431" TargetMode="External"/><Relationship Id="rId2384" Type="http://schemas.openxmlformats.org/officeDocument/2006/relationships/hyperlink" Target="https://in.tradingview.com/chart/bXJLby4L/?symbol=NSE%3AMOMENTUM30" TargetMode="External"/><Relationship Id="rId1054" Type="http://schemas.openxmlformats.org/officeDocument/2006/relationships/hyperlink" Target="https://in.tradingview.com/chart/bXJLby4L/?symbol=NSE%3ADELHIVERY" TargetMode="External"/><Relationship Id="rId2385" Type="http://schemas.openxmlformats.org/officeDocument/2006/relationships/hyperlink" Target="https://in.tradingview.com/chart/Cgv3Jm6J/?symbol=NSE%3AMAITHANALL" TargetMode="External"/><Relationship Id="rId224" Type="http://schemas.openxmlformats.org/officeDocument/2006/relationships/hyperlink" Target="https://in.tradingview.com/chart/bXJLby4L/?symbol=NSE%3AALLCARGO" TargetMode="External"/><Relationship Id="rId1055" Type="http://schemas.openxmlformats.org/officeDocument/2006/relationships/hyperlink" Target="https://in.tradingview.com/chart/Cgv3Jm6J/?symbol=NSE%3AEBBETF0433" TargetMode="External"/><Relationship Id="rId2386" Type="http://schemas.openxmlformats.org/officeDocument/2006/relationships/hyperlink" Target="https://in.tradingview.com/chart/bXJLby4L/?symbol=NSE%3AALPHA" TargetMode="External"/><Relationship Id="rId223" Type="http://schemas.openxmlformats.org/officeDocument/2006/relationships/hyperlink" Target="https://in.tradingview.com/chart/Cgv3Jm6J/?symbol=NSE%3AAMDIND" TargetMode="External"/><Relationship Id="rId1056" Type="http://schemas.openxmlformats.org/officeDocument/2006/relationships/hyperlink" Target="https://in.tradingview.com/chart/bXJLby4L/?symbol=NSE%3ADELPHIFX" TargetMode="External"/><Relationship Id="rId2387" Type="http://schemas.openxmlformats.org/officeDocument/2006/relationships/hyperlink" Target="https://in.tradingview.com/chart/Cgv3Jm6J/?symbol=NSE%3AMAKEINDIA" TargetMode="External"/><Relationship Id="rId222" Type="http://schemas.openxmlformats.org/officeDocument/2006/relationships/hyperlink" Target="https://in.tradingview.com/chart/bXJLby4L/?symbol=NSE%3AALLTIME" TargetMode="External"/><Relationship Id="rId1057" Type="http://schemas.openxmlformats.org/officeDocument/2006/relationships/hyperlink" Target="https://in.tradingview.com/chart/Cgv3Jm6J/?symbol=NSE%3AECAPINSURE" TargetMode="External"/><Relationship Id="rId2388" Type="http://schemas.openxmlformats.org/officeDocument/2006/relationships/hyperlink" Target="https://in.tradingview.com/chart/bXJLby4L/?symbol=NSE%3ACHEMICAL" TargetMode="External"/><Relationship Id="rId221" Type="http://schemas.openxmlformats.org/officeDocument/2006/relationships/hyperlink" Target="https://in.tradingview.com/chart/Cgv3Jm6J/?symbol=NSE%3AAMBUJACEM" TargetMode="External"/><Relationship Id="rId1058" Type="http://schemas.openxmlformats.org/officeDocument/2006/relationships/hyperlink" Target="https://in.tradingview.com/chart/bXJLby4L/?symbol=NSE%3ADELTACORP" TargetMode="External"/><Relationship Id="rId2389" Type="http://schemas.openxmlformats.org/officeDocument/2006/relationships/hyperlink" Target="https://in.tradingview.com/chart/Cgv3Jm6J/?symbol=NSE%3AMALLCOM" TargetMode="External"/><Relationship Id="rId1048" Type="http://schemas.openxmlformats.org/officeDocument/2006/relationships/hyperlink" Target="https://in.tradingview.com/chart/bXJLby4L/?symbol=NSE%3ADBEIL" TargetMode="External"/><Relationship Id="rId2379" Type="http://schemas.openxmlformats.org/officeDocument/2006/relationships/hyperlink" Target="https://in.tradingview.com/chart/Cgv3Jm6J/?symbol=NSE%3AMAHLOG" TargetMode="External"/><Relationship Id="rId1049" Type="http://schemas.openxmlformats.org/officeDocument/2006/relationships/hyperlink" Target="https://in.tradingview.com/chart/Cgv3Jm6J/?symbol=NSE%3AEBANKNIFTY" TargetMode="External"/><Relationship Id="rId217" Type="http://schemas.openxmlformats.org/officeDocument/2006/relationships/hyperlink" Target="https://in.tradingview.com/chart/Cgv3Jm6J/?symbol=NSE%3AAMBICAAGAR" TargetMode="External"/><Relationship Id="rId216" Type="http://schemas.openxmlformats.org/officeDocument/2006/relationships/hyperlink" Target="https://in.tradingview.com/chart/bXJLby4L/?symbol=NSE%3AALKALI" TargetMode="External"/><Relationship Id="rId215" Type="http://schemas.openxmlformats.org/officeDocument/2006/relationships/hyperlink" Target="https://in.tradingview.com/chart/Cgv3Jm6J/?symbol=NSE%3AAMBER" TargetMode="External"/><Relationship Id="rId214" Type="http://schemas.openxmlformats.org/officeDocument/2006/relationships/hyperlink" Target="https://in.tradingview.com/chart/bXJLby4L/?symbol=NSE%3AALIVUS" TargetMode="External"/><Relationship Id="rId219" Type="http://schemas.openxmlformats.org/officeDocument/2006/relationships/hyperlink" Target="https://in.tradingview.com/chart/Cgv3Jm6J/?symbol=NSE%3AAMBIKCO" TargetMode="External"/><Relationship Id="rId218" Type="http://schemas.openxmlformats.org/officeDocument/2006/relationships/hyperlink" Target="https://in.tradingview.com/chart/bXJLby4L/?symbol=NSE%3AALKEM" TargetMode="External"/><Relationship Id="rId2370" Type="http://schemas.openxmlformats.org/officeDocument/2006/relationships/hyperlink" Target="https://in.tradingview.com/chart/bXJLby4L/?symbol=NSE%3AGOLD1" TargetMode="External"/><Relationship Id="rId1040" Type="http://schemas.openxmlformats.org/officeDocument/2006/relationships/hyperlink" Target="https://in.tradingview.com/chart/bXJLby4L/?symbol=NSE%3ADENORA" TargetMode="External"/><Relationship Id="rId2371" Type="http://schemas.openxmlformats.org/officeDocument/2006/relationships/hyperlink" Target="https://in.tradingview.com/chart/Cgv3Jm6J/?symbol=NSE%3AMAHEPC" TargetMode="External"/><Relationship Id="rId1041" Type="http://schemas.openxmlformats.org/officeDocument/2006/relationships/hyperlink" Target="https://in.tradingview.com/chart/Cgv3Jm6J/?symbol=NSE%3ADYNAMATECH" TargetMode="External"/><Relationship Id="rId2372" Type="http://schemas.openxmlformats.org/officeDocument/2006/relationships/hyperlink" Target="https://in.tradingview.com/chart/bXJLby4L/?symbol=NSE%3AIT" TargetMode="External"/><Relationship Id="rId1042" Type="http://schemas.openxmlformats.org/officeDocument/2006/relationships/hyperlink" Target="https://in.tradingview.com/chart/bXJLby4L/?symbol=NSE%3ADECCANCE" TargetMode="External"/><Relationship Id="rId2373" Type="http://schemas.openxmlformats.org/officeDocument/2006/relationships/hyperlink" Target="https://in.tradingview.com/chart/Cgv3Jm6J/?symbol=NSE%3AMAHESHWARI" TargetMode="External"/><Relationship Id="rId1043" Type="http://schemas.openxmlformats.org/officeDocument/2006/relationships/hyperlink" Target="https://in.tradingview.com/chart/Cgv3Jm6J/?symbol=NSE%3ADYNPRO" TargetMode="External"/><Relationship Id="rId2374" Type="http://schemas.openxmlformats.org/officeDocument/2006/relationships/hyperlink" Target="https://in.tradingview.com/chart/bXJLby4L/?symbol=NSE%3AKOTAKBANK" TargetMode="External"/><Relationship Id="rId213" Type="http://schemas.openxmlformats.org/officeDocument/2006/relationships/hyperlink" Target="https://in.tradingview.com/chart/Cgv3Jm6J/?symbol=NSE%3AALPSINDUS" TargetMode="External"/><Relationship Id="rId1044" Type="http://schemas.openxmlformats.org/officeDocument/2006/relationships/hyperlink" Target="https://in.tradingview.com/chart/bXJLby4L/?symbol=NSE%3ADEEDEV" TargetMode="External"/><Relationship Id="rId2375" Type="http://schemas.openxmlformats.org/officeDocument/2006/relationships/hyperlink" Target="https://in.tradingview.com/chart/Cgv3Jm6J/?symbol=NSE%3AMAHKTECH" TargetMode="External"/><Relationship Id="rId212" Type="http://schemas.openxmlformats.org/officeDocument/2006/relationships/hyperlink" Target="https://in.tradingview.com/chart/bXJLby4L/?symbol=NSE%3AALICON" TargetMode="External"/><Relationship Id="rId1045" Type="http://schemas.openxmlformats.org/officeDocument/2006/relationships/hyperlink" Target="https://in.tradingview.com/chart/Cgv3Jm6J/?symbol=NSE%3AE2E" TargetMode="External"/><Relationship Id="rId2376" Type="http://schemas.openxmlformats.org/officeDocument/2006/relationships/hyperlink" Target="https://in.tradingview.com/chart/bXJLby4L/?symbol=NSE%3AMSCIINDIA" TargetMode="External"/><Relationship Id="rId211" Type="http://schemas.openxmlformats.org/officeDocument/2006/relationships/hyperlink" Target="https://in.tradingview.com/chart/Cgv3Jm6J/?symbol=NSE%3AALPL30IETF" TargetMode="External"/><Relationship Id="rId1046" Type="http://schemas.openxmlformats.org/officeDocument/2006/relationships/hyperlink" Target="https://in.tradingview.com/chart/bXJLby4L/?symbol=NSE%3ADEEPINDS" TargetMode="External"/><Relationship Id="rId2377" Type="http://schemas.openxmlformats.org/officeDocument/2006/relationships/hyperlink" Target="https://in.tradingview.com/chart/Cgv3Jm6J/?symbol=NSE%3AMAHLIFE" TargetMode="External"/><Relationship Id="rId210" Type="http://schemas.openxmlformats.org/officeDocument/2006/relationships/hyperlink" Target="https://in.tradingview.com/chart/bXJLby4L/?symbol=NSE%3AAPLLTD" TargetMode="External"/><Relationship Id="rId1047" Type="http://schemas.openxmlformats.org/officeDocument/2006/relationships/hyperlink" Target="https://in.tradingview.com/chart/Cgv3Jm6J/?symbol=NSE%3AEASEMYTRIP" TargetMode="External"/><Relationship Id="rId2378" Type="http://schemas.openxmlformats.org/officeDocument/2006/relationships/hyperlink" Target="https://in.tradingview.com/chart/bXJLby4L/?symbol=NSE%3ANIFTY100EW" TargetMode="External"/><Relationship Id="rId4107" Type="http://schemas.openxmlformats.org/officeDocument/2006/relationships/hyperlink" Target="https://in.tradingview.com/chart/Cgv3Jm6J/?symbol=NSE%3ATRANSRAILL" TargetMode="External"/><Relationship Id="rId4106" Type="http://schemas.openxmlformats.org/officeDocument/2006/relationships/hyperlink" Target="https://in.tradingview.com/chart/bXJLby4L/?symbol=NSE%3ASIEMENS" TargetMode="External"/><Relationship Id="rId4109" Type="http://schemas.openxmlformats.org/officeDocument/2006/relationships/hyperlink" Target="https://in.tradingview.com/chart/Cgv3Jm6J/?symbol=NSE%3ATRANSWORLD" TargetMode="External"/><Relationship Id="rId4108" Type="http://schemas.openxmlformats.org/officeDocument/2006/relationships/hyperlink" Target="https://in.tradingview.com/chart/bXJLby4L/?symbol=NSE%3ASIGACHI" TargetMode="External"/><Relationship Id="rId249" Type="http://schemas.openxmlformats.org/officeDocument/2006/relationships/hyperlink" Target="https://in.tradingview.com/chart/Cgv3Jm6J/?symbol=NSE%3AANTGRAPHIC" TargetMode="External"/><Relationship Id="rId248" Type="http://schemas.openxmlformats.org/officeDocument/2006/relationships/hyperlink" Target="https://in.tradingview.com/chart/bXJLby4L/?symbol=NSE%3AAMBICAAGAR" TargetMode="External"/><Relationship Id="rId247" Type="http://schemas.openxmlformats.org/officeDocument/2006/relationships/hyperlink" Target="https://in.tradingview.com/chart/Cgv3Jm6J/?symbol=NSE%3AANSALAPI" TargetMode="External"/><Relationship Id="rId1070" Type="http://schemas.openxmlformats.org/officeDocument/2006/relationships/hyperlink" Target="https://in.tradingview.com/chart/bXJLby4L/?symbol=NSE%3ADEVYANI" TargetMode="External"/><Relationship Id="rId1071" Type="http://schemas.openxmlformats.org/officeDocument/2006/relationships/hyperlink" Target="https://in.tradingview.com/chart/Cgv3Jm6J/?symbol=NSE%3AEIEL" TargetMode="External"/><Relationship Id="rId1072" Type="http://schemas.openxmlformats.org/officeDocument/2006/relationships/hyperlink" Target="https://in.tradingview.com/chart/bXJLby4L/?symbol=NSE%3ADBOL" TargetMode="External"/><Relationship Id="rId242" Type="http://schemas.openxmlformats.org/officeDocument/2006/relationships/hyperlink" Target="https://in.tradingview.com/chart/bXJLby4L/?symbol=NSE%3AAMANTA" TargetMode="External"/><Relationship Id="rId1073" Type="http://schemas.openxmlformats.org/officeDocument/2006/relationships/hyperlink" Target="https://in.tradingview.com/chart/Cgv3Jm6J/?symbol=NSE%3AEIFFL" TargetMode="External"/><Relationship Id="rId241" Type="http://schemas.openxmlformats.org/officeDocument/2006/relationships/hyperlink" Target="https://in.tradingview.com/chart/Cgv3Jm6J/?symbol=NSE%3AANGELONE" TargetMode="External"/><Relationship Id="rId1074" Type="http://schemas.openxmlformats.org/officeDocument/2006/relationships/hyperlink" Target="https://in.tradingview.com/chart/bXJLby4L/?symbol=NSE%3ADHAMPURSUG" TargetMode="External"/><Relationship Id="rId240" Type="http://schemas.openxmlformats.org/officeDocument/2006/relationships/hyperlink" Target="https://in.tradingview.com/chart/bXJLby4L/?symbol=NSE%3AALPHAGEO" TargetMode="External"/><Relationship Id="rId1075" Type="http://schemas.openxmlformats.org/officeDocument/2006/relationships/hyperlink" Target="https://in.tradingview.com/chart/Cgv3Jm6J/?symbol=NSE%3AEIHAHOTELS" TargetMode="External"/><Relationship Id="rId4101" Type="http://schemas.openxmlformats.org/officeDocument/2006/relationships/hyperlink" Target="https://in.tradingview.com/chart/Cgv3Jm6J/?symbol=NSE%3ATPHQ" TargetMode="External"/><Relationship Id="rId1076" Type="http://schemas.openxmlformats.org/officeDocument/2006/relationships/hyperlink" Target="https://in.tradingview.com/chart/bXJLby4L/?symbol=NSE%3ADHANBANK" TargetMode="External"/><Relationship Id="rId4100" Type="http://schemas.openxmlformats.org/officeDocument/2006/relationships/hyperlink" Target="https://in.tradingview.com/chart/bXJLby4L/?symbol=NSE%3ASHYAMTEL" TargetMode="External"/><Relationship Id="rId246" Type="http://schemas.openxmlformats.org/officeDocument/2006/relationships/hyperlink" Target="https://in.tradingview.com/chart/bXJLby4L/?symbol=NSE%3AAMBER" TargetMode="External"/><Relationship Id="rId1077" Type="http://schemas.openxmlformats.org/officeDocument/2006/relationships/hyperlink" Target="https://in.tradingview.com/chart/Cgv3Jm6J/?symbol=NSE%3AEIHOTEL" TargetMode="External"/><Relationship Id="rId4103" Type="http://schemas.openxmlformats.org/officeDocument/2006/relationships/hyperlink" Target="https://in.tradingview.com/chart/Cgv3Jm6J/?symbol=NSE%3ATPLPLASTEH" TargetMode="External"/><Relationship Id="rId245" Type="http://schemas.openxmlformats.org/officeDocument/2006/relationships/hyperlink" Target="https://in.tradingview.com/chart/Cgv3Jm6J/?symbol=NSE%3AANMOL" TargetMode="External"/><Relationship Id="rId1078" Type="http://schemas.openxmlformats.org/officeDocument/2006/relationships/hyperlink" Target="https://in.tradingview.com/chart/bXJLby4L/?symbol=NSE%3ADHANUKA" TargetMode="External"/><Relationship Id="rId4102" Type="http://schemas.openxmlformats.org/officeDocument/2006/relationships/hyperlink" Target="https://in.tradingview.com/chart/bXJLby4L/?symbol=NSE%3ASICALLOG" TargetMode="External"/><Relationship Id="rId244" Type="http://schemas.openxmlformats.org/officeDocument/2006/relationships/hyperlink" Target="https://in.tradingview.com/chart/bXJLby4L/?symbol=NSE%3AARE&amp;M" TargetMode="External"/><Relationship Id="rId1079" Type="http://schemas.openxmlformats.org/officeDocument/2006/relationships/hyperlink" Target="https://in.tradingview.com/chart/Cgv3Jm6J/?symbol=NSE%3AEIMCOELECO" TargetMode="External"/><Relationship Id="rId4105" Type="http://schemas.openxmlformats.org/officeDocument/2006/relationships/hyperlink" Target="https://in.tradingview.com/chart/Cgv3Jm6J/?symbol=NSE%3ATRACXN" TargetMode="External"/><Relationship Id="rId243" Type="http://schemas.openxmlformats.org/officeDocument/2006/relationships/hyperlink" Target="https://in.tradingview.com/chart/Cgv3Jm6J/?symbol=NSE%3AANIKINDS" TargetMode="External"/><Relationship Id="rId4104" Type="http://schemas.openxmlformats.org/officeDocument/2006/relationships/hyperlink" Target="https://in.tradingview.com/chart/bXJLby4L/?symbol=NSE%3AENRIN" TargetMode="External"/><Relationship Id="rId239" Type="http://schemas.openxmlformats.org/officeDocument/2006/relationships/hyperlink" Target="https://in.tradingview.com/chart/Cgv3Jm6J/?symbol=NSE%3AANDHRSUGAR" TargetMode="External"/><Relationship Id="rId238" Type="http://schemas.openxmlformats.org/officeDocument/2006/relationships/hyperlink" Target="https://in.tradingview.com/chart/bXJLby4L/?symbol=NSE%3AALPA" TargetMode="External"/><Relationship Id="rId237" Type="http://schemas.openxmlformats.org/officeDocument/2006/relationships/hyperlink" Target="https://in.tradingview.com/chart/Cgv3Jm6J/?symbol=NSE%3AANDHRAPAP" TargetMode="External"/><Relationship Id="rId236" Type="http://schemas.openxmlformats.org/officeDocument/2006/relationships/hyperlink" Target="https://in.tradingview.com/chart/bXJLby4L/?symbol=NSE%3AALOKINDS" TargetMode="External"/><Relationship Id="rId2390" Type="http://schemas.openxmlformats.org/officeDocument/2006/relationships/hyperlink" Target="https://in.tradingview.com/chart/bXJLby4L/?symbol=NSE%3ACONS" TargetMode="External"/><Relationship Id="rId1060" Type="http://schemas.openxmlformats.org/officeDocument/2006/relationships/hyperlink" Target="https://in.tradingview.com/chart/bXJLby4L/?symbol=NSE%3ADELTAMAGNT" TargetMode="External"/><Relationship Id="rId2391" Type="http://schemas.openxmlformats.org/officeDocument/2006/relationships/hyperlink" Target="https://in.tradingview.com/chart/Cgv3Jm6J/?symbol=NSE%3AMALUPAPER" TargetMode="External"/><Relationship Id="rId1061" Type="http://schemas.openxmlformats.org/officeDocument/2006/relationships/hyperlink" Target="https://in.tradingview.com/chart/Cgv3Jm6J/?symbol=NSE%3AECOSMOBLTY" TargetMode="External"/><Relationship Id="rId2392" Type="http://schemas.openxmlformats.org/officeDocument/2006/relationships/hyperlink" Target="https://in.tradingview.com/chart/bXJLby4L/?symbol=NSE%3AMID150" TargetMode="External"/><Relationship Id="rId231" Type="http://schemas.openxmlformats.org/officeDocument/2006/relationships/hyperlink" Target="https://in.tradingview.com/chart/Cgv3Jm6J/?symbol=NSE%3AAMRUTANJAN" TargetMode="External"/><Relationship Id="rId1062" Type="http://schemas.openxmlformats.org/officeDocument/2006/relationships/hyperlink" Target="https://in.tradingview.com/chart/bXJLby4L/?symbol=NSE%3ADEN" TargetMode="External"/><Relationship Id="rId2393" Type="http://schemas.openxmlformats.org/officeDocument/2006/relationships/hyperlink" Target="https://in.tradingview.com/chart/Cgv3Jm6J/?symbol=NSE%3AMAMATA" TargetMode="External"/><Relationship Id="rId230" Type="http://schemas.openxmlformats.org/officeDocument/2006/relationships/hyperlink" Target="https://in.tradingview.com/chart/bXJLby4L/?symbol=NSE%3AABDL" TargetMode="External"/><Relationship Id="rId1063" Type="http://schemas.openxmlformats.org/officeDocument/2006/relationships/hyperlink" Target="https://in.tradingview.com/chart/Cgv3Jm6J/?symbol=NSE%3AEDELWEISS" TargetMode="External"/><Relationship Id="rId2394" Type="http://schemas.openxmlformats.org/officeDocument/2006/relationships/hyperlink" Target="https://in.tradingview.com/chart/bXJLby4L/?symbol=NSE%3AMIDCAP" TargetMode="External"/><Relationship Id="rId1064" Type="http://schemas.openxmlformats.org/officeDocument/2006/relationships/hyperlink" Target="https://in.tradingview.com/chart/bXJLby4L/?symbol=NSE%3ADENTA" TargetMode="External"/><Relationship Id="rId2395" Type="http://schemas.openxmlformats.org/officeDocument/2006/relationships/hyperlink" Target="https://in.tradingview.com/chart/Cgv3Jm6J/?symbol=NSE%3AMANAKALUCO" TargetMode="External"/><Relationship Id="rId1065" Type="http://schemas.openxmlformats.org/officeDocument/2006/relationships/hyperlink" Target="https://in.tradingview.com/chart/Cgv3Jm6J/?symbol=NSE%3AEGOLD" TargetMode="External"/><Relationship Id="rId2396" Type="http://schemas.openxmlformats.org/officeDocument/2006/relationships/hyperlink" Target="https://in.tradingview.com/chart/bXJLby4L/?symbol=NSE%3AMNC" TargetMode="External"/><Relationship Id="rId235" Type="http://schemas.openxmlformats.org/officeDocument/2006/relationships/hyperlink" Target="https://in.tradingview.com/chart/Cgv3Jm6J/?symbol=NSE%3AANANTRAJ" TargetMode="External"/><Relationship Id="rId1066" Type="http://schemas.openxmlformats.org/officeDocument/2006/relationships/hyperlink" Target="https://in.tradingview.com/chart/bXJLby4L/?symbol=NSE%3ADEVX" TargetMode="External"/><Relationship Id="rId2397" Type="http://schemas.openxmlformats.org/officeDocument/2006/relationships/hyperlink" Target="https://in.tradingview.com/chart/Cgv3Jm6J/?symbol=NSE%3AMANAKCOAT" TargetMode="External"/><Relationship Id="rId234" Type="http://schemas.openxmlformats.org/officeDocument/2006/relationships/hyperlink" Target="https://in.tradingview.com/chart/bXJLby4L/?symbol=NSE%3AALMONDZ" TargetMode="External"/><Relationship Id="rId1067" Type="http://schemas.openxmlformats.org/officeDocument/2006/relationships/hyperlink" Target="https://in.tradingview.com/chart/Cgv3Jm6J/?symbol=NSE%3AEICHERMOT" TargetMode="External"/><Relationship Id="rId2398" Type="http://schemas.openxmlformats.org/officeDocument/2006/relationships/hyperlink" Target="https://in.tradingview.com/chart/bXJLby4L/?symbol=NSE%3APSUBANK" TargetMode="External"/><Relationship Id="rId233" Type="http://schemas.openxmlformats.org/officeDocument/2006/relationships/hyperlink" Target="https://in.tradingview.com/chart/Cgv3Jm6J/?symbol=NSE%3AANANDRATHI" TargetMode="External"/><Relationship Id="rId1068" Type="http://schemas.openxmlformats.org/officeDocument/2006/relationships/hyperlink" Target="https://in.tradingview.com/chart/bXJLby4L/?symbol=NSE%3ADEVIT" TargetMode="External"/><Relationship Id="rId2399" Type="http://schemas.openxmlformats.org/officeDocument/2006/relationships/hyperlink" Target="https://in.tradingview.com/chart/Cgv3Jm6J/?symbol=NSE%3AMANAKSIA" TargetMode="External"/><Relationship Id="rId232" Type="http://schemas.openxmlformats.org/officeDocument/2006/relationships/hyperlink" Target="https://in.tradingview.com/chart/bXJLby4L/?symbol=NSE%3AADSL" TargetMode="External"/><Relationship Id="rId1069" Type="http://schemas.openxmlformats.org/officeDocument/2006/relationships/hyperlink" Target="https://in.tradingview.com/chart/Cgv3Jm6J/?symbol=NSE%3AEIDPARRY" TargetMode="External"/><Relationship Id="rId1015" Type="http://schemas.openxmlformats.org/officeDocument/2006/relationships/hyperlink" Target="https://in.tradingview.com/chart/Cgv3Jm6J/?symbol=NSE%3ADPABHUSHAN" TargetMode="External"/><Relationship Id="rId2346" Type="http://schemas.openxmlformats.org/officeDocument/2006/relationships/hyperlink" Target="https://in.tradingview.com/chart/bXJLby4L/?symbol=NSE%3AKECL" TargetMode="External"/><Relationship Id="rId3678" Type="http://schemas.openxmlformats.org/officeDocument/2006/relationships/hyperlink" Target="https://in.tradingview.com/chart/bXJLby4L/?symbol=NSE%3ARAJSREESUG" TargetMode="External"/><Relationship Id="rId1016" Type="http://schemas.openxmlformats.org/officeDocument/2006/relationships/hyperlink" Target="https://in.tradingview.com/chart/bXJLby4L/?symbol=NSE%3ADATAPATTNS" TargetMode="External"/><Relationship Id="rId2347" Type="http://schemas.openxmlformats.org/officeDocument/2006/relationships/hyperlink" Target="https://in.tradingview.com/chart/Cgv3Jm6J/?symbol=NSE%3AM_MFIN" TargetMode="External"/><Relationship Id="rId3677" Type="http://schemas.openxmlformats.org/officeDocument/2006/relationships/hyperlink" Target="https://in.tradingview.com/chart/Cgv3Jm6J/?symbol=NSE%3ASILGO" TargetMode="External"/><Relationship Id="rId1017" Type="http://schemas.openxmlformats.org/officeDocument/2006/relationships/hyperlink" Target="https://in.tradingview.com/chart/Cgv3Jm6J/?symbol=NSE%3ADPSCLTD" TargetMode="External"/><Relationship Id="rId2348" Type="http://schemas.openxmlformats.org/officeDocument/2006/relationships/hyperlink" Target="https://in.tradingview.com/chart/bXJLby4L/?symbol=NSE%3AKIRLOSIND" TargetMode="External"/><Relationship Id="rId1018" Type="http://schemas.openxmlformats.org/officeDocument/2006/relationships/hyperlink" Target="https://in.tradingview.com/chart/bXJLby4L/?symbol=NSE%3ADATAMATICS" TargetMode="External"/><Relationship Id="rId2349" Type="http://schemas.openxmlformats.org/officeDocument/2006/relationships/hyperlink" Target="https://in.tradingview.com/chart/Cgv3Jm6J/?symbol=NSE%3AMAANALU" TargetMode="External"/><Relationship Id="rId3679" Type="http://schemas.openxmlformats.org/officeDocument/2006/relationships/hyperlink" Target="https://in.tradingview.com/chart/Cgv3Jm6J/?symbol=NSE%3ASILINV" TargetMode="External"/><Relationship Id="rId1019" Type="http://schemas.openxmlformats.org/officeDocument/2006/relationships/hyperlink" Target="https://in.tradingview.com/chart/Cgv3Jm6J/?symbol=NSE%3ADPWIRES" TargetMode="External"/><Relationship Id="rId3670" Type="http://schemas.openxmlformats.org/officeDocument/2006/relationships/hyperlink" Target="https://in.tradingview.com/chart/bXJLby4L/?symbol=NSE%3ARAJESHEXPO" TargetMode="External"/><Relationship Id="rId2340" Type="http://schemas.openxmlformats.org/officeDocument/2006/relationships/hyperlink" Target="https://in.tradingview.com/chart/bXJLby4L/?symbol=NSE%3AKIOCL" TargetMode="External"/><Relationship Id="rId3672" Type="http://schemas.openxmlformats.org/officeDocument/2006/relationships/hyperlink" Target="https://in.tradingview.com/chart/bXJLby4L/?symbol=NSE%3ARAJOOENG" TargetMode="External"/><Relationship Id="rId1010" Type="http://schemas.openxmlformats.org/officeDocument/2006/relationships/hyperlink" Target="https://in.tradingview.com/chart/bXJLby4L/?symbol=NSE%3ADALMIASUG" TargetMode="External"/><Relationship Id="rId2341" Type="http://schemas.openxmlformats.org/officeDocument/2006/relationships/hyperlink" Target="https://in.tradingview.com/chart/Cgv3Jm6J/?symbol=NSE%3ALYKALABS" TargetMode="External"/><Relationship Id="rId3671" Type="http://schemas.openxmlformats.org/officeDocument/2006/relationships/hyperlink" Target="https://in.tradingview.com/chart/Cgv3Jm6J/?symbol=NSE%3ASIGNPOST" TargetMode="External"/><Relationship Id="rId1011" Type="http://schemas.openxmlformats.org/officeDocument/2006/relationships/hyperlink" Target="https://in.tradingview.com/chart/Cgv3Jm6J/?symbol=NSE%3ADOMS" TargetMode="External"/><Relationship Id="rId2342" Type="http://schemas.openxmlformats.org/officeDocument/2006/relationships/hyperlink" Target="https://in.tradingview.com/chart/bXJLby4L/?symbol=NSE%3AKIRIINDUS" TargetMode="External"/><Relationship Id="rId3674" Type="http://schemas.openxmlformats.org/officeDocument/2006/relationships/hyperlink" Target="https://in.tradingview.com/chart/bXJLby4L/?symbol=NSE%3ARAJRATAN" TargetMode="External"/><Relationship Id="rId1012" Type="http://schemas.openxmlformats.org/officeDocument/2006/relationships/hyperlink" Target="https://in.tradingview.com/chart/bXJLby4L/?symbol=NSE%3ADAMCAPITAL" TargetMode="External"/><Relationship Id="rId2343" Type="http://schemas.openxmlformats.org/officeDocument/2006/relationships/hyperlink" Target="https://in.tradingview.com/chart/Cgv3Jm6J/?symbol=NSE%3ALYPSAGEMS" TargetMode="External"/><Relationship Id="rId3673" Type="http://schemas.openxmlformats.org/officeDocument/2006/relationships/hyperlink" Target="https://in.tradingview.com/chart/Cgv3Jm6J/?symbol=NSE%3ASIKKO" TargetMode="External"/><Relationship Id="rId1013" Type="http://schemas.openxmlformats.org/officeDocument/2006/relationships/hyperlink" Target="https://in.tradingview.com/chart/Cgv3Jm6J/?symbol=NSE%3ADONEAR" TargetMode="External"/><Relationship Id="rId2344" Type="http://schemas.openxmlformats.org/officeDocument/2006/relationships/hyperlink" Target="https://in.tradingview.com/chart/bXJLby4L/?symbol=NSE%3AKIRLOSBROS" TargetMode="External"/><Relationship Id="rId3676" Type="http://schemas.openxmlformats.org/officeDocument/2006/relationships/hyperlink" Target="https://in.tradingview.com/chart/bXJLby4L/?symbol=NSE%3ARPPL" TargetMode="External"/><Relationship Id="rId1014" Type="http://schemas.openxmlformats.org/officeDocument/2006/relationships/hyperlink" Target="https://in.tradingview.com/chart/bXJLby4L/?symbol=NSE%3ADAMODARIND" TargetMode="External"/><Relationship Id="rId2345" Type="http://schemas.openxmlformats.org/officeDocument/2006/relationships/hyperlink" Target="https://in.tradingview.com/chart/Cgv3Jm6J/?symbol=NSE%3AM_M" TargetMode="External"/><Relationship Id="rId3675" Type="http://schemas.openxmlformats.org/officeDocument/2006/relationships/hyperlink" Target="https://in.tradingview.com/chart/Cgv3Jm6J/?symbol=NSE%3ASIL" TargetMode="External"/><Relationship Id="rId1004" Type="http://schemas.openxmlformats.org/officeDocument/2006/relationships/hyperlink" Target="https://in.tradingview.com/chart/bXJLby4L/?symbol=NSE%3ADPABHUSHAN" TargetMode="External"/><Relationship Id="rId2335" Type="http://schemas.openxmlformats.org/officeDocument/2006/relationships/hyperlink" Target="https://in.tradingview.com/chart/Cgv3Jm6J/?symbol=NSE%3ALUPIN" TargetMode="External"/><Relationship Id="rId3667" Type="http://schemas.openxmlformats.org/officeDocument/2006/relationships/hyperlink" Target="https://in.tradingview.com/chart/Cgv3Jm6J/?symbol=NSE%3ASIGMA" TargetMode="External"/><Relationship Id="rId1005" Type="http://schemas.openxmlformats.org/officeDocument/2006/relationships/hyperlink" Target="https://in.tradingview.com/chart/Cgv3Jm6J/?symbol=NSE%3ADODLA" TargetMode="External"/><Relationship Id="rId2336" Type="http://schemas.openxmlformats.org/officeDocument/2006/relationships/hyperlink" Target="https://in.tradingview.com/chart/bXJLby4L/?symbol=NSE%3AKILITCH" TargetMode="External"/><Relationship Id="rId3666" Type="http://schemas.openxmlformats.org/officeDocument/2006/relationships/hyperlink" Target="https://in.tradingview.com/chart/bXJLby4L/?symbol=NSE%3ARAJTV" TargetMode="External"/><Relationship Id="rId1006" Type="http://schemas.openxmlformats.org/officeDocument/2006/relationships/hyperlink" Target="https://in.tradingview.com/chart/bXJLby4L/?symbol=NSE%3ADABUR" TargetMode="External"/><Relationship Id="rId2337" Type="http://schemas.openxmlformats.org/officeDocument/2006/relationships/hyperlink" Target="https://in.tradingview.com/chart/Cgv3Jm6J/?symbol=NSE%3ALUXIND" TargetMode="External"/><Relationship Id="rId3669" Type="http://schemas.openxmlformats.org/officeDocument/2006/relationships/hyperlink" Target="https://in.tradingview.com/chart/Cgv3Jm6J/?symbol=NSE%3ASIGNATURE" TargetMode="External"/><Relationship Id="rId1007" Type="http://schemas.openxmlformats.org/officeDocument/2006/relationships/hyperlink" Target="https://in.tradingview.com/chart/Cgv3Jm6J/?symbol=NSE%3ADOLATALGO" TargetMode="External"/><Relationship Id="rId2338" Type="http://schemas.openxmlformats.org/officeDocument/2006/relationships/hyperlink" Target="https://in.tradingview.com/chart/bXJLby4L/?symbol=NSE%3AKINGFA" TargetMode="External"/><Relationship Id="rId3668" Type="http://schemas.openxmlformats.org/officeDocument/2006/relationships/hyperlink" Target="https://in.tradingview.com/chart/bXJLby4L/?symbol=NSE%3AARENTERP" TargetMode="External"/><Relationship Id="rId1008" Type="http://schemas.openxmlformats.org/officeDocument/2006/relationships/hyperlink" Target="https://in.tradingview.com/chart/bXJLby4L/?symbol=NSE%3ADALBHARAT" TargetMode="External"/><Relationship Id="rId2339" Type="http://schemas.openxmlformats.org/officeDocument/2006/relationships/hyperlink" Target="https://in.tradingview.com/chart/Cgv3Jm6J/?symbol=NSE%3ALXCHEM" TargetMode="External"/><Relationship Id="rId1009" Type="http://schemas.openxmlformats.org/officeDocument/2006/relationships/hyperlink" Target="https://in.tradingview.com/chart/Cgv3Jm6J/?symbol=NSE%3ADOLLAR" TargetMode="External"/><Relationship Id="rId3661" Type="http://schemas.openxmlformats.org/officeDocument/2006/relationships/hyperlink" Target="https://in.tradingview.com/chart/Cgv3Jm6J/?symbol=NSE%3ASIEMENS" TargetMode="External"/><Relationship Id="rId2330" Type="http://schemas.openxmlformats.org/officeDocument/2006/relationships/hyperlink" Target="https://in.tradingview.com/chart/bXJLby4L/?symbol=NSE%3AKHAITANLTD" TargetMode="External"/><Relationship Id="rId3660" Type="http://schemas.openxmlformats.org/officeDocument/2006/relationships/hyperlink" Target="https://in.tradingview.com/chart/bXJLby4L/?symbol=NSE%3ARAINBOW" TargetMode="External"/><Relationship Id="rId1000" Type="http://schemas.openxmlformats.org/officeDocument/2006/relationships/hyperlink" Target="https://in.tradingview.com/chart/bXJLby4L/?symbol=NSE%3ADLINKINDIA" TargetMode="External"/><Relationship Id="rId2331" Type="http://schemas.openxmlformats.org/officeDocument/2006/relationships/hyperlink" Target="https://in.tradingview.com/chart/Cgv3Jm6J/?symbol=NSE%3ALUMAXIND" TargetMode="External"/><Relationship Id="rId3663" Type="http://schemas.openxmlformats.org/officeDocument/2006/relationships/hyperlink" Target="https://in.tradingview.com/chart/Cgv3Jm6J/?symbol=NSE%3ASIGACHI" TargetMode="External"/><Relationship Id="rId1001" Type="http://schemas.openxmlformats.org/officeDocument/2006/relationships/hyperlink" Target="https://in.tradingview.com/chart/Cgv3Jm6J/?symbol=NSE%3ADMCC" TargetMode="External"/><Relationship Id="rId2332" Type="http://schemas.openxmlformats.org/officeDocument/2006/relationships/hyperlink" Target="https://in.tradingview.com/chart/bXJLby4L/?symbol=NSE%3AKHAICHEM" TargetMode="External"/><Relationship Id="rId3662" Type="http://schemas.openxmlformats.org/officeDocument/2006/relationships/hyperlink" Target="https://in.tradingview.com/chart/bXJLby4L/?symbol=NSE%3AROML" TargetMode="External"/><Relationship Id="rId1002" Type="http://schemas.openxmlformats.org/officeDocument/2006/relationships/hyperlink" Target="https://in.tradingview.com/chart/bXJLby4L/?symbol=NSE%3ADBCORP" TargetMode="External"/><Relationship Id="rId2333" Type="http://schemas.openxmlformats.org/officeDocument/2006/relationships/hyperlink" Target="https://in.tradingview.com/chart/Cgv3Jm6J/?symbol=NSE%3ALUMAXTECH" TargetMode="External"/><Relationship Id="rId3665" Type="http://schemas.openxmlformats.org/officeDocument/2006/relationships/hyperlink" Target="https://in.tradingview.com/chart/Cgv3Jm6J/?symbol=NSE%3ASIGIND" TargetMode="External"/><Relationship Id="rId1003" Type="http://schemas.openxmlformats.org/officeDocument/2006/relationships/hyperlink" Target="https://in.tradingview.com/chart/Cgv3Jm6J/?symbol=NSE%3ADNAMEDIA" TargetMode="External"/><Relationship Id="rId2334" Type="http://schemas.openxmlformats.org/officeDocument/2006/relationships/hyperlink" Target="https://in.tradingview.com/chart/bXJLby4L/?symbol=NSE%3AKHANDSE" TargetMode="External"/><Relationship Id="rId3664" Type="http://schemas.openxmlformats.org/officeDocument/2006/relationships/hyperlink" Target="https://in.tradingview.com/chart/bXJLby4L/?symbol=NSE%3ARAJRILTD" TargetMode="External"/><Relationship Id="rId1037" Type="http://schemas.openxmlformats.org/officeDocument/2006/relationships/hyperlink" Target="https://in.tradingview.com/chart/Cgv3Jm6J/?symbol=NSE%3ADWARKESH" TargetMode="External"/><Relationship Id="rId2368" Type="http://schemas.openxmlformats.org/officeDocument/2006/relationships/hyperlink" Target="https://in.tradingview.com/chart/bXJLby4L/?symbol=NSE%3AKOPRAN" TargetMode="External"/><Relationship Id="rId1038" Type="http://schemas.openxmlformats.org/officeDocument/2006/relationships/hyperlink" Target="https://in.tradingview.com/chart/bXJLby4L/?symbol=NSE%3ADDEVPLSTIK" TargetMode="External"/><Relationship Id="rId2369" Type="http://schemas.openxmlformats.org/officeDocument/2006/relationships/hyperlink" Target="https://in.tradingview.com/chart/Cgv3Jm6J/?symbol=NSE%3AMAHASTEEL" TargetMode="External"/><Relationship Id="rId3699" Type="http://schemas.openxmlformats.org/officeDocument/2006/relationships/hyperlink" Target="https://in.tradingview.com/chart/Cgv3Jm6J/?symbol=NSE%3ASIMPLEXINF" TargetMode="External"/><Relationship Id="rId1039" Type="http://schemas.openxmlformats.org/officeDocument/2006/relationships/hyperlink" Target="https://in.tradingview.com/chart/Cgv3Jm6J/?symbol=NSE%3ADYCL" TargetMode="External"/><Relationship Id="rId206" Type="http://schemas.openxmlformats.org/officeDocument/2006/relationships/hyperlink" Target="https://in.tradingview.com/chart/bXJLby4L/?symbol=NSE%3AALBERTDAVD" TargetMode="External"/><Relationship Id="rId205" Type="http://schemas.openxmlformats.org/officeDocument/2006/relationships/hyperlink" Target="https://in.tradingview.com/chart/Cgv3Jm6J/?symbol=NSE%3AALPHA" TargetMode="External"/><Relationship Id="rId204" Type="http://schemas.openxmlformats.org/officeDocument/2006/relationships/hyperlink" Target="https://in.tradingview.com/chart/bXJLby4L/?symbol=NSE%3AALANKIT" TargetMode="External"/><Relationship Id="rId203" Type="http://schemas.openxmlformats.org/officeDocument/2006/relationships/hyperlink" Target="https://in.tradingview.com/chart/Cgv3Jm6J/?symbol=NSE%3AALPA" TargetMode="External"/><Relationship Id="rId209" Type="http://schemas.openxmlformats.org/officeDocument/2006/relationships/hyperlink" Target="https://in.tradingview.com/chart/Cgv3Jm6J/?symbol=NSE%3AALPHAGEO" TargetMode="External"/><Relationship Id="rId208" Type="http://schemas.openxmlformats.org/officeDocument/2006/relationships/hyperlink" Target="https://in.tradingview.com/chart/bXJLby4L/?symbol=NSE%3AALEMBICLTD" TargetMode="External"/><Relationship Id="rId3690" Type="http://schemas.openxmlformats.org/officeDocument/2006/relationships/hyperlink" Target="https://in.tradingview.com/chart/bXJLby4L/?symbol=NSE%3ARAMCOSYS" TargetMode="External"/><Relationship Id="rId207" Type="http://schemas.openxmlformats.org/officeDocument/2006/relationships/hyperlink" Target="https://in.tradingview.com/chart/Cgv3Jm6J/?symbol=NSE%3AALPHAETF" TargetMode="External"/><Relationship Id="rId2360" Type="http://schemas.openxmlformats.org/officeDocument/2006/relationships/hyperlink" Target="https://in.tradingview.com/chart/bXJLby4L/?symbol=NSE%3AKNRCON" TargetMode="External"/><Relationship Id="rId3692" Type="http://schemas.openxmlformats.org/officeDocument/2006/relationships/hyperlink" Target="https://in.tradingview.com/chart/bXJLby4L/?symbol=NSE%3ARKFORGE" TargetMode="External"/><Relationship Id="rId1030" Type="http://schemas.openxmlformats.org/officeDocument/2006/relationships/hyperlink" Target="https://in.tradingview.com/chart/bXJLby4L/?symbol=NSE%3ADCMSRIND" TargetMode="External"/><Relationship Id="rId2361" Type="http://schemas.openxmlformats.org/officeDocument/2006/relationships/hyperlink" Target="https://in.tradingview.com/chart/Cgv3Jm6J/?symbol=NSE%3AMAGADSUGAR" TargetMode="External"/><Relationship Id="rId3691" Type="http://schemas.openxmlformats.org/officeDocument/2006/relationships/hyperlink" Target="https://in.tradingview.com/chart/Cgv3Jm6J/?symbol=NSE%3ASILVERETF" TargetMode="External"/><Relationship Id="rId1031" Type="http://schemas.openxmlformats.org/officeDocument/2006/relationships/hyperlink" Target="https://in.tradingview.com/chart/Cgv3Jm6J/?symbol=NSE%3ADTIL" TargetMode="External"/><Relationship Id="rId2362" Type="http://schemas.openxmlformats.org/officeDocument/2006/relationships/hyperlink" Target="https://in.tradingview.com/chart/bXJLby4L/?symbol=NSE%3AKOHINOOR" TargetMode="External"/><Relationship Id="rId3694" Type="http://schemas.openxmlformats.org/officeDocument/2006/relationships/hyperlink" Target="https://in.tradingview.com/chart/bXJLby4L/?symbol=NSE%3ARAMKY" TargetMode="External"/><Relationship Id="rId1032" Type="http://schemas.openxmlformats.org/officeDocument/2006/relationships/hyperlink" Target="https://in.tradingview.com/chart/bXJLby4L/?symbol=NSE%3ADCMSHRIRAM" TargetMode="External"/><Relationship Id="rId2363" Type="http://schemas.openxmlformats.org/officeDocument/2006/relationships/hyperlink" Target="https://in.tradingview.com/chart/Cgv3Jm6J/?symbol=NSE%3AMAGNUM" TargetMode="External"/><Relationship Id="rId3693" Type="http://schemas.openxmlformats.org/officeDocument/2006/relationships/hyperlink" Target="https://in.tradingview.com/chart/Cgv3Jm6J/?symbol=NSE%3ASILVERIETF" TargetMode="External"/><Relationship Id="rId202" Type="http://schemas.openxmlformats.org/officeDocument/2006/relationships/hyperlink" Target="https://in.tradingview.com/chart/bXJLby4L/?symbol=NSE%3AAKZOINDIA" TargetMode="External"/><Relationship Id="rId1033" Type="http://schemas.openxmlformats.org/officeDocument/2006/relationships/hyperlink" Target="https://in.tradingview.com/chart/Cgv3Jm6J/?symbol=NSE%3ADUCON" TargetMode="External"/><Relationship Id="rId2364" Type="http://schemas.openxmlformats.org/officeDocument/2006/relationships/hyperlink" Target="https://in.tradingview.com/chart/bXJLby4L/?symbol=NSE%3AKOKUYOCMLN" TargetMode="External"/><Relationship Id="rId3696" Type="http://schemas.openxmlformats.org/officeDocument/2006/relationships/hyperlink" Target="https://in.tradingview.com/chart/bXJLby4L/?symbol=NSE%3ARANASUG" TargetMode="External"/><Relationship Id="rId201" Type="http://schemas.openxmlformats.org/officeDocument/2006/relationships/hyperlink" Target="https://in.tradingview.com/chart/Cgv3Jm6J/?symbol=NSE%3AALOKINDS" TargetMode="External"/><Relationship Id="rId1034" Type="http://schemas.openxmlformats.org/officeDocument/2006/relationships/hyperlink" Target="https://in.tradingview.com/chart/bXJLby4L/?symbol=NSE%3ADCW" TargetMode="External"/><Relationship Id="rId2365" Type="http://schemas.openxmlformats.org/officeDocument/2006/relationships/hyperlink" Target="https://in.tradingview.com/chart/Cgv3Jm6J/?symbol=NSE%3AMAHABANK" TargetMode="External"/><Relationship Id="rId3695" Type="http://schemas.openxmlformats.org/officeDocument/2006/relationships/hyperlink" Target="https://in.tradingview.com/chart/Cgv3Jm6J/?symbol=NSE%3ASILVERTUC" TargetMode="External"/><Relationship Id="rId200" Type="http://schemas.openxmlformats.org/officeDocument/2006/relationships/hyperlink" Target="https://in.tradingview.com/chart/bXJLby4L/?symbol=NSE%3AAKUMS" TargetMode="External"/><Relationship Id="rId1035" Type="http://schemas.openxmlformats.org/officeDocument/2006/relationships/hyperlink" Target="https://in.tradingview.com/chart/Cgv3Jm6J/?symbol=NSE%3ADVL" TargetMode="External"/><Relationship Id="rId2366" Type="http://schemas.openxmlformats.org/officeDocument/2006/relationships/hyperlink" Target="https://in.tradingview.com/chart/bXJLby4L/?symbol=NSE%3AKOLTEPATIL" TargetMode="External"/><Relationship Id="rId3698" Type="http://schemas.openxmlformats.org/officeDocument/2006/relationships/hyperlink" Target="https://in.tradingview.com/chart/bXJLby4L/?symbol=NSE%3ARML" TargetMode="External"/><Relationship Id="rId1036" Type="http://schemas.openxmlformats.org/officeDocument/2006/relationships/hyperlink" Target="https://in.tradingview.com/chart/bXJLby4L/?symbol=NSE%3ADCXINDIA" TargetMode="External"/><Relationship Id="rId2367" Type="http://schemas.openxmlformats.org/officeDocument/2006/relationships/hyperlink" Target="https://in.tradingview.com/chart/Cgv3Jm6J/?symbol=NSE%3AMAHAPEXLTD" TargetMode="External"/><Relationship Id="rId3697" Type="http://schemas.openxmlformats.org/officeDocument/2006/relationships/hyperlink" Target="https://in.tradingview.com/chart/Cgv3Jm6J/?symbol=NSE%3ASIMBHALS" TargetMode="External"/><Relationship Id="rId1026" Type="http://schemas.openxmlformats.org/officeDocument/2006/relationships/hyperlink" Target="https://in.tradingview.com/chart/bXJLby4L/?symbol=NSE%3ADCM" TargetMode="External"/><Relationship Id="rId2357" Type="http://schemas.openxmlformats.org/officeDocument/2006/relationships/hyperlink" Target="https://in.tradingview.com/chart/Cgv3Jm6J/?symbol=NSE%3AMADRASFERT" TargetMode="External"/><Relationship Id="rId3689" Type="http://schemas.openxmlformats.org/officeDocument/2006/relationships/hyperlink" Target="https://in.tradingview.com/chart/Cgv3Jm6J/?symbol=NSE%3ASILVERBEES" TargetMode="External"/><Relationship Id="rId1027" Type="http://schemas.openxmlformats.org/officeDocument/2006/relationships/hyperlink" Target="https://in.tradingview.com/chart/Cgv3Jm6J/?symbol=NSE%3ADRREDDY" TargetMode="External"/><Relationship Id="rId2358" Type="http://schemas.openxmlformats.org/officeDocument/2006/relationships/hyperlink" Target="https://in.tradingview.com/chart/bXJLby4L/?symbol=NSE%3AKMEW" TargetMode="External"/><Relationship Id="rId3688" Type="http://schemas.openxmlformats.org/officeDocument/2006/relationships/hyperlink" Target="https://in.tradingview.com/chart/bXJLby4L/?symbol=NSE%3ARAMCOIND" TargetMode="External"/><Relationship Id="rId1028" Type="http://schemas.openxmlformats.org/officeDocument/2006/relationships/hyperlink" Target="https://in.tradingview.com/chart/bXJLby4L/?symbol=NSE%3ADCMNVL" TargetMode="External"/><Relationship Id="rId2359" Type="http://schemas.openxmlformats.org/officeDocument/2006/relationships/hyperlink" Target="https://in.tradingview.com/chart/Cgv3Jm6J/?symbol=NSE%3AMAFANG" TargetMode="External"/><Relationship Id="rId1029" Type="http://schemas.openxmlformats.org/officeDocument/2006/relationships/hyperlink" Target="https://in.tradingview.com/chart/Cgv3Jm6J/?symbol=NSE%3ADSSL" TargetMode="External"/><Relationship Id="rId3681" Type="http://schemas.openxmlformats.org/officeDocument/2006/relationships/hyperlink" Target="https://in.tradingview.com/chart/Cgv3Jm6J/?symbol=NSE%3ASILLYMONKS" TargetMode="External"/><Relationship Id="rId2350" Type="http://schemas.openxmlformats.org/officeDocument/2006/relationships/hyperlink" Target="https://in.tradingview.com/chart/bXJLby4L/?symbol=NSE%3AKIRLOSENG" TargetMode="External"/><Relationship Id="rId3680" Type="http://schemas.openxmlformats.org/officeDocument/2006/relationships/hyperlink" Target="https://in.tradingview.com/chart/bXJLby4L/?symbol=NSE%3ARALLIS" TargetMode="External"/><Relationship Id="rId1020" Type="http://schemas.openxmlformats.org/officeDocument/2006/relationships/hyperlink" Target="https://in.tradingview.com/chart/bXJLby4L/?symbol=NSE%3ADBSTOCKBRO" TargetMode="External"/><Relationship Id="rId2351" Type="http://schemas.openxmlformats.org/officeDocument/2006/relationships/hyperlink" Target="https://in.tradingview.com/chart/Cgv3Jm6J/?symbol=NSE%3AMACPOWER" TargetMode="External"/><Relationship Id="rId3683" Type="http://schemas.openxmlformats.org/officeDocument/2006/relationships/hyperlink" Target="https://in.tradingview.com/chart/Cgv3Jm6J/?symbol=NSE%3ASILVER" TargetMode="External"/><Relationship Id="rId1021" Type="http://schemas.openxmlformats.org/officeDocument/2006/relationships/hyperlink" Target="https://in.tradingview.com/chart/Cgv3Jm6J/?symbol=NSE%3ADRCSYSTEMS" TargetMode="External"/><Relationship Id="rId2352" Type="http://schemas.openxmlformats.org/officeDocument/2006/relationships/hyperlink" Target="https://in.tradingview.com/chart/bXJLby4L/?symbol=NSE%3AKIRLPNU" TargetMode="External"/><Relationship Id="rId3682" Type="http://schemas.openxmlformats.org/officeDocument/2006/relationships/hyperlink" Target="https://in.tradingview.com/chart/bXJLby4L/?symbol=NSE%3ARAMRAT" TargetMode="External"/><Relationship Id="rId1022" Type="http://schemas.openxmlformats.org/officeDocument/2006/relationships/hyperlink" Target="https://in.tradingview.com/chart/bXJLby4L/?symbol=NSE%3ADCI" TargetMode="External"/><Relationship Id="rId2353" Type="http://schemas.openxmlformats.org/officeDocument/2006/relationships/hyperlink" Target="https://in.tradingview.com/chart/Cgv3Jm6J/?symbol=NSE%3AMADHAV" TargetMode="External"/><Relationship Id="rId3685" Type="http://schemas.openxmlformats.org/officeDocument/2006/relationships/hyperlink" Target="https://in.tradingview.com/chart/Cgv3Jm6J/?symbol=NSE%3ASILVER1" TargetMode="External"/><Relationship Id="rId1023" Type="http://schemas.openxmlformats.org/officeDocument/2006/relationships/hyperlink" Target="https://in.tradingview.com/chart/Cgv3Jm6J/?symbol=NSE%3ADREAMFOLKS" TargetMode="External"/><Relationship Id="rId2354" Type="http://schemas.openxmlformats.org/officeDocument/2006/relationships/hyperlink" Target="https://in.tradingview.com/chart/bXJLby4L/?symbol=NSE%3AKITEX" TargetMode="External"/><Relationship Id="rId3684" Type="http://schemas.openxmlformats.org/officeDocument/2006/relationships/hyperlink" Target="https://in.tradingview.com/chart/bXJLby4L/?symbol=NSE%3ARAMAPHO" TargetMode="External"/><Relationship Id="rId1024" Type="http://schemas.openxmlformats.org/officeDocument/2006/relationships/hyperlink" Target="https://in.tradingview.com/chart/bXJLby4L/?symbol=NSE%3ADCBBANK" TargetMode="External"/><Relationship Id="rId2355" Type="http://schemas.openxmlformats.org/officeDocument/2006/relationships/hyperlink" Target="https://in.tradingview.com/chart/Cgv3Jm6J/?symbol=NSE%3AMADHUCON" TargetMode="External"/><Relationship Id="rId3687" Type="http://schemas.openxmlformats.org/officeDocument/2006/relationships/hyperlink" Target="https://in.tradingview.com/chart/Cgv3Jm6J/?symbol=NSE%3ASILVERADD" TargetMode="External"/><Relationship Id="rId1025" Type="http://schemas.openxmlformats.org/officeDocument/2006/relationships/hyperlink" Target="https://in.tradingview.com/chart/Cgv3Jm6J/?symbol=NSE%3ADREDGECORP" TargetMode="External"/><Relationship Id="rId2356" Type="http://schemas.openxmlformats.org/officeDocument/2006/relationships/hyperlink" Target="https://in.tradingview.com/chart/bXJLby4L/?symbol=NSE%3AKNAGRI" TargetMode="External"/><Relationship Id="rId3686" Type="http://schemas.openxmlformats.org/officeDocument/2006/relationships/hyperlink" Target="https://in.tradingview.com/chart/bXJLby4L/?symbol=NSE%3ARAMASTEEL" TargetMode="External"/><Relationship Id="rId4161" Type="http://schemas.openxmlformats.org/officeDocument/2006/relationships/hyperlink" Target="https://in.tradingview.com/chart/Cgv3Jm6J/?symbol=NSE%3AUFLEX" TargetMode="External"/><Relationship Id="rId4160" Type="http://schemas.openxmlformats.org/officeDocument/2006/relationships/hyperlink" Target="https://in.tradingview.com/chart/bXJLby4L/?symbol=NSE%3ASMSPHARMA" TargetMode="External"/><Relationship Id="rId4163" Type="http://schemas.openxmlformats.org/officeDocument/2006/relationships/hyperlink" Target="https://in.tradingview.com/chart/Cgv3Jm6J/?symbol=NSE%3AUFO" TargetMode="External"/><Relationship Id="rId4162" Type="http://schemas.openxmlformats.org/officeDocument/2006/relationships/hyperlink" Target="https://in.tradingview.com/chart/bXJLby4L/?symbol=NSE%3ASNOWMAN" TargetMode="External"/><Relationship Id="rId4165" Type="http://schemas.openxmlformats.org/officeDocument/2006/relationships/hyperlink" Target="https://in.tradingview.com/chart/Cgv3Jm6J/?symbol=NSE%3AUGARSUGAR" TargetMode="External"/><Relationship Id="rId4164" Type="http://schemas.openxmlformats.org/officeDocument/2006/relationships/hyperlink" Target="https://in.tradingview.com/chart/bXJLby4L/?symbol=NSE%3ASOBHA" TargetMode="External"/><Relationship Id="rId4167" Type="http://schemas.openxmlformats.org/officeDocument/2006/relationships/hyperlink" Target="https://in.tradingview.com/chart/Cgv3Jm6J/?symbol=NSE%3AUGROCAP" TargetMode="External"/><Relationship Id="rId4166" Type="http://schemas.openxmlformats.org/officeDocument/2006/relationships/hyperlink" Target="https://in.tradingview.com/chart/bXJLby4L/?symbol=NSE%3ASOFTTECH" TargetMode="External"/><Relationship Id="rId4169" Type="http://schemas.openxmlformats.org/officeDocument/2006/relationships/hyperlink" Target="https://in.tradingview.com/chart/Cgv3Jm6J/?symbol=NSE%3AUJJIVANSFB" TargetMode="External"/><Relationship Id="rId4168" Type="http://schemas.openxmlformats.org/officeDocument/2006/relationships/hyperlink" Target="https://in.tradingview.com/chart/bXJLby4L/?symbol=NSE%3ASOLARINDS" TargetMode="External"/><Relationship Id="rId4150" Type="http://schemas.openxmlformats.org/officeDocument/2006/relationships/hyperlink" Target="https://in.tradingview.com/chart/bXJLby4L/?symbol=NSE%3ASMALL250" TargetMode="External"/><Relationship Id="rId4152" Type="http://schemas.openxmlformats.org/officeDocument/2006/relationships/hyperlink" Target="https://in.tradingview.com/chart/bXJLby4L/?symbol=NSE%3ASMARTLINK" TargetMode="External"/><Relationship Id="rId4151" Type="http://schemas.openxmlformats.org/officeDocument/2006/relationships/hyperlink" Target="https://in.tradingview.com/chart/Cgv3Jm6J/?symbol=NSE%3AUBL" TargetMode="External"/><Relationship Id="rId4154" Type="http://schemas.openxmlformats.org/officeDocument/2006/relationships/hyperlink" Target="https://in.tradingview.com/chart/bXJLby4L/?symbol=NSE%3ASMARTWORKS" TargetMode="External"/><Relationship Id="rId4153" Type="http://schemas.openxmlformats.org/officeDocument/2006/relationships/hyperlink" Target="https://in.tradingview.com/chart/Cgv3Jm6J/?symbol=NSE%3AUCAL" TargetMode="External"/><Relationship Id="rId4156" Type="http://schemas.openxmlformats.org/officeDocument/2006/relationships/hyperlink" Target="https://in.tradingview.com/chart/bXJLby4L/?symbol=NSE%3ASMCGLOBAL" TargetMode="External"/><Relationship Id="rId4155" Type="http://schemas.openxmlformats.org/officeDocument/2006/relationships/hyperlink" Target="https://in.tradingview.com/chart/Cgv3Jm6J/?symbol=NSE%3AUCOBANK" TargetMode="External"/><Relationship Id="rId4158" Type="http://schemas.openxmlformats.org/officeDocument/2006/relationships/hyperlink" Target="https://in.tradingview.com/chart/bXJLby4L/?symbol=NSE%3ASMLMAH" TargetMode="External"/><Relationship Id="rId4157" Type="http://schemas.openxmlformats.org/officeDocument/2006/relationships/hyperlink" Target="https://in.tradingview.com/chart/Cgv3Jm6J/?symbol=NSE%3AUDAICEMENT" TargetMode="External"/><Relationship Id="rId4159" Type="http://schemas.openxmlformats.org/officeDocument/2006/relationships/hyperlink" Target="https://in.tradingview.com/chart/Cgv3Jm6J/?symbol=NSE%3AUDS" TargetMode="External"/><Relationship Id="rId1910" Type="http://schemas.openxmlformats.org/officeDocument/2006/relationships/hyperlink" Target="https://in.tradingview.com/chart/bXJLby4L/?symbol=NSE%3ATOP15IETF" TargetMode="External"/><Relationship Id="rId1911" Type="http://schemas.openxmlformats.org/officeDocument/2006/relationships/hyperlink" Target="https://in.tradingview.com/chart/Cgv3Jm6J/?symbol=NSE%3AITDCEM" TargetMode="External"/><Relationship Id="rId1912" Type="http://schemas.openxmlformats.org/officeDocument/2006/relationships/hyperlink" Target="https://in.tradingview.com/chart/bXJLby4L/?symbol=NSE%3AVAL30IETF" TargetMode="External"/><Relationship Id="rId1913" Type="http://schemas.openxmlformats.org/officeDocument/2006/relationships/hyperlink" Target="https://in.tradingview.com/chart/Cgv3Jm6J/?symbol=NSE%3AITETF" TargetMode="External"/><Relationship Id="rId1914" Type="http://schemas.openxmlformats.org/officeDocument/2006/relationships/hyperlink" Target="https://in.tradingview.com/chart/bXJLby4L/?symbol=NSE%3ANV20IETF" TargetMode="External"/><Relationship Id="rId1915" Type="http://schemas.openxmlformats.org/officeDocument/2006/relationships/hyperlink" Target="https://in.tradingview.com/chart/Cgv3Jm6J/?symbol=NSE%3AITETFADD" TargetMode="External"/><Relationship Id="rId1916" Type="http://schemas.openxmlformats.org/officeDocument/2006/relationships/hyperlink" Target="https://in.tradingview.com/chart/bXJLby4L/?symbol=NSE%3ABSE500IETF" TargetMode="External"/><Relationship Id="rId1917" Type="http://schemas.openxmlformats.org/officeDocument/2006/relationships/hyperlink" Target="https://in.tradingview.com/chart/Cgv3Jm6J/?symbol=NSE%3AITI" TargetMode="External"/><Relationship Id="rId1918" Type="http://schemas.openxmlformats.org/officeDocument/2006/relationships/hyperlink" Target="https://in.tradingview.com/chart/bXJLby4L/?symbol=NSE%3ALIQUIDIETF" TargetMode="External"/><Relationship Id="rId1919" Type="http://schemas.openxmlformats.org/officeDocument/2006/relationships/hyperlink" Target="https://in.tradingview.com/chart/Cgv3Jm6J/?symbol=NSE%3AITIETF" TargetMode="External"/><Relationship Id="rId4181" Type="http://schemas.openxmlformats.org/officeDocument/2006/relationships/hyperlink" Target="https://in.tradingview.com/chart/Cgv3Jm6J/?symbol=NSE%3AUNIDT" TargetMode="External"/><Relationship Id="rId4180" Type="http://schemas.openxmlformats.org/officeDocument/2006/relationships/hyperlink" Target="https://in.tradingview.com/chart/bXJLby4L/?symbol=NSE%3ASOMANYCERA" TargetMode="External"/><Relationship Id="rId4183" Type="http://schemas.openxmlformats.org/officeDocument/2006/relationships/hyperlink" Target="https://in.tradingview.com/chart/Cgv3Jm6J/?symbol=NSE%3AUNIECOM" TargetMode="External"/><Relationship Id="rId4182" Type="http://schemas.openxmlformats.org/officeDocument/2006/relationships/hyperlink" Target="https://in.tradingview.com/chart/bXJLby4L/?symbol=NSE%3ASOMICONVEY" TargetMode="External"/><Relationship Id="rId4185" Type="http://schemas.openxmlformats.org/officeDocument/2006/relationships/hyperlink" Target="https://in.tradingview.com/chart/Cgv3Jm6J/?symbol=NSE%3AUNIENTER" TargetMode="External"/><Relationship Id="rId4184" Type="http://schemas.openxmlformats.org/officeDocument/2006/relationships/hyperlink" Target="https://in.tradingview.com/chart/bXJLby4L/?symbol=NSE%3ASONACOMS" TargetMode="External"/><Relationship Id="rId4187" Type="http://schemas.openxmlformats.org/officeDocument/2006/relationships/hyperlink" Target="https://in.tradingview.com/chart/Cgv3Jm6J/?symbol=NSE%3AUNIINFO" TargetMode="External"/><Relationship Id="rId4186" Type="http://schemas.openxmlformats.org/officeDocument/2006/relationships/hyperlink" Target="https://in.tradingview.com/chart/bXJLby4L/?symbol=NSE%3ASONAMLTD" TargetMode="External"/><Relationship Id="rId4189" Type="http://schemas.openxmlformats.org/officeDocument/2006/relationships/hyperlink" Target="https://in.tradingview.com/chart/Cgv3Jm6J/?symbol=NSE%3AUNIMECH" TargetMode="External"/><Relationship Id="rId4188" Type="http://schemas.openxmlformats.org/officeDocument/2006/relationships/hyperlink" Target="https://in.tradingview.com/chart/bXJLby4L/?symbol=NSE%3ASONATSOFTW" TargetMode="External"/><Relationship Id="rId1900" Type="http://schemas.openxmlformats.org/officeDocument/2006/relationships/hyperlink" Target="https://in.tradingview.com/chart/bXJLby4L/?symbol=NSE%3AMIDCAPIETF" TargetMode="External"/><Relationship Id="rId1901" Type="http://schemas.openxmlformats.org/officeDocument/2006/relationships/hyperlink" Target="https://in.tradingview.com/chart/Cgv3Jm6J/?symbol=NSE%3AIT" TargetMode="External"/><Relationship Id="rId1902" Type="http://schemas.openxmlformats.org/officeDocument/2006/relationships/hyperlink" Target="https://in.tradingview.com/chart/bXJLby4L/?symbol=NSE%3ANEXT50IETF" TargetMode="External"/><Relationship Id="rId1903" Type="http://schemas.openxmlformats.org/officeDocument/2006/relationships/hyperlink" Target="https://in.tradingview.com/chart/Cgv3Jm6J/?symbol=NSE%3AITBEES" TargetMode="External"/><Relationship Id="rId1904" Type="http://schemas.openxmlformats.org/officeDocument/2006/relationships/hyperlink" Target="https://in.tradingview.com/chart/bXJLby4L/?symbol=NSE%3AOILIETF" TargetMode="External"/><Relationship Id="rId1905" Type="http://schemas.openxmlformats.org/officeDocument/2006/relationships/hyperlink" Target="https://in.tradingview.com/chart/Cgv3Jm6J/?symbol=NSE%3AITC" TargetMode="External"/><Relationship Id="rId1906" Type="http://schemas.openxmlformats.org/officeDocument/2006/relationships/hyperlink" Target="https://in.tradingview.com/chart/bXJLby4L/?symbol=NSE%3APVTBANIETF" TargetMode="External"/><Relationship Id="rId1907" Type="http://schemas.openxmlformats.org/officeDocument/2006/relationships/hyperlink" Target="https://in.tradingview.com/chart/Cgv3Jm6J/?symbol=NSE%3AITCHOTELS" TargetMode="External"/><Relationship Id="rId1908" Type="http://schemas.openxmlformats.org/officeDocument/2006/relationships/hyperlink" Target="https://in.tradingview.com/chart/bXJLby4L/?symbol=NSE%3APSUBNKIETF" TargetMode="External"/><Relationship Id="rId1909" Type="http://schemas.openxmlformats.org/officeDocument/2006/relationships/hyperlink" Target="https://in.tradingview.com/chart/Cgv3Jm6J/?symbol=NSE%3AITDC" TargetMode="External"/><Relationship Id="rId4170" Type="http://schemas.openxmlformats.org/officeDocument/2006/relationships/hyperlink" Target="https://in.tradingview.com/chart/bXJLby4L/?symbol=NSE%3ASOLARA" TargetMode="External"/><Relationship Id="rId4172" Type="http://schemas.openxmlformats.org/officeDocument/2006/relationships/hyperlink" Target="https://in.tradingview.com/chart/bXJLby4L/?symbol=NSE%3ASOLARWORLD" TargetMode="External"/><Relationship Id="rId4171" Type="http://schemas.openxmlformats.org/officeDocument/2006/relationships/hyperlink" Target="https://in.tradingview.com/chart/Cgv3Jm6J/?symbol=NSE%3AULTRACEMCO" TargetMode="External"/><Relationship Id="rId4174" Type="http://schemas.openxmlformats.org/officeDocument/2006/relationships/hyperlink" Target="https://in.tradingview.com/chart/bXJLby4L/?symbol=NSE%3ASOLEX" TargetMode="External"/><Relationship Id="rId4173" Type="http://schemas.openxmlformats.org/officeDocument/2006/relationships/hyperlink" Target="https://in.tradingview.com/chart/Cgv3Jm6J/?symbol=NSE%3AUMAEXPORTS" TargetMode="External"/><Relationship Id="rId4176" Type="http://schemas.openxmlformats.org/officeDocument/2006/relationships/hyperlink" Target="https://in.tradingview.com/chart/bXJLby4L/?symbol=NSE%3ASDBL" TargetMode="External"/><Relationship Id="rId4175" Type="http://schemas.openxmlformats.org/officeDocument/2006/relationships/hyperlink" Target="https://in.tradingview.com/chart/Cgv3Jm6J/?symbol=NSE%3AUMANGDAIRY" TargetMode="External"/><Relationship Id="rId4178" Type="http://schemas.openxmlformats.org/officeDocument/2006/relationships/hyperlink" Target="https://in.tradingview.com/chart/bXJLby4L/?symbol=NSE%3ASOMATEX" TargetMode="External"/><Relationship Id="rId4177" Type="http://schemas.openxmlformats.org/officeDocument/2006/relationships/hyperlink" Target="https://in.tradingview.com/chart/Cgv3Jm6J/?symbol=NSE%3AUMESLTD" TargetMode="External"/><Relationship Id="rId4179" Type="http://schemas.openxmlformats.org/officeDocument/2006/relationships/hyperlink" Target="https://in.tradingview.com/chart/Cgv3Jm6J/?symbol=NSE%3AUNICHEMLAB" TargetMode="External"/><Relationship Id="rId4129" Type="http://schemas.openxmlformats.org/officeDocument/2006/relationships/hyperlink" Target="https://in.tradingview.com/chart/Cgv3Jm6J/?symbol=NSE%3ATRU" TargetMode="External"/><Relationship Id="rId4128" Type="http://schemas.openxmlformats.org/officeDocument/2006/relationships/hyperlink" Target="https://in.tradingview.com/chart/bXJLby4L/?symbol=NSE%3ASIMPLEXINF" TargetMode="External"/><Relationship Id="rId1090" Type="http://schemas.openxmlformats.org/officeDocument/2006/relationships/hyperlink" Target="https://in.tradingview.com/chart/bXJLby4L/?symbol=NSE%3ADIAMINESQ" TargetMode="External"/><Relationship Id="rId1091" Type="http://schemas.openxmlformats.org/officeDocument/2006/relationships/hyperlink" Target="https://in.tradingview.com/chart/Cgv3Jm6J/?symbol=NSE%3AELGIRUBCO" TargetMode="External"/><Relationship Id="rId1092" Type="http://schemas.openxmlformats.org/officeDocument/2006/relationships/hyperlink" Target="https://in.tradingview.com/chart/bXJLby4L/?symbol=NSE%3ADIACABS" TargetMode="External"/><Relationship Id="rId1093" Type="http://schemas.openxmlformats.org/officeDocument/2006/relationships/hyperlink" Target="https://in.tradingview.com/chart/Cgv3Jm6J/?symbol=NSE%3AELIN" TargetMode="External"/><Relationship Id="rId1094" Type="http://schemas.openxmlformats.org/officeDocument/2006/relationships/hyperlink" Target="https://in.tradingview.com/chart/bXJLby4L/?symbol=NSE%3ADICIND" TargetMode="External"/><Relationship Id="rId1095" Type="http://schemas.openxmlformats.org/officeDocument/2006/relationships/hyperlink" Target="https://in.tradingview.com/chart/Cgv3Jm6J/?symbol=NSE%3AEMAMILTD" TargetMode="External"/><Relationship Id="rId4121" Type="http://schemas.openxmlformats.org/officeDocument/2006/relationships/hyperlink" Target="https://in.tradingview.com/chart/Cgv3Jm6J/?symbol=NSE%3ATRIDENT" TargetMode="External"/><Relationship Id="rId1096" Type="http://schemas.openxmlformats.org/officeDocument/2006/relationships/hyperlink" Target="https://in.tradingview.com/chart/bXJLby4L/?symbol=NSE%3ADIFFNKG" TargetMode="External"/><Relationship Id="rId4120" Type="http://schemas.openxmlformats.org/officeDocument/2006/relationships/hyperlink" Target="https://in.tradingview.com/chart/bXJLby4L/?symbol=NSE%3ASILGO" TargetMode="External"/><Relationship Id="rId1097" Type="http://schemas.openxmlformats.org/officeDocument/2006/relationships/hyperlink" Target="https://in.tradingview.com/chart/Cgv3Jm6J/?symbol=NSE%3AEMAMIPAP" TargetMode="External"/><Relationship Id="rId4123" Type="http://schemas.openxmlformats.org/officeDocument/2006/relationships/hyperlink" Target="https://in.tradingview.com/chart/Cgv3Jm6J/?symbol=NSE%3ATRIGYN" TargetMode="External"/><Relationship Id="rId1098" Type="http://schemas.openxmlformats.org/officeDocument/2006/relationships/hyperlink" Target="https://in.tradingview.com/chart/bXJLby4L/?symbol=NSE%3ADGCONTENT" TargetMode="External"/><Relationship Id="rId4122" Type="http://schemas.openxmlformats.org/officeDocument/2006/relationships/hyperlink" Target="https://in.tradingview.com/chart/bXJLby4L/?symbol=NSE%3ASILLYMONKS" TargetMode="External"/><Relationship Id="rId1099" Type="http://schemas.openxmlformats.org/officeDocument/2006/relationships/hyperlink" Target="https://in.tradingview.com/chart/Cgv3Jm6J/?symbol=NSE%3AEMAMIREAL" TargetMode="External"/><Relationship Id="rId4125" Type="http://schemas.openxmlformats.org/officeDocument/2006/relationships/hyperlink" Target="https://in.tradingview.com/chart/Cgv3Jm6J/?symbol=NSE%3ATRITURBINE" TargetMode="External"/><Relationship Id="rId4124" Type="http://schemas.openxmlformats.org/officeDocument/2006/relationships/hyperlink" Target="https://in.tradingview.com/chart/bXJLby4L/?symbol=NSE%3ASILVERTUC" TargetMode="External"/><Relationship Id="rId4127" Type="http://schemas.openxmlformats.org/officeDocument/2006/relationships/hyperlink" Target="https://in.tradingview.com/chart/Cgv3Jm6J/?symbol=NSE%3ATRIVENI" TargetMode="External"/><Relationship Id="rId4126" Type="http://schemas.openxmlformats.org/officeDocument/2006/relationships/hyperlink" Target="https://in.tradingview.com/chart/bXJLby4L/?symbol=NSE%3ASIMBHALS" TargetMode="External"/><Relationship Id="rId4118" Type="http://schemas.openxmlformats.org/officeDocument/2006/relationships/hyperlink" Target="https://in.tradingview.com/chart/bXJLby4L/?symbol=NSE%3ASILINV" TargetMode="External"/><Relationship Id="rId4117" Type="http://schemas.openxmlformats.org/officeDocument/2006/relationships/hyperlink" Target="https://in.tradingview.com/chart/Cgv3Jm6J/?symbol=NSE%3ATRENT" TargetMode="External"/><Relationship Id="rId4119" Type="http://schemas.openxmlformats.org/officeDocument/2006/relationships/hyperlink" Target="https://in.tradingview.com/chart/Cgv3Jm6J/?symbol=NSE%3ATRF" TargetMode="External"/><Relationship Id="rId1080" Type="http://schemas.openxmlformats.org/officeDocument/2006/relationships/hyperlink" Target="https://in.tradingview.com/chart/bXJLby4L/?symbol=NSE%3ADHARMAJ" TargetMode="External"/><Relationship Id="rId1081" Type="http://schemas.openxmlformats.org/officeDocument/2006/relationships/hyperlink" Target="https://in.tradingview.com/chart/Cgv3Jm6J/?symbol=NSE%3AEKC" TargetMode="External"/><Relationship Id="rId1082" Type="http://schemas.openxmlformats.org/officeDocument/2006/relationships/hyperlink" Target="https://in.tradingview.com/chart/bXJLby4L/?symbol=NSE%3ADHRUV" TargetMode="External"/><Relationship Id="rId1083" Type="http://schemas.openxmlformats.org/officeDocument/2006/relationships/hyperlink" Target="https://in.tradingview.com/chart/Cgv3Jm6J/?symbol=NSE%3AELDEHSG" TargetMode="External"/><Relationship Id="rId1084" Type="http://schemas.openxmlformats.org/officeDocument/2006/relationships/hyperlink" Target="https://in.tradingview.com/chart/bXJLby4L/?symbol=NSE%3ADHUNINV" TargetMode="External"/><Relationship Id="rId4110" Type="http://schemas.openxmlformats.org/officeDocument/2006/relationships/hyperlink" Target="https://in.tradingview.com/chart/bXJLby4L/?symbol=NSE%3ASIGMA" TargetMode="External"/><Relationship Id="rId1085" Type="http://schemas.openxmlformats.org/officeDocument/2006/relationships/hyperlink" Target="https://in.tradingview.com/chart/Cgv3Jm6J/?symbol=NSE%3AELECON" TargetMode="External"/><Relationship Id="rId1086" Type="http://schemas.openxmlformats.org/officeDocument/2006/relationships/hyperlink" Target="https://in.tradingview.com/chart/bXJLby4L/?symbol=NSE%3ADTIL" TargetMode="External"/><Relationship Id="rId4112" Type="http://schemas.openxmlformats.org/officeDocument/2006/relationships/hyperlink" Target="https://in.tradingview.com/chart/bXJLby4L/?symbol=NSE%3ASIGNATURE" TargetMode="External"/><Relationship Id="rId1087" Type="http://schemas.openxmlformats.org/officeDocument/2006/relationships/hyperlink" Target="https://in.tradingview.com/chart/Cgv3Jm6J/?symbol=NSE%3AELECTCAST" TargetMode="External"/><Relationship Id="rId4111" Type="http://schemas.openxmlformats.org/officeDocument/2006/relationships/hyperlink" Target="https://in.tradingview.com/chart/Cgv3Jm6J/?symbol=NSE%3ATREEHOUSE" TargetMode="External"/><Relationship Id="rId1088" Type="http://schemas.openxmlformats.org/officeDocument/2006/relationships/hyperlink" Target="https://in.tradingview.com/chart/bXJLby4L/?symbol=NSE%3ADVL" TargetMode="External"/><Relationship Id="rId4114" Type="http://schemas.openxmlformats.org/officeDocument/2006/relationships/hyperlink" Target="https://in.tradingview.com/chart/bXJLby4L/?symbol=NSE%3ASIGIND" TargetMode="External"/><Relationship Id="rId1089" Type="http://schemas.openxmlformats.org/officeDocument/2006/relationships/hyperlink" Target="https://in.tradingview.com/chart/Cgv3Jm6J/?symbol=NSE%3AELGIEQUIP" TargetMode="External"/><Relationship Id="rId4113" Type="http://schemas.openxmlformats.org/officeDocument/2006/relationships/hyperlink" Target="https://in.tradingview.com/chart/Cgv3Jm6J/?symbol=NSE%3ATREJHARA" TargetMode="External"/><Relationship Id="rId4116" Type="http://schemas.openxmlformats.org/officeDocument/2006/relationships/hyperlink" Target="https://in.tradingview.com/chart/bXJLby4L/?symbol=NSE%3ASIGNPOST" TargetMode="External"/><Relationship Id="rId4115" Type="http://schemas.openxmlformats.org/officeDocument/2006/relationships/hyperlink" Target="https://in.tradingview.com/chart/Cgv3Jm6J/?symbol=NSE%3ATREL" TargetMode="External"/><Relationship Id="rId4141" Type="http://schemas.openxmlformats.org/officeDocument/2006/relationships/hyperlink" Target="https://in.tradingview.com/chart/Cgv3Jm6J/?symbol=NSE%3ATVSHLTD" TargetMode="External"/><Relationship Id="rId4140" Type="http://schemas.openxmlformats.org/officeDocument/2006/relationships/hyperlink" Target="https://in.tradingview.com/chart/bXJLby4L/?symbol=NSE%3ASJVN" TargetMode="External"/><Relationship Id="rId4143" Type="http://schemas.openxmlformats.org/officeDocument/2006/relationships/hyperlink" Target="https://in.tradingview.com/chart/Cgv3Jm6J/?symbol=NSE%3ATVSMOTOR" TargetMode="External"/><Relationship Id="rId4142" Type="http://schemas.openxmlformats.org/officeDocument/2006/relationships/hyperlink" Target="https://in.tradingview.com/chart/bXJLby4L/?symbol=NSE%3ASKFINDIA" TargetMode="External"/><Relationship Id="rId4145" Type="http://schemas.openxmlformats.org/officeDocument/2006/relationships/hyperlink" Target="https://in.tradingview.com/chart/Cgv3Jm6J/?symbol=NSE%3ATVSSCS" TargetMode="External"/><Relationship Id="rId4144" Type="http://schemas.openxmlformats.org/officeDocument/2006/relationships/hyperlink" Target="https://in.tradingview.com/chart/bXJLby4L/?symbol=NSE%3ASKIPPER" TargetMode="External"/><Relationship Id="rId4147" Type="http://schemas.openxmlformats.org/officeDocument/2006/relationships/hyperlink" Target="https://in.tradingview.com/chart/Cgv3Jm6J/?symbol=NSE%3ATVSSRICHAK" TargetMode="External"/><Relationship Id="rId4146" Type="http://schemas.openxmlformats.org/officeDocument/2006/relationships/hyperlink" Target="https://in.tradingview.com/chart/bXJLby4L/?symbol=NSE%3ASKMEGGPROD" TargetMode="External"/><Relationship Id="rId4149" Type="http://schemas.openxmlformats.org/officeDocument/2006/relationships/hyperlink" Target="https://in.tradingview.com/chart/Cgv3Jm6J/?symbol=NSE%3ATVTODAY" TargetMode="External"/><Relationship Id="rId4148" Type="http://schemas.openxmlformats.org/officeDocument/2006/relationships/hyperlink" Target="https://in.tradingview.com/chart/bXJLby4L/?symbol=NSE%3ASKYGOLD" TargetMode="External"/><Relationship Id="rId4139" Type="http://schemas.openxmlformats.org/officeDocument/2006/relationships/hyperlink" Target="https://in.tradingview.com/chart/Cgv3Jm6J/?symbol=NSE%3ATVSELECT" TargetMode="External"/><Relationship Id="rId4130" Type="http://schemas.openxmlformats.org/officeDocument/2006/relationships/hyperlink" Target="https://in.tradingview.com/chart/bXJLby4L/?symbol=NSE%3ASINCLAIR" TargetMode="External"/><Relationship Id="rId4132" Type="http://schemas.openxmlformats.org/officeDocument/2006/relationships/hyperlink" Target="https://in.tradingview.com/chart/bXJLby4L/?symbol=NSE%3ASINDHUTRAD" TargetMode="External"/><Relationship Id="rId4131" Type="http://schemas.openxmlformats.org/officeDocument/2006/relationships/hyperlink" Target="https://in.tradingview.com/chart/Cgv3Jm6J/?symbol=NSE%3ATTKHLTCARE" TargetMode="External"/><Relationship Id="rId4134" Type="http://schemas.openxmlformats.org/officeDocument/2006/relationships/hyperlink" Target="https://in.tradingview.com/chart/bXJLby4L/?symbol=NSE%3ASINTERCOM" TargetMode="External"/><Relationship Id="rId4133" Type="http://schemas.openxmlformats.org/officeDocument/2006/relationships/hyperlink" Target="https://in.tradingview.com/chart/Cgv3Jm6J/?symbol=NSE%3ATTKPRESTIG" TargetMode="External"/><Relationship Id="rId4136" Type="http://schemas.openxmlformats.org/officeDocument/2006/relationships/hyperlink" Target="https://in.tradingview.com/chart/bXJLby4L/?symbol=NSE%3ASIRCA" TargetMode="External"/><Relationship Id="rId4135" Type="http://schemas.openxmlformats.org/officeDocument/2006/relationships/hyperlink" Target="https://in.tradingview.com/chart/Cgv3Jm6J/?symbol=NSE%3ATTL" TargetMode="External"/><Relationship Id="rId4138" Type="http://schemas.openxmlformats.org/officeDocument/2006/relationships/hyperlink" Target="https://in.tradingview.com/chart/bXJLby4L/?symbol=NSE%3ASIYSIL" TargetMode="External"/><Relationship Id="rId4137" Type="http://schemas.openxmlformats.org/officeDocument/2006/relationships/hyperlink" Target="https://in.tradingview.com/chart/Cgv3Jm6J/?symbol=NSE%3ATTML" TargetMode="External"/><Relationship Id="rId1972" Type="http://schemas.openxmlformats.org/officeDocument/2006/relationships/hyperlink" Target="https://in.tradingview.com/chart/bXJLby4L/?symbol=NSE%3AIMPAL" TargetMode="External"/><Relationship Id="rId1973" Type="http://schemas.openxmlformats.org/officeDocument/2006/relationships/hyperlink" Target="https://in.tradingview.com/chart/Cgv3Jm6J/?symbol=NSE%3AJINDALSTEL" TargetMode="External"/><Relationship Id="rId1974" Type="http://schemas.openxmlformats.org/officeDocument/2006/relationships/hyperlink" Target="https://in.tradingview.com/chart/bXJLby4L/?symbol=NSE%3AINDNIPPON" TargetMode="External"/><Relationship Id="rId1975" Type="http://schemas.openxmlformats.org/officeDocument/2006/relationships/hyperlink" Target="https://in.tradingview.com/chart/Cgv3Jm6J/?symbol=NSE%3AJINDRILL" TargetMode="External"/><Relationship Id="rId1976" Type="http://schemas.openxmlformats.org/officeDocument/2006/relationships/hyperlink" Target="https://in.tradingview.com/chart/bXJLby4L/?symbol=NSE%3AIPL" TargetMode="External"/><Relationship Id="rId1977" Type="http://schemas.openxmlformats.org/officeDocument/2006/relationships/hyperlink" Target="https://in.tradingview.com/chart/Cgv3Jm6J/?symbol=NSE%3AJINDWORLD" TargetMode="External"/><Relationship Id="rId1978" Type="http://schemas.openxmlformats.org/officeDocument/2006/relationships/hyperlink" Target="https://in.tradingview.com/chart/bXJLby4L/?symbol=NSE%3AINDIASHLTR" TargetMode="External"/><Relationship Id="rId1979" Type="http://schemas.openxmlformats.org/officeDocument/2006/relationships/hyperlink" Target="https://in.tradingview.com/chart/Cgv3Jm6J/?symbol=NSE%3AJIOFIN" TargetMode="External"/><Relationship Id="rId1970" Type="http://schemas.openxmlformats.org/officeDocument/2006/relationships/hyperlink" Target="https://in.tradingview.com/chart/bXJLby4L/?symbol=NSE%3AINDIAGLYCO" TargetMode="External"/><Relationship Id="rId1971" Type="http://schemas.openxmlformats.org/officeDocument/2006/relationships/hyperlink" Target="https://in.tradingview.com/chart/Cgv3Jm6J/?symbol=NSE%3AJINDALSAW" TargetMode="External"/><Relationship Id="rId1961" Type="http://schemas.openxmlformats.org/officeDocument/2006/relationships/hyperlink" Target="https://in.tradingview.com/chart/Cgv3Jm6J/?symbol=NSE%3AJETFREIGHT" TargetMode="External"/><Relationship Id="rId1962" Type="http://schemas.openxmlformats.org/officeDocument/2006/relationships/hyperlink" Target="https://in.tradingview.com/chart/bXJLby4L/?symbol=NSE%3AINDSWFTLAB" TargetMode="External"/><Relationship Id="rId1963" Type="http://schemas.openxmlformats.org/officeDocument/2006/relationships/hyperlink" Target="https://in.tradingview.com/chart/Cgv3Jm6J/?symbol=NSE%3AJGCHEM" TargetMode="External"/><Relationship Id="rId1964" Type="http://schemas.openxmlformats.org/officeDocument/2006/relationships/hyperlink" Target="https://in.tradingview.com/chart/bXJLby4L/?symbol=NSE%3AINDBANK" TargetMode="External"/><Relationship Id="rId1965" Type="http://schemas.openxmlformats.org/officeDocument/2006/relationships/hyperlink" Target="https://in.tradingview.com/chart/Cgv3Jm6J/?symbol=NSE%3AJHS" TargetMode="External"/><Relationship Id="rId1966" Type="http://schemas.openxmlformats.org/officeDocument/2006/relationships/hyperlink" Target="https://in.tradingview.com/chart/bXJLby4L/?symbol=NSE%3ABAJAJINDEF" TargetMode="External"/><Relationship Id="rId1967" Type="http://schemas.openxmlformats.org/officeDocument/2006/relationships/hyperlink" Target="https://in.tradingview.com/chart/Cgv3Jm6J/?symbol=NSE%3AJINDALPHOT" TargetMode="External"/><Relationship Id="rId1968" Type="http://schemas.openxmlformats.org/officeDocument/2006/relationships/hyperlink" Target="https://in.tradingview.com/chart/bXJLby4L/?symbol=NSE%3AINDGN" TargetMode="External"/><Relationship Id="rId1969" Type="http://schemas.openxmlformats.org/officeDocument/2006/relationships/hyperlink" Target="https://in.tradingview.com/chart/Cgv3Jm6J/?symbol=NSE%3AJINDALPOLY" TargetMode="External"/><Relationship Id="rId1960" Type="http://schemas.openxmlformats.org/officeDocument/2006/relationships/hyperlink" Target="https://in.tradingview.com/chart/bXJLby4L/?symbol=NSE%3AINCREDIBLE" TargetMode="External"/><Relationship Id="rId1994" Type="http://schemas.openxmlformats.org/officeDocument/2006/relationships/hyperlink" Target="https://in.tradingview.com/chart/bXJLby4L/?symbol=NSE%3AINDIANHUME" TargetMode="External"/><Relationship Id="rId1995" Type="http://schemas.openxmlformats.org/officeDocument/2006/relationships/hyperlink" Target="https://in.tradingview.com/chart/Cgv3Jm6J/?symbol=NSE%3AJKTYRE" TargetMode="External"/><Relationship Id="rId1996" Type="http://schemas.openxmlformats.org/officeDocument/2006/relationships/hyperlink" Target="https://in.tradingview.com/chart/bXJLby4L/?symbol=NSE%3AIMFA" TargetMode="External"/><Relationship Id="rId1997" Type="http://schemas.openxmlformats.org/officeDocument/2006/relationships/hyperlink" Target="https://in.tradingview.com/chart/Cgv3Jm6J/?symbol=NSE%3AJLHL" TargetMode="External"/><Relationship Id="rId1998" Type="http://schemas.openxmlformats.org/officeDocument/2006/relationships/hyperlink" Target="https://in.tradingview.com/chart/bXJLby4L/?symbol=NSE%3AIOC" TargetMode="External"/><Relationship Id="rId1999" Type="http://schemas.openxmlformats.org/officeDocument/2006/relationships/hyperlink" Target="https://in.tradingview.com/chart/Cgv3Jm6J/?symbol=NSE%3AJMA" TargetMode="External"/><Relationship Id="rId1990" Type="http://schemas.openxmlformats.org/officeDocument/2006/relationships/hyperlink" Target="https://in.tradingview.com/chart/bXJLby4L/?symbol=NSE%3AINDIANCARD" TargetMode="External"/><Relationship Id="rId1991" Type="http://schemas.openxmlformats.org/officeDocument/2006/relationships/hyperlink" Target="https://in.tradingview.com/chart/Cgv3Jm6J/?symbol=NSE%3AJKLAKSHMI" TargetMode="External"/><Relationship Id="rId1992" Type="http://schemas.openxmlformats.org/officeDocument/2006/relationships/hyperlink" Target="https://in.tradingview.com/chart/bXJLby4L/?symbol=NSE%3AIEX" TargetMode="External"/><Relationship Id="rId1993" Type="http://schemas.openxmlformats.org/officeDocument/2006/relationships/hyperlink" Target="https://in.tradingview.com/chart/Cgv3Jm6J/?symbol=NSE%3AJKPAPER" TargetMode="External"/><Relationship Id="rId1983" Type="http://schemas.openxmlformats.org/officeDocument/2006/relationships/hyperlink" Target="https://in.tradingview.com/chart/Cgv3Jm6J/?symbol=NSE%3AJISLJALEQS" TargetMode="External"/><Relationship Id="rId1984" Type="http://schemas.openxmlformats.org/officeDocument/2006/relationships/hyperlink" Target="https://in.tradingview.com/chart/bXJLby4L/?symbol=NSE%3AIBULLSLTD" TargetMode="External"/><Relationship Id="rId1985" Type="http://schemas.openxmlformats.org/officeDocument/2006/relationships/hyperlink" Target="https://in.tradingview.com/chart/Cgv3Jm6J/?symbol=NSE%3AJITFINFRA" TargetMode="External"/><Relationship Id="rId1986" Type="http://schemas.openxmlformats.org/officeDocument/2006/relationships/hyperlink" Target="https://in.tradingview.com/chart/bXJLby4L/?symbol=NSE%3AINDIAMART" TargetMode="External"/><Relationship Id="rId1987" Type="http://schemas.openxmlformats.org/officeDocument/2006/relationships/hyperlink" Target="https://in.tradingview.com/chart/Cgv3Jm6J/?symbol=NSE%3AJKCEMENT" TargetMode="External"/><Relationship Id="rId1988" Type="http://schemas.openxmlformats.org/officeDocument/2006/relationships/hyperlink" Target="https://in.tradingview.com/chart/bXJLby4L/?symbol=NSE%3AINDIANB" TargetMode="External"/><Relationship Id="rId1989" Type="http://schemas.openxmlformats.org/officeDocument/2006/relationships/hyperlink" Target="https://in.tradingview.com/chart/Cgv3Jm6J/?symbol=NSE%3AJKIL" TargetMode="External"/><Relationship Id="rId1980" Type="http://schemas.openxmlformats.org/officeDocument/2006/relationships/hyperlink" Target="https://in.tradingview.com/chart/bXJLby4L/?symbol=NSE%3AITDC" TargetMode="External"/><Relationship Id="rId1981" Type="http://schemas.openxmlformats.org/officeDocument/2006/relationships/hyperlink" Target="https://in.tradingview.com/chart/Cgv3Jm6J/?symbol=NSE%3AJISLDVREQS" TargetMode="External"/><Relationship Id="rId1982" Type="http://schemas.openxmlformats.org/officeDocument/2006/relationships/hyperlink" Target="https://in.tradingview.com/chart/bXJLby4L/?symbol=NSE%3AINDIAVIX" TargetMode="External"/><Relationship Id="rId1930" Type="http://schemas.openxmlformats.org/officeDocument/2006/relationships/hyperlink" Target="https://in.tradingview.com/chart/bXJLby4L/?symbol=NSE%3AIDEA" TargetMode="External"/><Relationship Id="rId1931" Type="http://schemas.openxmlformats.org/officeDocument/2006/relationships/hyperlink" Target="https://in.tradingview.com/chart/Cgv3Jm6J/?symbol=NSE%3AJ_KBANK" TargetMode="External"/><Relationship Id="rId1932" Type="http://schemas.openxmlformats.org/officeDocument/2006/relationships/hyperlink" Target="https://in.tradingview.com/chart/bXJLby4L/?symbol=NSE%3AIDEAFORGE" TargetMode="External"/><Relationship Id="rId1933" Type="http://schemas.openxmlformats.org/officeDocument/2006/relationships/hyperlink" Target="https://in.tradingview.com/chart/Cgv3Jm6J/?symbol=NSE%3AJAGRAN" TargetMode="External"/><Relationship Id="rId1934" Type="http://schemas.openxmlformats.org/officeDocument/2006/relationships/hyperlink" Target="https://in.tradingview.com/chart/bXJLby4L/?symbol=NSE%3AIDFCFIRSTB" TargetMode="External"/><Relationship Id="rId1935" Type="http://schemas.openxmlformats.org/officeDocument/2006/relationships/hyperlink" Target="https://in.tradingview.com/chart/Cgv3Jm6J/?symbol=NSE%3AJAGSNPHARM" TargetMode="External"/><Relationship Id="rId1936" Type="http://schemas.openxmlformats.org/officeDocument/2006/relationships/hyperlink" Target="https://in.tradingview.com/chart/bXJLby4L/?symbol=NSE%3AIFBAGRO" TargetMode="External"/><Relationship Id="rId1937" Type="http://schemas.openxmlformats.org/officeDocument/2006/relationships/hyperlink" Target="https://in.tradingview.com/chart/Cgv3Jm6J/?symbol=NSE%3AJAIBALAJI" TargetMode="External"/><Relationship Id="rId1938" Type="http://schemas.openxmlformats.org/officeDocument/2006/relationships/hyperlink" Target="https://in.tradingview.com/chart/bXJLby4L/?symbol=NSE%3AIFBIND" TargetMode="External"/><Relationship Id="rId1939" Type="http://schemas.openxmlformats.org/officeDocument/2006/relationships/hyperlink" Target="https://in.tradingview.com/chart/Cgv3Jm6J/?symbol=NSE%3AJAICORPLTD" TargetMode="External"/><Relationship Id="rId1920" Type="http://schemas.openxmlformats.org/officeDocument/2006/relationships/hyperlink" Target="https://in.tradingview.com/chart/bXJLby4L/?symbol=NSE%3AMIDSELIETF" TargetMode="External"/><Relationship Id="rId1921" Type="http://schemas.openxmlformats.org/officeDocument/2006/relationships/hyperlink" Target="https://in.tradingview.com/chart/Cgv3Jm6J/?symbol=NSE%3AIVC" TargetMode="External"/><Relationship Id="rId1922" Type="http://schemas.openxmlformats.org/officeDocument/2006/relationships/hyperlink" Target="https://in.tradingview.com/chart/bXJLby4L/?symbol=NSE%3ASENSEXIETF" TargetMode="External"/><Relationship Id="rId1923" Type="http://schemas.openxmlformats.org/officeDocument/2006/relationships/hyperlink" Target="https://in.tradingview.com/chart/Cgv3Jm6J/?symbol=NSE%3AIVP" TargetMode="External"/><Relationship Id="rId1924" Type="http://schemas.openxmlformats.org/officeDocument/2006/relationships/hyperlink" Target="https://in.tradingview.com/chart/bXJLby4L/?symbol=NSE%3ASILVERIETF" TargetMode="External"/><Relationship Id="rId1925" Type="http://schemas.openxmlformats.org/officeDocument/2006/relationships/hyperlink" Target="https://in.tradingview.com/chart/Cgv3Jm6J/?symbol=NSE%3AIVZINGOLD" TargetMode="External"/><Relationship Id="rId1926" Type="http://schemas.openxmlformats.org/officeDocument/2006/relationships/hyperlink" Target="https://in.tradingview.com/chart/bXJLby4L/?symbol=NSE%3AICRA" TargetMode="External"/><Relationship Id="rId1927" Type="http://schemas.openxmlformats.org/officeDocument/2006/relationships/hyperlink" Target="https://in.tradingview.com/chart/Cgv3Jm6J/?symbol=NSE%3AIVZINNIFTY" TargetMode="External"/><Relationship Id="rId1928" Type="http://schemas.openxmlformats.org/officeDocument/2006/relationships/hyperlink" Target="https://in.tradingview.com/chart/bXJLby4L/?symbol=NSE%3AIDBI" TargetMode="External"/><Relationship Id="rId1929" Type="http://schemas.openxmlformats.org/officeDocument/2006/relationships/hyperlink" Target="https://in.tradingview.com/chart/Cgv3Jm6J/?symbol=NSE%3AIXIGO" TargetMode="External"/><Relationship Id="rId4190" Type="http://schemas.openxmlformats.org/officeDocument/2006/relationships/hyperlink" Target="https://in.tradingview.com/chart/bXJLby4L/?symbol=NSE%3ASOUTHWEST" TargetMode="External"/><Relationship Id="rId4192" Type="http://schemas.openxmlformats.org/officeDocument/2006/relationships/hyperlink" Target="https://in.tradingview.com/chart/bXJLby4L/?symbol=NSE%3ASPIC" TargetMode="External"/><Relationship Id="rId4191" Type="http://schemas.openxmlformats.org/officeDocument/2006/relationships/hyperlink" Target="https://in.tradingview.com/chart/Cgv3Jm6J/?symbol=NSE%3AUNIONBANK" TargetMode="External"/><Relationship Id="rId4194" Type="http://schemas.openxmlformats.org/officeDocument/2006/relationships/hyperlink" Target="https://in.tradingview.com/chart/bXJLby4L/?symbol=NSE%3ASPCENET" TargetMode="External"/><Relationship Id="rId4193" Type="http://schemas.openxmlformats.org/officeDocument/2006/relationships/hyperlink" Target="https://in.tradingview.com/chart/Cgv3Jm6J/?symbol=NSE%3AUNIONGOLD" TargetMode="External"/><Relationship Id="rId4196" Type="http://schemas.openxmlformats.org/officeDocument/2006/relationships/hyperlink" Target="https://in.tradingview.com/chart/bXJLby4L/?symbol=NSE%3ASPANDANA" TargetMode="External"/><Relationship Id="rId4195" Type="http://schemas.openxmlformats.org/officeDocument/2006/relationships/hyperlink" Target="https://in.tradingview.com/chart/Cgv3Jm6J/?symbol=NSE%3AUNIPARTS" TargetMode="External"/><Relationship Id="rId4198" Type="http://schemas.openxmlformats.org/officeDocument/2006/relationships/hyperlink" Target="https://in.tradingview.com/chart/bXJLby4L/?symbol=NSE%3ASPECIALITY" TargetMode="External"/><Relationship Id="rId4197" Type="http://schemas.openxmlformats.org/officeDocument/2006/relationships/hyperlink" Target="https://in.tradingview.com/chart/Cgv3Jm6J/?symbol=NSE%3AUNITDSPR" TargetMode="External"/><Relationship Id="rId4199" Type="http://schemas.openxmlformats.org/officeDocument/2006/relationships/hyperlink" Target="https://in.tradingview.com/chart/Cgv3Jm6J/?symbol=NSE%3AUNITECH" TargetMode="External"/><Relationship Id="rId1950" Type="http://schemas.openxmlformats.org/officeDocument/2006/relationships/hyperlink" Target="https://in.tradingview.com/chart/bXJLby4L/?symbol=NSE%3AIIFL" TargetMode="External"/><Relationship Id="rId1951" Type="http://schemas.openxmlformats.org/officeDocument/2006/relationships/hyperlink" Target="https://in.tradingview.com/chart/Cgv3Jm6J/?symbol=NSE%3AJAYNECOIND" TargetMode="External"/><Relationship Id="rId1952" Type="http://schemas.openxmlformats.org/officeDocument/2006/relationships/hyperlink" Target="https://in.tradingview.com/chart/bXJLby4L/?symbol=NSE%3AIKIO" TargetMode="External"/><Relationship Id="rId1953" Type="http://schemas.openxmlformats.org/officeDocument/2006/relationships/hyperlink" Target="https://in.tradingview.com/chart/Cgv3Jm6J/?symbol=NSE%3AJAYSREETEA" TargetMode="External"/><Relationship Id="rId1954" Type="http://schemas.openxmlformats.org/officeDocument/2006/relationships/hyperlink" Target="https://in.tradingview.com/chart/bXJLby4L/?symbol=NSE%3AIL&amp;FSENGG" TargetMode="External"/><Relationship Id="rId1955" Type="http://schemas.openxmlformats.org/officeDocument/2006/relationships/hyperlink" Target="https://in.tradingview.com/chart/Cgv3Jm6J/?symbol=NSE%3AJBCHEPHARM" TargetMode="External"/><Relationship Id="rId1956" Type="http://schemas.openxmlformats.org/officeDocument/2006/relationships/hyperlink" Target="https://in.tradingview.com/chart/bXJLby4L/?symbol=NSE%3AIVC" TargetMode="External"/><Relationship Id="rId1957" Type="http://schemas.openxmlformats.org/officeDocument/2006/relationships/hyperlink" Target="https://in.tradingview.com/chart/Cgv3Jm6J/?symbol=NSE%3AJBMA" TargetMode="External"/><Relationship Id="rId1958" Type="http://schemas.openxmlformats.org/officeDocument/2006/relationships/hyperlink" Target="https://in.tradingview.com/chart/bXJLby4L/?symbol=NSE%3AIMAGICAA" TargetMode="External"/><Relationship Id="rId1959" Type="http://schemas.openxmlformats.org/officeDocument/2006/relationships/hyperlink" Target="https://in.tradingview.com/chart/Cgv3Jm6J/?symbol=NSE%3AJCHAC" TargetMode="External"/><Relationship Id="rId1940" Type="http://schemas.openxmlformats.org/officeDocument/2006/relationships/hyperlink" Target="https://in.tradingview.com/chart/bXJLby4L/?symbol=NSE%3AIFCI" TargetMode="External"/><Relationship Id="rId1941" Type="http://schemas.openxmlformats.org/officeDocument/2006/relationships/hyperlink" Target="https://in.tradingview.com/chart/Cgv3Jm6J/?symbol=NSE%3AJAIPURKURT" TargetMode="External"/><Relationship Id="rId1942" Type="http://schemas.openxmlformats.org/officeDocument/2006/relationships/hyperlink" Target="https://in.tradingview.com/chart/bXJLby4L/?symbol=NSE%3AIFGLEXPOR" TargetMode="External"/><Relationship Id="rId1943" Type="http://schemas.openxmlformats.org/officeDocument/2006/relationships/hyperlink" Target="https://in.tradingview.com/chart/Cgv3Jm6J/?symbol=NSE%3AJAMNAAUTO" TargetMode="External"/><Relationship Id="rId1944" Type="http://schemas.openxmlformats.org/officeDocument/2006/relationships/hyperlink" Target="https://in.tradingview.com/chart/bXJLby4L/?symbol=NSE%3AIGPL" TargetMode="External"/><Relationship Id="rId1945" Type="http://schemas.openxmlformats.org/officeDocument/2006/relationships/hyperlink" Target="https://in.tradingview.com/chart/Cgv3Jm6J/?symbol=NSE%3AJASH" TargetMode="External"/><Relationship Id="rId1946" Type="http://schemas.openxmlformats.org/officeDocument/2006/relationships/hyperlink" Target="https://in.tradingview.com/chart/bXJLby4L/?symbol=NSE%3AIGARASHI" TargetMode="External"/><Relationship Id="rId1947" Type="http://schemas.openxmlformats.org/officeDocument/2006/relationships/hyperlink" Target="https://in.tradingview.com/chart/Cgv3Jm6J/?symbol=NSE%3AJAYAGROGN" TargetMode="External"/><Relationship Id="rId1948" Type="http://schemas.openxmlformats.org/officeDocument/2006/relationships/hyperlink" Target="https://in.tradingview.com/chart/bXJLby4L/?symbol=NSE%3AIIFLCAPS" TargetMode="External"/><Relationship Id="rId1949" Type="http://schemas.openxmlformats.org/officeDocument/2006/relationships/hyperlink" Target="https://in.tradingview.com/chart/Cgv3Jm6J/?symbol=NSE%3AJAYBARMARU" TargetMode="External"/><Relationship Id="rId2423" Type="http://schemas.openxmlformats.org/officeDocument/2006/relationships/hyperlink" Target="https://in.tradingview.com/chart/Cgv3Jm6J/?symbol=NSE%3AMANOMAY" TargetMode="External"/><Relationship Id="rId3755" Type="http://schemas.openxmlformats.org/officeDocument/2006/relationships/hyperlink" Target="https://in.tradingview.com/chart/Cgv3Jm6J/?symbol=NSE%3ASONACOMS" TargetMode="External"/><Relationship Id="rId2424" Type="http://schemas.openxmlformats.org/officeDocument/2006/relationships/hyperlink" Target="https://in.tradingview.com/chart/bXJLby4L/?symbol=NSE%3AKRITINUT" TargetMode="External"/><Relationship Id="rId3754" Type="http://schemas.openxmlformats.org/officeDocument/2006/relationships/hyperlink" Target="https://in.tradingview.com/chart/bXJLby4L/?symbol=NSE%3ARPOWER" TargetMode="External"/><Relationship Id="rId2425" Type="http://schemas.openxmlformats.org/officeDocument/2006/relationships/hyperlink" Target="https://in.tradingview.com/chart/Cgv3Jm6J/?symbol=NSE%3AMANORAMA" TargetMode="External"/><Relationship Id="rId3757" Type="http://schemas.openxmlformats.org/officeDocument/2006/relationships/hyperlink" Target="https://in.tradingview.com/chart/Cgv3Jm6J/?symbol=NSE%3ASONAMLTD" TargetMode="External"/><Relationship Id="rId2426" Type="http://schemas.openxmlformats.org/officeDocument/2006/relationships/hyperlink" Target="https://in.tradingview.com/chart/bXJLby4L/?symbol=NSE%3AKRITIKA" TargetMode="External"/><Relationship Id="rId3756" Type="http://schemas.openxmlformats.org/officeDocument/2006/relationships/hyperlink" Target="https://in.tradingview.com/chart/bXJLby4L/?symbol=NSE%3ARELIGARE" TargetMode="External"/><Relationship Id="rId2427" Type="http://schemas.openxmlformats.org/officeDocument/2006/relationships/hyperlink" Target="https://in.tradingview.com/chart/Cgv3Jm6J/?symbol=NSE%3AMANORG" TargetMode="External"/><Relationship Id="rId3759" Type="http://schemas.openxmlformats.org/officeDocument/2006/relationships/hyperlink" Target="https://in.tradingview.com/chart/Cgv3Jm6J/?symbol=NSE%3ASONATSOFTW" TargetMode="External"/><Relationship Id="rId2428" Type="http://schemas.openxmlformats.org/officeDocument/2006/relationships/hyperlink" Target="https://in.tradingview.com/chart/bXJLby4L/?symbol=NSE%3AKRN" TargetMode="External"/><Relationship Id="rId3758" Type="http://schemas.openxmlformats.org/officeDocument/2006/relationships/hyperlink" Target="https://in.tradingview.com/chart/bXJLby4L/?symbol=NSE%3AREMSONSIND" TargetMode="External"/><Relationship Id="rId2429" Type="http://schemas.openxmlformats.org/officeDocument/2006/relationships/hyperlink" Target="https://in.tradingview.com/chart/Cgv3Jm6J/?symbol=NSE%3AMANUGRAPH" TargetMode="External"/><Relationship Id="rId509" Type="http://schemas.openxmlformats.org/officeDocument/2006/relationships/hyperlink" Target="https://in.tradingview.com/chart/Cgv3Jm6J/?symbol=NSE%3ABANKBETF" TargetMode="External"/><Relationship Id="rId508" Type="http://schemas.openxmlformats.org/officeDocument/2006/relationships/hyperlink" Target="https://in.tradingview.com/chart/bXJLby4L/?symbol=NSE%3ABAJAJCON" TargetMode="External"/><Relationship Id="rId503" Type="http://schemas.openxmlformats.org/officeDocument/2006/relationships/hyperlink" Target="https://in.tradingview.com/chart/Cgv3Jm6J/?symbol=NSE%3ABANKA" TargetMode="External"/><Relationship Id="rId502" Type="http://schemas.openxmlformats.org/officeDocument/2006/relationships/hyperlink" Target="https://in.tradingview.com/chart/bXJLby4L/?symbol=NSE%3ABAFNAPH" TargetMode="External"/><Relationship Id="rId501" Type="http://schemas.openxmlformats.org/officeDocument/2006/relationships/hyperlink" Target="https://in.tradingview.com/chart/Cgv3Jm6J/?symbol=NSE%3ABANG" TargetMode="External"/><Relationship Id="rId500" Type="http://schemas.openxmlformats.org/officeDocument/2006/relationships/hyperlink" Target="https://in.tradingview.com/chart/bXJLby4L/?symbol=NSE%3ASTYLEBAAZA" TargetMode="External"/><Relationship Id="rId507" Type="http://schemas.openxmlformats.org/officeDocument/2006/relationships/hyperlink" Target="https://in.tradingview.com/chart/Cgv3Jm6J/?symbol=NSE%3ABANKBEES" TargetMode="External"/><Relationship Id="rId506" Type="http://schemas.openxmlformats.org/officeDocument/2006/relationships/hyperlink" Target="https://in.tradingview.com/chart/bXJLby4L/?symbol=NSE%3ABAJAJ-AUTO" TargetMode="External"/><Relationship Id="rId505" Type="http://schemas.openxmlformats.org/officeDocument/2006/relationships/hyperlink" Target="https://in.tradingview.com/chart/Cgv3Jm6J/?symbol=NSE%3ABANKBARODA" TargetMode="External"/><Relationship Id="rId504" Type="http://schemas.openxmlformats.org/officeDocument/2006/relationships/hyperlink" Target="https://in.tradingview.com/chart/bXJLby4L/?symbol=NSE%3ABAIDFIN" TargetMode="External"/><Relationship Id="rId3751" Type="http://schemas.openxmlformats.org/officeDocument/2006/relationships/hyperlink" Target="https://in.tradingview.com/chart/Cgv3Jm6J/?symbol=NSE%3ASOMATEX" TargetMode="External"/><Relationship Id="rId2420" Type="http://schemas.openxmlformats.org/officeDocument/2006/relationships/hyperlink" Target="https://in.tradingview.com/chart/bXJLby4L/?symbol=NSE%3AKIMS" TargetMode="External"/><Relationship Id="rId3750" Type="http://schemas.openxmlformats.org/officeDocument/2006/relationships/hyperlink" Target="https://in.tradingview.com/chart/bXJLby4L/?symbol=NSE%3ARELIANCE" TargetMode="External"/><Relationship Id="rId2421" Type="http://schemas.openxmlformats.org/officeDocument/2006/relationships/hyperlink" Target="https://in.tradingview.com/chart/Cgv3Jm6J/?symbol=NSE%3AMANKIND" TargetMode="External"/><Relationship Id="rId3753" Type="http://schemas.openxmlformats.org/officeDocument/2006/relationships/hyperlink" Target="https://in.tradingview.com/chart/Cgv3Jm6J/?symbol=NSE%3ASOMICONVEY" TargetMode="External"/><Relationship Id="rId2422" Type="http://schemas.openxmlformats.org/officeDocument/2006/relationships/hyperlink" Target="https://in.tradingview.com/chart/bXJLby4L/?symbol=NSE%3AKRITI" TargetMode="External"/><Relationship Id="rId3752" Type="http://schemas.openxmlformats.org/officeDocument/2006/relationships/hyperlink" Target="https://in.tradingview.com/chart/bXJLby4L/?symbol=NSE%3ARELINFRA" TargetMode="External"/><Relationship Id="rId2412" Type="http://schemas.openxmlformats.org/officeDocument/2006/relationships/hyperlink" Target="https://in.tradingview.com/chart/bXJLby4L/?symbol=NSE%3AKPITTECH" TargetMode="External"/><Relationship Id="rId3744" Type="http://schemas.openxmlformats.org/officeDocument/2006/relationships/hyperlink" Target="https://in.tradingview.com/chart/bXJLby4L/?symbol=NSE%3ARELIABLE" TargetMode="External"/><Relationship Id="rId2413" Type="http://schemas.openxmlformats.org/officeDocument/2006/relationships/hyperlink" Target="https://in.tradingview.com/chart/Cgv3Jm6J/?symbol=NSE%3AMANGCHEFER" TargetMode="External"/><Relationship Id="rId3743" Type="http://schemas.openxmlformats.org/officeDocument/2006/relationships/hyperlink" Target="https://in.tradingview.com/chart/Cgv3Jm6J/?symbol=NSE%3ASOBHA" TargetMode="External"/><Relationship Id="rId2414" Type="http://schemas.openxmlformats.org/officeDocument/2006/relationships/hyperlink" Target="https://in.tradingview.com/chart/bXJLby4L/?symbol=NSE%3AKRBL" TargetMode="External"/><Relationship Id="rId3746" Type="http://schemas.openxmlformats.org/officeDocument/2006/relationships/hyperlink" Target="https://in.tradingview.com/chart/bXJLby4L/?symbol=NSE%3ARELCHEMQ" TargetMode="External"/><Relationship Id="rId2415" Type="http://schemas.openxmlformats.org/officeDocument/2006/relationships/hyperlink" Target="https://in.tradingview.com/chart/Cgv3Jm6J/?symbol=NSE%3AMANGLMCEM" TargetMode="External"/><Relationship Id="rId3745" Type="http://schemas.openxmlformats.org/officeDocument/2006/relationships/hyperlink" Target="https://in.tradingview.com/chart/Cgv3Jm6J/?symbol=NSE%3ASOLARA" TargetMode="External"/><Relationship Id="rId2416" Type="http://schemas.openxmlformats.org/officeDocument/2006/relationships/hyperlink" Target="https://in.tradingview.com/chart/bXJLby4L/?symbol=NSE%3AKREBSBIO" TargetMode="External"/><Relationship Id="rId3748" Type="http://schemas.openxmlformats.org/officeDocument/2006/relationships/hyperlink" Target="https://in.tradingview.com/chart/bXJLby4L/?symbol=NSE%3ARIIL" TargetMode="External"/><Relationship Id="rId2417" Type="http://schemas.openxmlformats.org/officeDocument/2006/relationships/hyperlink" Target="https://in.tradingview.com/chart/Cgv3Jm6J/?symbol=NSE%3AMANINDS" TargetMode="External"/><Relationship Id="rId3747" Type="http://schemas.openxmlformats.org/officeDocument/2006/relationships/hyperlink" Target="https://in.tradingview.com/chart/Cgv3Jm6J/?symbol=NSE%3ASOLARINDS" TargetMode="External"/><Relationship Id="rId2418" Type="http://schemas.openxmlformats.org/officeDocument/2006/relationships/hyperlink" Target="https://in.tradingview.com/chart/bXJLby4L/?symbol=NSE%3AKRISHANA" TargetMode="External"/><Relationship Id="rId2419" Type="http://schemas.openxmlformats.org/officeDocument/2006/relationships/hyperlink" Target="https://in.tradingview.com/chart/Cgv3Jm6J/?symbol=NSE%3AMANINFRA" TargetMode="External"/><Relationship Id="rId3749" Type="http://schemas.openxmlformats.org/officeDocument/2006/relationships/hyperlink" Target="https://in.tradingview.com/chart/Cgv3Jm6J/?symbol=NSE%3ASOMANYCERA" TargetMode="External"/><Relationship Id="rId3740" Type="http://schemas.openxmlformats.org/officeDocument/2006/relationships/hyperlink" Target="https://in.tradingview.com/chart/bXJLby4L/?symbol=NSE%3AREGENCERAM" TargetMode="External"/><Relationship Id="rId2410" Type="http://schemas.openxmlformats.org/officeDocument/2006/relationships/hyperlink" Target="https://in.tradingview.com/chart/bXJLby4L/?symbol=NSE%3AKPIGREEN" TargetMode="External"/><Relationship Id="rId3742" Type="http://schemas.openxmlformats.org/officeDocument/2006/relationships/hyperlink" Target="https://in.tradingview.com/chart/bXJLby4L/?symbol=NSE%3ARELAXO" TargetMode="External"/><Relationship Id="rId2411" Type="http://schemas.openxmlformats.org/officeDocument/2006/relationships/hyperlink" Target="https://in.tradingview.com/chart/Cgv3Jm6J/?symbol=NSE%3AMANGALAM" TargetMode="External"/><Relationship Id="rId3741" Type="http://schemas.openxmlformats.org/officeDocument/2006/relationships/hyperlink" Target="https://in.tradingview.com/chart/Cgv3Jm6J/?symbol=NSE%3ASNOWMAN" TargetMode="External"/><Relationship Id="rId1114" Type="http://schemas.openxmlformats.org/officeDocument/2006/relationships/hyperlink" Target="https://in.tradingview.com/chart/bXJLby4L/?symbol=NSE%3ADIVISLAB" TargetMode="External"/><Relationship Id="rId2445" Type="http://schemas.openxmlformats.org/officeDocument/2006/relationships/hyperlink" Target="https://in.tradingview.com/chart/Cgv3Jm6J/?symbol=NSE%3AMARSHALL" TargetMode="External"/><Relationship Id="rId3777" Type="http://schemas.openxmlformats.org/officeDocument/2006/relationships/hyperlink" Target="https://in.tradingview.com/chart/Cgv3Jm6J/?symbol=NSE%3ASPENCERS" TargetMode="External"/><Relationship Id="rId1115" Type="http://schemas.openxmlformats.org/officeDocument/2006/relationships/hyperlink" Target="https://in.tradingview.com/chart/Cgv3Jm6J/?symbol=NSE%3AEMULTIMQ" TargetMode="External"/><Relationship Id="rId2446" Type="http://schemas.openxmlformats.org/officeDocument/2006/relationships/hyperlink" Target="https://in.tradingview.com/chart/bXJLby4L/?symbol=NSE%3ALTFOODS" TargetMode="External"/><Relationship Id="rId3776" Type="http://schemas.openxmlformats.org/officeDocument/2006/relationships/hyperlink" Target="https://in.tradingview.com/chart/bXJLby4L/?symbol=NSE%3ARICOAUTO" TargetMode="External"/><Relationship Id="rId1116" Type="http://schemas.openxmlformats.org/officeDocument/2006/relationships/hyperlink" Target="https://in.tradingview.com/chart/bXJLby4L/?symbol=NSE%3ADIXON" TargetMode="External"/><Relationship Id="rId2447" Type="http://schemas.openxmlformats.org/officeDocument/2006/relationships/hyperlink" Target="https://in.tradingview.com/chart/Cgv3Jm6J/?symbol=NSE%3AMARUTI" TargetMode="External"/><Relationship Id="rId3779" Type="http://schemas.openxmlformats.org/officeDocument/2006/relationships/hyperlink" Target="https://in.tradingview.com/chart/Cgv3Jm6J/?symbol=NSE%3ASPIC" TargetMode="External"/><Relationship Id="rId1117" Type="http://schemas.openxmlformats.org/officeDocument/2006/relationships/hyperlink" Target="https://in.tradingview.com/chart/Cgv3Jm6J/?symbol=NSE%3AENDURANCE" TargetMode="External"/><Relationship Id="rId2448" Type="http://schemas.openxmlformats.org/officeDocument/2006/relationships/hyperlink" Target="https://in.tradingview.com/chart/bXJLby4L/?symbol=NSE%3ALTF" TargetMode="External"/><Relationship Id="rId3778" Type="http://schemas.openxmlformats.org/officeDocument/2006/relationships/hyperlink" Target="https://in.tradingview.com/chart/bXJLby4L/?symbol=NSE%3ARISHABH" TargetMode="External"/><Relationship Id="rId1118" Type="http://schemas.openxmlformats.org/officeDocument/2006/relationships/hyperlink" Target="https://in.tradingview.com/chart/bXJLby4L/?symbol=NSE%3ADJML" TargetMode="External"/><Relationship Id="rId2449" Type="http://schemas.openxmlformats.org/officeDocument/2006/relationships/hyperlink" Target="https://in.tradingview.com/chart/Cgv3Jm6J/?symbol=NSE%3AMASFIN" TargetMode="External"/><Relationship Id="rId1119" Type="http://schemas.openxmlformats.org/officeDocument/2006/relationships/hyperlink" Target="https://in.tradingview.com/chart/Cgv3Jm6J/?symbol=NSE%3AENERGYDEV" TargetMode="External"/><Relationship Id="rId525" Type="http://schemas.openxmlformats.org/officeDocument/2006/relationships/hyperlink" Target="https://in.tradingview.com/chart/Cgv3Jm6J/?symbol=NSE%3ABANSWRAS" TargetMode="External"/><Relationship Id="rId524" Type="http://schemas.openxmlformats.org/officeDocument/2006/relationships/hyperlink" Target="https://in.tradingview.com/chart/bXJLby4L/?symbol=NSE%3ABAJAJHIND" TargetMode="External"/><Relationship Id="rId523" Type="http://schemas.openxmlformats.org/officeDocument/2006/relationships/hyperlink" Target="https://in.tradingview.com/chart/Cgv3Jm6J/?symbol=NSE%3ABANSALWIRE" TargetMode="External"/><Relationship Id="rId522" Type="http://schemas.openxmlformats.org/officeDocument/2006/relationships/hyperlink" Target="https://in.tradingview.com/chart/bXJLby4L/?symbol=NSE%3ABAJAJHCARE" TargetMode="External"/><Relationship Id="rId529" Type="http://schemas.openxmlformats.org/officeDocument/2006/relationships/hyperlink" Target="https://in.tradingview.com/chart/Cgv3Jm6J/?symbol=NSE%3ABASF" TargetMode="External"/><Relationship Id="rId528" Type="http://schemas.openxmlformats.org/officeDocument/2006/relationships/hyperlink" Target="https://in.tradingview.com/chart/bXJLby4L/?symbol=NSE%3ABAJAJHFL" TargetMode="External"/><Relationship Id="rId527" Type="http://schemas.openxmlformats.org/officeDocument/2006/relationships/hyperlink" Target="https://in.tradingview.com/chart/Cgv3Jm6J/?symbol=NSE%3ABARBEQUE" TargetMode="External"/><Relationship Id="rId526" Type="http://schemas.openxmlformats.org/officeDocument/2006/relationships/hyperlink" Target="https://in.tradingview.com/chart/bXJLby4L/?symbol=NSE%3ABAJAJHLDNG" TargetMode="External"/><Relationship Id="rId3771" Type="http://schemas.openxmlformats.org/officeDocument/2006/relationships/hyperlink" Target="https://in.tradingview.com/chart/Cgv3Jm6J/?symbol=NSE%3ASPARC" TargetMode="External"/><Relationship Id="rId2440" Type="http://schemas.openxmlformats.org/officeDocument/2006/relationships/hyperlink" Target="https://in.tradingview.com/chart/bXJLby4L/?symbol=NSE%3AKSOLVES" TargetMode="External"/><Relationship Id="rId3770" Type="http://schemas.openxmlformats.org/officeDocument/2006/relationships/hyperlink" Target="https://in.tradingview.com/chart/bXJLby4L/?symbol=NSE%3ARVTH" TargetMode="External"/><Relationship Id="rId521" Type="http://schemas.openxmlformats.org/officeDocument/2006/relationships/hyperlink" Target="https://in.tradingview.com/chart/Cgv3Jm6J/?symbol=NSE%3ABANKPSU" TargetMode="External"/><Relationship Id="rId1110" Type="http://schemas.openxmlformats.org/officeDocument/2006/relationships/hyperlink" Target="https://in.tradingview.com/chart/bXJLby4L/?symbol=NSE%3ADCAL" TargetMode="External"/><Relationship Id="rId2441" Type="http://schemas.openxmlformats.org/officeDocument/2006/relationships/hyperlink" Target="https://in.tradingview.com/chart/Cgv3Jm6J/?symbol=NSE%3AMARINE" TargetMode="External"/><Relationship Id="rId3773" Type="http://schemas.openxmlformats.org/officeDocument/2006/relationships/hyperlink" Target="https://in.tradingview.com/chart/Cgv3Jm6J/?symbol=NSE%3ASPCENET" TargetMode="External"/><Relationship Id="rId520" Type="http://schemas.openxmlformats.org/officeDocument/2006/relationships/hyperlink" Target="https://in.tradingview.com/chart/bXJLby4L/?symbol=NSE%3ABANKBETF" TargetMode="External"/><Relationship Id="rId1111" Type="http://schemas.openxmlformats.org/officeDocument/2006/relationships/hyperlink" Target="https://in.tradingview.com/chart/Cgv3Jm6J/?symbol=NSE%3AEMSLIMITED" TargetMode="External"/><Relationship Id="rId2442" Type="http://schemas.openxmlformats.org/officeDocument/2006/relationships/hyperlink" Target="https://in.tradingview.com/chart/bXJLby4L/?symbol=NSE%3AKSR" TargetMode="External"/><Relationship Id="rId3772" Type="http://schemas.openxmlformats.org/officeDocument/2006/relationships/hyperlink" Target="https://in.tradingview.com/chart/bXJLby4L/?symbol=NSE%3ARHETAN" TargetMode="External"/><Relationship Id="rId1112" Type="http://schemas.openxmlformats.org/officeDocument/2006/relationships/hyperlink" Target="https://in.tradingview.com/chart/bXJLby4L/?symbol=NSE%3ADIVGIITTS" TargetMode="External"/><Relationship Id="rId2443" Type="http://schemas.openxmlformats.org/officeDocument/2006/relationships/hyperlink" Target="https://in.tradingview.com/chart/Cgv3Jm6J/?symbol=NSE%3AMARKSANS" TargetMode="External"/><Relationship Id="rId3775" Type="http://schemas.openxmlformats.org/officeDocument/2006/relationships/hyperlink" Target="https://in.tradingview.com/chart/Cgv3Jm6J/?symbol=NSE%3ASPECIALITY" TargetMode="External"/><Relationship Id="rId1113" Type="http://schemas.openxmlformats.org/officeDocument/2006/relationships/hyperlink" Target="https://in.tradingview.com/chart/Cgv3Jm6J/?symbol=NSE%3AEMUDHRA" TargetMode="External"/><Relationship Id="rId2444" Type="http://schemas.openxmlformats.org/officeDocument/2006/relationships/hyperlink" Target="https://in.tradingview.com/chart/bXJLby4L/?symbol=NSE%3AKUANTUM" TargetMode="External"/><Relationship Id="rId3774" Type="http://schemas.openxmlformats.org/officeDocument/2006/relationships/hyperlink" Target="https://in.tradingview.com/chart/bXJLby4L/?symbol=NSE%3ARHIM" TargetMode="External"/><Relationship Id="rId1103" Type="http://schemas.openxmlformats.org/officeDocument/2006/relationships/hyperlink" Target="https://in.tradingview.com/chart/Cgv3Jm6J/?symbol=NSE%3AEMCURE" TargetMode="External"/><Relationship Id="rId2434" Type="http://schemas.openxmlformats.org/officeDocument/2006/relationships/hyperlink" Target="https://in.tradingview.com/chart/bXJLby4L/?symbol=NSE%3AKRSNAA" TargetMode="External"/><Relationship Id="rId3766" Type="http://schemas.openxmlformats.org/officeDocument/2006/relationships/hyperlink" Target="https://in.tradingview.com/chart/bXJLby4L/?symbol=NSE%3ARESPONIND" TargetMode="External"/><Relationship Id="rId1104" Type="http://schemas.openxmlformats.org/officeDocument/2006/relationships/hyperlink" Target="https://in.tradingview.com/chart/bXJLby4L/?symbol=NSE%3ADIGITIDE" TargetMode="External"/><Relationship Id="rId2435" Type="http://schemas.openxmlformats.org/officeDocument/2006/relationships/hyperlink" Target="https://in.tradingview.com/chart/Cgv3Jm6J/?symbol=NSE%3AMARALOVER" TargetMode="External"/><Relationship Id="rId3765" Type="http://schemas.openxmlformats.org/officeDocument/2006/relationships/hyperlink" Target="https://in.tradingview.com/chart/Cgv3Jm6J/?symbol=NSE%3ASOUTHWEST" TargetMode="External"/><Relationship Id="rId1105" Type="http://schemas.openxmlformats.org/officeDocument/2006/relationships/hyperlink" Target="https://in.tradingview.com/chart/Cgv3Jm6J/?symbol=NSE%3AEMIL" TargetMode="External"/><Relationship Id="rId2436" Type="http://schemas.openxmlformats.org/officeDocument/2006/relationships/hyperlink" Target="https://in.tradingview.com/chart/bXJLby4L/?symbol=NSE%3AKRYSTAL" TargetMode="External"/><Relationship Id="rId3768" Type="http://schemas.openxmlformats.org/officeDocument/2006/relationships/hyperlink" Target="https://in.tradingview.com/chart/bXJLby4L/?symbol=NSE%3ARBA" TargetMode="External"/><Relationship Id="rId1106" Type="http://schemas.openxmlformats.org/officeDocument/2006/relationships/hyperlink" Target="https://in.tradingview.com/chart/bXJLby4L/?symbol=NSE%3ADIGJAMLMTD" TargetMode="External"/><Relationship Id="rId2437" Type="http://schemas.openxmlformats.org/officeDocument/2006/relationships/hyperlink" Target="https://in.tradingview.com/chart/Cgv3Jm6J/?symbol=NSE%3AMARATHON" TargetMode="External"/><Relationship Id="rId3767" Type="http://schemas.openxmlformats.org/officeDocument/2006/relationships/hyperlink" Target="https://in.tradingview.com/chart/Cgv3Jm6J/?symbol=NSE%3ASPAL" TargetMode="External"/><Relationship Id="rId1107" Type="http://schemas.openxmlformats.org/officeDocument/2006/relationships/hyperlink" Target="https://in.tradingview.com/chart/Cgv3Jm6J/?symbol=NSE%3AEMKAY" TargetMode="External"/><Relationship Id="rId2438" Type="http://schemas.openxmlformats.org/officeDocument/2006/relationships/hyperlink" Target="https://in.tradingview.com/chart/bXJLby4L/?symbol=NSE%3AKSB" TargetMode="External"/><Relationship Id="rId1108" Type="http://schemas.openxmlformats.org/officeDocument/2006/relationships/hyperlink" Target="https://in.tradingview.com/chart/bXJLby4L/?symbol=NSE%3ADBL" TargetMode="External"/><Relationship Id="rId2439" Type="http://schemas.openxmlformats.org/officeDocument/2006/relationships/hyperlink" Target="https://in.tradingview.com/chart/Cgv3Jm6J/?symbol=NSE%3AMARICO" TargetMode="External"/><Relationship Id="rId3769" Type="http://schemas.openxmlformats.org/officeDocument/2006/relationships/hyperlink" Target="https://in.tradingview.com/chart/Cgv3Jm6J/?symbol=NSE%3ASPANDANA" TargetMode="External"/><Relationship Id="rId1109" Type="http://schemas.openxmlformats.org/officeDocument/2006/relationships/hyperlink" Target="https://in.tradingview.com/chart/Cgv3Jm6J/?symbol=NSE%3AEMMBI" TargetMode="External"/><Relationship Id="rId519" Type="http://schemas.openxmlformats.org/officeDocument/2006/relationships/hyperlink" Target="https://in.tradingview.com/chart/Cgv3Jm6J/?symbol=NSE%3ABANKNIFTY1" TargetMode="External"/><Relationship Id="rId514" Type="http://schemas.openxmlformats.org/officeDocument/2006/relationships/hyperlink" Target="https://in.tradingview.com/chart/bXJLby4L/?symbol=NSE%3ABAJAJFINSV" TargetMode="External"/><Relationship Id="rId513" Type="http://schemas.openxmlformats.org/officeDocument/2006/relationships/hyperlink" Target="https://in.tradingview.com/chart/Cgv3Jm6J/?symbol=NSE%3ABANKETFADD" TargetMode="External"/><Relationship Id="rId512" Type="http://schemas.openxmlformats.org/officeDocument/2006/relationships/hyperlink" Target="https://in.tradingview.com/chart/bXJLby4L/?symbol=NSE%3ABAJFINANCE" TargetMode="External"/><Relationship Id="rId511" Type="http://schemas.openxmlformats.org/officeDocument/2006/relationships/hyperlink" Target="https://in.tradingview.com/chart/Cgv3Jm6J/?symbol=NSE%3ABANKETF" TargetMode="External"/><Relationship Id="rId518" Type="http://schemas.openxmlformats.org/officeDocument/2006/relationships/hyperlink" Target="https://in.tradingview.com/chart/bXJLby4L/?symbol=NSE%3ANIFTYBETF" TargetMode="External"/><Relationship Id="rId517" Type="http://schemas.openxmlformats.org/officeDocument/2006/relationships/hyperlink" Target="https://in.tradingview.com/chart/Cgv3Jm6J/?symbol=NSE%3ABANKINDIA" TargetMode="External"/><Relationship Id="rId516" Type="http://schemas.openxmlformats.org/officeDocument/2006/relationships/hyperlink" Target="https://in.tradingview.com/chart/bXJLby4L/?symbol=NSE%3ALIQUIDBETF" TargetMode="External"/><Relationship Id="rId515" Type="http://schemas.openxmlformats.org/officeDocument/2006/relationships/hyperlink" Target="https://in.tradingview.com/chart/Cgv3Jm6J/?symbol=NSE%3ABANKIETF" TargetMode="External"/><Relationship Id="rId3760" Type="http://schemas.openxmlformats.org/officeDocument/2006/relationships/hyperlink" Target="https://in.tradingview.com/chart/bXJLby4L/?symbol=NSE%3ARGL" TargetMode="External"/><Relationship Id="rId510" Type="http://schemas.openxmlformats.org/officeDocument/2006/relationships/hyperlink" Target="https://in.tradingview.com/chart/bXJLby4L/?symbol=NSE%3ABAJAJELEC" TargetMode="External"/><Relationship Id="rId2430" Type="http://schemas.openxmlformats.org/officeDocument/2006/relationships/hyperlink" Target="https://in.tradingview.com/chart/bXJLby4L/?symbol=NSE%3AKRONOX" TargetMode="External"/><Relationship Id="rId3762" Type="http://schemas.openxmlformats.org/officeDocument/2006/relationships/hyperlink" Target="https://in.tradingview.com/chart/bXJLby4L/?symbol=NSE%3AREPCOHOME" TargetMode="External"/><Relationship Id="rId1100" Type="http://schemas.openxmlformats.org/officeDocument/2006/relationships/hyperlink" Target="https://in.tradingview.com/chart/bXJLby4L/?symbol=NSE%3ADIGIDRIVE" TargetMode="External"/><Relationship Id="rId2431" Type="http://schemas.openxmlformats.org/officeDocument/2006/relationships/hyperlink" Target="https://in.tradingview.com/chart/Cgv3Jm6J/?symbol=NSE%3AMANYAVAR" TargetMode="External"/><Relationship Id="rId3761" Type="http://schemas.openxmlformats.org/officeDocument/2006/relationships/hyperlink" Target="https://in.tradingview.com/chart/Cgv3Jm6J/?symbol=NSE%3ASOTL" TargetMode="External"/><Relationship Id="rId1101" Type="http://schemas.openxmlformats.org/officeDocument/2006/relationships/hyperlink" Target="https://in.tradingview.com/chart/Cgv3Jm6J/?symbol=NSE%3AEMBDL" TargetMode="External"/><Relationship Id="rId2432" Type="http://schemas.openxmlformats.org/officeDocument/2006/relationships/hyperlink" Target="https://in.tradingview.com/chart/bXJLby4L/?symbol=NSE%3AKROSS" TargetMode="External"/><Relationship Id="rId3764" Type="http://schemas.openxmlformats.org/officeDocument/2006/relationships/hyperlink" Target="https://in.tradingview.com/chart/bXJLby4L/?symbol=NSE%3AREPRO" TargetMode="External"/><Relationship Id="rId1102" Type="http://schemas.openxmlformats.org/officeDocument/2006/relationships/hyperlink" Target="https://in.tradingview.com/chart/bXJLby4L/?symbol=NSE%3ADIGISPICE" TargetMode="External"/><Relationship Id="rId2433" Type="http://schemas.openxmlformats.org/officeDocument/2006/relationships/hyperlink" Target="https://in.tradingview.com/chart/Cgv3Jm6J/?symbol=NSE%3AMAPMYINDIA" TargetMode="External"/><Relationship Id="rId3763" Type="http://schemas.openxmlformats.org/officeDocument/2006/relationships/hyperlink" Target="https://in.tradingview.com/chart/Cgv3Jm6J/?symbol=NSE%3ASOUTHBANK" TargetMode="External"/><Relationship Id="rId3711" Type="http://schemas.openxmlformats.org/officeDocument/2006/relationships/hyperlink" Target="https://in.tradingview.com/chart/Cgv3Jm6J/?symbol=NSE%3ASITINET" TargetMode="External"/><Relationship Id="rId3710" Type="http://schemas.openxmlformats.org/officeDocument/2006/relationships/hyperlink" Target="https://in.tradingview.com/chart/bXJLby4L/?symbol=NSE%3ARATNAVEER" TargetMode="External"/><Relationship Id="rId3713" Type="http://schemas.openxmlformats.org/officeDocument/2006/relationships/hyperlink" Target="https://in.tradingview.com/chart/Cgv3Jm6J/?symbol=NSE%3ASIYSIL" TargetMode="External"/><Relationship Id="rId3712" Type="http://schemas.openxmlformats.org/officeDocument/2006/relationships/hyperlink" Target="https://in.tradingview.com/chart/bXJLby4L/?symbol=NSE%3ARTNINDIA" TargetMode="External"/><Relationship Id="rId3715" Type="http://schemas.openxmlformats.org/officeDocument/2006/relationships/hyperlink" Target="https://in.tradingview.com/chart/Cgv3Jm6J/?symbol=NSE%3ASJS" TargetMode="External"/><Relationship Id="rId3714" Type="http://schemas.openxmlformats.org/officeDocument/2006/relationships/hyperlink" Target="https://in.tradingview.com/chart/bXJLby4L/?symbol=NSE%3ARTNPOWER" TargetMode="External"/><Relationship Id="rId3717" Type="http://schemas.openxmlformats.org/officeDocument/2006/relationships/hyperlink" Target="https://in.tradingview.com/chart/Cgv3Jm6J/?symbol=NSE%3ASJVN" TargetMode="External"/><Relationship Id="rId3716" Type="http://schemas.openxmlformats.org/officeDocument/2006/relationships/hyperlink" Target="https://in.tradingview.com/chart/bXJLby4L/?symbol=NSE%3ARKDL" TargetMode="External"/><Relationship Id="rId3719" Type="http://schemas.openxmlformats.org/officeDocument/2006/relationships/hyperlink" Target="https://in.tradingview.com/chart/Cgv3Jm6J/?symbol=NSE%3ASKFINDIA" TargetMode="External"/><Relationship Id="rId3718" Type="http://schemas.openxmlformats.org/officeDocument/2006/relationships/hyperlink" Target="https://in.tradingview.com/chart/bXJLby4L/?symbol=NSE%3ARVHL" TargetMode="External"/><Relationship Id="rId3700" Type="http://schemas.openxmlformats.org/officeDocument/2006/relationships/hyperlink" Target="https://in.tradingview.com/chart/bXJLby4L/?symbol=NSE%3ARANEHOLDIN" TargetMode="External"/><Relationship Id="rId3702" Type="http://schemas.openxmlformats.org/officeDocument/2006/relationships/hyperlink" Target="https://in.tradingview.com/chart/bXJLby4L/?symbol=NSE%3ARPTECH" TargetMode="External"/><Relationship Id="rId3701" Type="http://schemas.openxmlformats.org/officeDocument/2006/relationships/hyperlink" Target="https://in.tradingview.com/chart/Cgv3Jm6J/?symbol=NSE%3ASINCLAIR" TargetMode="External"/><Relationship Id="rId3704" Type="http://schemas.openxmlformats.org/officeDocument/2006/relationships/hyperlink" Target="https://in.tradingview.com/chart/bXJLby4L/?symbol=NSE%3ARCF" TargetMode="External"/><Relationship Id="rId3703" Type="http://schemas.openxmlformats.org/officeDocument/2006/relationships/hyperlink" Target="https://in.tradingview.com/chart/Cgv3Jm6J/?symbol=NSE%3ASINDHUTRAD" TargetMode="External"/><Relationship Id="rId3706" Type="http://schemas.openxmlformats.org/officeDocument/2006/relationships/hyperlink" Target="https://in.tradingview.com/chart/bXJLby4L/?symbol=NSE%3ARATEGAIN" TargetMode="External"/><Relationship Id="rId3705" Type="http://schemas.openxmlformats.org/officeDocument/2006/relationships/hyperlink" Target="https://in.tradingview.com/chart/Cgv3Jm6J/?symbol=NSE%3ASINTERCOM" TargetMode="External"/><Relationship Id="rId3708" Type="http://schemas.openxmlformats.org/officeDocument/2006/relationships/hyperlink" Target="https://in.tradingview.com/chart/bXJLby4L/?symbol=NSE%3ARATNAMANI" TargetMode="External"/><Relationship Id="rId3707" Type="http://schemas.openxmlformats.org/officeDocument/2006/relationships/hyperlink" Target="https://in.tradingview.com/chart/Cgv3Jm6J/?symbol=NSE%3ASIRCA" TargetMode="External"/><Relationship Id="rId3709" Type="http://schemas.openxmlformats.org/officeDocument/2006/relationships/hyperlink" Target="https://in.tradingview.com/chart/Cgv3Jm6J/?symbol=NSE%3ASIS" TargetMode="External"/><Relationship Id="rId2401" Type="http://schemas.openxmlformats.org/officeDocument/2006/relationships/hyperlink" Target="https://in.tradingview.com/chart/Cgv3Jm6J/?symbol=NSE%3AMANAKSTEEL" TargetMode="External"/><Relationship Id="rId3733" Type="http://schemas.openxmlformats.org/officeDocument/2006/relationships/hyperlink" Target="https://in.tradingview.com/chart/Cgv3Jm6J/?symbol=NSE%3ASMLISUZU" TargetMode="External"/><Relationship Id="rId2402" Type="http://schemas.openxmlformats.org/officeDocument/2006/relationships/hyperlink" Target="https://in.tradingview.com/chart/bXJLby4L/?symbol=NSE%3ASILVER1" TargetMode="External"/><Relationship Id="rId3732" Type="http://schemas.openxmlformats.org/officeDocument/2006/relationships/hyperlink" Target="https://in.tradingview.com/chart/bXJLby4L/?symbol=NSE%3AREDINGTON" TargetMode="External"/><Relationship Id="rId2403" Type="http://schemas.openxmlformats.org/officeDocument/2006/relationships/hyperlink" Target="https://in.tradingview.com/chart/Cgv3Jm6J/?symbol=NSE%3AMANALIPETC" TargetMode="External"/><Relationship Id="rId3735" Type="http://schemas.openxmlformats.org/officeDocument/2006/relationships/hyperlink" Target="https://in.tradingview.com/chart/Cgv3Jm6J/?symbol=NSE%3ASMLT" TargetMode="External"/><Relationship Id="rId2404" Type="http://schemas.openxmlformats.org/officeDocument/2006/relationships/hyperlink" Target="https://in.tradingview.com/chart/bXJLby4L/?symbol=NSE%3AKOTHARIPET" TargetMode="External"/><Relationship Id="rId3734" Type="http://schemas.openxmlformats.org/officeDocument/2006/relationships/hyperlink" Target="https://in.tradingview.com/chart/bXJLby4L/?symbol=NSE%3AREDTAPE" TargetMode="External"/><Relationship Id="rId2405" Type="http://schemas.openxmlformats.org/officeDocument/2006/relationships/hyperlink" Target="https://in.tradingview.com/chart/Cgv3Jm6J/?symbol=NSE%3AMANAPPURAM" TargetMode="External"/><Relationship Id="rId3737" Type="http://schemas.openxmlformats.org/officeDocument/2006/relationships/hyperlink" Target="https://in.tradingview.com/chart/Cgv3Jm6J/?symbol=NSE%3ASMSLIFE" TargetMode="External"/><Relationship Id="rId2406" Type="http://schemas.openxmlformats.org/officeDocument/2006/relationships/hyperlink" Target="https://in.tradingview.com/chart/bXJLby4L/?symbol=NSE%3AKOTHARIPRO" TargetMode="External"/><Relationship Id="rId3736" Type="http://schemas.openxmlformats.org/officeDocument/2006/relationships/hyperlink" Target="https://in.tradingview.com/chart/bXJLby4L/?symbol=NSE%3AREFEX" TargetMode="External"/><Relationship Id="rId2407" Type="http://schemas.openxmlformats.org/officeDocument/2006/relationships/hyperlink" Target="https://in.tradingview.com/chart/Cgv3Jm6J/?symbol=NSE%3AMANBA" TargetMode="External"/><Relationship Id="rId3739" Type="http://schemas.openxmlformats.org/officeDocument/2006/relationships/hyperlink" Target="https://in.tradingview.com/chart/Cgv3Jm6J/?symbol=NSE%3ASMSPHARMA" TargetMode="External"/><Relationship Id="rId2408" Type="http://schemas.openxmlformats.org/officeDocument/2006/relationships/hyperlink" Target="https://in.tradingview.com/chart/bXJLby4L/?symbol=NSE%3AKOTARISUG" TargetMode="External"/><Relationship Id="rId3738" Type="http://schemas.openxmlformats.org/officeDocument/2006/relationships/hyperlink" Target="https://in.tradingview.com/chart/bXJLby4L/?symbol=NSE%3AREGAAL" TargetMode="External"/><Relationship Id="rId2409" Type="http://schemas.openxmlformats.org/officeDocument/2006/relationships/hyperlink" Target="https://in.tradingview.com/chart/Cgv3Jm6J/?symbol=NSE%3AMANCREDIT" TargetMode="External"/><Relationship Id="rId3731" Type="http://schemas.openxmlformats.org/officeDocument/2006/relationships/hyperlink" Target="https://in.tradingview.com/chart/Cgv3Jm6J/?symbol=NSE%3ASMCGLOBAL" TargetMode="External"/><Relationship Id="rId2400" Type="http://schemas.openxmlformats.org/officeDocument/2006/relationships/hyperlink" Target="https://in.tradingview.com/chart/bXJLby4L/?symbol=NSE%3AQUALITY30" TargetMode="External"/><Relationship Id="rId3730" Type="http://schemas.openxmlformats.org/officeDocument/2006/relationships/hyperlink" Target="https://in.tradingview.com/chart/bXJLby4L/?symbol=NSE%3ARBZJEWEL" TargetMode="External"/><Relationship Id="rId3722" Type="http://schemas.openxmlformats.org/officeDocument/2006/relationships/hyperlink" Target="https://in.tradingview.com/chart/bXJLby4L/?symbol=NSE%3ARAYMONDLSL" TargetMode="External"/><Relationship Id="rId3721" Type="http://schemas.openxmlformats.org/officeDocument/2006/relationships/hyperlink" Target="https://in.tradingview.com/chart/Cgv3Jm6J/?symbol=NSE%3ASKIPPER" TargetMode="External"/><Relationship Id="rId3724" Type="http://schemas.openxmlformats.org/officeDocument/2006/relationships/hyperlink" Target="https://in.tradingview.com/chart/bXJLby4L/?symbol=NSE%3ARAYMOND" TargetMode="External"/><Relationship Id="rId3723" Type="http://schemas.openxmlformats.org/officeDocument/2006/relationships/hyperlink" Target="https://in.tradingview.com/chart/Cgv3Jm6J/?symbol=NSE%3ASKMEGGPROD" TargetMode="External"/><Relationship Id="rId3726" Type="http://schemas.openxmlformats.org/officeDocument/2006/relationships/hyperlink" Target="https://in.tradingview.com/chart/bXJLby4L/?symbol=NSE%3ARAYMONDREL" TargetMode="External"/><Relationship Id="rId3725" Type="http://schemas.openxmlformats.org/officeDocument/2006/relationships/hyperlink" Target="https://in.tradingview.com/chart/Cgv3Jm6J/?symbol=NSE%3ASKYGOLD" TargetMode="External"/><Relationship Id="rId3728" Type="http://schemas.openxmlformats.org/officeDocument/2006/relationships/hyperlink" Target="https://in.tradingview.com/chart/bXJLby4L/?symbol=NSE%3ARBLBANK" TargetMode="External"/><Relationship Id="rId3727" Type="http://schemas.openxmlformats.org/officeDocument/2006/relationships/hyperlink" Target="https://in.tradingview.com/chart/Cgv3Jm6J/?symbol=NSE%3ASMALLCAP" TargetMode="External"/><Relationship Id="rId3729" Type="http://schemas.openxmlformats.org/officeDocument/2006/relationships/hyperlink" Target="https://in.tradingview.com/chart/Cgv3Jm6J/?symbol=NSE%3ASMARTLINK" TargetMode="External"/><Relationship Id="rId3720" Type="http://schemas.openxmlformats.org/officeDocument/2006/relationships/hyperlink" Target="https://in.tradingview.com/chart/bXJLby4L/?symbol=NSE%3ARELTD" TargetMode="External"/><Relationship Id="rId4206" Type="http://schemas.openxmlformats.org/officeDocument/2006/relationships/hyperlink" Target="https://in.tradingview.com/chart/bXJLby4L/?symbol=NSE%3ASPMLINFRA" TargetMode="External"/><Relationship Id="rId4205" Type="http://schemas.openxmlformats.org/officeDocument/2006/relationships/hyperlink" Target="https://in.tradingview.com/chart/Cgv3Jm6J/?symbol=NSE%3AUNIVASTU" TargetMode="External"/><Relationship Id="rId4208" Type="http://schemas.openxmlformats.org/officeDocument/2006/relationships/hyperlink" Target="https://in.tradingview.com/chart/bXJLby4L/?symbol=NSE%3ASPORTKING" TargetMode="External"/><Relationship Id="rId4207" Type="http://schemas.openxmlformats.org/officeDocument/2006/relationships/hyperlink" Target="https://in.tradingview.com/chart/Cgv3Jm6J/?symbol=NSE%3AUNIVCABLES" TargetMode="External"/><Relationship Id="rId590" Type="http://schemas.openxmlformats.org/officeDocument/2006/relationships/hyperlink" Target="https://in.tradingview.com/chart/bXJLby4L/?symbol=NSE%3ABATAINDIA" TargetMode="External"/><Relationship Id="rId4209" Type="http://schemas.openxmlformats.org/officeDocument/2006/relationships/hyperlink" Target="https://in.tradingview.com/chart/Cgv3Jm6J/?symbol=NSE%3AUNIVPHOTO" TargetMode="External"/><Relationship Id="rId589" Type="http://schemas.openxmlformats.org/officeDocument/2006/relationships/hyperlink" Target="https://in.tradingview.com/chart/Cgv3Jm6J/?symbol=NSE%3ABHARATRAS" TargetMode="External"/><Relationship Id="rId588" Type="http://schemas.openxmlformats.org/officeDocument/2006/relationships/hyperlink" Target="https://in.tradingview.com/chart/bXJLby4L/?symbol=NSE%3ABASF" TargetMode="External"/><Relationship Id="rId1170" Type="http://schemas.openxmlformats.org/officeDocument/2006/relationships/hyperlink" Target="https://in.tradingview.com/chart/bXJLby4L/?symbol=NSE%3ALIQUIDADD" TargetMode="External"/><Relationship Id="rId1171" Type="http://schemas.openxmlformats.org/officeDocument/2006/relationships/hyperlink" Target="https://in.tradingview.com/chart/Cgv3Jm6J/?symbol=NSE%3AEXCELINDUS" TargetMode="External"/><Relationship Id="rId583" Type="http://schemas.openxmlformats.org/officeDocument/2006/relationships/hyperlink" Target="https://in.tradingview.com/chart/Cgv3Jm6J/?symbol=NSE%3ABHANDARI" TargetMode="External"/><Relationship Id="rId1172" Type="http://schemas.openxmlformats.org/officeDocument/2006/relationships/hyperlink" Target="https://in.tradingview.com/chart/bXJLby4L/?symbol=NSE%3ASENSEXADD" TargetMode="External"/><Relationship Id="rId582" Type="http://schemas.openxmlformats.org/officeDocument/2006/relationships/hyperlink" Target="https://in.tradingview.com/chart/bXJLby4L/?symbol=NSE%3ABBNPPGOLD" TargetMode="External"/><Relationship Id="rId1173" Type="http://schemas.openxmlformats.org/officeDocument/2006/relationships/hyperlink" Target="https://in.tradingview.com/chart/Cgv3Jm6J/?symbol=NSE%3AEXICOM" TargetMode="External"/><Relationship Id="rId581" Type="http://schemas.openxmlformats.org/officeDocument/2006/relationships/hyperlink" Target="https://in.tradingview.com/chart/Cgv3Jm6J/?symbol=NSE%3ABHAGYANGR" TargetMode="External"/><Relationship Id="rId1174" Type="http://schemas.openxmlformats.org/officeDocument/2006/relationships/hyperlink" Target="https://in.tradingview.com/chart/bXJLby4L/?symbol=NSE%3ASILVERADD" TargetMode="External"/><Relationship Id="rId4200" Type="http://schemas.openxmlformats.org/officeDocument/2006/relationships/hyperlink" Target="https://in.tradingview.com/chart/bXJLby4L/?symbol=NSE%3ASPECTRUM" TargetMode="External"/><Relationship Id="rId580" Type="http://schemas.openxmlformats.org/officeDocument/2006/relationships/hyperlink" Target="https://in.tradingview.com/chart/bXJLby4L/?symbol=NSE%3ABVCL" TargetMode="External"/><Relationship Id="rId1175" Type="http://schemas.openxmlformats.org/officeDocument/2006/relationships/hyperlink" Target="https://in.tradingview.com/chart/Cgv3Jm6J/?symbol=NSE%3AEXIDEIND" TargetMode="External"/><Relationship Id="rId587" Type="http://schemas.openxmlformats.org/officeDocument/2006/relationships/hyperlink" Target="https://in.tradingview.com/chart/Cgv3Jm6J/?symbol=NSE%3ABHARATGEAR" TargetMode="External"/><Relationship Id="rId1176" Type="http://schemas.openxmlformats.org/officeDocument/2006/relationships/hyperlink" Target="https://in.tradingview.com/chart/bXJLby4L/?symbol=NSE%3ADWARKESH" TargetMode="External"/><Relationship Id="rId4202" Type="http://schemas.openxmlformats.org/officeDocument/2006/relationships/hyperlink" Target="https://in.tradingview.com/chart/bXJLby4L/?symbol=NSE%3ASPENCERS" TargetMode="External"/><Relationship Id="rId586" Type="http://schemas.openxmlformats.org/officeDocument/2006/relationships/hyperlink" Target="https://in.tradingview.com/chart/bXJLby4L/?symbol=NSE%3AASMS" TargetMode="External"/><Relationship Id="rId1177" Type="http://schemas.openxmlformats.org/officeDocument/2006/relationships/hyperlink" Target="https://in.tradingview.com/chart/Cgv3Jm6J/?symbol=NSE%3AEXPLEOSOL" TargetMode="External"/><Relationship Id="rId4201" Type="http://schemas.openxmlformats.org/officeDocument/2006/relationships/hyperlink" Target="https://in.tradingview.com/chart/Cgv3Jm6J/?symbol=NSE%3AUNITEDPOLY" TargetMode="External"/><Relationship Id="rId585" Type="http://schemas.openxmlformats.org/officeDocument/2006/relationships/hyperlink" Target="https://in.tradingview.com/chart/Cgv3Jm6J/?symbol=NSE%3ABHARATFORG" TargetMode="External"/><Relationship Id="rId1178" Type="http://schemas.openxmlformats.org/officeDocument/2006/relationships/hyperlink" Target="https://in.tradingview.com/chart/bXJLby4L/?symbol=NSE%3ADSSL" TargetMode="External"/><Relationship Id="rId4204" Type="http://schemas.openxmlformats.org/officeDocument/2006/relationships/hyperlink" Target="https://in.tradingview.com/chart/bXJLby4L/?symbol=NSE%3ASPLIL" TargetMode="External"/><Relationship Id="rId584" Type="http://schemas.openxmlformats.org/officeDocument/2006/relationships/hyperlink" Target="https://in.tradingview.com/chart/bXJLby4L/?symbol=NSE%3ABBNPNBETF" TargetMode="External"/><Relationship Id="rId1179" Type="http://schemas.openxmlformats.org/officeDocument/2006/relationships/hyperlink" Target="https://in.tradingview.com/chart/Cgv3Jm6J/?symbol=NSE%3AEXXARO" TargetMode="External"/><Relationship Id="rId4203" Type="http://schemas.openxmlformats.org/officeDocument/2006/relationships/hyperlink" Target="https://in.tradingview.com/chart/Cgv3Jm6J/?symbol=NSE%3AUNITEDTEA" TargetMode="External"/><Relationship Id="rId1169" Type="http://schemas.openxmlformats.org/officeDocument/2006/relationships/hyperlink" Target="https://in.tradingview.com/chart/Cgv3Jm6J/?symbol=NSE%3AEXCEL" TargetMode="External"/><Relationship Id="rId579" Type="http://schemas.openxmlformats.org/officeDocument/2006/relationships/hyperlink" Target="https://in.tradingview.com/chart/Cgv3Jm6J/?symbol=NSE%3ABHAGERIA" TargetMode="External"/><Relationship Id="rId578" Type="http://schemas.openxmlformats.org/officeDocument/2006/relationships/hyperlink" Target="https://in.tradingview.com/chart/bXJLby4L/?symbol=NSE%3ABANSWRAS" TargetMode="External"/><Relationship Id="rId577" Type="http://schemas.openxmlformats.org/officeDocument/2006/relationships/hyperlink" Target="https://in.tradingview.com/chart/Cgv3Jm6J/?symbol=NSE%3ABHAGCHEM" TargetMode="External"/><Relationship Id="rId2490" Type="http://schemas.openxmlformats.org/officeDocument/2006/relationships/hyperlink" Target="https://in.tradingview.com/chart/bXJLby4L/?symbol=NSE%3ALEMONTREE" TargetMode="External"/><Relationship Id="rId1160" Type="http://schemas.openxmlformats.org/officeDocument/2006/relationships/hyperlink" Target="https://in.tradingview.com/chart/bXJLby4L/?symbol=NSE%3AMIDQ50ADD" TargetMode="External"/><Relationship Id="rId2491" Type="http://schemas.openxmlformats.org/officeDocument/2006/relationships/hyperlink" Target="https://in.tradingview.com/chart/Cgv3Jm6J/?symbol=NSE%3AMEDICO" TargetMode="External"/><Relationship Id="rId572" Type="http://schemas.openxmlformats.org/officeDocument/2006/relationships/hyperlink" Target="https://in.tradingview.com/chart/bXJLby4L/?symbol=NSE%3ABASML" TargetMode="External"/><Relationship Id="rId1161" Type="http://schemas.openxmlformats.org/officeDocument/2006/relationships/hyperlink" Target="https://in.tradingview.com/chart/Cgv3Jm6J/?symbol=NSE%3AEUROTEXIND" TargetMode="External"/><Relationship Id="rId2492" Type="http://schemas.openxmlformats.org/officeDocument/2006/relationships/hyperlink" Target="https://in.tradingview.com/chart/bXJLby4L/?symbol=NSE%3ALENSKART" TargetMode="External"/><Relationship Id="rId571" Type="http://schemas.openxmlformats.org/officeDocument/2006/relationships/hyperlink" Target="https://in.tradingview.com/chart/Cgv3Jm6J/?symbol=NSE%3ABFINVEST" TargetMode="External"/><Relationship Id="rId1162" Type="http://schemas.openxmlformats.org/officeDocument/2006/relationships/hyperlink" Target="https://in.tradingview.com/chart/bXJLby4L/?symbol=NSE%3APVTBANKADD" TargetMode="External"/><Relationship Id="rId2493" Type="http://schemas.openxmlformats.org/officeDocument/2006/relationships/hyperlink" Target="https://in.tradingview.com/chart/Cgv3Jm6J/?symbol=NSE%3AMEDPLUS" TargetMode="External"/><Relationship Id="rId570" Type="http://schemas.openxmlformats.org/officeDocument/2006/relationships/hyperlink" Target="https://in.tradingview.com/chart/bXJLby4L/?symbol=NSE%3ABANKNIFTY1" TargetMode="External"/><Relationship Id="rId1163" Type="http://schemas.openxmlformats.org/officeDocument/2006/relationships/hyperlink" Target="https://in.tradingview.com/chart/Cgv3Jm6J/?symbol=NSE%3AEVEREADY" TargetMode="External"/><Relationship Id="rId2494" Type="http://schemas.openxmlformats.org/officeDocument/2006/relationships/hyperlink" Target="https://in.tradingview.com/chart/bXJLby4L/?symbol=NSE%3ALEXUS" TargetMode="External"/><Relationship Id="rId1164" Type="http://schemas.openxmlformats.org/officeDocument/2006/relationships/hyperlink" Target="https://in.tradingview.com/chart/bXJLby4L/?symbol=NSE%3APSUBANKADD" TargetMode="External"/><Relationship Id="rId2495" Type="http://schemas.openxmlformats.org/officeDocument/2006/relationships/hyperlink" Target="https://in.tradingview.com/chart/Cgv3Jm6J/?symbol=NSE%3AMEGASTAR" TargetMode="External"/><Relationship Id="rId576" Type="http://schemas.openxmlformats.org/officeDocument/2006/relationships/hyperlink" Target="https://in.tradingview.com/chart/bXJLby4L/?symbol=NSE%3ABANSALWIRE" TargetMode="External"/><Relationship Id="rId1165" Type="http://schemas.openxmlformats.org/officeDocument/2006/relationships/hyperlink" Target="https://in.tradingview.com/chart/Cgv3Jm6J/?symbol=NSE%3AEVERESTIND" TargetMode="External"/><Relationship Id="rId2496" Type="http://schemas.openxmlformats.org/officeDocument/2006/relationships/hyperlink" Target="https://in.tradingview.com/chart/bXJLby4L/?symbol=NSE%3ALGBBROSLTD" TargetMode="External"/><Relationship Id="rId575" Type="http://schemas.openxmlformats.org/officeDocument/2006/relationships/hyperlink" Target="https://in.tradingview.com/chart/Cgv3Jm6J/?symbol=NSE%3ABFUTILITIE" TargetMode="External"/><Relationship Id="rId1166" Type="http://schemas.openxmlformats.org/officeDocument/2006/relationships/hyperlink" Target="https://in.tradingview.com/chart/bXJLby4L/?symbol=NSE%3ATOP10ADD" TargetMode="External"/><Relationship Id="rId2497" Type="http://schemas.openxmlformats.org/officeDocument/2006/relationships/hyperlink" Target="https://in.tradingview.com/chart/Cgv3Jm6J/?symbol=NSE%3AMENONBE" TargetMode="External"/><Relationship Id="rId574" Type="http://schemas.openxmlformats.org/officeDocument/2006/relationships/hyperlink" Target="https://in.tradingview.com/chart/bXJLby4L/?symbol=NSE%3ABANARISUG" TargetMode="External"/><Relationship Id="rId1167" Type="http://schemas.openxmlformats.org/officeDocument/2006/relationships/hyperlink" Target="https://in.tradingview.com/chart/Cgv3Jm6J/?symbol=NSE%3AEVINDIA" TargetMode="External"/><Relationship Id="rId2498" Type="http://schemas.openxmlformats.org/officeDocument/2006/relationships/hyperlink" Target="https://in.tradingview.com/chart/bXJLby4L/?symbol=NSE%3ALGEINDIA" TargetMode="External"/><Relationship Id="rId573" Type="http://schemas.openxmlformats.org/officeDocument/2006/relationships/hyperlink" Target="https://in.tradingview.com/chart/Cgv3Jm6J/?symbol=NSE%3ABFSI" TargetMode="External"/><Relationship Id="rId1168" Type="http://schemas.openxmlformats.org/officeDocument/2006/relationships/hyperlink" Target="https://in.tradingview.com/chart/bXJLby4L/?symbol=NSE%3AFLEXIADD" TargetMode="External"/><Relationship Id="rId2499" Type="http://schemas.openxmlformats.org/officeDocument/2006/relationships/hyperlink" Target="https://in.tradingview.com/chart/Cgv3Jm6J/?symbol=NSE%3AMEP" TargetMode="External"/><Relationship Id="rId4228" Type="http://schemas.openxmlformats.org/officeDocument/2006/relationships/hyperlink" Target="https://in.tradingview.com/chart/bXJLby4L/?symbol=NSE%3ASIL" TargetMode="External"/><Relationship Id="rId4227" Type="http://schemas.openxmlformats.org/officeDocument/2006/relationships/hyperlink" Target="https://in.tradingview.com/chart/Cgv3Jm6J/?symbol=NSE%3AUTINIFTETF" TargetMode="External"/><Relationship Id="rId4229" Type="http://schemas.openxmlformats.org/officeDocument/2006/relationships/hyperlink" Target="https://in.tradingview.com/chart/Cgv3Jm6J/?symbol=NSE%3AUTISENSETF" TargetMode="External"/><Relationship Id="rId1190" Type="http://schemas.openxmlformats.org/officeDocument/2006/relationships/hyperlink" Target="https://in.tradingview.com/chart/bXJLby4L/?symbol=NSE%3AEASEMYTRIP" TargetMode="External"/><Relationship Id="rId1191" Type="http://schemas.openxmlformats.org/officeDocument/2006/relationships/hyperlink" Target="https://in.tradingview.com/chart/Cgv3Jm6J/?symbol=NSE%3AFDC" TargetMode="External"/><Relationship Id="rId1192" Type="http://schemas.openxmlformats.org/officeDocument/2006/relationships/hyperlink" Target="https://in.tradingview.com/chart/bXJLby4L/?symbol=NSE%3AECLERX" TargetMode="External"/><Relationship Id="rId1193" Type="http://schemas.openxmlformats.org/officeDocument/2006/relationships/hyperlink" Target="https://in.tradingview.com/chart/Cgv3Jm6J/?symbol=NSE%3AFEDERALBNK" TargetMode="External"/><Relationship Id="rId1194" Type="http://schemas.openxmlformats.org/officeDocument/2006/relationships/hyperlink" Target="https://in.tradingview.com/chart/bXJLby4L/?symbol=NSE%3AECOSMOBLTY" TargetMode="External"/><Relationship Id="rId4220" Type="http://schemas.openxmlformats.org/officeDocument/2006/relationships/hyperlink" Target="https://in.tradingview.com/chart/bXJLby4L/?symbol=NSE%3ALOTUSDEV" TargetMode="External"/><Relationship Id="rId1195" Type="http://schemas.openxmlformats.org/officeDocument/2006/relationships/hyperlink" Target="https://in.tradingview.com/chart/Cgv3Jm6J/?symbol=NSE%3AFEDFINA" TargetMode="External"/><Relationship Id="rId1196" Type="http://schemas.openxmlformats.org/officeDocument/2006/relationships/hyperlink" Target="https://in.tradingview.com/chart/bXJLby4L/?symbol=NSE%3AECAPINSURE" TargetMode="External"/><Relationship Id="rId4222" Type="http://schemas.openxmlformats.org/officeDocument/2006/relationships/hyperlink" Target="https://in.tradingview.com/chart/bXJLby4L/?symbol=NSE%3ASRM" TargetMode="External"/><Relationship Id="rId1197" Type="http://schemas.openxmlformats.org/officeDocument/2006/relationships/hyperlink" Target="https://in.tradingview.com/chart/Cgv3Jm6J/?symbol=NSE%3AFEL" TargetMode="External"/><Relationship Id="rId4221" Type="http://schemas.openxmlformats.org/officeDocument/2006/relationships/hyperlink" Target="https://in.tradingview.com/chart/Cgv3Jm6J/?symbol=NSE%3AUTIAMC" TargetMode="External"/><Relationship Id="rId1198" Type="http://schemas.openxmlformats.org/officeDocument/2006/relationships/hyperlink" Target="https://in.tradingview.com/chart/bXJLby4L/?symbol=NSE%3AESENSEX" TargetMode="External"/><Relationship Id="rId4224" Type="http://schemas.openxmlformats.org/officeDocument/2006/relationships/hyperlink" Target="https://in.tradingview.com/chart/bXJLby4L/?symbol=NSE%3ASTALLION" TargetMode="External"/><Relationship Id="rId1199" Type="http://schemas.openxmlformats.org/officeDocument/2006/relationships/hyperlink" Target="https://in.tradingview.com/chart/Cgv3Jm6J/?symbol=NSE%3AFELDVR" TargetMode="External"/><Relationship Id="rId4223" Type="http://schemas.openxmlformats.org/officeDocument/2006/relationships/hyperlink" Target="https://in.tradingview.com/chart/Cgv3Jm6J/?symbol=NSE%3AUTIBANKETF" TargetMode="External"/><Relationship Id="rId4226" Type="http://schemas.openxmlformats.org/officeDocument/2006/relationships/hyperlink" Target="https://in.tradingview.com/chart/bXJLby4L/?symbol=NSE%3ASGLTL" TargetMode="External"/><Relationship Id="rId4225" Type="http://schemas.openxmlformats.org/officeDocument/2006/relationships/hyperlink" Target="https://in.tradingview.com/chart/Cgv3Jm6J/?symbol=NSE%3AUTINEXT50" TargetMode="External"/><Relationship Id="rId4217" Type="http://schemas.openxmlformats.org/officeDocument/2006/relationships/hyperlink" Target="https://in.tradingview.com/chart/Cgv3Jm6J/?symbol=NSE%3AUSHAMART" TargetMode="External"/><Relationship Id="rId4216" Type="http://schemas.openxmlformats.org/officeDocument/2006/relationships/hyperlink" Target="https://in.tradingview.com/chart/bXJLby4L/?symbol=NSE%3ASRGHFL" TargetMode="External"/><Relationship Id="rId4219" Type="http://schemas.openxmlformats.org/officeDocument/2006/relationships/hyperlink" Target="https://in.tradingview.com/chart/Cgv3Jm6J/?symbol=NSE%3AUSK" TargetMode="External"/><Relationship Id="rId4218" Type="http://schemas.openxmlformats.org/officeDocument/2006/relationships/hyperlink" Target="https://in.tradingview.com/chart/bXJLby4L/?symbol=NSE%3ASABTNL" TargetMode="External"/><Relationship Id="rId599" Type="http://schemas.openxmlformats.org/officeDocument/2006/relationships/hyperlink" Target="https://in.tradingview.com/chart/Cgv3Jm6J/?symbol=NSE%3ABIGBLOC" TargetMode="External"/><Relationship Id="rId1180" Type="http://schemas.openxmlformats.org/officeDocument/2006/relationships/hyperlink" Target="https://in.tradingview.com/chart/bXJLby4L/?symbol=NSE%3ADYNAMATECH" TargetMode="External"/><Relationship Id="rId1181" Type="http://schemas.openxmlformats.org/officeDocument/2006/relationships/hyperlink" Target="https://in.tradingview.com/chart/Cgv3Jm6J/?symbol=NSE%3AFACT" TargetMode="External"/><Relationship Id="rId1182" Type="http://schemas.openxmlformats.org/officeDocument/2006/relationships/hyperlink" Target="https://in.tradingview.com/chart/bXJLby4L/?symbol=NSE%3ADYCL" TargetMode="External"/><Relationship Id="rId594" Type="http://schemas.openxmlformats.org/officeDocument/2006/relationships/hyperlink" Target="https://in.tradingview.com/chart/bXJLby4L/?symbol=NSE%3ABCLIND" TargetMode="External"/><Relationship Id="rId1183" Type="http://schemas.openxmlformats.org/officeDocument/2006/relationships/hyperlink" Target="https://in.tradingview.com/chart/Cgv3Jm6J/?symbol=NSE%3AFAIRCHEMOR" TargetMode="External"/><Relationship Id="rId593" Type="http://schemas.openxmlformats.org/officeDocument/2006/relationships/hyperlink" Target="https://in.tradingview.com/chart/Cgv3Jm6J/?symbol=NSE%3ABHARTIARTL" TargetMode="External"/><Relationship Id="rId1184" Type="http://schemas.openxmlformats.org/officeDocument/2006/relationships/hyperlink" Target="https://in.tradingview.com/chart/bXJLby4L/?symbol=NSE%3ADYNPRO" TargetMode="External"/><Relationship Id="rId592" Type="http://schemas.openxmlformats.org/officeDocument/2006/relationships/hyperlink" Target="https://in.tradingview.com/chart/bXJLby4L/?symbol=NSE%3ABAYERCROP" TargetMode="External"/><Relationship Id="rId1185" Type="http://schemas.openxmlformats.org/officeDocument/2006/relationships/hyperlink" Target="https://in.tradingview.com/chart/Cgv3Jm6J/?symbol=NSE%3AFAZE3Q" TargetMode="External"/><Relationship Id="rId4211" Type="http://schemas.openxmlformats.org/officeDocument/2006/relationships/hyperlink" Target="https://in.tradingview.com/chart/Cgv3Jm6J/?symbol=NSE%3AUNOMINDA" TargetMode="External"/><Relationship Id="rId591" Type="http://schemas.openxmlformats.org/officeDocument/2006/relationships/hyperlink" Target="https://in.tradingview.com/chart/Cgv3Jm6J/?symbol=NSE%3ABHARATWIRE" TargetMode="External"/><Relationship Id="rId1186" Type="http://schemas.openxmlformats.org/officeDocument/2006/relationships/hyperlink" Target="https://in.tradingview.com/chart/bXJLby4L/?symbol=NSE%3AE2E" TargetMode="External"/><Relationship Id="rId4210" Type="http://schemas.openxmlformats.org/officeDocument/2006/relationships/hyperlink" Target="https://in.tradingview.com/chart/bXJLby4L/?symbol=NSE%3ASRHHYPOLTD" TargetMode="External"/><Relationship Id="rId598" Type="http://schemas.openxmlformats.org/officeDocument/2006/relationships/hyperlink" Target="https://in.tradingview.com/chart/bXJLby4L/?symbol=NSE%3ABEDMUTHA" TargetMode="External"/><Relationship Id="rId1187" Type="http://schemas.openxmlformats.org/officeDocument/2006/relationships/hyperlink" Target="https://in.tradingview.com/chart/Cgv3Jm6J/?symbol=NSE%3AFCL" TargetMode="External"/><Relationship Id="rId4213" Type="http://schemas.openxmlformats.org/officeDocument/2006/relationships/hyperlink" Target="https://in.tradingview.com/chart/Cgv3Jm6J/?symbol=NSE%3AUPL" TargetMode="External"/><Relationship Id="rId597" Type="http://schemas.openxmlformats.org/officeDocument/2006/relationships/hyperlink" Target="https://in.tradingview.com/chart/Cgv3Jm6J/?symbol=NSE%3ABHEL" TargetMode="External"/><Relationship Id="rId1188" Type="http://schemas.openxmlformats.org/officeDocument/2006/relationships/hyperlink" Target="https://in.tradingview.com/chart/bXJLby4L/?symbol=NSE%3AEASTSILK" TargetMode="External"/><Relationship Id="rId4212" Type="http://schemas.openxmlformats.org/officeDocument/2006/relationships/hyperlink" Target="https://in.tradingview.com/chart/bXJLby4L/?symbol=NSE%3ASREEL" TargetMode="External"/><Relationship Id="rId596" Type="http://schemas.openxmlformats.org/officeDocument/2006/relationships/hyperlink" Target="https://in.tradingview.com/chart/bXJLby4L/?symbol=NSE%3ABEARDSELL" TargetMode="External"/><Relationship Id="rId1189" Type="http://schemas.openxmlformats.org/officeDocument/2006/relationships/hyperlink" Target="https://in.tradingview.com/chart/Cgv3Jm6J/?symbol=NSE%3AFCSSOFT" TargetMode="External"/><Relationship Id="rId4215" Type="http://schemas.openxmlformats.org/officeDocument/2006/relationships/hyperlink" Target="https://in.tradingview.com/chart/Cgv3Jm6J/?symbol=NSE%3AURAVIDEF" TargetMode="External"/><Relationship Id="rId595" Type="http://schemas.openxmlformats.org/officeDocument/2006/relationships/hyperlink" Target="https://in.tradingview.com/chart/Cgv3Jm6J/?symbol=NSE%3ABHARTIHEXA" TargetMode="External"/><Relationship Id="rId4214" Type="http://schemas.openxmlformats.org/officeDocument/2006/relationships/hyperlink" Target="https://in.tradingview.com/chart/bXJLby4L/?symbol=NSE%3ASRF" TargetMode="External"/><Relationship Id="rId1136" Type="http://schemas.openxmlformats.org/officeDocument/2006/relationships/hyperlink" Target="https://in.tradingview.com/chart/bXJLby4L/?symbol=NSE%3ADPSCLTD" TargetMode="External"/><Relationship Id="rId2467" Type="http://schemas.openxmlformats.org/officeDocument/2006/relationships/hyperlink" Target="https://in.tradingview.com/chart/Cgv3Jm6J/?symbol=NSE%3AMAYURUNIQ" TargetMode="External"/><Relationship Id="rId3799" Type="http://schemas.openxmlformats.org/officeDocument/2006/relationships/hyperlink" Target="https://in.tradingview.com/chart/Cgv3Jm6J/?symbol=NSE%3ASRM" TargetMode="External"/><Relationship Id="rId1137" Type="http://schemas.openxmlformats.org/officeDocument/2006/relationships/hyperlink" Target="https://in.tradingview.com/chart/Cgv3Jm6J/?symbol=NSE%3AEQUITASBNK" TargetMode="External"/><Relationship Id="rId2468" Type="http://schemas.openxmlformats.org/officeDocument/2006/relationships/hyperlink" Target="https://in.tradingview.com/chart/bXJLby4L/?symbol=NSE%3ALASA" TargetMode="External"/><Relationship Id="rId3798" Type="http://schemas.openxmlformats.org/officeDocument/2006/relationships/hyperlink" Target="https://in.tradingview.com/chart/bXJLby4L/?symbol=NSE%3AROUTE" TargetMode="External"/><Relationship Id="rId1138" Type="http://schemas.openxmlformats.org/officeDocument/2006/relationships/hyperlink" Target="https://in.tradingview.com/chart/bXJLby4L/?symbol=NSE%3AAGARWALEYE" TargetMode="External"/><Relationship Id="rId2469" Type="http://schemas.openxmlformats.org/officeDocument/2006/relationships/hyperlink" Target="https://in.tradingview.com/chart/Cgv3Jm6J/?symbol=NSE%3AMAZDA" TargetMode="External"/><Relationship Id="rId1139" Type="http://schemas.openxmlformats.org/officeDocument/2006/relationships/hyperlink" Target="https://in.tradingview.com/chart/Cgv3Jm6J/?symbol=NSE%3AERIS" TargetMode="External"/><Relationship Id="rId547" Type="http://schemas.openxmlformats.org/officeDocument/2006/relationships/hyperlink" Target="https://in.tradingview.com/chart/Cgv3Jm6J/?symbol=NSE%3ABBTC" TargetMode="External"/><Relationship Id="rId546" Type="http://schemas.openxmlformats.org/officeDocument/2006/relationships/hyperlink" Target="https://in.tradingview.com/chart/bXJLby4L/?symbol=NSE%3ABALRAMCHIN" TargetMode="External"/><Relationship Id="rId545" Type="http://schemas.openxmlformats.org/officeDocument/2006/relationships/hyperlink" Target="https://in.tradingview.com/chart/Cgv3Jm6J/?symbol=NSE%3ABBOX" TargetMode="External"/><Relationship Id="rId544" Type="http://schemas.openxmlformats.org/officeDocument/2006/relationships/hyperlink" Target="https://in.tradingview.com/chart/bXJLby4L/?symbol=NSE%3ABALMLAWRIE" TargetMode="External"/><Relationship Id="rId549" Type="http://schemas.openxmlformats.org/officeDocument/2006/relationships/hyperlink" Target="https://in.tradingview.com/chart/Cgv3Jm6J/?symbol=NSE%3ABBTCL" TargetMode="External"/><Relationship Id="rId548" Type="http://schemas.openxmlformats.org/officeDocument/2006/relationships/hyperlink" Target="https://in.tradingview.com/chart/bXJLby4L/?symbol=NSE%3ABALUFORGE" TargetMode="External"/><Relationship Id="rId3791" Type="http://schemas.openxmlformats.org/officeDocument/2006/relationships/hyperlink" Target="https://in.tradingview.com/chart/Cgv3Jm6J/?symbol=NSE%3ASREEL" TargetMode="External"/><Relationship Id="rId2460" Type="http://schemas.openxmlformats.org/officeDocument/2006/relationships/hyperlink" Target="https://in.tradingview.com/chart/bXJLby4L/?symbol=NSE%3ALANCORHOL" TargetMode="External"/><Relationship Id="rId3790" Type="http://schemas.openxmlformats.org/officeDocument/2006/relationships/hyperlink" Target="https://in.tradingview.com/chart/bXJLby4L/?symbol=NSE%3AROSSARI" TargetMode="External"/><Relationship Id="rId1130" Type="http://schemas.openxmlformats.org/officeDocument/2006/relationships/hyperlink" Target="https://in.tradingview.com/chart/bXJLby4L/?symbol=NSE%3ADOLPHIN" TargetMode="External"/><Relationship Id="rId2461" Type="http://schemas.openxmlformats.org/officeDocument/2006/relationships/hyperlink" Target="https://in.tradingview.com/chart/Cgv3Jm6J/?symbol=NSE%3AMAXESTATES" TargetMode="External"/><Relationship Id="rId3793" Type="http://schemas.openxmlformats.org/officeDocument/2006/relationships/hyperlink" Target="https://in.tradingview.com/chart/Cgv3Jm6J/?symbol=NSE%3ASRF" TargetMode="External"/><Relationship Id="rId1131" Type="http://schemas.openxmlformats.org/officeDocument/2006/relationships/hyperlink" Target="https://in.tradingview.com/chart/Cgv3Jm6J/?symbol=NSE%3AEPL" TargetMode="External"/><Relationship Id="rId2462" Type="http://schemas.openxmlformats.org/officeDocument/2006/relationships/hyperlink" Target="https://in.tradingview.com/chart/bXJLby4L/?symbol=NSE%3ALANDMARK" TargetMode="External"/><Relationship Id="rId3792" Type="http://schemas.openxmlformats.org/officeDocument/2006/relationships/hyperlink" Target="https://in.tradingview.com/chart/bXJLby4L/?symbol=NSE%3AROSSELLIND" TargetMode="External"/><Relationship Id="rId543" Type="http://schemas.openxmlformats.org/officeDocument/2006/relationships/hyperlink" Target="https://in.tradingview.com/chart/Cgv3Jm6J/?symbol=NSE%3ABBNPPGOLD" TargetMode="External"/><Relationship Id="rId1132" Type="http://schemas.openxmlformats.org/officeDocument/2006/relationships/hyperlink" Target="https://in.tradingview.com/chart/bXJLby4L/?symbol=NSE%3ADOMS" TargetMode="External"/><Relationship Id="rId2463" Type="http://schemas.openxmlformats.org/officeDocument/2006/relationships/hyperlink" Target="https://in.tradingview.com/chart/Cgv3Jm6J/?symbol=NSE%3AMAXHEALTH" TargetMode="External"/><Relationship Id="rId3795" Type="http://schemas.openxmlformats.org/officeDocument/2006/relationships/hyperlink" Target="https://in.tradingview.com/chart/Cgv3Jm6J/?symbol=NSE%3ASRGHFL" TargetMode="External"/><Relationship Id="rId542" Type="http://schemas.openxmlformats.org/officeDocument/2006/relationships/hyperlink" Target="https://in.tradingview.com/chart/bXJLby4L/?symbol=NSE%3ABALKRISHNA" TargetMode="External"/><Relationship Id="rId1133" Type="http://schemas.openxmlformats.org/officeDocument/2006/relationships/hyperlink" Target="https://in.tradingview.com/chart/Cgv3Jm6J/?symbol=NSE%3AEQUAL50ADD" TargetMode="External"/><Relationship Id="rId2464" Type="http://schemas.openxmlformats.org/officeDocument/2006/relationships/hyperlink" Target="https://in.tradingview.com/chart/bXJLby4L/?symbol=NSE%3ALPDC" TargetMode="External"/><Relationship Id="rId3794" Type="http://schemas.openxmlformats.org/officeDocument/2006/relationships/hyperlink" Target="https://in.tradingview.com/chart/bXJLby4L/?symbol=NSE%3AROSSTECH" TargetMode="External"/><Relationship Id="rId541" Type="http://schemas.openxmlformats.org/officeDocument/2006/relationships/hyperlink" Target="https://in.tradingview.com/chart/Cgv3Jm6J/?symbol=NSE%3ABBNPNBETF" TargetMode="External"/><Relationship Id="rId1134" Type="http://schemas.openxmlformats.org/officeDocument/2006/relationships/hyperlink" Target="https://in.tradingview.com/chart/bXJLby4L/?symbol=NSE%3ADONEAR" TargetMode="External"/><Relationship Id="rId2465" Type="http://schemas.openxmlformats.org/officeDocument/2006/relationships/hyperlink" Target="https://in.tradingview.com/chart/Cgv3Jm6J/?symbol=NSE%3AMAXIND" TargetMode="External"/><Relationship Id="rId3797" Type="http://schemas.openxmlformats.org/officeDocument/2006/relationships/hyperlink" Target="https://in.tradingview.com/chart/Cgv3Jm6J/?symbol=NSE%3ASRHHYPOLTD" TargetMode="External"/><Relationship Id="rId540" Type="http://schemas.openxmlformats.org/officeDocument/2006/relationships/hyperlink" Target="https://in.tradingview.com/chart/bXJLby4L/?symbol=NSE%3ABALKRISIND" TargetMode="External"/><Relationship Id="rId1135" Type="http://schemas.openxmlformats.org/officeDocument/2006/relationships/hyperlink" Target="https://in.tradingview.com/chart/Cgv3Jm6J/?symbol=NSE%3AEQUIPPP" TargetMode="External"/><Relationship Id="rId2466" Type="http://schemas.openxmlformats.org/officeDocument/2006/relationships/hyperlink" Target="https://in.tradingview.com/chart/bXJLby4L/?symbol=NSE%3ALT" TargetMode="External"/><Relationship Id="rId3796" Type="http://schemas.openxmlformats.org/officeDocument/2006/relationships/hyperlink" Target="https://in.tradingview.com/chart/bXJLby4L/?symbol=NSE%3AROTO" TargetMode="External"/><Relationship Id="rId1125" Type="http://schemas.openxmlformats.org/officeDocument/2006/relationships/hyperlink" Target="https://in.tradingview.com/chart/Cgv3Jm6J/?symbol=NSE%3AENTERO" TargetMode="External"/><Relationship Id="rId2456" Type="http://schemas.openxmlformats.org/officeDocument/2006/relationships/hyperlink" Target="https://in.tradingview.com/chart/bXJLby4L/?symbol=NSE%3ALFIC" TargetMode="External"/><Relationship Id="rId3788" Type="http://schemas.openxmlformats.org/officeDocument/2006/relationships/hyperlink" Target="https://in.tradingview.com/chart/bXJLby4L/?symbol=NSE%3AROLEXRINGS" TargetMode="External"/><Relationship Id="rId1126" Type="http://schemas.openxmlformats.org/officeDocument/2006/relationships/hyperlink" Target="https://in.tradingview.com/chart/bXJLby4L/?symbol=NSE%3ADOLATALGO" TargetMode="External"/><Relationship Id="rId2457" Type="http://schemas.openxmlformats.org/officeDocument/2006/relationships/hyperlink" Target="https://in.tradingview.com/chart/Cgv3Jm6J/?symbol=NSE%3AMATRIMONY" TargetMode="External"/><Relationship Id="rId3787" Type="http://schemas.openxmlformats.org/officeDocument/2006/relationships/hyperlink" Target="https://in.tradingview.com/chart/Cgv3Jm6J/?symbol=NSE%3ASPORTKING" TargetMode="External"/><Relationship Id="rId1127" Type="http://schemas.openxmlformats.org/officeDocument/2006/relationships/hyperlink" Target="https://in.tradingview.com/chart/Cgv3Jm6J/?symbol=NSE%3AEPACK" TargetMode="External"/><Relationship Id="rId2458" Type="http://schemas.openxmlformats.org/officeDocument/2006/relationships/hyperlink" Target="https://in.tradingview.com/chart/bXJLby4L/?symbol=NSE%3ALAMBODHARA" TargetMode="External"/><Relationship Id="rId1128" Type="http://schemas.openxmlformats.org/officeDocument/2006/relationships/hyperlink" Target="https://in.tradingview.com/chart/bXJLby4L/?symbol=NSE%3ADOLLAR" TargetMode="External"/><Relationship Id="rId2459" Type="http://schemas.openxmlformats.org/officeDocument/2006/relationships/hyperlink" Target="https://in.tradingview.com/chart/Cgv3Jm6J/?symbol=NSE%3AMAWANASUG" TargetMode="External"/><Relationship Id="rId3789" Type="http://schemas.openxmlformats.org/officeDocument/2006/relationships/hyperlink" Target="https://in.tradingview.com/chart/Cgv3Jm6J/?symbol=NSE%3ASRD" TargetMode="External"/><Relationship Id="rId1129" Type="http://schemas.openxmlformats.org/officeDocument/2006/relationships/hyperlink" Target="https://in.tradingview.com/chart/Cgv3Jm6J/?symbol=NSE%3AEPIGRAL" TargetMode="External"/><Relationship Id="rId536" Type="http://schemas.openxmlformats.org/officeDocument/2006/relationships/hyperlink" Target="https://in.tradingview.com/chart/bXJLby4L/?symbol=NSE%3ABALAJITELE" TargetMode="External"/><Relationship Id="rId535" Type="http://schemas.openxmlformats.org/officeDocument/2006/relationships/hyperlink" Target="https://in.tradingview.com/chart/Cgv3Jm6J/?symbol=NSE%3ABAYERCROP" TargetMode="External"/><Relationship Id="rId534" Type="http://schemas.openxmlformats.org/officeDocument/2006/relationships/hyperlink" Target="https://in.tradingview.com/chart/bXJLby4L/?symbol=NSE%3ABALAMINES" TargetMode="External"/><Relationship Id="rId533" Type="http://schemas.openxmlformats.org/officeDocument/2006/relationships/hyperlink" Target="https://in.tradingview.com/chart/Cgv3Jm6J/?symbol=NSE%3ABATAINDIA" TargetMode="External"/><Relationship Id="rId539" Type="http://schemas.openxmlformats.org/officeDocument/2006/relationships/hyperlink" Target="https://in.tradingview.com/chart/Cgv3Jm6J/?symbol=NSE%3ABBL" TargetMode="External"/><Relationship Id="rId538" Type="http://schemas.openxmlformats.org/officeDocument/2006/relationships/hyperlink" Target="https://in.tradingview.com/chart/bXJLby4L/?symbol=NSE%3ABALAXI" TargetMode="External"/><Relationship Id="rId537" Type="http://schemas.openxmlformats.org/officeDocument/2006/relationships/hyperlink" Target="https://in.tradingview.com/chart/Cgv3Jm6J/?symbol=NSE%3ABBETF0432" TargetMode="External"/><Relationship Id="rId3780" Type="http://schemas.openxmlformats.org/officeDocument/2006/relationships/hyperlink" Target="https://in.tradingview.com/chart/bXJLby4L/?symbol=NSE%3ARITCO" TargetMode="External"/><Relationship Id="rId2450" Type="http://schemas.openxmlformats.org/officeDocument/2006/relationships/hyperlink" Target="https://in.tradingview.com/chart/bXJLby4L/?symbol=NSE%3ALTTS" TargetMode="External"/><Relationship Id="rId3782" Type="http://schemas.openxmlformats.org/officeDocument/2006/relationships/hyperlink" Target="https://in.tradingview.com/chart/bXJLby4L/?symbol=NSE%3ARITES" TargetMode="External"/><Relationship Id="rId1120" Type="http://schemas.openxmlformats.org/officeDocument/2006/relationships/hyperlink" Target="https://in.tradingview.com/chart/bXJLby4L/?symbol=NSE%3ADLF" TargetMode="External"/><Relationship Id="rId2451" Type="http://schemas.openxmlformats.org/officeDocument/2006/relationships/hyperlink" Target="https://in.tradingview.com/chart/Cgv3Jm6J/?symbol=NSE%3AMASPTOP50" TargetMode="External"/><Relationship Id="rId3781" Type="http://schemas.openxmlformats.org/officeDocument/2006/relationships/hyperlink" Target="https://in.tradingview.com/chart/Cgv3Jm6J/?symbol=NSE%3ASPLIL" TargetMode="External"/><Relationship Id="rId532" Type="http://schemas.openxmlformats.org/officeDocument/2006/relationships/hyperlink" Target="https://in.tradingview.com/chart/bXJLby4L/?symbol=NSE%3ABALPHARMA" TargetMode="External"/><Relationship Id="rId1121" Type="http://schemas.openxmlformats.org/officeDocument/2006/relationships/hyperlink" Target="https://in.tradingview.com/chart/Cgv3Jm6J/?symbol=NSE%3AENGINERSIN" TargetMode="External"/><Relationship Id="rId2452" Type="http://schemas.openxmlformats.org/officeDocument/2006/relationships/hyperlink" Target="https://in.tradingview.com/chart/bXJLby4L/?symbol=NSE%3ALAOPALA" TargetMode="External"/><Relationship Id="rId3784" Type="http://schemas.openxmlformats.org/officeDocument/2006/relationships/hyperlink" Target="https://in.tradingview.com/chart/bXJLby4L/?symbol=NSE%3ARKEC" TargetMode="External"/><Relationship Id="rId531" Type="http://schemas.openxmlformats.org/officeDocument/2006/relationships/hyperlink" Target="https://in.tradingview.com/chart/Cgv3Jm6J/?symbol=NSE%3ABASML" TargetMode="External"/><Relationship Id="rId1122" Type="http://schemas.openxmlformats.org/officeDocument/2006/relationships/hyperlink" Target="https://in.tradingview.com/chart/bXJLby4L/?symbol=NSE%3ADMCC" TargetMode="External"/><Relationship Id="rId2453" Type="http://schemas.openxmlformats.org/officeDocument/2006/relationships/hyperlink" Target="https://in.tradingview.com/chart/Cgv3Jm6J/?symbol=NSE%3AMASTEK" TargetMode="External"/><Relationship Id="rId3783" Type="http://schemas.openxmlformats.org/officeDocument/2006/relationships/hyperlink" Target="https://in.tradingview.com/chart/Cgv3Jm6J/?symbol=NSE%3ASPLPETRO" TargetMode="External"/><Relationship Id="rId530" Type="http://schemas.openxmlformats.org/officeDocument/2006/relationships/hyperlink" Target="https://in.tradingview.com/chart/bXJLby4L/?symbol=NSE%3ABAJEL" TargetMode="External"/><Relationship Id="rId1123" Type="http://schemas.openxmlformats.org/officeDocument/2006/relationships/hyperlink" Target="https://in.tradingview.com/chart/Cgv3Jm6J/?symbol=NSE%3AENIL" TargetMode="External"/><Relationship Id="rId2454" Type="http://schemas.openxmlformats.org/officeDocument/2006/relationships/hyperlink" Target="https://in.tradingview.com/chart/bXJLby4L/?symbol=NSE%3ALAGNAM" TargetMode="External"/><Relationship Id="rId3786" Type="http://schemas.openxmlformats.org/officeDocument/2006/relationships/hyperlink" Target="https://in.tradingview.com/chart/bXJLby4L/?symbol=NSE%3ARHL" TargetMode="External"/><Relationship Id="rId1124" Type="http://schemas.openxmlformats.org/officeDocument/2006/relationships/hyperlink" Target="https://in.tradingview.com/chart/bXJLby4L/?symbol=NSE%3ADODLA" TargetMode="External"/><Relationship Id="rId2455" Type="http://schemas.openxmlformats.org/officeDocument/2006/relationships/hyperlink" Target="https://in.tradingview.com/chart/Cgv3Jm6J/?symbol=NSE%3AMASTERTR" TargetMode="External"/><Relationship Id="rId3785" Type="http://schemas.openxmlformats.org/officeDocument/2006/relationships/hyperlink" Target="https://in.tradingview.com/chart/Cgv3Jm6J/?symbol=NSE%3ASPMLINFRA" TargetMode="External"/><Relationship Id="rId1158" Type="http://schemas.openxmlformats.org/officeDocument/2006/relationships/hyperlink" Target="https://in.tradingview.com/chart/bXJLby4L/?symbol=NSE%3AHEALTHADD" TargetMode="External"/><Relationship Id="rId2489" Type="http://schemas.openxmlformats.org/officeDocument/2006/relationships/hyperlink" Target="https://in.tradingview.com/chart/Cgv3Jm6J/?symbol=NSE%3AMEDICAMEQ" TargetMode="External"/><Relationship Id="rId1159" Type="http://schemas.openxmlformats.org/officeDocument/2006/relationships/hyperlink" Target="https://in.tradingview.com/chart/Cgv3Jm6J/?symbol=NSE%3AEUREKAFORB" TargetMode="External"/><Relationship Id="rId569" Type="http://schemas.openxmlformats.org/officeDocument/2006/relationships/hyperlink" Target="https://in.tradingview.com/chart/Cgv3Jm6J/?symbol=NSE%3ABERGEPAINT" TargetMode="External"/><Relationship Id="rId568" Type="http://schemas.openxmlformats.org/officeDocument/2006/relationships/hyperlink" Target="https://in.tradingview.com/chart/bXJLby4L/?symbol=NSE%3ABANKNIFTY" TargetMode="External"/><Relationship Id="rId567" Type="http://schemas.openxmlformats.org/officeDocument/2006/relationships/hyperlink" Target="https://in.tradingview.com/chart/Cgv3Jm6J/?symbol=NSE%3ABEPL" TargetMode="External"/><Relationship Id="rId566" Type="http://schemas.openxmlformats.org/officeDocument/2006/relationships/hyperlink" Target="https://in.tradingview.com/chart/bXJLby4L/?symbol=NSE%3ABANKA" TargetMode="External"/><Relationship Id="rId2480" Type="http://schemas.openxmlformats.org/officeDocument/2006/relationships/hyperlink" Target="https://in.tradingview.com/chart/bXJLby4L/?symbol=NSE%3ALGHL" TargetMode="External"/><Relationship Id="rId561" Type="http://schemas.openxmlformats.org/officeDocument/2006/relationships/hyperlink" Target="https://in.tradingview.com/chart/Cgv3Jm6J/?symbol=NSE%3ABEDMUTHA" TargetMode="External"/><Relationship Id="rId1150" Type="http://schemas.openxmlformats.org/officeDocument/2006/relationships/hyperlink" Target="https://in.tradingview.com/chart/bXJLby4L/?symbol=NSE%3ALIQUIDETF" TargetMode="External"/><Relationship Id="rId2481" Type="http://schemas.openxmlformats.org/officeDocument/2006/relationships/hyperlink" Target="https://in.tradingview.com/chart/Cgv3Jm6J/?symbol=NSE%3AMCLOUD" TargetMode="External"/><Relationship Id="rId560" Type="http://schemas.openxmlformats.org/officeDocument/2006/relationships/hyperlink" Target="https://in.tradingview.com/chart/bXJLby4L/?symbol=NSE%3ABANKBARODA" TargetMode="External"/><Relationship Id="rId1151" Type="http://schemas.openxmlformats.org/officeDocument/2006/relationships/hyperlink" Target="https://in.tradingview.com/chart/Cgv3Jm6J/?symbol=NSE%3AESSARSHPNG" TargetMode="External"/><Relationship Id="rId2482" Type="http://schemas.openxmlformats.org/officeDocument/2006/relationships/hyperlink" Target="https://in.tradingview.com/chart/bXJLby4L/?symbol=NSE%3ALAXMIINDIA" TargetMode="External"/><Relationship Id="rId1152" Type="http://schemas.openxmlformats.org/officeDocument/2006/relationships/hyperlink" Target="https://in.tradingview.com/chart/bXJLby4L/?symbol=NSE%3ANEXT30ADD" TargetMode="External"/><Relationship Id="rId2483" Type="http://schemas.openxmlformats.org/officeDocument/2006/relationships/hyperlink" Target="https://in.tradingview.com/chart/Cgv3Jm6J/?symbol=NSE%3AMCX" TargetMode="External"/><Relationship Id="rId1153" Type="http://schemas.openxmlformats.org/officeDocument/2006/relationships/hyperlink" Target="https://in.tradingview.com/chart/Cgv3Jm6J/?symbol=NSE%3AESSENTIA" TargetMode="External"/><Relationship Id="rId2484" Type="http://schemas.openxmlformats.org/officeDocument/2006/relationships/hyperlink" Target="https://in.tradingview.com/chart/bXJLby4L/?symbol=NSE%3ALXCHEM" TargetMode="External"/><Relationship Id="rId565" Type="http://schemas.openxmlformats.org/officeDocument/2006/relationships/hyperlink" Target="https://in.tradingview.com/chart/Cgv3Jm6J/?symbol=NSE%3ABEML" TargetMode="External"/><Relationship Id="rId1154" Type="http://schemas.openxmlformats.org/officeDocument/2006/relationships/hyperlink" Target="https://in.tradingview.com/chart/bXJLby4L/?symbol=NSE%3AMSCIADD" TargetMode="External"/><Relationship Id="rId2485" Type="http://schemas.openxmlformats.org/officeDocument/2006/relationships/hyperlink" Target="https://in.tradingview.com/chart/Cgv3Jm6J/?symbol=NSE%3AMEDANTA" TargetMode="External"/><Relationship Id="rId564" Type="http://schemas.openxmlformats.org/officeDocument/2006/relationships/hyperlink" Target="https://in.tradingview.com/chart/bXJLby4L/?symbol=NSE%3AMAHABANK" TargetMode="External"/><Relationship Id="rId1155" Type="http://schemas.openxmlformats.org/officeDocument/2006/relationships/hyperlink" Target="https://in.tradingview.com/chart/Cgv3Jm6J/?symbol=NSE%3AESTER" TargetMode="External"/><Relationship Id="rId2486" Type="http://schemas.openxmlformats.org/officeDocument/2006/relationships/hyperlink" Target="https://in.tradingview.com/chart/bXJLby4L/?symbol=NSE%3ALEMERITE" TargetMode="External"/><Relationship Id="rId563" Type="http://schemas.openxmlformats.org/officeDocument/2006/relationships/hyperlink" Target="https://in.tradingview.com/chart/Cgv3Jm6J/?symbol=NSE%3ABEL" TargetMode="External"/><Relationship Id="rId1156" Type="http://schemas.openxmlformats.org/officeDocument/2006/relationships/hyperlink" Target="https://in.tradingview.com/chart/bXJLby4L/?symbol=NSE%3AEQUAL50ADD" TargetMode="External"/><Relationship Id="rId2487" Type="http://schemas.openxmlformats.org/officeDocument/2006/relationships/hyperlink" Target="https://in.tradingview.com/chart/Cgv3Jm6J/?symbol=NSE%3AMEDIASSIST" TargetMode="External"/><Relationship Id="rId562" Type="http://schemas.openxmlformats.org/officeDocument/2006/relationships/hyperlink" Target="https://in.tradingview.com/chart/bXJLby4L/?symbol=NSE%3ABANKINDIA" TargetMode="External"/><Relationship Id="rId1157" Type="http://schemas.openxmlformats.org/officeDocument/2006/relationships/hyperlink" Target="https://in.tradingview.com/chart/Cgv3Jm6J/?symbol=NSE%3AETHOSLTD" TargetMode="External"/><Relationship Id="rId2488" Type="http://schemas.openxmlformats.org/officeDocument/2006/relationships/hyperlink" Target="https://in.tradingview.com/chart/bXJLby4L/?symbol=NSE%3AIXIGO" TargetMode="External"/><Relationship Id="rId1147" Type="http://schemas.openxmlformats.org/officeDocument/2006/relationships/hyperlink" Target="https://in.tradingview.com/chart/Cgv3Jm6J/?symbol=NSE%3AESG" TargetMode="External"/><Relationship Id="rId2478" Type="http://schemas.openxmlformats.org/officeDocument/2006/relationships/hyperlink" Target="https://in.tradingview.com/chart/bXJLby4L/?symbol=NSE%3ALAXMIDENTL" TargetMode="External"/><Relationship Id="rId1148" Type="http://schemas.openxmlformats.org/officeDocument/2006/relationships/hyperlink" Target="https://in.tradingview.com/chart/bXJLby4L/?symbol=NSE%3ADREDGECORP" TargetMode="External"/><Relationship Id="rId2479" Type="http://schemas.openxmlformats.org/officeDocument/2006/relationships/hyperlink" Target="https://in.tradingview.com/chart/Cgv3Jm6J/?symbol=NSE%3AMCLEODRUSS" TargetMode="External"/><Relationship Id="rId1149" Type="http://schemas.openxmlformats.org/officeDocument/2006/relationships/hyperlink" Target="https://in.tradingview.com/chart/Cgv3Jm6J/?symbol=NSE%3AESILVER" TargetMode="External"/><Relationship Id="rId558" Type="http://schemas.openxmlformats.org/officeDocument/2006/relationships/hyperlink" Target="https://in.tradingview.com/chart/bXJLby4L/?symbol=NSE%3ABANG" TargetMode="External"/><Relationship Id="rId557" Type="http://schemas.openxmlformats.org/officeDocument/2006/relationships/hyperlink" Target="https://in.tradingview.com/chart/Cgv3Jm6J/?symbol=NSE%3ABEARDSELL" TargetMode="External"/><Relationship Id="rId556" Type="http://schemas.openxmlformats.org/officeDocument/2006/relationships/hyperlink" Target="https://in.tradingview.com/chart/bXJLby4L/?symbol=NSE%3AIDFNIFTYET" TargetMode="External"/><Relationship Id="rId555" Type="http://schemas.openxmlformats.org/officeDocument/2006/relationships/hyperlink" Target="https://in.tradingview.com/chart/Cgv3Jm6J/?symbol=NSE%3ABDL" TargetMode="External"/><Relationship Id="rId559" Type="http://schemas.openxmlformats.org/officeDocument/2006/relationships/hyperlink" Target="https://in.tradingview.com/chart/Cgv3Jm6J/?symbol=NSE%3ABECTORFOOD" TargetMode="External"/><Relationship Id="rId550" Type="http://schemas.openxmlformats.org/officeDocument/2006/relationships/hyperlink" Target="https://in.tradingview.com/chart/bXJLby4L/?symbol=NSE%3ABANARBEADS" TargetMode="External"/><Relationship Id="rId2470" Type="http://schemas.openxmlformats.org/officeDocument/2006/relationships/hyperlink" Target="https://in.tradingview.com/chart/bXJLby4L/?symbol=NSE%3ALATENTVIEW" TargetMode="External"/><Relationship Id="rId1140" Type="http://schemas.openxmlformats.org/officeDocument/2006/relationships/hyperlink" Target="https://in.tradingview.com/chart/bXJLby4L/?symbol=NSE%3ALALPATHLAB" TargetMode="External"/><Relationship Id="rId2471" Type="http://schemas.openxmlformats.org/officeDocument/2006/relationships/hyperlink" Target="https://in.tradingview.com/chart/Cgv3Jm6J/?symbol=NSE%3AMAZDOCK" TargetMode="External"/><Relationship Id="rId1141" Type="http://schemas.openxmlformats.org/officeDocument/2006/relationships/hyperlink" Target="https://in.tradingview.com/chart/Cgv3Jm6J/?symbol=NSE%3AESABINDIA" TargetMode="External"/><Relationship Id="rId2472" Type="http://schemas.openxmlformats.org/officeDocument/2006/relationships/hyperlink" Target="https://in.tradingview.com/chart/bXJLby4L/?symbol=NSE%3ALATTEYS" TargetMode="External"/><Relationship Id="rId1142" Type="http://schemas.openxmlformats.org/officeDocument/2006/relationships/hyperlink" Target="https://in.tradingview.com/chart/bXJLby4L/?symbol=NSE%3ADRREDDY" TargetMode="External"/><Relationship Id="rId2473" Type="http://schemas.openxmlformats.org/officeDocument/2006/relationships/hyperlink" Target="https://in.tradingview.com/chart/Cgv3Jm6J/?symbol=NSE%3AMBAPL" TargetMode="External"/><Relationship Id="rId554" Type="http://schemas.openxmlformats.org/officeDocument/2006/relationships/hyperlink" Target="https://in.tradingview.com/chart/bXJLby4L/?symbol=NSE%3ABANDHANBNK" TargetMode="External"/><Relationship Id="rId1143" Type="http://schemas.openxmlformats.org/officeDocument/2006/relationships/hyperlink" Target="https://in.tradingview.com/chart/Cgv3Jm6J/?symbol=NSE%3AESAFSFB" TargetMode="External"/><Relationship Id="rId2474" Type="http://schemas.openxmlformats.org/officeDocument/2006/relationships/hyperlink" Target="https://in.tradingview.com/chart/bXJLby4L/?symbol=NSE%3ALAURUSLABS" TargetMode="External"/><Relationship Id="rId553" Type="http://schemas.openxmlformats.org/officeDocument/2006/relationships/hyperlink" Target="https://in.tradingview.com/chart/Cgv3Jm6J/?symbol=NSE%3ABCONCEPTS" TargetMode="External"/><Relationship Id="rId1144" Type="http://schemas.openxmlformats.org/officeDocument/2006/relationships/hyperlink" Target="https://in.tradingview.com/chart/bXJLby4L/?symbol=NSE%3ADRCSYSTEMS" TargetMode="External"/><Relationship Id="rId2475" Type="http://schemas.openxmlformats.org/officeDocument/2006/relationships/hyperlink" Target="https://in.tradingview.com/chart/Cgv3Jm6J/?symbol=NSE%3AMBLINFRA" TargetMode="External"/><Relationship Id="rId552" Type="http://schemas.openxmlformats.org/officeDocument/2006/relationships/hyperlink" Target="https://in.tradingview.com/chart/bXJLby4L/?symbol=NSE%3ABANCOINDIA" TargetMode="External"/><Relationship Id="rId1145" Type="http://schemas.openxmlformats.org/officeDocument/2006/relationships/hyperlink" Target="https://in.tradingview.com/chart/Cgv3Jm6J/?symbol=NSE%3AESCORTS" TargetMode="External"/><Relationship Id="rId2476" Type="http://schemas.openxmlformats.org/officeDocument/2006/relationships/hyperlink" Target="https://in.tradingview.com/chart/bXJLby4L/?symbol=NSE%3ALAXMICOT" TargetMode="External"/><Relationship Id="rId551" Type="http://schemas.openxmlformats.org/officeDocument/2006/relationships/hyperlink" Target="https://in.tradingview.com/chart/Cgv3Jm6J/?symbol=NSE%3ABCLIND" TargetMode="External"/><Relationship Id="rId1146" Type="http://schemas.openxmlformats.org/officeDocument/2006/relationships/hyperlink" Target="https://in.tradingview.com/chart/bXJLby4L/?symbol=NSE%3ADREAMFOLKS" TargetMode="External"/><Relationship Id="rId2477" Type="http://schemas.openxmlformats.org/officeDocument/2006/relationships/hyperlink" Target="https://in.tradingview.com/chart/Cgv3Jm6J/?symbol=NSE%3AMCL" TargetMode="External"/><Relationship Id="rId4280" Type="http://schemas.openxmlformats.org/officeDocument/2006/relationships/hyperlink" Target="https://in.tradingview.com/chart/bXJLby4L/?symbol=NSE%3ASUDEEPPHRM" TargetMode="External"/><Relationship Id="rId4282" Type="http://schemas.openxmlformats.org/officeDocument/2006/relationships/hyperlink" Target="https://in.tradingview.com/chart/bXJLby4L/?symbol=NSE%3ASUKHJITS" TargetMode="External"/><Relationship Id="rId4281" Type="http://schemas.openxmlformats.org/officeDocument/2006/relationships/hyperlink" Target="https://in.tradingview.com/chart/Cgv3Jm6J/?symbol=NSE%3AVERANDA" TargetMode="External"/><Relationship Id="rId4284" Type="http://schemas.openxmlformats.org/officeDocument/2006/relationships/hyperlink" Target="https://in.tradingview.com/chart/bXJLby4L/?symbol=NSE%3ASULA" TargetMode="External"/><Relationship Id="rId4283" Type="http://schemas.openxmlformats.org/officeDocument/2006/relationships/hyperlink" Target="https://in.tradingview.com/chart/Cgv3Jm6J/?symbol=NSE%3AVESUVIUS" TargetMode="External"/><Relationship Id="rId4286" Type="http://schemas.openxmlformats.org/officeDocument/2006/relationships/hyperlink" Target="https://in.tradingview.com/chart/bXJLby4L/?symbol=NSE%3ASUMEETINDS" TargetMode="External"/><Relationship Id="rId4285" Type="http://schemas.openxmlformats.org/officeDocument/2006/relationships/hyperlink" Target="https://in.tradingview.com/chart/Cgv3Jm6J/?symbol=NSE%3AVETO" TargetMode="External"/><Relationship Id="rId4288" Type="http://schemas.openxmlformats.org/officeDocument/2006/relationships/hyperlink" Target="https://in.tradingview.com/chart/bXJLby4L/?symbol=NSE%3ASUMIT" TargetMode="External"/><Relationship Id="rId4287" Type="http://schemas.openxmlformats.org/officeDocument/2006/relationships/hyperlink" Target="https://in.tradingview.com/chart/Cgv3Jm6J/?symbol=NSE%3AVGUARD" TargetMode="External"/><Relationship Id="rId4289" Type="http://schemas.openxmlformats.org/officeDocument/2006/relationships/hyperlink" Target="https://in.tradingview.com/chart/Cgv3Jm6J/?symbol=NSE%3AVHL" TargetMode="External"/><Relationship Id="rId4271" Type="http://schemas.openxmlformats.org/officeDocument/2006/relationships/hyperlink" Target="https://in.tradingview.com/chart/Cgv3Jm6J/?symbol=NSE%3AVEEDOL" TargetMode="External"/><Relationship Id="rId4270" Type="http://schemas.openxmlformats.org/officeDocument/2006/relationships/hyperlink" Target="https://in.tradingview.com/chart/bXJLby4L/?symbol=NSE%3ASTYLAMIND" TargetMode="External"/><Relationship Id="rId4273" Type="http://schemas.openxmlformats.org/officeDocument/2006/relationships/hyperlink" Target="https://in.tradingview.com/chart/Cgv3Jm6J/?symbol=NSE%3AVENKEYS" TargetMode="External"/><Relationship Id="rId4272" Type="http://schemas.openxmlformats.org/officeDocument/2006/relationships/hyperlink" Target="https://in.tradingview.com/chart/bXJLby4L/?symbol=NSE%3ASTYRENIX" TargetMode="External"/><Relationship Id="rId4275" Type="http://schemas.openxmlformats.org/officeDocument/2006/relationships/hyperlink" Target="https://in.tradingview.com/chart/Cgv3Jm6J/?symbol=NSE%3AVENTIVE" TargetMode="External"/><Relationship Id="rId4274" Type="http://schemas.openxmlformats.org/officeDocument/2006/relationships/hyperlink" Target="https://in.tradingview.com/chart/bXJLby4L/?symbol=NSE%3ASUBEXLTD" TargetMode="External"/><Relationship Id="rId4277" Type="http://schemas.openxmlformats.org/officeDocument/2006/relationships/hyperlink" Target="https://in.tradingview.com/chart/Cgv3Jm6J/?symbol=NSE%3AVENUSPIPES" TargetMode="External"/><Relationship Id="rId4276" Type="http://schemas.openxmlformats.org/officeDocument/2006/relationships/hyperlink" Target="https://in.tradingview.com/chart/bXJLby4L/?symbol=NSE%3ASUBROS" TargetMode="External"/><Relationship Id="rId4279" Type="http://schemas.openxmlformats.org/officeDocument/2006/relationships/hyperlink" Target="https://in.tradingview.com/chart/Cgv3Jm6J/?symbol=NSE%3AVENUSREM" TargetMode="External"/><Relationship Id="rId4278" Type="http://schemas.openxmlformats.org/officeDocument/2006/relationships/hyperlink" Target="https://in.tradingview.com/chart/bXJLby4L/?symbol=NSE%3ASUDARSCHEM" TargetMode="External"/><Relationship Id="rId4291" Type="http://schemas.openxmlformats.org/officeDocument/2006/relationships/hyperlink" Target="https://in.tradingview.com/chart/Cgv3Jm6J/?symbol=NSE%3AVHLTD" TargetMode="External"/><Relationship Id="rId4290" Type="http://schemas.openxmlformats.org/officeDocument/2006/relationships/hyperlink" Target="https://in.tradingview.com/chart/bXJLby4L/?symbol=NSE%3ASUMICHEM" TargetMode="External"/><Relationship Id="rId4293" Type="http://schemas.openxmlformats.org/officeDocument/2006/relationships/hyperlink" Target="https://in.tradingview.com/chart/Cgv3Jm6J/?symbol=NSE%3AVIDHIING" TargetMode="External"/><Relationship Id="rId4292" Type="http://schemas.openxmlformats.org/officeDocument/2006/relationships/hyperlink" Target="https://in.tradingview.com/chart/bXJLby4L/?symbol=NSE%3ASUMMITSEC" TargetMode="External"/><Relationship Id="rId4295" Type="http://schemas.openxmlformats.org/officeDocument/2006/relationships/hyperlink" Target="https://in.tradingview.com/chart/Cgv3Jm6J/?symbol=NSE%3AVIJAYA" TargetMode="External"/><Relationship Id="rId4294" Type="http://schemas.openxmlformats.org/officeDocument/2006/relationships/hyperlink" Target="https://in.tradingview.com/chart/bXJLby4L/?symbol=NSE%3ASPARC" TargetMode="External"/><Relationship Id="rId4297" Type="http://schemas.openxmlformats.org/officeDocument/2006/relationships/hyperlink" Target="https://in.tradingview.com/chart/Cgv3Jm6J/?symbol=NSE%3AVIJIFIN" TargetMode="External"/><Relationship Id="rId4296" Type="http://schemas.openxmlformats.org/officeDocument/2006/relationships/hyperlink" Target="https://in.tradingview.com/chart/bXJLby4L/?symbol=NSE%3ASUNPHARMA" TargetMode="External"/><Relationship Id="rId4299" Type="http://schemas.openxmlformats.org/officeDocument/2006/relationships/hyperlink" Target="https://in.tradingview.com/chart/Cgv3Jm6J/?symbol=NSE%3AVIKASECO" TargetMode="External"/><Relationship Id="rId4298" Type="http://schemas.openxmlformats.org/officeDocument/2006/relationships/hyperlink" Target="https://in.tradingview.com/chart/bXJLby4L/?symbol=NSE%3ASUNTV" TargetMode="External"/><Relationship Id="rId4249" Type="http://schemas.openxmlformats.org/officeDocument/2006/relationships/hyperlink" Target="https://in.tradingview.com/chart/Cgv3Jm6J/?symbol=NSE%3AVAL30IETF" TargetMode="External"/><Relationship Id="rId4240" Type="http://schemas.openxmlformats.org/officeDocument/2006/relationships/hyperlink" Target="https://in.tradingview.com/chart/bXJLby4L/?symbol=NSE%3ASBIN" TargetMode="External"/><Relationship Id="rId4242" Type="http://schemas.openxmlformats.org/officeDocument/2006/relationships/hyperlink" Target="https://in.tradingview.com/chart/bXJLby4L/?symbol=NSE%3ASAIL" TargetMode="External"/><Relationship Id="rId4241" Type="http://schemas.openxmlformats.org/officeDocument/2006/relationships/hyperlink" Target="https://in.tradingview.com/chart/Cgv3Jm6J/?symbol=NSE%3AVADILALIND" TargetMode="External"/><Relationship Id="rId4244" Type="http://schemas.openxmlformats.org/officeDocument/2006/relationships/hyperlink" Target="https://in.tradingview.com/chart/bXJLby4L/?symbol=NSE%3ASTEELCITY" TargetMode="External"/><Relationship Id="rId4243" Type="http://schemas.openxmlformats.org/officeDocument/2006/relationships/hyperlink" Target="https://in.tradingview.com/chart/Cgv3Jm6J/?symbol=NSE%3AVAIBHAVGBL" TargetMode="External"/><Relationship Id="rId4246" Type="http://schemas.openxmlformats.org/officeDocument/2006/relationships/hyperlink" Target="https://in.tradingview.com/chart/bXJLby4L/?symbol=NSE%3ASTEELXIND" TargetMode="External"/><Relationship Id="rId4245" Type="http://schemas.openxmlformats.org/officeDocument/2006/relationships/hyperlink" Target="https://in.tradingview.com/chart/Cgv3Jm6J/?symbol=NSE%3AVAISHALI" TargetMode="External"/><Relationship Id="rId4248" Type="http://schemas.openxmlformats.org/officeDocument/2006/relationships/hyperlink" Target="https://in.tradingview.com/chart/bXJLby4L/?symbol=NSE%3ASSWL" TargetMode="External"/><Relationship Id="rId4247" Type="http://schemas.openxmlformats.org/officeDocument/2006/relationships/hyperlink" Target="https://in.tradingview.com/chart/Cgv3Jm6J/?symbol=NSE%3AVAKRANGEE" TargetMode="External"/><Relationship Id="rId4239" Type="http://schemas.openxmlformats.org/officeDocument/2006/relationships/hyperlink" Target="https://in.tradingview.com/chart/Cgv3Jm6J/?symbol=NSE%3AV2RETAIL" TargetMode="External"/><Relationship Id="rId4238" Type="http://schemas.openxmlformats.org/officeDocument/2006/relationships/hyperlink" Target="https://in.tradingview.com/chart/bXJLby4L/?symbol=NSE%3ASTARTECK" TargetMode="External"/><Relationship Id="rId495" Type="http://schemas.openxmlformats.org/officeDocument/2006/relationships/hyperlink" Target="https://in.tradingview.com/chart/Cgv3Jm6J/?symbol=NSE%3ABANARISUG" TargetMode="External"/><Relationship Id="rId4231" Type="http://schemas.openxmlformats.org/officeDocument/2006/relationships/hyperlink" Target="https://in.tradingview.com/chart/Cgv3Jm6J/?symbol=NSE%3AUTISXN50" TargetMode="External"/><Relationship Id="rId494" Type="http://schemas.openxmlformats.org/officeDocument/2006/relationships/hyperlink" Target="https://in.tradingview.com/chart/bXJLby4L/?symbol=NSE%3ABLKASHYAP" TargetMode="External"/><Relationship Id="rId4230" Type="http://schemas.openxmlformats.org/officeDocument/2006/relationships/hyperlink" Target="https://in.tradingview.com/chart/bXJLby4L/?symbol=NSE%3ASTANLEY" TargetMode="External"/><Relationship Id="rId493" Type="http://schemas.openxmlformats.org/officeDocument/2006/relationships/hyperlink" Target="https://in.tradingview.com/chart/Cgv3Jm6J/?symbol=NSE%3ABANARBEADS" TargetMode="External"/><Relationship Id="rId4233" Type="http://schemas.openxmlformats.org/officeDocument/2006/relationships/hyperlink" Target="https://in.tradingview.com/chart/Cgv3Jm6J/?symbol=NSE%3AUTKARSHBNK" TargetMode="External"/><Relationship Id="rId492" Type="http://schemas.openxmlformats.org/officeDocument/2006/relationships/hyperlink" Target="https://in.tradingview.com/chart/bXJLby4L/?symbol=NSE%3AAZAD" TargetMode="External"/><Relationship Id="rId4232" Type="http://schemas.openxmlformats.org/officeDocument/2006/relationships/hyperlink" Target="https://in.tradingview.com/chart/bXJLby4L/?symbol=NSE%3ASTARCEMENT" TargetMode="External"/><Relationship Id="rId499" Type="http://schemas.openxmlformats.org/officeDocument/2006/relationships/hyperlink" Target="https://in.tradingview.com/chart/Cgv3Jm6J/?symbol=NSE%3ABANDHANBNK" TargetMode="External"/><Relationship Id="rId4235" Type="http://schemas.openxmlformats.org/officeDocument/2006/relationships/hyperlink" Target="https://in.tradingview.com/chart/Cgv3Jm6J/?symbol=NSE%3AUTTAMSUGAR" TargetMode="External"/><Relationship Id="rId498" Type="http://schemas.openxmlformats.org/officeDocument/2006/relationships/hyperlink" Target="https://in.tradingview.com/chart/bXJLby4L/?symbol=NSE%3ABBTCL" TargetMode="External"/><Relationship Id="rId4234" Type="http://schemas.openxmlformats.org/officeDocument/2006/relationships/hyperlink" Target="https://in.tradingview.com/chart/bXJLby4L/?symbol=NSE%3ASTARHEALTH" TargetMode="External"/><Relationship Id="rId497" Type="http://schemas.openxmlformats.org/officeDocument/2006/relationships/hyperlink" Target="https://in.tradingview.com/chart/Cgv3Jm6J/?symbol=NSE%3ABANCOINDIA" TargetMode="External"/><Relationship Id="rId4237" Type="http://schemas.openxmlformats.org/officeDocument/2006/relationships/hyperlink" Target="https://in.tradingview.com/chart/Cgv3Jm6J/?symbol=NSE%3AUYFINCORP" TargetMode="External"/><Relationship Id="rId496" Type="http://schemas.openxmlformats.org/officeDocument/2006/relationships/hyperlink" Target="https://in.tradingview.com/chart/bXJLby4L/?symbol=NSE%3ABAGFILMS" TargetMode="External"/><Relationship Id="rId4236" Type="http://schemas.openxmlformats.org/officeDocument/2006/relationships/hyperlink" Target="https://in.tradingview.com/chart/bXJLby4L/?symbol=NSE%3ASTARPAPER" TargetMode="External"/><Relationship Id="rId4260" Type="http://schemas.openxmlformats.org/officeDocument/2006/relationships/hyperlink" Target="https://in.tradingview.com/chart/bXJLby4L/?symbol=NSE%3ASGL" TargetMode="External"/><Relationship Id="rId4262" Type="http://schemas.openxmlformats.org/officeDocument/2006/relationships/hyperlink" Target="https://in.tradingview.com/chart/bXJLby4L/?symbol=NSE%3ASTLNETWORK" TargetMode="External"/><Relationship Id="rId4261" Type="http://schemas.openxmlformats.org/officeDocument/2006/relationships/hyperlink" Target="https://in.tradingview.com/chart/Cgv3Jm6J/?symbol=NSE%3AVASCONEQ" TargetMode="External"/><Relationship Id="rId4264" Type="http://schemas.openxmlformats.org/officeDocument/2006/relationships/hyperlink" Target="https://in.tradingview.com/chart/bXJLby4L/?symbol=NSE%3ASTOVEKRAFT" TargetMode="External"/><Relationship Id="rId4263" Type="http://schemas.openxmlformats.org/officeDocument/2006/relationships/hyperlink" Target="https://in.tradingview.com/chart/Cgv3Jm6J/?symbol=NSE%3AVASWANI" TargetMode="External"/><Relationship Id="rId4266" Type="http://schemas.openxmlformats.org/officeDocument/2006/relationships/hyperlink" Target="https://in.tradingview.com/chart/bXJLby4L/?symbol=NSE%3ASTAR" TargetMode="External"/><Relationship Id="rId4265" Type="http://schemas.openxmlformats.org/officeDocument/2006/relationships/hyperlink" Target="https://in.tradingview.com/chart/Cgv3Jm6J/?symbol=NSE%3AVBL" TargetMode="External"/><Relationship Id="rId4268" Type="http://schemas.openxmlformats.org/officeDocument/2006/relationships/hyperlink" Target="https://in.tradingview.com/chart/bXJLby4L/?symbol=NSE%3ASTUDDS" TargetMode="External"/><Relationship Id="rId4267" Type="http://schemas.openxmlformats.org/officeDocument/2006/relationships/hyperlink" Target="https://in.tradingview.com/chart/Cgv3Jm6J/?symbol=NSE%3AVCL" TargetMode="External"/><Relationship Id="rId4269" Type="http://schemas.openxmlformats.org/officeDocument/2006/relationships/hyperlink" Target="https://in.tradingview.com/chart/Cgv3Jm6J/?symbol=NSE%3AVEDL" TargetMode="External"/><Relationship Id="rId4251" Type="http://schemas.openxmlformats.org/officeDocument/2006/relationships/hyperlink" Target="https://in.tradingview.com/chart/Cgv3Jm6J/?symbol=NSE%3AVALIANTLAB" TargetMode="External"/><Relationship Id="rId4250" Type="http://schemas.openxmlformats.org/officeDocument/2006/relationships/hyperlink" Target="https://in.tradingview.com/chart/bXJLby4L/?symbol=NSE%3ASTEELCAS" TargetMode="External"/><Relationship Id="rId4253" Type="http://schemas.openxmlformats.org/officeDocument/2006/relationships/hyperlink" Target="https://in.tradingview.com/chart/Cgv3Jm6J/?symbol=NSE%3AVALIANTORG" TargetMode="External"/><Relationship Id="rId4252" Type="http://schemas.openxmlformats.org/officeDocument/2006/relationships/hyperlink" Target="https://in.tradingview.com/chart/bXJLby4L/?symbol=NSE%3ASTEL" TargetMode="External"/><Relationship Id="rId4255" Type="http://schemas.openxmlformats.org/officeDocument/2006/relationships/hyperlink" Target="https://in.tradingview.com/chart/Cgv3Jm6J/?symbol=NSE%3AVARDHACRLC" TargetMode="External"/><Relationship Id="rId4254" Type="http://schemas.openxmlformats.org/officeDocument/2006/relationships/hyperlink" Target="https://in.tradingview.com/chart/bXJLby4L/?symbol=NSE%3ASWSOLAR" TargetMode="External"/><Relationship Id="rId4257" Type="http://schemas.openxmlformats.org/officeDocument/2006/relationships/hyperlink" Target="https://in.tradingview.com/chart/Cgv3Jm6J/?symbol=NSE%3AVARDMNPOLY" TargetMode="External"/><Relationship Id="rId4256" Type="http://schemas.openxmlformats.org/officeDocument/2006/relationships/hyperlink" Target="https://in.tradingview.com/chart/bXJLby4L/?symbol=NSE%3ASTERTOOLS" TargetMode="External"/><Relationship Id="rId4259" Type="http://schemas.openxmlformats.org/officeDocument/2006/relationships/hyperlink" Target="https://in.tradingview.com/chart/Cgv3Jm6J/?symbol=NSE%3AVARROC" TargetMode="External"/><Relationship Id="rId4258" Type="http://schemas.openxmlformats.org/officeDocument/2006/relationships/hyperlink" Target="https://in.tradingview.com/chart/bXJLby4L/?symbol=NSE%3ASTLTECH" TargetMode="External"/><Relationship Id="rId3810" Type="http://schemas.openxmlformats.org/officeDocument/2006/relationships/hyperlink" Target="https://in.tradingview.com/chart/bXJLby4L/?symbol=NSE%3ARUBICON" TargetMode="External"/><Relationship Id="rId3812" Type="http://schemas.openxmlformats.org/officeDocument/2006/relationships/hyperlink" Target="https://in.tradingview.com/chart/bXJLby4L/?symbol=NSE%3ARUCHINFRA" TargetMode="External"/><Relationship Id="rId3811" Type="http://schemas.openxmlformats.org/officeDocument/2006/relationships/hyperlink" Target="https://in.tradingview.com/chart/Cgv3Jm6J/?symbol=NSE%3ASTAR" TargetMode="External"/><Relationship Id="rId3814" Type="http://schemas.openxmlformats.org/officeDocument/2006/relationships/hyperlink" Target="https://in.tradingview.com/chart/bXJLby4L/?symbol=NSE%3ARUCHIRA" TargetMode="External"/><Relationship Id="rId3813" Type="http://schemas.openxmlformats.org/officeDocument/2006/relationships/hyperlink" Target="https://in.tradingview.com/chart/Cgv3Jm6J/?symbol=NSE%3ASTARCEMENT" TargetMode="External"/><Relationship Id="rId3816" Type="http://schemas.openxmlformats.org/officeDocument/2006/relationships/hyperlink" Target="https://in.tradingview.com/chart/bXJLby4L/?symbol=NSE%3AREPL" TargetMode="External"/><Relationship Id="rId3815" Type="http://schemas.openxmlformats.org/officeDocument/2006/relationships/hyperlink" Target="https://in.tradingview.com/chart/Cgv3Jm6J/?symbol=NSE%3ASTARHEALTH" TargetMode="External"/><Relationship Id="rId3818" Type="http://schemas.openxmlformats.org/officeDocument/2006/relationships/hyperlink" Target="https://in.tradingview.com/chart/bXJLby4L/?symbol=NSE%3ARUPA" TargetMode="External"/><Relationship Id="rId3817" Type="http://schemas.openxmlformats.org/officeDocument/2006/relationships/hyperlink" Target="https://in.tradingview.com/chart/Cgv3Jm6J/?symbol=NSE%3ASTARPAPER" TargetMode="External"/><Relationship Id="rId3819" Type="http://schemas.openxmlformats.org/officeDocument/2006/relationships/hyperlink" Target="https://in.tradingview.com/chart/Cgv3Jm6J/?symbol=NSE%3ASTARTECK" TargetMode="External"/><Relationship Id="rId3801" Type="http://schemas.openxmlformats.org/officeDocument/2006/relationships/hyperlink" Target="https://in.tradingview.com/chart/Cgv3Jm6J/?symbol=NSE%3ASRPL" TargetMode="External"/><Relationship Id="rId3800" Type="http://schemas.openxmlformats.org/officeDocument/2006/relationships/hyperlink" Target="https://in.tradingview.com/chart/bXJLby4L/?symbol=NSE%3AROHLTD" TargetMode="External"/><Relationship Id="rId3803" Type="http://schemas.openxmlformats.org/officeDocument/2006/relationships/hyperlink" Target="https://in.tradingview.com/chart/Cgv3Jm6J/?symbol=NSE%3ASSDL" TargetMode="External"/><Relationship Id="rId3802" Type="http://schemas.openxmlformats.org/officeDocument/2006/relationships/hyperlink" Target="https://in.tradingview.com/chart/bXJLby4L/?symbol=NSE%3ARPGLIFE" TargetMode="External"/><Relationship Id="rId3805" Type="http://schemas.openxmlformats.org/officeDocument/2006/relationships/hyperlink" Target="https://in.tradingview.com/chart/Cgv3Jm6J/?symbol=NSE%3ASSWL" TargetMode="External"/><Relationship Id="rId3804" Type="http://schemas.openxmlformats.org/officeDocument/2006/relationships/hyperlink" Target="https://in.tradingview.com/chart/bXJLby4L/?symbol=NSE%3ARPSGVENT" TargetMode="External"/><Relationship Id="rId3807" Type="http://schemas.openxmlformats.org/officeDocument/2006/relationships/hyperlink" Target="https://in.tradingview.com/chart/Cgv3Jm6J/?symbol=NSE%3ASTALLION" TargetMode="External"/><Relationship Id="rId3806" Type="http://schemas.openxmlformats.org/officeDocument/2006/relationships/hyperlink" Target="https://in.tradingview.com/chart/bXJLby4L/?symbol=NSE%3ARSWM" TargetMode="External"/><Relationship Id="rId3809" Type="http://schemas.openxmlformats.org/officeDocument/2006/relationships/hyperlink" Target="https://in.tradingview.com/chart/Cgv3Jm6J/?symbol=NSE%3ASTANLEY" TargetMode="External"/><Relationship Id="rId3808" Type="http://schemas.openxmlformats.org/officeDocument/2006/relationships/hyperlink" Target="https://in.tradingview.com/chart/bXJLby4L/?symbol=NSE%3ARUBFILA" TargetMode="External"/><Relationship Id="rId1213" Type="http://schemas.openxmlformats.org/officeDocument/2006/relationships/hyperlink" Target="https://in.tradingview.com/chart/Cgv3Jm6J/?symbol=NSE%3AFINIETF" TargetMode="External"/><Relationship Id="rId2544" Type="http://schemas.openxmlformats.org/officeDocument/2006/relationships/hyperlink" Target="https://in.tradingview.com/chart/bXJLby4L/?symbol=NSE%3ALOVABLE" TargetMode="External"/><Relationship Id="rId3876" Type="http://schemas.openxmlformats.org/officeDocument/2006/relationships/hyperlink" Target="https://in.tradingview.com/chart/bXJLby4L/?symbol=NSE%3ASAMMAANCAP" TargetMode="External"/><Relationship Id="rId1214" Type="http://schemas.openxmlformats.org/officeDocument/2006/relationships/hyperlink" Target="https://in.tradingview.com/chart/bXJLby4L/?symbol=NSE%3AEFCIL" TargetMode="External"/><Relationship Id="rId2545" Type="http://schemas.openxmlformats.org/officeDocument/2006/relationships/hyperlink" Target="https://in.tradingview.com/chart/Cgv3Jm6J/?symbol=NSE%3AMIRCELECTR" TargetMode="External"/><Relationship Id="rId3875" Type="http://schemas.openxmlformats.org/officeDocument/2006/relationships/hyperlink" Target="https://in.tradingview.com/chart/Cgv3Jm6J/?symbol=NSE%3ASUNTECK" TargetMode="External"/><Relationship Id="rId1215" Type="http://schemas.openxmlformats.org/officeDocument/2006/relationships/hyperlink" Target="https://in.tradingview.com/chart/Cgv3Jm6J/?symbol=NSE%3AFINOPB" TargetMode="External"/><Relationship Id="rId2546" Type="http://schemas.openxmlformats.org/officeDocument/2006/relationships/hyperlink" Target="https://in.tradingview.com/chart/bXJLby4L/?symbol=NSE%3ALOYALTEX" TargetMode="External"/><Relationship Id="rId3878" Type="http://schemas.openxmlformats.org/officeDocument/2006/relationships/hyperlink" Target="https://in.tradingview.com/chart/bXJLby4L/?symbol=NSE%3ASAMPANN" TargetMode="External"/><Relationship Id="rId1216" Type="http://schemas.openxmlformats.org/officeDocument/2006/relationships/hyperlink" Target="https://in.tradingview.com/chart/bXJLby4L/?symbol=NSE%3AEICHERMOT" TargetMode="External"/><Relationship Id="rId2547" Type="http://schemas.openxmlformats.org/officeDocument/2006/relationships/hyperlink" Target="https://in.tradingview.com/chart/Cgv3Jm6J/?symbol=NSE%3AMIRZAINT" TargetMode="External"/><Relationship Id="rId3877" Type="http://schemas.openxmlformats.org/officeDocument/2006/relationships/hyperlink" Target="https://in.tradingview.com/chart/Cgv3Jm6J/?symbol=NSE%3ASUNTV" TargetMode="External"/><Relationship Id="rId1217" Type="http://schemas.openxmlformats.org/officeDocument/2006/relationships/hyperlink" Target="https://in.tradingview.com/chart/Cgv3Jm6J/?symbol=NSE%3AFINPIPE" TargetMode="External"/><Relationship Id="rId2548" Type="http://schemas.openxmlformats.org/officeDocument/2006/relationships/hyperlink" Target="https://in.tradingview.com/chart/bXJLby4L/?symbol=NSE%3ALTIM" TargetMode="External"/><Relationship Id="rId1218" Type="http://schemas.openxmlformats.org/officeDocument/2006/relationships/hyperlink" Target="https://in.tradingview.com/chart/bXJLby4L/?symbol=NSE%3AEIDPARRY" TargetMode="External"/><Relationship Id="rId2549" Type="http://schemas.openxmlformats.org/officeDocument/2006/relationships/hyperlink" Target="https://in.tradingview.com/chart/Cgv3Jm6J/?symbol=NSE%3AMITCON" TargetMode="External"/><Relationship Id="rId3879" Type="http://schemas.openxmlformats.org/officeDocument/2006/relationships/hyperlink" Target="https://in.tradingview.com/chart/Cgv3Jm6J/?symbol=NSE%3ASUPERHOUSE" TargetMode="External"/><Relationship Id="rId1219" Type="http://schemas.openxmlformats.org/officeDocument/2006/relationships/hyperlink" Target="https://in.tradingview.com/chart/Cgv3Jm6J/?symbol=NSE%3AFIRSTCRY" TargetMode="External"/><Relationship Id="rId3870" Type="http://schemas.openxmlformats.org/officeDocument/2006/relationships/hyperlink" Target="https://in.tradingview.com/chart/bXJLby4L/?symbol=NSE%3ASAMBHAAV" TargetMode="External"/><Relationship Id="rId2540" Type="http://schemas.openxmlformats.org/officeDocument/2006/relationships/hyperlink" Target="https://in.tradingview.com/chart/bXJLby4L/?symbol=NSE%3ALAL" TargetMode="External"/><Relationship Id="rId3872" Type="http://schemas.openxmlformats.org/officeDocument/2006/relationships/hyperlink" Target="https://in.tradingview.com/chart/bXJLby4L/?symbol=NSE%3ASAMBHV" TargetMode="External"/><Relationship Id="rId1210" Type="http://schemas.openxmlformats.org/officeDocument/2006/relationships/hyperlink" Target="https://in.tradingview.com/chart/bXJLby4L/?symbol=NSE%3AEMULTIMQ" TargetMode="External"/><Relationship Id="rId2541" Type="http://schemas.openxmlformats.org/officeDocument/2006/relationships/hyperlink" Target="https://in.tradingview.com/chart/Cgv3Jm6J/?symbol=NSE%3AMINDACORP" TargetMode="External"/><Relationship Id="rId3871" Type="http://schemas.openxmlformats.org/officeDocument/2006/relationships/hyperlink" Target="https://in.tradingview.com/chart/Cgv3Jm6J/?symbol=NSE%3ASUNFLAG" TargetMode="External"/><Relationship Id="rId1211" Type="http://schemas.openxmlformats.org/officeDocument/2006/relationships/hyperlink" Target="https://in.tradingview.com/chart/Cgv3Jm6J/?symbol=NSE%3AFINEORG" TargetMode="External"/><Relationship Id="rId2542" Type="http://schemas.openxmlformats.org/officeDocument/2006/relationships/hyperlink" Target="https://in.tradingview.com/chart/bXJLby4L/?symbol=NSE%3ALOTUSEYE" TargetMode="External"/><Relationship Id="rId3874" Type="http://schemas.openxmlformats.org/officeDocument/2006/relationships/hyperlink" Target="https://in.tradingview.com/chart/bXJLby4L/?symbol=NSE%3ASAMHI" TargetMode="External"/><Relationship Id="rId1212" Type="http://schemas.openxmlformats.org/officeDocument/2006/relationships/hyperlink" Target="https://in.tradingview.com/chart/bXJLby4L/?symbol=NSE%3AESILVER" TargetMode="External"/><Relationship Id="rId2543" Type="http://schemas.openxmlformats.org/officeDocument/2006/relationships/hyperlink" Target="https://in.tradingview.com/chart/Cgv3Jm6J/?symbol=NSE%3AMINDTECK" TargetMode="External"/><Relationship Id="rId3873" Type="http://schemas.openxmlformats.org/officeDocument/2006/relationships/hyperlink" Target="https://in.tradingview.com/chart/Cgv3Jm6J/?symbol=NSE%3ASUNPHARMA" TargetMode="External"/><Relationship Id="rId1202" Type="http://schemas.openxmlformats.org/officeDocument/2006/relationships/hyperlink" Target="https://in.tradingview.com/chart/bXJLby4L/?symbol=NSE%3AEGOLD" TargetMode="External"/><Relationship Id="rId2533" Type="http://schemas.openxmlformats.org/officeDocument/2006/relationships/hyperlink" Target="https://in.tradingview.com/chart/Cgv3Jm6J/?symbol=NSE%3AMIDHANI" TargetMode="External"/><Relationship Id="rId3865" Type="http://schemas.openxmlformats.org/officeDocument/2006/relationships/hyperlink" Target="https://in.tradingview.com/chart/Cgv3Jm6J/?symbol=NSE%3ASUNDARMHLD" TargetMode="External"/><Relationship Id="rId1203" Type="http://schemas.openxmlformats.org/officeDocument/2006/relationships/hyperlink" Target="https://in.tradingview.com/chart/Cgv3Jm6J/?symbol=NSE%3AFIEMIND" TargetMode="External"/><Relationship Id="rId2534" Type="http://schemas.openxmlformats.org/officeDocument/2006/relationships/hyperlink" Target="https://in.tradingview.com/chart/bXJLby4L/?symbol=NSE%3ALMW" TargetMode="External"/><Relationship Id="rId3864" Type="http://schemas.openxmlformats.org/officeDocument/2006/relationships/hyperlink" Target="https://in.tradingview.com/chart/bXJLby4L/?symbol=NSE%3ASALASAR" TargetMode="External"/><Relationship Id="rId1204" Type="http://schemas.openxmlformats.org/officeDocument/2006/relationships/hyperlink" Target="https://in.tradingview.com/chart/bXJLby4L/?symbol=NSE%3AELIQUID" TargetMode="External"/><Relationship Id="rId2535" Type="http://schemas.openxmlformats.org/officeDocument/2006/relationships/hyperlink" Target="https://in.tradingview.com/chart/Cgv3Jm6J/?symbol=NSE%3AMIDQ50ADD" TargetMode="External"/><Relationship Id="rId3867" Type="http://schemas.openxmlformats.org/officeDocument/2006/relationships/hyperlink" Target="https://in.tradingview.com/chart/Cgv3Jm6J/?symbol=NSE%3ASUNDRMBRAK" TargetMode="External"/><Relationship Id="rId1205" Type="http://schemas.openxmlformats.org/officeDocument/2006/relationships/hyperlink" Target="https://in.tradingview.com/chart/Cgv3Jm6J/?symbol=NSE%3AFILATEX" TargetMode="External"/><Relationship Id="rId2536" Type="http://schemas.openxmlformats.org/officeDocument/2006/relationships/hyperlink" Target="https://in.tradingview.com/chart/bXJLby4L/?symbol=NSE%3ALOKESHMACH" TargetMode="External"/><Relationship Id="rId3866" Type="http://schemas.openxmlformats.org/officeDocument/2006/relationships/hyperlink" Target="https://in.tradingview.com/chart/bXJLby4L/?symbol=NSE%3ASALONA" TargetMode="External"/><Relationship Id="rId1206" Type="http://schemas.openxmlformats.org/officeDocument/2006/relationships/hyperlink" Target="https://in.tradingview.com/chart/bXJLby4L/?symbol=NSE%3AEBANKNIFTY" TargetMode="External"/><Relationship Id="rId2537" Type="http://schemas.openxmlformats.org/officeDocument/2006/relationships/hyperlink" Target="https://in.tradingview.com/chart/Cgv3Jm6J/?symbol=NSE%3AMIDSELIETF" TargetMode="External"/><Relationship Id="rId3869" Type="http://schemas.openxmlformats.org/officeDocument/2006/relationships/hyperlink" Target="https://in.tradingview.com/chart/Cgv3Jm6J/?symbol=NSE%3ASUNDRMFAST" TargetMode="External"/><Relationship Id="rId1207" Type="http://schemas.openxmlformats.org/officeDocument/2006/relationships/hyperlink" Target="https://in.tradingview.com/chart/Cgv3Jm6J/?symbol=NSE%3AFILATFASH" TargetMode="External"/><Relationship Id="rId2538" Type="http://schemas.openxmlformats.org/officeDocument/2006/relationships/hyperlink" Target="https://in.tradingview.com/chart/bXJLby4L/?symbol=NSE%3ALORDSCHLO" TargetMode="External"/><Relationship Id="rId3868" Type="http://schemas.openxmlformats.org/officeDocument/2006/relationships/hyperlink" Target="https://in.tradingview.com/chart/bXJLby4L/?symbol=NSE%3ASALZERELEC" TargetMode="External"/><Relationship Id="rId1208" Type="http://schemas.openxmlformats.org/officeDocument/2006/relationships/hyperlink" Target="https://in.tradingview.com/chart/bXJLby4L/?symbol=NSE%3AELM250" TargetMode="External"/><Relationship Id="rId2539" Type="http://schemas.openxmlformats.org/officeDocument/2006/relationships/hyperlink" Target="https://in.tradingview.com/chart/Cgv3Jm6J/?symbol=NSE%3AMIDSMALL" TargetMode="External"/><Relationship Id="rId1209" Type="http://schemas.openxmlformats.org/officeDocument/2006/relationships/hyperlink" Target="https://in.tradingview.com/chart/Cgv3Jm6J/?symbol=NSE%3AFINCABLES" TargetMode="External"/><Relationship Id="rId3861" Type="http://schemas.openxmlformats.org/officeDocument/2006/relationships/hyperlink" Target="https://in.tradingview.com/chart/Cgv3Jm6J/?symbol=NSE%3ASUNDARAM" TargetMode="External"/><Relationship Id="rId2530" Type="http://schemas.openxmlformats.org/officeDocument/2006/relationships/hyperlink" Target="https://in.tradingview.com/chart/bXJLby4L/?symbol=NSE%3ALLOYDSENT" TargetMode="External"/><Relationship Id="rId3860" Type="http://schemas.openxmlformats.org/officeDocument/2006/relationships/hyperlink" Target="https://in.tradingview.com/chart/bXJLby4L/?symbol=NSE%3ASAKHTISUG" TargetMode="External"/><Relationship Id="rId1200" Type="http://schemas.openxmlformats.org/officeDocument/2006/relationships/hyperlink" Target="https://in.tradingview.com/chart/bXJLby4L/?symbol=NSE%3AEDELWEISS" TargetMode="External"/><Relationship Id="rId2531" Type="http://schemas.openxmlformats.org/officeDocument/2006/relationships/hyperlink" Target="https://in.tradingview.com/chart/Cgv3Jm6J/?symbol=NSE%3AMIDCAPIETF" TargetMode="External"/><Relationship Id="rId3863" Type="http://schemas.openxmlformats.org/officeDocument/2006/relationships/hyperlink" Target="https://in.tradingview.com/chart/Cgv3Jm6J/?symbol=NSE%3ASUNDARMFIN" TargetMode="External"/><Relationship Id="rId1201" Type="http://schemas.openxmlformats.org/officeDocument/2006/relationships/hyperlink" Target="https://in.tradingview.com/chart/Cgv3Jm6J/?symbol=NSE%3AFIBERWEB" TargetMode="External"/><Relationship Id="rId2532" Type="http://schemas.openxmlformats.org/officeDocument/2006/relationships/hyperlink" Target="https://in.tradingview.com/chart/bXJLby4L/?symbol=NSE%3ALLOYDSME" TargetMode="External"/><Relationship Id="rId3862" Type="http://schemas.openxmlformats.org/officeDocument/2006/relationships/hyperlink" Target="https://in.tradingview.com/chart/bXJLby4L/?symbol=NSE%3ASALSTEEL" TargetMode="External"/><Relationship Id="rId1235" Type="http://schemas.openxmlformats.org/officeDocument/2006/relationships/hyperlink" Target="https://in.tradingview.com/chart/Cgv3Jm6J/?symbol=NSE%3AFOCUS" TargetMode="External"/><Relationship Id="rId2566" Type="http://schemas.openxmlformats.org/officeDocument/2006/relationships/hyperlink" Target="https://in.tradingview.com/chart/bXJLby4L/?symbol=NSE%3AMACPOWER" TargetMode="External"/><Relationship Id="rId3898" Type="http://schemas.openxmlformats.org/officeDocument/2006/relationships/hyperlink" Target="https://in.tradingview.com/chart/bXJLby4L/?symbol=NSE%3ASANSERA" TargetMode="External"/><Relationship Id="rId1236" Type="http://schemas.openxmlformats.org/officeDocument/2006/relationships/hyperlink" Target="https://in.tradingview.com/chart/bXJLby4L/?symbol=NSE%3AELGIEQUIP" TargetMode="External"/><Relationship Id="rId2567" Type="http://schemas.openxmlformats.org/officeDocument/2006/relationships/hyperlink" Target="https://in.tradingview.com/chart/Cgv3Jm6J/?symbol=NSE%3AMODIRUBBER" TargetMode="External"/><Relationship Id="rId3897" Type="http://schemas.openxmlformats.org/officeDocument/2006/relationships/hyperlink" Target="https://in.tradingview.com/chart/Cgv3Jm6J/?symbol=NSE%3ASURAKSHA" TargetMode="External"/><Relationship Id="rId1237" Type="http://schemas.openxmlformats.org/officeDocument/2006/relationships/hyperlink" Target="https://in.tradingview.com/chart/Cgv3Jm6J/?symbol=NSE%3AFOODSIN" TargetMode="External"/><Relationship Id="rId2568" Type="http://schemas.openxmlformats.org/officeDocument/2006/relationships/hyperlink" Target="https://in.tradingview.com/chart/bXJLby4L/?symbol=NSE%3ALODHA" TargetMode="External"/><Relationship Id="rId1238" Type="http://schemas.openxmlformats.org/officeDocument/2006/relationships/hyperlink" Target="https://in.tradingview.com/chart/bXJLby4L/?symbol=NSE%3AELGIRUBCO" TargetMode="External"/><Relationship Id="rId2569" Type="http://schemas.openxmlformats.org/officeDocument/2006/relationships/hyperlink" Target="https://in.tradingview.com/chart/Cgv3Jm6J/?symbol=NSE%3AMODISONLTD" TargetMode="External"/><Relationship Id="rId3899" Type="http://schemas.openxmlformats.org/officeDocument/2006/relationships/hyperlink" Target="https://in.tradingview.com/chart/Cgv3Jm6J/?symbol=NSE%3ASURANASOL" TargetMode="External"/><Relationship Id="rId1239" Type="http://schemas.openxmlformats.org/officeDocument/2006/relationships/hyperlink" Target="https://in.tradingview.com/chart/Cgv3Jm6J/?symbol=NSE%3AFORCEMOT" TargetMode="External"/><Relationship Id="rId409" Type="http://schemas.openxmlformats.org/officeDocument/2006/relationships/hyperlink" Target="https://in.tradingview.com/chart/Cgv3Jm6J/?symbol=NSE%3AAVTNPL" TargetMode="External"/><Relationship Id="rId404" Type="http://schemas.openxmlformats.org/officeDocument/2006/relationships/hyperlink" Target="https://in.tradingview.com/chart/bXJLby4L/?symbol=NSE%3AASTRAL" TargetMode="External"/><Relationship Id="rId403" Type="http://schemas.openxmlformats.org/officeDocument/2006/relationships/hyperlink" Target="https://in.tradingview.com/chart/Cgv3Jm6J/?symbol=NSE%3AAVL" TargetMode="External"/><Relationship Id="rId402" Type="http://schemas.openxmlformats.org/officeDocument/2006/relationships/hyperlink" Target="https://in.tradingview.com/chart/bXJLby4L/?symbol=NSE%3AASTRAMICRO" TargetMode="External"/><Relationship Id="rId401" Type="http://schemas.openxmlformats.org/officeDocument/2006/relationships/hyperlink" Target="https://in.tradingview.com/chart/Cgv3Jm6J/?symbol=NSE%3AAVANTIFEED" TargetMode="External"/><Relationship Id="rId408" Type="http://schemas.openxmlformats.org/officeDocument/2006/relationships/hyperlink" Target="https://in.tradingview.com/chart/bXJLby4L/?symbol=NSE%3AASTRON" TargetMode="External"/><Relationship Id="rId407" Type="http://schemas.openxmlformats.org/officeDocument/2006/relationships/hyperlink" Target="https://in.tradingview.com/chart/Cgv3Jm6J/?symbol=NSE%3AAVROIND" TargetMode="External"/><Relationship Id="rId406" Type="http://schemas.openxmlformats.org/officeDocument/2006/relationships/hyperlink" Target="https://in.tradingview.com/chart/bXJLby4L/?symbol=NSE%3AASTRAZEN" TargetMode="External"/><Relationship Id="rId405" Type="http://schemas.openxmlformats.org/officeDocument/2006/relationships/hyperlink" Target="https://in.tradingview.com/chart/Cgv3Jm6J/?symbol=NSE%3AAVONMORE" TargetMode="External"/><Relationship Id="rId3890" Type="http://schemas.openxmlformats.org/officeDocument/2006/relationships/hyperlink" Target="https://in.tradingview.com/chart/bXJLby4L/?symbol=NSE%3ASANGHVIMOV" TargetMode="External"/><Relationship Id="rId2560" Type="http://schemas.openxmlformats.org/officeDocument/2006/relationships/hyperlink" Target="https://in.tradingview.com/chart/bXJLby4L/?symbol=NSE%3AMBEL" TargetMode="External"/><Relationship Id="rId3892" Type="http://schemas.openxmlformats.org/officeDocument/2006/relationships/hyperlink" Target="https://in.tradingview.com/chart/bXJLby4L/?symbol=NSE%3ASANGINITA" TargetMode="External"/><Relationship Id="rId1230" Type="http://schemas.openxmlformats.org/officeDocument/2006/relationships/hyperlink" Target="https://in.tradingview.com/chart/bXJLby4L/?symbol=NSE%3AEMIL" TargetMode="External"/><Relationship Id="rId2561" Type="http://schemas.openxmlformats.org/officeDocument/2006/relationships/hyperlink" Target="https://in.tradingview.com/chart/Cgv3Jm6J/?symbol=NSE%3AMNC" TargetMode="External"/><Relationship Id="rId3891" Type="http://schemas.openxmlformats.org/officeDocument/2006/relationships/hyperlink" Target="https://in.tradingview.com/chart/Cgv3Jm6J/?symbol=NSE%3ASUPRIYA" TargetMode="External"/><Relationship Id="rId400" Type="http://schemas.openxmlformats.org/officeDocument/2006/relationships/hyperlink" Target="https://in.tradingview.com/chart/bXJLby4L/?symbol=NSE%3AASTERDM" TargetMode="External"/><Relationship Id="rId1231" Type="http://schemas.openxmlformats.org/officeDocument/2006/relationships/hyperlink" Target="https://in.tradingview.com/chart/Cgv3Jm6J/?symbol=NSE%3AFMGOETZE" TargetMode="External"/><Relationship Id="rId2562" Type="http://schemas.openxmlformats.org/officeDocument/2006/relationships/hyperlink" Target="https://in.tradingview.com/chart/bXJLby4L/?symbol=NSE%3AMKPL" TargetMode="External"/><Relationship Id="rId3894" Type="http://schemas.openxmlformats.org/officeDocument/2006/relationships/hyperlink" Target="https://in.tradingview.com/chart/bXJLby4L/?symbol=NSE%3ASANOFICONR" TargetMode="External"/><Relationship Id="rId1232" Type="http://schemas.openxmlformats.org/officeDocument/2006/relationships/hyperlink" Target="https://in.tradingview.com/chart/bXJLby4L/?symbol=NSE%3AELECTCAST" TargetMode="External"/><Relationship Id="rId2563" Type="http://schemas.openxmlformats.org/officeDocument/2006/relationships/hyperlink" Target="https://in.tradingview.com/chart/Cgv3Jm6J/?symbol=NSE%3AMOBIKWIK" TargetMode="External"/><Relationship Id="rId3893" Type="http://schemas.openxmlformats.org/officeDocument/2006/relationships/hyperlink" Target="https://in.tradingview.com/chart/Cgv3Jm6J/?symbol=NSE%3ASURAJEST" TargetMode="External"/><Relationship Id="rId1233" Type="http://schemas.openxmlformats.org/officeDocument/2006/relationships/hyperlink" Target="https://in.tradingview.com/chart/Cgv3Jm6J/?symbol=NSE%3AFMNL" TargetMode="External"/><Relationship Id="rId2564" Type="http://schemas.openxmlformats.org/officeDocument/2006/relationships/hyperlink" Target="https://in.tradingview.com/chart/bXJLby4L/?symbol=NSE%3AMAANALU" TargetMode="External"/><Relationship Id="rId3896" Type="http://schemas.openxmlformats.org/officeDocument/2006/relationships/hyperlink" Target="https://in.tradingview.com/chart/bXJLby4L/?symbol=NSE%3ASANOFI" TargetMode="External"/><Relationship Id="rId1234" Type="http://schemas.openxmlformats.org/officeDocument/2006/relationships/hyperlink" Target="https://in.tradingview.com/chart/bXJLby4L/?symbol=NSE%3AELECTHERM" TargetMode="External"/><Relationship Id="rId2565" Type="http://schemas.openxmlformats.org/officeDocument/2006/relationships/hyperlink" Target="https://in.tradingview.com/chart/Cgv3Jm6J/?symbol=NSE%3AMODEFENCE" TargetMode="External"/><Relationship Id="rId3895" Type="http://schemas.openxmlformats.org/officeDocument/2006/relationships/hyperlink" Target="https://in.tradingview.com/chart/Cgv3Jm6J/?symbol=NSE%3ASURAJLTD" TargetMode="External"/><Relationship Id="rId1224" Type="http://schemas.openxmlformats.org/officeDocument/2006/relationships/hyperlink" Target="https://in.tradingview.com/chart/bXJLby4L/?symbol=NSE%3AEIMCOELECO" TargetMode="External"/><Relationship Id="rId2555" Type="http://schemas.openxmlformats.org/officeDocument/2006/relationships/hyperlink" Target="https://in.tradingview.com/chart/Cgv3Jm6J/?symbol=NSE%3AMMFL" TargetMode="External"/><Relationship Id="rId3887" Type="http://schemas.openxmlformats.org/officeDocument/2006/relationships/hyperlink" Target="https://in.tradingview.com/chart/Cgv3Jm6J/?symbol=NSE%3ASUPREMEIND" TargetMode="External"/><Relationship Id="rId1225" Type="http://schemas.openxmlformats.org/officeDocument/2006/relationships/hyperlink" Target="https://in.tradingview.com/chart/Cgv3Jm6J/?symbol=NSE%3AFLFL" TargetMode="External"/><Relationship Id="rId2556" Type="http://schemas.openxmlformats.org/officeDocument/2006/relationships/hyperlink" Target="https://in.tradingview.com/chart/bXJLby4L/?symbol=NSE%3ALUXIND" TargetMode="External"/><Relationship Id="rId3886" Type="http://schemas.openxmlformats.org/officeDocument/2006/relationships/hyperlink" Target="https://in.tradingview.com/chart/bXJLby4L/?symbol=NSE%3ASANGAMIND" TargetMode="External"/><Relationship Id="rId1226" Type="http://schemas.openxmlformats.org/officeDocument/2006/relationships/hyperlink" Target="https://in.tradingview.com/chart/bXJLby4L/?symbol=NSE%3AELDEHSG" TargetMode="External"/><Relationship Id="rId2557" Type="http://schemas.openxmlformats.org/officeDocument/2006/relationships/hyperlink" Target="https://in.tradingview.com/chart/Cgv3Jm6J/?symbol=NSE%3AMMP" TargetMode="External"/><Relationship Id="rId3889" Type="http://schemas.openxmlformats.org/officeDocument/2006/relationships/hyperlink" Target="https://in.tradingview.com/chart/Cgv3Jm6J/?symbol=NSE%3ASUPREMEINF" TargetMode="External"/><Relationship Id="rId1227" Type="http://schemas.openxmlformats.org/officeDocument/2006/relationships/hyperlink" Target="https://in.tradingview.com/chart/Cgv3Jm6J/?symbol=NSE%3AFLUOROCHEM" TargetMode="External"/><Relationship Id="rId2558" Type="http://schemas.openxmlformats.org/officeDocument/2006/relationships/hyperlink" Target="https://in.tradingview.com/chart/bXJLby4L/?symbol=NSE%3ALYKALABS" TargetMode="External"/><Relationship Id="rId3888" Type="http://schemas.openxmlformats.org/officeDocument/2006/relationships/hyperlink" Target="https://in.tradingview.com/chart/bXJLby4L/?symbol=NSE%3ASANGHIIND" TargetMode="External"/><Relationship Id="rId1228" Type="http://schemas.openxmlformats.org/officeDocument/2006/relationships/hyperlink" Target="https://in.tradingview.com/chart/bXJLby4L/?symbol=NSE%3AELECON" TargetMode="External"/><Relationship Id="rId2559" Type="http://schemas.openxmlformats.org/officeDocument/2006/relationships/hyperlink" Target="https://in.tradingview.com/chart/Cgv3Jm6J/?symbol=NSE%3AMMTC" TargetMode="External"/><Relationship Id="rId1229" Type="http://schemas.openxmlformats.org/officeDocument/2006/relationships/hyperlink" Target="https://in.tradingview.com/chart/Cgv3Jm6J/?symbol=NSE%3AFMCGIETF" TargetMode="External"/><Relationship Id="rId3881" Type="http://schemas.openxmlformats.org/officeDocument/2006/relationships/hyperlink" Target="https://in.tradingview.com/chart/Cgv3Jm6J/?symbol=NSE%3ASUPERSPIN" TargetMode="External"/><Relationship Id="rId2550" Type="http://schemas.openxmlformats.org/officeDocument/2006/relationships/hyperlink" Target="https://in.tradingview.com/chart/bXJLby4L/?symbol=NSE%3ALUMAXTECH" TargetMode="External"/><Relationship Id="rId3880" Type="http://schemas.openxmlformats.org/officeDocument/2006/relationships/hyperlink" Target="https://in.tradingview.com/chart/bXJLby4L/?symbol=NSE%3ASANATHAN" TargetMode="External"/><Relationship Id="rId1220" Type="http://schemas.openxmlformats.org/officeDocument/2006/relationships/hyperlink" Target="https://in.tradingview.com/chart/bXJLby4L/?symbol=NSE%3AEIHAHOTELS" TargetMode="External"/><Relationship Id="rId2551" Type="http://schemas.openxmlformats.org/officeDocument/2006/relationships/hyperlink" Target="https://in.tradingview.com/chart/Cgv3Jm6J/?symbol=NSE%3AMITTAL" TargetMode="External"/><Relationship Id="rId3883" Type="http://schemas.openxmlformats.org/officeDocument/2006/relationships/hyperlink" Target="https://in.tradingview.com/chart/Cgv3Jm6J/?symbol=NSE%3ASUPRAJIT" TargetMode="External"/><Relationship Id="rId1221" Type="http://schemas.openxmlformats.org/officeDocument/2006/relationships/hyperlink" Target="https://in.tradingview.com/chart/Cgv3Jm6J/?symbol=NSE%3AFIVESTAR" TargetMode="External"/><Relationship Id="rId2552" Type="http://schemas.openxmlformats.org/officeDocument/2006/relationships/hyperlink" Target="https://in.tradingview.com/chart/bXJLby4L/?symbol=NSE%3ALUMAXIND" TargetMode="External"/><Relationship Id="rId3882" Type="http://schemas.openxmlformats.org/officeDocument/2006/relationships/hyperlink" Target="https://in.tradingview.com/chart/bXJLby4L/?symbol=NSE%3ASANDHAR" TargetMode="External"/><Relationship Id="rId1222" Type="http://schemas.openxmlformats.org/officeDocument/2006/relationships/hyperlink" Target="https://in.tradingview.com/chart/bXJLby4L/?symbol=NSE%3AEIHOTEL" TargetMode="External"/><Relationship Id="rId2553" Type="http://schemas.openxmlformats.org/officeDocument/2006/relationships/hyperlink" Target="https://in.tradingview.com/chart/Cgv3Jm6J/?symbol=NSE%3AMKPL" TargetMode="External"/><Relationship Id="rId3885" Type="http://schemas.openxmlformats.org/officeDocument/2006/relationships/hyperlink" Target="https://in.tradingview.com/chart/Cgv3Jm6J/?symbol=NSE%3ASUPREME" TargetMode="External"/><Relationship Id="rId1223" Type="http://schemas.openxmlformats.org/officeDocument/2006/relationships/hyperlink" Target="https://in.tradingview.com/chart/Cgv3Jm6J/?symbol=NSE%3AFLAIR" TargetMode="External"/><Relationship Id="rId2554" Type="http://schemas.openxmlformats.org/officeDocument/2006/relationships/hyperlink" Target="https://in.tradingview.com/chart/bXJLby4L/?symbol=NSE%3ALUPIN" TargetMode="External"/><Relationship Id="rId3884" Type="http://schemas.openxmlformats.org/officeDocument/2006/relationships/hyperlink" Target="https://in.tradingview.com/chart/bXJLby4L/?symbol=NSE%3ASANDUMA" TargetMode="External"/><Relationship Id="rId2500" Type="http://schemas.openxmlformats.org/officeDocument/2006/relationships/hyperlink" Target="https://in.tradingview.com/chart/bXJLby4L/?symbol=NSE%3ALIBAS" TargetMode="External"/><Relationship Id="rId3832" Type="http://schemas.openxmlformats.org/officeDocument/2006/relationships/hyperlink" Target="https://in.tradingview.com/chart/bXJLby4L/?symbol=NSE%3ASPAL" TargetMode="External"/><Relationship Id="rId2501" Type="http://schemas.openxmlformats.org/officeDocument/2006/relationships/hyperlink" Target="https://in.tradingview.com/chart/Cgv3Jm6J/?symbol=NSE%3AMETAL" TargetMode="External"/><Relationship Id="rId3831" Type="http://schemas.openxmlformats.org/officeDocument/2006/relationships/hyperlink" Target="https://in.tradingview.com/chart/Cgv3Jm6J/?symbol=NSE%3ASTERTOOLS" TargetMode="External"/><Relationship Id="rId2502" Type="http://schemas.openxmlformats.org/officeDocument/2006/relationships/hyperlink" Target="https://in.tradingview.com/chart/bXJLby4L/?symbol=NSE%3ALIBERTSHOE" TargetMode="External"/><Relationship Id="rId3834" Type="http://schemas.openxmlformats.org/officeDocument/2006/relationships/hyperlink" Target="https://in.tradingview.com/chart/bXJLby4L/?symbol=NSE%3ASAATVIKGL" TargetMode="External"/><Relationship Id="rId2503" Type="http://schemas.openxmlformats.org/officeDocument/2006/relationships/hyperlink" Target="https://in.tradingview.com/chart/Cgv3Jm6J/?symbol=NSE%3AMETALIETF" TargetMode="External"/><Relationship Id="rId3833" Type="http://schemas.openxmlformats.org/officeDocument/2006/relationships/hyperlink" Target="https://in.tradingview.com/chart/Cgv3Jm6J/?symbol=NSE%3ASTLTECH" TargetMode="External"/><Relationship Id="rId2504" Type="http://schemas.openxmlformats.org/officeDocument/2006/relationships/hyperlink" Target="https://in.tradingview.com/chart/bXJLby4L/?symbol=NSE%3ALICHSGFIN" TargetMode="External"/><Relationship Id="rId3836" Type="http://schemas.openxmlformats.org/officeDocument/2006/relationships/hyperlink" Target="https://in.tradingview.com/chart/bXJLby4L/?symbol=NSE%3ASABEVENTS" TargetMode="External"/><Relationship Id="rId2505" Type="http://schemas.openxmlformats.org/officeDocument/2006/relationships/hyperlink" Target="https://in.tradingview.com/chart/Cgv3Jm6J/?symbol=NSE%3AMETROBRAND" TargetMode="External"/><Relationship Id="rId3835" Type="http://schemas.openxmlformats.org/officeDocument/2006/relationships/hyperlink" Target="https://in.tradingview.com/chart/Cgv3Jm6J/?symbol=NSE%3ASTOVEKRAFT" TargetMode="External"/><Relationship Id="rId2506" Type="http://schemas.openxmlformats.org/officeDocument/2006/relationships/hyperlink" Target="https://in.tradingview.com/chart/bXJLby4L/?symbol=NSE%3ALICMFGOLD" TargetMode="External"/><Relationship Id="rId3838" Type="http://schemas.openxmlformats.org/officeDocument/2006/relationships/hyperlink" Target="https://in.tradingview.com/chart/bXJLby4L/?symbol=NSE%3ASADBHAV" TargetMode="External"/><Relationship Id="rId2507" Type="http://schemas.openxmlformats.org/officeDocument/2006/relationships/hyperlink" Target="https://in.tradingview.com/chart/Cgv3Jm6J/?symbol=NSE%3AMETROPOLIS" TargetMode="External"/><Relationship Id="rId3837" Type="http://schemas.openxmlformats.org/officeDocument/2006/relationships/hyperlink" Target="https://in.tradingview.com/chart/Cgv3Jm6J/?symbol=NSE%3ASTYLAMIND" TargetMode="External"/><Relationship Id="rId2508" Type="http://schemas.openxmlformats.org/officeDocument/2006/relationships/hyperlink" Target="https://in.tradingview.com/chart/bXJLby4L/?symbol=NSE%3ALICNMID100" TargetMode="External"/><Relationship Id="rId2509" Type="http://schemas.openxmlformats.org/officeDocument/2006/relationships/hyperlink" Target="https://in.tradingview.com/chart/Cgv3Jm6J/?symbol=NSE%3AMFML" TargetMode="External"/><Relationship Id="rId3839" Type="http://schemas.openxmlformats.org/officeDocument/2006/relationships/hyperlink" Target="https://in.tradingview.com/chart/Cgv3Jm6J/?symbol=NSE%3ASTYLEBAAZA" TargetMode="External"/><Relationship Id="rId3830" Type="http://schemas.openxmlformats.org/officeDocument/2006/relationships/hyperlink" Target="https://in.tradingview.com/chart/bXJLby4L/?symbol=NSE%3ASJS" TargetMode="External"/><Relationship Id="rId3821" Type="http://schemas.openxmlformats.org/officeDocument/2006/relationships/hyperlink" Target="https://in.tradingview.com/chart/Cgv3Jm6J/?symbol=NSE%3ASTCINDIA" TargetMode="External"/><Relationship Id="rId3820" Type="http://schemas.openxmlformats.org/officeDocument/2006/relationships/hyperlink" Target="https://in.tradingview.com/chart/bXJLby4L/?symbol=NSE%3ARECLTD" TargetMode="External"/><Relationship Id="rId3823" Type="http://schemas.openxmlformats.org/officeDocument/2006/relationships/hyperlink" Target="https://in.tradingview.com/chart/Cgv3Jm6J/?symbol=NSE%3ASTEELCAS" TargetMode="External"/><Relationship Id="rId3822" Type="http://schemas.openxmlformats.org/officeDocument/2006/relationships/hyperlink" Target="https://in.tradingview.com/chart/bXJLby4L/?symbol=NSE%3ARUSHIL" TargetMode="External"/><Relationship Id="rId3825" Type="http://schemas.openxmlformats.org/officeDocument/2006/relationships/hyperlink" Target="https://in.tradingview.com/chart/Cgv3Jm6J/?symbol=NSE%3ASTEELCITY" TargetMode="External"/><Relationship Id="rId3824" Type="http://schemas.openxmlformats.org/officeDocument/2006/relationships/hyperlink" Target="https://in.tradingview.com/chart/bXJLby4L/?symbol=NSE%3AS&amp;SPOWER" TargetMode="External"/><Relationship Id="rId3827" Type="http://schemas.openxmlformats.org/officeDocument/2006/relationships/hyperlink" Target="https://in.tradingview.com/chart/Cgv3Jm6J/?symbol=NSE%3ASTEELXIND" TargetMode="External"/><Relationship Id="rId3826" Type="http://schemas.openxmlformats.org/officeDocument/2006/relationships/hyperlink" Target="https://in.tradingview.com/chart/bXJLby4L/?symbol=NSE%3ASCHAND" TargetMode="External"/><Relationship Id="rId3829" Type="http://schemas.openxmlformats.org/officeDocument/2006/relationships/hyperlink" Target="https://in.tradingview.com/chart/Cgv3Jm6J/?symbol=NSE%3ASTEL" TargetMode="External"/><Relationship Id="rId3828" Type="http://schemas.openxmlformats.org/officeDocument/2006/relationships/hyperlink" Target="https://in.tradingview.com/chart/bXJLby4L/?symbol=NSE%3ASHK" TargetMode="External"/><Relationship Id="rId2522" Type="http://schemas.openxmlformats.org/officeDocument/2006/relationships/hyperlink" Target="https://in.tradingview.com/chart/bXJLby4L/?symbol=NSE%3ALINC" TargetMode="External"/><Relationship Id="rId3854" Type="http://schemas.openxmlformats.org/officeDocument/2006/relationships/hyperlink" Target="https://in.tradingview.com/chart/bXJLby4L/?symbol=NSE%3AKALAMANDIR" TargetMode="External"/><Relationship Id="rId2523" Type="http://schemas.openxmlformats.org/officeDocument/2006/relationships/hyperlink" Target="https://in.tradingview.com/chart/Cgv3Jm6J/?symbol=NSE%3AMID150BEES" TargetMode="External"/><Relationship Id="rId3853" Type="http://schemas.openxmlformats.org/officeDocument/2006/relationships/hyperlink" Target="https://in.tradingview.com/chart/Cgv3Jm6J/?symbol=NSE%3ASUMICHEM" TargetMode="External"/><Relationship Id="rId2524" Type="http://schemas.openxmlformats.org/officeDocument/2006/relationships/hyperlink" Target="https://in.tradingview.com/chart/bXJLby4L/?symbol=NSE%3ALINCOLN" TargetMode="External"/><Relationship Id="rId3856" Type="http://schemas.openxmlformats.org/officeDocument/2006/relationships/hyperlink" Target="https://in.tradingview.com/chart/bXJLby4L/?symbol=NSE%3ASAKAR" TargetMode="External"/><Relationship Id="rId2525" Type="http://schemas.openxmlformats.org/officeDocument/2006/relationships/hyperlink" Target="https://in.tradingview.com/chart/Cgv3Jm6J/?symbol=NSE%3AMID150CASE" TargetMode="External"/><Relationship Id="rId3855" Type="http://schemas.openxmlformats.org/officeDocument/2006/relationships/hyperlink" Target="https://in.tradingview.com/chart/Cgv3Jm6J/?symbol=NSE%3ASUMIT" TargetMode="External"/><Relationship Id="rId2526" Type="http://schemas.openxmlformats.org/officeDocument/2006/relationships/hyperlink" Target="https://in.tradingview.com/chart/bXJLby4L/?symbol=NSE%3ALINDEINDIA" TargetMode="External"/><Relationship Id="rId3858" Type="http://schemas.openxmlformats.org/officeDocument/2006/relationships/hyperlink" Target="https://in.tradingview.com/chart/bXJLby4L/?symbol=NSE%3ASAKSOFT" TargetMode="External"/><Relationship Id="rId2527" Type="http://schemas.openxmlformats.org/officeDocument/2006/relationships/hyperlink" Target="https://in.tradingview.com/chart/Cgv3Jm6J/?symbol=NSE%3AMIDCAP" TargetMode="External"/><Relationship Id="rId3857" Type="http://schemas.openxmlformats.org/officeDocument/2006/relationships/hyperlink" Target="https://in.tradingview.com/chart/Cgv3Jm6J/?symbol=NSE%3ASUMMITSEC" TargetMode="External"/><Relationship Id="rId2528" Type="http://schemas.openxmlformats.org/officeDocument/2006/relationships/hyperlink" Target="https://in.tradingview.com/chart/bXJLby4L/?symbol=NSE%3ALLOYDSENGG" TargetMode="External"/><Relationship Id="rId2529" Type="http://schemas.openxmlformats.org/officeDocument/2006/relationships/hyperlink" Target="https://in.tradingview.com/chart/Cgv3Jm6J/?symbol=NSE%3AMIDCAPETF" TargetMode="External"/><Relationship Id="rId3859" Type="http://schemas.openxmlformats.org/officeDocument/2006/relationships/hyperlink" Target="https://in.tradingview.com/chart/Cgv3Jm6J/?symbol=NSE%3ASUNCLAY" TargetMode="External"/><Relationship Id="rId3850" Type="http://schemas.openxmlformats.org/officeDocument/2006/relationships/hyperlink" Target="https://in.tradingview.com/chart/bXJLby4L/?symbol=NSE%3ASAHYADRI" TargetMode="External"/><Relationship Id="rId2520" Type="http://schemas.openxmlformats.org/officeDocument/2006/relationships/hyperlink" Target="https://in.tradingview.com/chart/bXJLby4L/?symbol=NSE%3ALIKHITHA" TargetMode="External"/><Relationship Id="rId3852" Type="http://schemas.openxmlformats.org/officeDocument/2006/relationships/hyperlink" Target="https://in.tradingview.com/chart/bXJLby4L/?symbol=NSE%3ASAILIFE" TargetMode="External"/><Relationship Id="rId2521" Type="http://schemas.openxmlformats.org/officeDocument/2006/relationships/hyperlink" Target="https://in.tradingview.com/chart/Cgv3Jm6J/?symbol=NSE%3AMICEL" TargetMode="External"/><Relationship Id="rId3851" Type="http://schemas.openxmlformats.org/officeDocument/2006/relationships/hyperlink" Target="https://in.tradingview.com/chart/Cgv3Jm6J/?symbol=NSE%3ASULA" TargetMode="External"/><Relationship Id="rId2511" Type="http://schemas.openxmlformats.org/officeDocument/2006/relationships/hyperlink" Target="https://in.tradingview.com/chart/Cgv3Jm6J/?symbol=NSE%3AMFSL" TargetMode="External"/><Relationship Id="rId3843" Type="http://schemas.openxmlformats.org/officeDocument/2006/relationships/hyperlink" Target="https://in.tradingview.com/chart/Cgv3Jm6J/?symbol=NSE%3ASUBEXLTD" TargetMode="External"/><Relationship Id="rId2512" Type="http://schemas.openxmlformats.org/officeDocument/2006/relationships/hyperlink" Target="https://in.tradingview.com/chart/bXJLby4L/?symbol=NSE%3ALICNETFN50" TargetMode="External"/><Relationship Id="rId3842" Type="http://schemas.openxmlformats.org/officeDocument/2006/relationships/hyperlink" Target="https://in.tradingview.com/chart/bXJLby4L/?symbol=NSE%3ASAFARI" TargetMode="External"/><Relationship Id="rId2513" Type="http://schemas.openxmlformats.org/officeDocument/2006/relationships/hyperlink" Target="https://in.tradingview.com/chart/Cgv3Jm6J/?symbol=NSE%3AMGEL" TargetMode="External"/><Relationship Id="rId3845" Type="http://schemas.openxmlformats.org/officeDocument/2006/relationships/hyperlink" Target="https://in.tradingview.com/chart/Cgv3Jm6J/?symbol=NSE%3ASUBROS" TargetMode="External"/><Relationship Id="rId2514" Type="http://schemas.openxmlformats.org/officeDocument/2006/relationships/hyperlink" Target="https://in.tradingview.com/chart/bXJLby4L/?symbol=NSE%3ALICNETFSEN" TargetMode="External"/><Relationship Id="rId3844" Type="http://schemas.openxmlformats.org/officeDocument/2006/relationships/hyperlink" Target="https://in.tradingview.com/chart/bXJLby4L/?symbol=NSE%3ASAGCEM" TargetMode="External"/><Relationship Id="rId2515" Type="http://schemas.openxmlformats.org/officeDocument/2006/relationships/hyperlink" Target="https://in.tradingview.com/chart/Cgv3Jm6J/?symbol=NSE%3AMGL" TargetMode="External"/><Relationship Id="rId3847" Type="http://schemas.openxmlformats.org/officeDocument/2006/relationships/hyperlink" Target="https://in.tradingview.com/chart/Cgv3Jm6J/?symbol=NSE%3ASUDARSCHEM" TargetMode="External"/><Relationship Id="rId2516" Type="http://schemas.openxmlformats.org/officeDocument/2006/relationships/hyperlink" Target="https://in.tradingview.com/chart/bXJLby4L/?symbol=NSE%3ALICNETFGSC" TargetMode="External"/><Relationship Id="rId3846" Type="http://schemas.openxmlformats.org/officeDocument/2006/relationships/hyperlink" Target="https://in.tradingview.com/chart/bXJLby4L/?symbol=NSE%3ASAGARDEEP" TargetMode="External"/><Relationship Id="rId2517" Type="http://schemas.openxmlformats.org/officeDocument/2006/relationships/hyperlink" Target="https://in.tradingview.com/chart/Cgv3Jm6J/?symbol=NSE%3AMHLXMIRU" TargetMode="External"/><Relationship Id="rId3849" Type="http://schemas.openxmlformats.org/officeDocument/2006/relationships/hyperlink" Target="https://in.tradingview.com/chart/Cgv3Jm6J/?symbol=NSE%3ASUKHJITS" TargetMode="External"/><Relationship Id="rId2518" Type="http://schemas.openxmlformats.org/officeDocument/2006/relationships/hyperlink" Target="https://in.tradingview.com/chart/bXJLby4L/?symbol=NSE%3ALICI" TargetMode="External"/><Relationship Id="rId3848" Type="http://schemas.openxmlformats.org/officeDocument/2006/relationships/hyperlink" Target="https://in.tradingview.com/chart/bXJLby4L/?symbol=NSE%3ASAGILITY" TargetMode="External"/><Relationship Id="rId2519" Type="http://schemas.openxmlformats.org/officeDocument/2006/relationships/hyperlink" Target="https://in.tradingview.com/chart/Cgv3Jm6J/?symbol=NSE%3AMHRIL" TargetMode="External"/><Relationship Id="rId3841" Type="http://schemas.openxmlformats.org/officeDocument/2006/relationships/hyperlink" Target="https://in.tradingview.com/chart/Cgv3Jm6J/?symbol=NSE%3ASTYRENIX" TargetMode="External"/><Relationship Id="rId2510" Type="http://schemas.openxmlformats.org/officeDocument/2006/relationships/hyperlink" Target="https://in.tradingview.com/chart/bXJLby4L/?symbol=NSE%3ALICNFNHGP" TargetMode="External"/><Relationship Id="rId3840" Type="http://schemas.openxmlformats.org/officeDocument/2006/relationships/hyperlink" Target="https://in.tradingview.com/chart/bXJLby4L/?symbol=NSE%3ASADHNANIQ" TargetMode="External"/><Relationship Id="rId4327" Type="http://schemas.openxmlformats.org/officeDocument/2006/relationships/hyperlink" Target="https://in.tradingview.com/chart/Cgv3Jm6J/?symbol=NSE%3AVISHWARAJ" TargetMode="External"/><Relationship Id="rId4326" Type="http://schemas.openxmlformats.org/officeDocument/2006/relationships/hyperlink" Target="https://in.tradingview.com/chart/bXJLby4L/?symbol=NSE%3ASPLPETRO" TargetMode="External"/><Relationship Id="rId4329" Type="http://schemas.openxmlformats.org/officeDocument/2006/relationships/hyperlink" Target="https://in.tradingview.com/chart/Cgv3Jm6J/?symbol=NSE%3AVIVIDHA" TargetMode="External"/><Relationship Id="rId4328" Type="http://schemas.openxmlformats.org/officeDocument/2006/relationships/hyperlink" Target="https://in.tradingview.com/chart/bXJLby4L/?symbol=NSE%3ASUPRIYA" TargetMode="External"/><Relationship Id="rId469" Type="http://schemas.openxmlformats.org/officeDocument/2006/relationships/hyperlink" Target="https://in.tradingview.com/chart/Cgv3Jm6J/?symbol=NSE%3ABAJEL" TargetMode="External"/><Relationship Id="rId468" Type="http://schemas.openxmlformats.org/officeDocument/2006/relationships/hyperlink" Target="https://in.tradingview.com/chart/bXJLby4L/?symbol=NSE%3AAXISBNKETF" TargetMode="External"/><Relationship Id="rId467" Type="http://schemas.openxmlformats.org/officeDocument/2006/relationships/hyperlink" Target="https://in.tradingview.com/chart/Cgv3Jm6J/?symbol=NSE%3ABAJAJINDEF" TargetMode="External"/><Relationship Id="rId1290" Type="http://schemas.openxmlformats.org/officeDocument/2006/relationships/hyperlink" Target="https://in.tradingview.com/chart/bXJLby4L/?symbol=NSE%3AEQUIPPP" TargetMode="External"/><Relationship Id="rId1291" Type="http://schemas.openxmlformats.org/officeDocument/2006/relationships/hyperlink" Target="https://in.tradingview.com/chart/Cgv3Jm6J/?symbol=NSE%3AGEEKAYWIRE" TargetMode="External"/><Relationship Id="rId1292" Type="http://schemas.openxmlformats.org/officeDocument/2006/relationships/hyperlink" Target="https://in.tradingview.com/chart/bXJLby4L/?symbol=NSE%3AEQUITASBNK" TargetMode="External"/><Relationship Id="rId462" Type="http://schemas.openxmlformats.org/officeDocument/2006/relationships/hyperlink" Target="https://in.tradingview.com/chart/bXJLby4L/?symbol=NSE%3AAWFIS" TargetMode="External"/><Relationship Id="rId1293" Type="http://schemas.openxmlformats.org/officeDocument/2006/relationships/hyperlink" Target="https://in.tradingview.com/chart/Cgv3Jm6J/?symbol=NSE%3AGENCON" TargetMode="External"/><Relationship Id="rId461" Type="http://schemas.openxmlformats.org/officeDocument/2006/relationships/hyperlink" Target="https://in.tradingview.com/chart/Cgv3Jm6J/?symbol=NSE%3ABAJAJHFL" TargetMode="External"/><Relationship Id="rId1294" Type="http://schemas.openxmlformats.org/officeDocument/2006/relationships/hyperlink" Target="https://in.tradingview.com/chart/bXJLby4L/?symbol=NSE%3AERIS" TargetMode="External"/><Relationship Id="rId460" Type="http://schemas.openxmlformats.org/officeDocument/2006/relationships/hyperlink" Target="https://in.tradingview.com/chart/bXJLby4L/?symbol=NSE%3AAVTNPL" TargetMode="External"/><Relationship Id="rId1295" Type="http://schemas.openxmlformats.org/officeDocument/2006/relationships/hyperlink" Target="https://in.tradingview.com/chart/Cgv3Jm6J/?symbol=NSE%3AGENESYS" TargetMode="External"/><Relationship Id="rId4321" Type="http://schemas.openxmlformats.org/officeDocument/2006/relationships/hyperlink" Target="https://in.tradingview.com/chart/Cgv3Jm6J/?symbol=NSE%3AVISAKAIND" TargetMode="External"/><Relationship Id="rId1296" Type="http://schemas.openxmlformats.org/officeDocument/2006/relationships/hyperlink" Target="https://in.tradingview.com/chart/bXJLby4L/?symbol=NSE%3AESABINDIA" TargetMode="External"/><Relationship Id="rId4320" Type="http://schemas.openxmlformats.org/officeDocument/2006/relationships/hyperlink" Target="https://in.tradingview.com/chart/bXJLby4L/?symbol=NSE%3ASUPREME" TargetMode="External"/><Relationship Id="rId466" Type="http://schemas.openxmlformats.org/officeDocument/2006/relationships/hyperlink" Target="https://in.tradingview.com/chart/bXJLby4L/?symbol=NSE%3AAXISBANK" TargetMode="External"/><Relationship Id="rId1297" Type="http://schemas.openxmlformats.org/officeDocument/2006/relationships/hyperlink" Target="https://in.tradingview.com/chart/Cgv3Jm6J/?symbol=NSE%3AGENSOL" TargetMode="External"/><Relationship Id="rId4323" Type="http://schemas.openxmlformats.org/officeDocument/2006/relationships/hyperlink" Target="https://in.tradingview.com/chart/Cgv3Jm6J/?symbol=NSE%3AVISASTEEL" TargetMode="External"/><Relationship Id="rId465" Type="http://schemas.openxmlformats.org/officeDocument/2006/relationships/hyperlink" Target="https://in.tradingview.com/chart/Cgv3Jm6J/?symbol=NSE%3ABAJAJHLDNG" TargetMode="External"/><Relationship Id="rId1298" Type="http://schemas.openxmlformats.org/officeDocument/2006/relationships/hyperlink" Target="https://in.tradingview.com/chart/bXJLby4L/?symbol=NSE%3AESAFSFB" TargetMode="External"/><Relationship Id="rId4322" Type="http://schemas.openxmlformats.org/officeDocument/2006/relationships/hyperlink" Target="https://in.tradingview.com/chart/bXJLby4L/?symbol=NSE%3ASUPREMEIND" TargetMode="External"/><Relationship Id="rId464" Type="http://schemas.openxmlformats.org/officeDocument/2006/relationships/hyperlink" Target="https://in.tradingview.com/chart/bXJLby4L/?symbol=NSE%3AAXISBPSETF" TargetMode="External"/><Relationship Id="rId1299" Type="http://schemas.openxmlformats.org/officeDocument/2006/relationships/hyperlink" Target="https://in.tradingview.com/chart/Cgv3Jm6J/?symbol=NSE%3AGENUSPAPER" TargetMode="External"/><Relationship Id="rId4325" Type="http://schemas.openxmlformats.org/officeDocument/2006/relationships/hyperlink" Target="https://in.tradingview.com/chart/Cgv3Jm6J/?symbol=NSE%3AVISHNU" TargetMode="External"/><Relationship Id="rId463" Type="http://schemas.openxmlformats.org/officeDocument/2006/relationships/hyperlink" Target="https://in.tradingview.com/chart/Cgv3Jm6J/?symbol=NSE%3ABAJAJHIND" TargetMode="External"/><Relationship Id="rId4324" Type="http://schemas.openxmlformats.org/officeDocument/2006/relationships/hyperlink" Target="https://in.tradingview.com/chart/bXJLby4L/?symbol=NSE%3ASUPREMEINF" TargetMode="External"/><Relationship Id="rId4316" Type="http://schemas.openxmlformats.org/officeDocument/2006/relationships/hyperlink" Target="https://in.tradingview.com/chart/bXJLby4L/?symbol=NSE%3ASUPERHOUSE" TargetMode="External"/><Relationship Id="rId4315" Type="http://schemas.openxmlformats.org/officeDocument/2006/relationships/hyperlink" Target="https://in.tradingview.com/chart/Cgv3Jm6J/?symbol=NSE%3AVIPCLOTHNG" TargetMode="External"/><Relationship Id="rId4318" Type="http://schemas.openxmlformats.org/officeDocument/2006/relationships/hyperlink" Target="https://in.tradingview.com/chart/bXJLby4L/?symbol=NSE%3ASUPRAJIT" TargetMode="External"/><Relationship Id="rId4317" Type="http://schemas.openxmlformats.org/officeDocument/2006/relationships/hyperlink" Target="https://in.tradingview.com/chart/Cgv3Jm6J/?symbol=NSE%3AVIPIND" TargetMode="External"/><Relationship Id="rId4319" Type="http://schemas.openxmlformats.org/officeDocument/2006/relationships/hyperlink" Target="https://in.tradingview.com/chart/Cgv3Jm6J/?symbol=NSE%3AVIRINCHI" TargetMode="External"/><Relationship Id="rId459" Type="http://schemas.openxmlformats.org/officeDocument/2006/relationships/hyperlink" Target="https://in.tradingview.com/chart/Cgv3Jm6J/?symbol=NSE%3ABAJAJHCARE" TargetMode="External"/><Relationship Id="rId458" Type="http://schemas.openxmlformats.org/officeDocument/2006/relationships/hyperlink" Target="https://in.tradingview.com/chart/bXJLby4L/?symbol=NSE%3AAVROIND" TargetMode="External"/><Relationship Id="rId457" Type="http://schemas.openxmlformats.org/officeDocument/2006/relationships/hyperlink" Target="https://in.tradingview.com/chart/Cgv3Jm6J/?symbol=NSE%3ABAJAJFINSV" TargetMode="External"/><Relationship Id="rId456" Type="http://schemas.openxmlformats.org/officeDocument/2006/relationships/hyperlink" Target="https://in.tradingview.com/chart/bXJLby4L/?symbol=NSE%3AAVONMORE" TargetMode="External"/><Relationship Id="rId1280" Type="http://schemas.openxmlformats.org/officeDocument/2006/relationships/hyperlink" Target="https://in.tradingview.com/chart/bXJLby4L/?symbol=NSE%3AEIEL" TargetMode="External"/><Relationship Id="rId1281" Type="http://schemas.openxmlformats.org/officeDocument/2006/relationships/hyperlink" Target="https://in.tradingview.com/chart/Cgv3Jm6J/?symbol=NSE%3AGATECH" TargetMode="External"/><Relationship Id="rId451" Type="http://schemas.openxmlformats.org/officeDocument/2006/relationships/hyperlink" Target="https://in.tradingview.com/chart/Cgv3Jm6J/?symbol=NSE%3ABAJAJ_AUTO" TargetMode="External"/><Relationship Id="rId1282" Type="http://schemas.openxmlformats.org/officeDocument/2006/relationships/hyperlink" Target="https://in.tradingview.com/chart/bXJLby4L/?symbol=NSE%3AEPACK" TargetMode="External"/><Relationship Id="rId450" Type="http://schemas.openxmlformats.org/officeDocument/2006/relationships/hyperlink" Target="https://in.tradingview.com/chart/bXJLby4L/?symbol=NSE%3AAVANTIFEED" TargetMode="External"/><Relationship Id="rId1283" Type="http://schemas.openxmlformats.org/officeDocument/2006/relationships/hyperlink" Target="https://in.tradingview.com/chart/Cgv3Jm6J/?symbol=NSE%3AGATECHDVR" TargetMode="External"/><Relationship Id="rId1284" Type="http://schemas.openxmlformats.org/officeDocument/2006/relationships/hyperlink" Target="https://in.tradingview.com/chart/bXJLby4L/?symbol=NSE%3AEPACKPEB" TargetMode="External"/><Relationship Id="rId4310" Type="http://schemas.openxmlformats.org/officeDocument/2006/relationships/hyperlink" Target="https://in.tradingview.com/chart/bXJLby4L/?symbol=NSE%3ASUNFLAG" TargetMode="External"/><Relationship Id="rId1285" Type="http://schemas.openxmlformats.org/officeDocument/2006/relationships/hyperlink" Target="https://in.tradingview.com/chart/Cgv3Jm6J/?symbol=NSE%3AGATEWAY" TargetMode="External"/><Relationship Id="rId455" Type="http://schemas.openxmlformats.org/officeDocument/2006/relationships/hyperlink" Target="https://in.tradingview.com/chart/Cgv3Jm6J/?symbol=NSE%3ABAJAJELEC" TargetMode="External"/><Relationship Id="rId1286" Type="http://schemas.openxmlformats.org/officeDocument/2006/relationships/hyperlink" Target="https://in.tradingview.com/chart/bXJLby4L/?symbol=NSE%3AEPIGRAL" TargetMode="External"/><Relationship Id="rId4312" Type="http://schemas.openxmlformats.org/officeDocument/2006/relationships/hyperlink" Target="https://in.tradingview.com/chart/bXJLby4L/?symbol=NSE%3ASUNTECK" TargetMode="External"/><Relationship Id="rId454" Type="http://schemas.openxmlformats.org/officeDocument/2006/relationships/hyperlink" Target="https://in.tradingview.com/chart/bXJLby4L/?symbol=NSE%3AAVG" TargetMode="External"/><Relationship Id="rId1287" Type="http://schemas.openxmlformats.org/officeDocument/2006/relationships/hyperlink" Target="https://in.tradingview.com/chart/Cgv3Jm6J/?symbol=NSE%3AGAYAPROJ" TargetMode="External"/><Relationship Id="rId4311" Type="http://schemas.openxmlformats.org/officeDocument/2006/relationships/hyperlink" Target="https://in.tradingview.com/chart/Cgv3Jm6J/?symbol=NSE%3AVINEETLAB" TargetMode="External"/><Relationship Id="rId453" Type="http://schemas.openxmlformats.org/officeDocument/2006/relationships/hyperlink" Target="https://in.tradingview.com/chart/Cgv3Jm6J/?symbol=NSE%3ABAJAJCON" TargetMode="External"/><Relationship Id="rId1288" Type="http://schemas.openxmlformats.org/officeDocument/2006/relationships/hyperlink" Target="https://in.tradingview.com/chart/bXJLby4L/?symbol=NSE%3AEPL" TargetMode="External"/><Relationship Id="rId4314" Type="http://schemas.openxmlformats.org/officeDocument/2006/relationships/hyperlink" Target="https://in.tradingview.com/chart/bXJLby4L/?symbol=NSE%3ASUPERSPIN" TargetMode="External"/><Relationship Id="rId452" Type="http://schemas.openxmlformats.org/officeDocument/2006/relationships/hyperlink" Target="https://in.tradingview.com/chart/bXJLby4L/?symbol=NSE%3ADMART" TargetMode="External"/><Relationship Id="rId1289" Type="http://schemas.openxmlformats.org/officeDocument/2006/relationships/hyperlink" Target="https://in.tradingview.com/chart/Cgv3Jm6J/?symbol=NSE%3AGEECEE" TargetMode="External"/><Relationship Id="rId4313" Type="http://schemas.openxmlformats.org/officeDocument/2006/relationships/hyperlink" Target="https://in.tradingview.com/chart/Cgv3Jm6J/?symbol=NSE%3AVINYLINDIA" TargetMode="External"/><Relationship Id="rId3018" Type="http://schemas.openxmlformats.org/officeDocument/2006/relationships/hyperlink" Target="https://in.tradingview.com/chart/bXJLby4L/?symbol=NSE%3ANESTLEIND" TargetMode="External"/><Relationship Id="rId4349" Type="http://schemas.openxmlformats.org/officeDocument/2006/relationships/hyperlink" Target="https://in.tradingview.com/chart/Cgv3Jm6J/?symbol=NSE%3AVSSL" TargetMode="External"/><Relationship Id="rId3017" Type="http://schemas.openxmlformats.org/officeDocument/2006/relationships/hyperlink" Target="https://in.tradingview.com/chart/Cgv3Jm6J/?symbol=NSE%3APDSL" TargetMode="External"/><Relationship Id="rId4348" Type="http://schemas.openxmlformats.org/officeDocument/2006/relationships/hyperlink" Target="https://in.tradingview.com/chart/bXJLby4L/?symbol=NSE%3ASUTLEJTEX" TargetMode="External"/><Relationship Id="rId3019" Type="http://schemas.openxmlformats.org/officeDocument/2006/relationships/hyperlink" Target="https://in.tradingview.com/chart/Cgv3Jm6J/?symbol=NSE%3APEARLPOLY" TargetMode="External"/><Relationship Id="rId491" Type="http://schemas.openxmlformats.org/officeDocument/2006/relationships/hyperlink" Target="https://in.tradingview.com/chart/Cgv3Jm6J/?symbol=NSE%3ABALUFORGE" TargetMode="External"/><Relationship Id="rId490" Type="http://schemas.openxmlformats.org/officeDocument/2006/relationships/hyperlink" Target="https://in.tradingview.com/chart/bXJLby4L/?symbol=NSE%3AAYMSYNTEX" TargetMode="External"/><Relationship Id="rId489" Type="http://schemas.openxmlformats.org/officeDocument/2006/relationships/hyperlink" Target="https://in.tradingview.com/chart/Cgv3Jm6J/?symbol=NSE%3ABALRAMCHIN" TargetMode="External"/><Relationship Id="rId484" Type="http://schemas.openxmlformats.org/officeDocument/2006/relationships/hyperlink" Target="https://in.tradingview.com/chart/bXJLby4L/?symbol=NSE%3AAXISTECETF" TargetMode="External"/><Relationship Id="rId3010" Type="http://schemas.openxmlformats.org/officeDocument/2006/relationships/hyperlink" Target="https://in.tradingview.com/chart/bXJLby4L/?symbol=NSE%3ANELCAST" TargetMode="External"/><Relationship Id="rId4341" Type="http://schemas.openxmlformats.org/officeDocument/2006/relationships/hyperlink" Target="https://in.tradingview.com/chart/Cgv3Jm6J/?symbol=NSE%3AVOLTAS" TargetMode="External"/><Relationship Id="rId483" Type="http://schemas.openxmlformats.org/officeDocument/2006/relationships/hyperlink" Target="https://in.tradingview.com/chart/Cgv3Jm6J/?symbol=NSE%3ABALKRISIND" TargetMode="External"/><Relationship Id="rId4340" Type="http://schemas.openxmlformats.org/officeDocument/2006/relationships/hyperlink" Target="https://in.tradingview.com/chart/bXJLby4L/?symbol=NSE%3ASBGLP" TargetMode="External"/><Relationship Id="rId482" Type="http://schemas.openxmlformats.org/officeDocument/2006/relationships/hyperlink" Target="https://in.tradingview.com/chart/bXJLby4L/?symbol=NSE%3AAXISILVER" TargetMode="External"/><Relationship Id="rId3012" Type="http://schemas.openxmlformats.org/officeDocument/2006/relationships/hyperlink" Target="https://in.tradingview.com/chart/bXJLby4L/?symbol=NSE%3ANELCO" TargetMode="External"/><Relationship Id="rId4343" Type="http://schemas.openxmlformats.org/officeDocument/2006/relationships/hyperlink" Target="https://in.tradingview.com/chart/Cgv3Jm6J/?symbol=NSE%3AVPRPL" TargetMode="External"/><Relationship Id="rId481" Type="http://schemas.openxmlformats.org/officeDocument/2006/relationships/hyperlink" Target="https://in.tradingview.com/chart/Cgv3Jm6J/?symbol=NSE%3ABALKRISHNA" TargetMode="External"/><Relationship Id="rId3011" Type="http://schemas.openxmlformats.org/officeDocument/2006/relationships/hyperlink" Target="https://in.tradingview.com/chart/Cgv3Jm6J/?symbol=NSE%3APCBL" TargetMode="External"/><Relationship Id="rId4342" Type="http://schemas.openxmlformats.org/officeDocument/2006/relationships/hyperlink" Target="https://in.tradingview.com/chart/bXJLby4L/?symbol=NSE%3ASURYAROSNI" TargetMode="External"/><Relationship Id="rId488" Type="http://schemas.openxmlformats.org/officeDocument/2006/relationships/hyperlink" Target="https://in.tradingview.com/chart/bXJLby4L/?symbol=NSE%3AAXITA" TargetMode="External"/><Relationship Id="rId3014" Type="http://schemas.openxmlformats.org/officeDocument/2006/relationships/hyperlink" Target="https://in.tradingview.com/chart/bXJLby4L/?symbol=NSE%3ANEOGEN" TargetMode="External"/><Relationship Id="rId4345" Type="http://schemas.openxmlformats.org/officeDocument/2006/relationships/hyperlink" Target="https://in.tradingview.com/chart/Cgv3Jm6J/?symbol=NSE%3AVRAJ" TargetMode="External"/><Relationship Id="rId487" Type="http://schemas.openxmlformats.org/officeDocument/2006/relationships/hyperlink" Target="https://in.tradingview.com/chart/Cgv3Jm6J/?symbol=NSE%3ABALPHARMA" TargetMode="External"/><Relationship Id="rId3013" Type="http://schemas.openxmlformats.org/officeDocument/2006/relationships/hyperlink" Target="https://in.tradingview.com/chart/Cgv3Jm6J/?symbol=NSE%3APCJEWELLER" TargetMode="External"/><Relationship Id="rId4344" Type="http://schemas.openxmlformats.org/officeDocument/2006/relationships/hyperlink" Target="https://in.tradingview.com/chart/bXJLby4L/?symbol=NSE%3ASURYALAXMI" TargetMode="External"/><Relationship Id="rId486" Type="http://schemas.openxmlformats.org/officeDocument/2006/relationships/hyperlink" Target="https://in.tradingview.com/chart/bXJLby4L/?symbol=NSE%3AAXISCADES" TargetMode="External"/><Relationship Id="rId3016" Type="http://schemas.openxmlformats.org/officeDocument/2006/relationships/hyperlink" Target="https://in.tradingview.com/chart/bXJLby4L/?symbol=NSE%3ANESCO" TargetMode="External"/><Relationship Id="rId4347" Type="http://schemas.openxmlformats.org/officeDocument/2006/relationships/hyperlink" Target="https://in.tradingview.com/chart/Cgv3Jm6J/?symbol=NSE%3AVRLLOG" TargetMode="External"/><Relationship Id="rId485" Type="http://schemas.openxmlformats.org/officeDocument/2006/relationships/hyperlink" Target="https://in.tradingview.com/chart/Cgv3Jm6J/?symbol=NSE%3ABALMLAWRIE" TargetMode="External"/><Relationship Id="rId3015" Type="http://schemas.openxmlformats.org/officeDocument/2006/relationships/hyperlink" Target="https://in.tradingview.com/chart/Cgv3Jm6J/?symbol=NSE%3APDMJEPAPER" TargetMode="External"/><Relationship Id="rId4346" Type="http://schemas.openxmlformats.org/officeDocument/2006/relationships/hyperlink" Target="https://in.tradingview.com/chart/bXJLby4L/?symbol=NSE%3ASURYODAY" TargetMode="External"/><Relationship Id="rId3007" Type="http://schemas.openxmlformats.org/officeDocument/2006/relationships/hyperlink" Target="https://in.tradingview.com/chart/Cgv3Jm6J/?symbol=NSE%3APAVNAIND" TargetMode="External"/><Relationship Id="rId4338" Type="http://schemas.openxmlformats.org/officeDocument/2006/relationships/hyperlink" Target="https://in.tradingview.com/chart/bXJLby4L/?symbol=NSE%3ASURANAT&amp;P" TargetMode="External"/><Relationship Id="rId3006" Type="http://schemas.openxmlformats.org/officeDocument/2006/relationships/hyperlink" Target="https://in.tradingview.com/chart/bXJLby4L/?symbol=NSE%3ANDRAUTO" TargetMode="External"/><Relationship Id="rId4337" Type="http://schemas.openxmlformats.org/officeDocument/2006/relationships/hyperlink" Target="https://in.tradingview.com/chart/Cgv3Jm6J/?symbol=NSE%3AVMM" TargetMode="External"/><Relationship Id="rId3009" Type="http://schemas.openxmlformats.org/officeDocument/2006/relationships/hyperlink" Target="https://in.tradingview.com/chart/Cgv3Jm6J/?symbol=NSE%3APAYTM" TargetMode="External"/><Relationship Id="rId3008" Type="http://schemas.openxmlformats.org/officeDocument/2006/relationships/hyperlink" Target="https://in.tradingview.com/chart/bXJLby4L/?symbol=NSE%3ANECLIFE" TargetMode="External"/><Relationship Id="rId4339" Type="http://schemas.openxmlformats.org/officeDocument/2006/relationships/hyperlink" Target="https://in.tradingview.com/chart/Cgv3Jm6J/?symbol=NSE%3AVOLTAMP" TargetMode="External"/><Relationship Id="rId480" Type="http://schemas.openxmlformats.org/officeDocument/2006/relationships/hyperlink" Target="https://in.tradingview.com/chart/bXJLby4L/?symbol=NSE%3AAXSENSEX" TargetMode="External"/><Relationship Id="rId479" Type="http://schemas.openxmlformats.org/officeDocument/2006/relationships/hyperlink" Target="https://in.tradingview.com/chart/Cgv3Jm6J/?symbol=NSE%3ABALAXI" TargetMode="External"/><Relationship Id="rId478" Type="http://schemas.openxmlformats.org/officeDocument/2006/relationships/hyperlink" Target="https://in.tradingview.com/chart/bXJLby4L/?symbol=NSE%3AAXISVALUE" TargetMode="External"/><Relationship Id="rId473" Type="http://schemas.openxmlformats.org/officeDocument/2006/relationships/hyperlink" Target="https://in.tradingview.com/chart/Cgv3Jm6J/?symbol=NSE%3ABALAJEE" TargetMode="External"/><Relationship Id="rId4330" Type="http://schemas.openxmlformats.org/officeDocument/2006/relationships/hyperlink" Target="https://in.tradingview.com/chart/bXJLby4L/?symbol=NSE%3ASURAJEST" TargetMode="External"/><Relationship Id="rId472" Type="http://schemas.openxmlformats.org/officeDocument/2006/relationships/hyperlink" Target="https://in.tradingview.com/chart/bXJLby4L/?symbol=NSE%3AAXISGOLD" TargetMode="External"/><Relationship Id="rId471" Type="http://schemas.openxmlformats.org/officeDocument/2006/relationships/hyperlink" Target="https://in.tradingview.com/chart/Cgv3Jm6J/?symbol=NSE%3ABAJFINANCE" TargetMode="External"/><Relationship Id="rId3001" Type="http://schemas.openxmlformats.org/officeDocument/2006/relationships/hyperlink" Target="https://in.tradingview.com/chart/Cgv3Jm6J/?symbol=NSE%3APATANJALI" TargetMode="External"/><Relationship Id="rId4332" Type="http://schemas.openxmlformats.org/officeDocument/2006/relationships/hyperlink" Target="https://in.tradingview.com/chart/bXJLby4L/?symbol=NSE%3ASURAJLTD" TargetMode="External"/><Relationship Id="rId470" Type="http://schemas.openxmlformats.org/officeDocument/2006/relationships/hyperlink" Target="https://in.tradingview.com/chart/bXJLby4L/?symbol=NSE%3AAXISCETF" TargetMode="External"/><Relationship Id="rId3000" Type="http://schemas.openxmlformats.org/officeDocument/2006/relationships/hyperlink" Target="https://in.tradingview.com/chart/bXJLby4L/?symbol=NSE%3ANCC" TargetMode="External"/><Relationship Id="rId4331" Type="http://schemas.openxmlformats.org/officeDocument/2006/relationships/hyperlink" Target="https://in.tradingview.com/chart/Cgv3Jm6J/?symbol=NSE%3AVLEGOV" TargetMode="External"/><Relationship Id="rId477" Type="http://schemas.openxmlformats.org/officeDocument/2006/relationships/hyperlink" Target="https://in.tradingview.com/chart/Cgv3Jm6J/?symbol=NSE%3ABALAMINES" TargetMode="External"/><Relationship Id="rId3003" Type="http://schemas.openxmlformats.org/officeDocument/2006/relationships/hyperlink" Target="https://in.tradingview.com/chart/Cgv3Jm6J/?symbol=NSE%3APATELENG" TargetMode="External"/><Relationship Id="rId4334" Type="http://schemas.openxmlformats.org/officeDocument/2006/relationships/hyperlink" Target="https://in.tradingview.com/chart/bXJLby4L/?symbol=NSE%3ASURAKSHA" TargetMode="External"/><Relationship Id="rId476" Type="http://schemas.openxmlformats.org/officeDocument/2006/relationships/hyperlink" Target="https://in.tradingview.com/chart/bXJLby4L/?symbol=NSE%3AAXISNIFTY" TargetMode="External"/><Relationship Id="rId3002" Type="http://schemas.openxmlformats.org/officeDocument/2006/relationships/hyperlink" Target="https://in.tradingview.com/chart/bXJLby4L/?symbol=NSE%3ANCLIND" TargetMode="External"/><Relationship Id="rId4333" Type="http://schemas.openxmlformats.org/officeDocument/2006/relationships/hyperlink" Target="https://in.tradingview.com/chart/Cgv3Jm6J/?symbol=NSE%3AVLSFINANCE" TargetMode="External"/><Relationship Id="rId475" Type="http://schemas.openxmlformats.org/officeDocument/2006/relationships/hyperlink" Target="https://in.tradingview.com/chart/Cgv3Jm6J/?symbol=NSE%3ABALAJITELE" TargetMode="External"/><Relationship Id="rId3005" Type="http://schemas.openxmlformats.org/officeDocument/2006/relationships/hyperlink" Target="https://in.tradingview.com/chart/Cgv3Jm6J/?symbol=NSE%3APATINTLOG" TargetMode="External"/><Relationship Id="rId4336" Type="http://schemas.openxmlformats.org/officeDocument/2006/relationships/hyperlink" Target="https://in.tradingview.com/chart/bXJLby4L/?symbol=NSE%3ASURANASOL" TargetMode="External"/><Relationship Id="rId474" Type="http://schemas.openxmlformats.org/officeDocument/2006/relationships/hyperlink" Target="https://in.tradingview.com/chart/bXJLby4L/?symbol=NSE%3AAXISHCETF" TargetMode="External"/><Relationship Id="rId3004" Type="http://schemas.openxmlformats.org/officeDocument/2006/relationships/hyperlink" Target="https://in.tradingview.com/chart/bXJLby4L/?symbol=NSE%3ANDLVENTURE" TargetMode="External"/><Relationship Id="rId4335" Type="http://schemas.openxmlformats.org/officeDocument/2006/relationships/hyperlink" Target="https://in.tradingview.com/chart/Cgv3Jm6J/?symbol=NSE%3AVMART" TargetMode="External"/><Relationship Id="rId1257" Type="http://schemas.openxmlformats.org/officeDocument/2006/relationships/hyperlink" Target="https://in.tradingview.com/chart/Cgv3Jm6J/?symbol=NSE%3AGALAPREC" TargetMode="External"/><Relationship Id="rId2588" Type="http://schemas.openxmlformats.org/officeDocument/2006/relationships/hyperlink" Target="https://in.tradingview.com/chart/bXJLby4L/?symbol=NSE%3AMFML" TargetMode="External"/><Relationship Id="rId1258" Type="http://schemas.openxmlformats.org/officeDocument/2006/relationships/hyperlink" Target="https://in.tradingview.com/chart/bXJLby4L/?symbol=NSE%3AEMMVEE" TargetMode="External"/><Relationship Id="rId2589" Type="http://schemas.openxmlformats.org/officeDocument/2006/relationships/hyperlink" Target="https://in.tradingview.com/chart/Cgv3Jm6J/?symbol=NSE%3AMOM100" TargetMode="External"/><Relationship Id="rId1259" Type="http://schemas.openxmlformats.org/officeDocument/2006/relationships/hyperlink" Target="https://in.tradingview.com/chart/Cgv3Jm6J/?symbol=NSE%3AGALAXYSURF" TargetMode="External"/><Relationship Id="rId426" Type="http://schemas.openxmlformats.org/officeDocument/2006/relationships/hyperlink" Target="https://in.tradingview.com/chart/bXJLby4L/?symbol=NSE%3AAUBANK" TargetMode="External"/><Relationship Id="rId425" Type="http://schemas.openxmlformats.org/officeDocument/2006/relationships/hyperlink" Target="https://in.tradingview.com/chart/Cgv3Jm6J/?symbol=NSE%3AAXISCETF" TargetMode="External"/><Relationship Id="rId424" Type="http://schemas.openxmlformats.org/officeDocument/2006/relationships/hyperlink" Target="https://in.tradingview.com/chart/bXJLby4L/?symbol=NSE%3AATUL" TargetMode="External"/><Relationship Id="rId423" Type="http://schemas.openxmlformats.org/officeDocument/2006/relationships/hyperlink" Target="https://in.tradingview.com/chart/Cgv3Jm6J/?symbol=NSE%3AAXISCADES" TargetMode="External"/><Relationship Id="rId429" Type="http://schemas.openxmlformats.org/officeDocument/2006/relationships/hyperlink" Target="https://in.tradingview.com/chart/Cgv3Jm6J/?symbol=NSE%3AAXISHCETF" TargetMode="External"/><Relationship Id="rId428" Type="http://schemas.openxmlformats.org/officeDocument/2006/relationships/hyperlink" Target="https://in.tradingview.com/chart/bXJLby4L/?symbol=NSE%3AAURIONPRO" TargetMode="External"/><Relationship Id="rId427" Type="http://schemas.openxmlformats.org/officeDocument/2006/relationships/hyperlink" Target="https://in.tradingview.com/chart/Cgv3Jm6J/?symbol=NSE%3AAXISGOLD" TargetMode="External"/><Relationship Id="rId2580" Type="http://schemas.openxmlformats.org/officeDocument/2006/relationships/hyperlink" Target="https://in.tradingview.com/chart/bXJLby4L/?symbol=NSE%3AMAGADSUGAR" TargetMode="External"/><Relationship Id="rId1250" Type="http://schemas.openxmlformats.org/officeDocument/2006/relationships/hyperlink" Target="https://in.tradingview.com/chart/bXJLby4L/?symbol=NSE%3AEMBDL" TargetMode="External"/><Relationship Id="rId2581" Type="http://schemas.openxmlformats.org/officeDocument/2006/relationships/hyperlink" Target="https://in.tradingview.com/chart/Cgv3Jm6J/?symbol=NSE%3AMOL" TargetMode="External"/><Relationship Id="rId1251" Type="http://schemas.openxmlformats.org/officeDocument/2006/relationships/hyperlink" Target="https://in.tradingview.com/chart/Cgv3Jm6J/?symbol=NSE%3AGABRIEL" TargetMode="External"/><Relationship Id="rId2582" Type="http://schemas.openxmlformats.org/officeDocument/2006/relationships/hyperlink" Target="https://in.tradingview.com/chart/bXJLby4L/?symbol=NSE%3AMCLOUD" TargetMode="External"/><Relationship Id="rId1252" Type="http://schemas.openxmlformats.org/officeDocument/2006/relationships/hyperlink" Target="https://in.tradingview.com/chart/bXJLby4L/?symbol=NSE%3AEMCURE" TargetMode="External"/><Relationship Id="rId2583" Type="http://schemas.openxmlformats.org/officeDocument/2006/relationships/hyperlink" Target="https://in.tradingview.com/chart/Cgv3Jm6J/?symbol=NSE%3AMOLDTECH" TargetMode="External"/><Relationship Id="rId422" Type="http://schemas.openxmlformats.org/officeDocument/2006/relationships/hyperlink" Target="https://in.tradingview.com/chart/bXJLby4L/?symbol=NSE%3AATULAUTO" TargetMode="External"/><Relationship Id="rId1253" Type="http://schemas.openxmlformats.org/officeDocument/2006/relationships/hyperlink" Target="https://in.tradingview.com/chart/Cgv3Jm6J/?symbol=NSE%3AGAEL" TargetMode="External"/><Relationship Id="rId2584" Type="http://schemas.openxmlformats.org/officeDocument/2006/relationships/hyperlink" Target="https://in.tradingview.com/chart/bXJLby4L/?symbol=NSE%3AMAGNUM" TargetMode="External"/><Relationship Id="rId421" Type="http://schemas.openxmlformats.org/officeDocument/2006/relationships/hyperlink" Target="https://in.tradingview.com/chart/Cgv3Jm6J/?symbol=NSE%3AAXISBPSETF" TargetMode="External"/><Relationship Id="rId1254" Type="http://schemas.openxmlformats.org/officeDocument/2006/relationships/hyperlink" Target="https://in.tradingview.com/chart/bXJLby4L/?symbol=NSE%3AEMKAY" TargetMode="External"/><Relationship Id="rId2585" Type="http://schemas.openxmlformats.org/officeDocument/2006/relationships/hyperlink" Target="https://in.tradingview.com/chart/Cgv3Jm6J/?symbol=NSE%3AMOLDTKPAC" TargetMode="External"/><Relationship Id="rId420" Type="http://schemas.openxmlformats.org/officeDocument/2006/relationships/hyperlink" Target="https://in.tradingview.com/chart/bXJLby4L/?symbol=NSE%3AATLASCYCLE" TargetMode="External"/><Relationship Id="rId1255" Type="http://schemas.openxmlformats.org/officeDocument/2006/relationships/hyperlink" Target="https://in.tradingview.com/chart/Cgv3Jm6J/?symbol=NSE%3AGAIL" TargetMode="External"/><Relationship Id="rId2586" Type="http://schemas.openxmlformats.org/officeDocument/2006/relationships/hyperlink" Target="https://in.tradingview.com/chart/bXJLby4L/?symbol=NSE%3AMAHAPEXLTD" TargetMode="External"/><Relationship Id="rId1256" Type="http://schemas.openxmlformats.org/officeDocument/2006/relationships/hyperlink" Target="https://in.tradingview.com/chart/bXJLby4L/?symbol=NSE%3AEMMBI" TargetMode="External"/><Relationship Id="rId2587" Type="http://schemas.openxmlformats.org/officeDocument/2006/relationships/hyperlink" Target="https://in.tradingview.com/chart/Cgv3Jm6J/?symbol=NSE%3AMOLOWVOL" TargetMode="External"/><Relationship Id="rId1246" Type="http://schemas.openxmlformats.org/officeDocument/2006/relationships/hyperlink" Target="https://in.tradingview.com/chart/bXJLby4L/?symbol=NSE%3AEMAMIPAP" TargetMode="External"/><Relationship Id="rId2577" Type="http://schemas.openxmlformats.org/officeDocument/2006/relationships/hyperlink" Target="https://in.tradingview.com/chart/Cgv3Jm6J/?symbol=NSE%3AMOIL" TargetMode="External"/><Relationship Id="rId1247" Type="http://schemas.openxmlformats.org/officeDocument/2006/relationships/hyperlink" Target="https://in.tradingview.com/chart/Cgv3Jm6J/?symbol=NSE%3AFSL" TargetMode="External"/><Relationship Id="rId2578" Type="http://schemas.openxmlformats.org/officeDocument/2006/relationships/hyperlink" Target="https://in.tradingview.com/chart/bXJLby4L/?symbol=NSE%3AMADRASFERT" TargetMode="External"/><Relationship Id="rId1248" Type="http://schemas.openxmlformats.org/officeDocument/2006/relationships/hyperlink" Target="https://in.tradingview.com/chart/bXJLby4L/?symbol=NSE%3AEMAMIREAL" TargetMode="External"/><Relationship Id="rId2579" Type="http://schemas.openxmlformats.org/officeDocument/2006/relationships/hyperlink" Target="https://in.tradingview.com/chart/Cgv3Jm6J/?symbol=NSE%3AMOKSH" TargetMode="External"/><Relationship Id="rId1249" Type="http://schemas.openxmlformats.org/officeDocument/2006/relationships/hyperlink" Target="https://in.tradingview.com/chart/Cgv3Jm6J/?symbol=NSE%3AFUSION" TargetMode="External"/><Relationship Id="rId415" Type="http://schemas.openxmlformats.org/officeDocument/2006/relationships/hyperlink" Target="https://in.tradingview.com/chart/Cgv3Jm6J/?symbol=NSE%3AAWL" TargetMode="External"/><Relationship Id="rId414" Type="http://schemas.openxmlformats.org/officeDocument/2006/relationships/hyperlink" Target="https://in.tradingview.com/chart/bXJLby4L/?symbol=NSE%3AATHERENERG" TargetMode="External"/><Relationship Id="rId413" Type="http://schemas.openxmlformats.org/officeDocument/2006/relationships/hyperlink" Target="https://in.tradingview.com/chart/Cgv3Jm6J/?symbol=NSE%3AAWHCL" TargetMode="External"/><Relationship Id="rId412" Type="http://schemas.openxmlformats.org/officeDocument/2006/relationships/hyperlink" Target="https://in.tradingview.com/chart/bXJLby4L/?symbol=NSE%3AATAM" TargetMode="External"/><Relationship Id="rId419" Type="http://schemas.openxmlformats.org/officeDocument/2006/relationships/hyperlink" Target="https://in.tradingview.com/chart/Cgv3Jm6J/?symbol=NSE%3AAXISBNKETF" TargetMode="External"/><Relationship Id="rId418" Type="http://schemas.openxmlformats.org/officeDocument/2006/relationships/hyperlink" Target="https://in.tradingview.com/chart/bXJLby4L/?symbol=NSE%3AATLANTAA" TargetMode="External"/><Relationship Id="rId417" Type="http://schemas.openxmlformats.org/officeDocument/2006/relationships/hyperlink" Target="https://in.tradingview.com/chart/Cgv3Jm6J/?symbol=NSE%3AAXISBANK" TargetMode="External"/><Relationship Id="rId416" Type="http://schemas.openxmlformats.org/officeDocument/2006/relationships/hyperlink" Target="https://in.tradingview.com/chart/bXJLby4L/?symbol=NSE%3AATLANTAELE" TargetMode="External"/><Relationship Id="rId2570" Type="http://schemas.openxmlformats.org/officeDocument/2006/relationships/hyperlink" Target="https://in.tradingview.com/chart/bXJLby4L/?symbol=NSE%3AMCL" TargetMode="External"/><Relationship Id="rId1240" Type="http://schemas.openxmlformats.org/officeDocument/2006/relationships/hyperlink" Target="https://in.tradingview.com/chart/bXJLby4L/?symbol=NSE%3AELIN" TargetMode="External"/><Relationship Id="rId2571" Type="http://schemas.openxmlformats.org/officeDocument/2006/relationships/hyperlink" Target="https://in.tradingview.com/chart/Cgv3Jm6J/?symbol=NSE%3AMODTHREAD" TargetMode="External"/><Relationship Id="rId1241" Type="http://schemas.openxmlformats.org/officeDocument/2006/relationships/hyperlink" Target="https://in.tradingview.com/chart/Cgv3Jm6J/?symbol=NSE%3AFORTIS" TargetMode="External"/><Relationship Id="rId2572" Type="http://schemas.openxmlformats.org/officeDocument/2006/relationships/hyperlink" Target="https://in.tradingview.com/chart/bXJLby4L/?symbol=NSE%3AMADHAV" TargetMode="External"/><Relationship Id="rId411" Type="http://schemas.openxmlformats.org/officeDocument/2006/relationships/hyperlink" Target="https://in.tradingview.com/chart/Cgv3Jm6J/?symbol=NSE%3AAWFIS" TargetMode="External"/><Relationship Id="rId1242" Type="http://schemas.openxmlformats.org/officeDocument/2006/relationships/hyperlink" Target="https://in.tradingview.com/chart/bXJLby4L/?symbol=NSE%3AELLEN" TargetMode="External"/><Relationship Id="rId2573" Type="http://schemas.openxmlformats.org/officeDocument/2006/relationships/hyperlink" Target="https://in.tradingview.com/chart/Cgv3Jm6J/?symbol=NSE%3AMOGSEC" TargetMode="External"/><Relationship Id="rId410" Type="http://schemas.openxmlformats.org/officeDocument/2006/relationships/hyperlink" Target="https://in.tradingview.com/chart/bXJLby4L/?symbol=NSE%3AATALREAL" TargetMode="External"/><Relationship Id="rId1243" Type="http://schemas.openxmlformats.org/officeDocument/2006/relationships/hyperlink" Target="https://in.tradingview.com/chart/Cgv3Jm6J/?symbol=NSE%3AFOSECOIND" TargetMode="External"/><Relationship Id="rId2574" Type="http://schemas.openxmlformats.org/officeDocument/2006/relationships/hyperlink" Target="https://in.tradingview.com/chart/bXJLby4L/?symbol=NSE%3AMADHUCON" TargetMode="External"/><Relationship Id="rId1244" Type="http://schemas.openxmlformats.org/officeDocument/2006/relationships/hyperlink" Target="https://in.tradingview.com/chart/bXJLby4L/?symbol=NSE%3AEMAMILTD" TargetMode="External"/><Relationship Id="rId2575" Type="http://schemas.openxmlformats.org/officeDocument/2006/relationships/hyperlink" Target="https://in.tradingview.com/chart/Cgv3Jm6J/?symbol=NSE%3AMOHEALTH" TargetMode="External"/><Relationship Id="rId1245" Type="http://schemas.openxmlformats.org/officeDocument/2006/relationships/hyperlink" Target="https://in.tradingview.com/chart/Cgv3Jm6J/?symbol=NSE%3AFSC" TargetMode="External"/><Relationship Id="rId2576" Type="http://schemas.openxmlformats.org/officeDocument/2006/relationships/hyperlink" Target="https://in.tradingview.com/chart/bXJLby4L/?symbol=NSE%3AMBAPL" TargetMode="External"/><Relationship Id="rId1279" Type="http://schemas.openxmlformats.org/officeDocument/2006/relationships/hyperlink" Target="https://in.tradingview.com/chart/Cgv3Jm6J/?symbol=NSE%3AGARUDA" TargetMode="External"/><Relationship Id="rId4305" Type="http://schemas.openxmlformats.org/officeDocument/2006/relationships/hyperlink" Target="https://in.tradingview.com/chart/Cgv3Jm6J/?symbol=NSE%3AVINATIORGA" TargetMode="External"/><Relationship Id="rId4304" Type="http://schemas.openxmlformats.org/officeDocument/2006/relationships/hyperlink" Target="https://in.tradingview.com/chart/bXJLby4L/?symbol=NSE%3ASUNDARMFIN" TargetMode="External"/><Relationship Id="rId4307" Type="http://schemas.openxmlformats.org/officeDocument/2006/relationships/hyperlink" Target="https://in.tradingview.com/chart/Cgv3Jm6J/?symbol=NSE%3AVINCOFE" TargetMode="External"/><Relationship Id="rId4306" Type="http://schemas.openxmlformats.org/officeDocument/2006/relationships/hyperlink" Target="https://in.tradingview.com/chart/bXJLby4L/?symbol=NSE%3ASUNDRMFAST" TargetMode="External"/><Relationship Id="rId4309" Type="http://schemas.openxmlformats.org/officeDocument/2006/relationships/hyperlink" Target="https://in.tradingview.com/chart/Cgv3Jm6J/?symbol=NSE%3AVINDHYATEL" TargetMode="External"/><Relationship Id="rId4308" Type="http://schemas.openxmlformats.org/officeDocument/2006/relationships/hyperlink" Target="https://in.tradingview.com/chart/bXJLby4L/?symbol=NSE%3ASUNDROP" TargetMode="External"/><Relationship Id="rId448" Type="http://schemas.openxmlformats.org/officeDocument/2006/relationships/hyperlink" Target="https://in.tradingview.com/chart/bXJLby4L/?symbol=NSE%3AAVANTEL" TargetMode="External"/><Relationship Id="rId447" Type="http://schemas.openxmlformats.org/officeDocument/2006/relationships/hyperlink" Target="https://in.tradingview.com/chart/Cgv3Jm6J/?symbol=NSE%3ABAGFILMS" TargetMode="External"/><Relationship Id="rId446" Type="http://schemas.openxmlformats.org/officeDocument/2006/relationships/hyperlink" Target="https://in.tradingview.com/chart/bXJLby4L/?symbol=NSE%3AAVALON" TargetMode="External"/><Relationship Id="rId445" Type="http://schemas.openxmlformats.org/officeDocument/2006/relationships/hyperlink" Target="https://in.tradingview.com/chart/Cgv3Jm6J/?symbol=NSE%3ABAFNAPH" TargetMode="External"/><Relationship Id="rId449" Type="http://schemas.openxmlformats.org/officeDocument/2006/relationships/hyperlink" Target="https://in.tradingview.com/chart/Cgv3Jm6J/?symbol=NSE%3ABAIDFIN" TargetMode="External"/><Relationship Id="rId1270" Type="http://schemas.openxmlformats.org/officeDocument/2006/relationships/hyperlink" Target="https://in.tradingview.com/chart/bXJLby4L/?symbol=NSE%3AENERGYDEV" TargetMode="External"/><Relationship Id="rId440" Type="http://schemas.openxmlformats.org/officeDocument/2006/relationships/hyperlink" Target="https://in.tradingview.com/chart/bXJLby4L/?symbol=NSE%3AAUTOAXLES" TargetMode="External"/><Relationship Id="rId1271" Type="http://schemas.openxmlformats.org/officeDocument/2006/relationships/hyperlink" Target="https://in.tradingview.com/chart/Cgv3Jm6J/?symbol=NSE%3AGANESHHOUC" TargetMode="External"/><Relationship Id="rId1272" Type="http://schemas.openxmlformats.org/officeDocument/2006/relationships/hyperlink" Target="https://in.tradingview.com/chart/bXJLby4L/?symbol=NSE%3AENGINERSIN" TargetMode="External"/><Relationship Id="rId1273" Type="http://schemas.openxmlformats.org/officeDocument/2006/relationships/hyperlink" Target="https://in.tradingview.com/chart/Cgv3Jm6J/?symbol=NSE%3AGANGAFORGE" TargetMode="External"/><Relationship Id="rId1274" Type="http://schemas.openxmlformats.org/officeDocument/2006/relationships/hyperlink" Target="https://in.tradingview.com/chart/bXJLby4L/?symbol=NSE%3AENIFTY" TargetMode="External"/><Relationship Id="rId444" Type="http://schemas.openxmlformats.org/officeDocument/2006/relationships/hyperlink" Target="https://in.tradingview.com/chart/bXJLby4L/?symbol=NSE%3AAVADHSUGAR" TargetMode="External"/><Relationship Id="rId1275" Type="http://schemas.openxmlformats.org/officeDocument/2006/relationships/hyperlink" Target="https://in.tradingview.com/chart/Cgv3Jm6J/?symbol=NSE%3AGANGESSECU" TargetMode="External"/><Relationship Id="rId4301" Type="http://schemas.openxmlformats.org/officeDocument/2006/relationships/hyperlink" Target="https://in.tradingview.com/chart/Cgv3Jm6J/?symbol=NSE%3AVIKASLIFE" TargetMode="External"/><Relationship Id="rId443" Type="http://schemas.openxmlformats.org/officeDocument/2006/relationships/hyperlink" Target="https://in.tradingview.com/chart/Cgv3Jm6J/?symbol=NSE%3AAZAD" TargetMode="External"/><Relationship Id="rId1276" Type="http://schemas.openxmlformats.org/officeDocument/2006/relationships/hyperlink" Target="https://in.tradingview.com/chart/bXJLby4L/?symbol=NSE%3AENTERO" TargetMode="External"/><Relationship Id="rId4300" Type="http://schemas.openxmlformats.org/officeDocument/2006/relationships/hyperlink" Target="https://in.tradingview.com/chart/bXJLby4L/?symbol=NSE%3ASUNDRMBRAK" TargetMode="External"/><Relationship Id="rId442" Type="http://schemas.openxmlformats.org/officeDocument/2006/relationships/hyperlink" Target="https://in.tradingview.com/chart/bXJLby4L/?symbol=NSE%3AASAL" TargetMode="External"/><Relationship Id="rId1277" Type="http://schemas.openxmlformats.org/officeDocument/2006/relationships/hyperlink" Target="https://in.tradingview.com/chart/Cgv3Jm6J/?symbol=NSE%3AGARFIBRES" TargetMode="External"/><Relationship Id="rId4303" Type="http://schemas.openxmlformats.org/officeDocument/2006/relationships/hyperlink" Target="https://in.tradingview.com/chart/Cgv3Jm6J/?symbol=NSE%3AVIMTALABS" TargetMode="External"/><Relationship Id="rId441" Type="http://schemas.openxmlformats.org/officeDocument/2006/relationships/hyperlink" Target="https://in.tradingview.com/chart/Cgv3Jm6J/?symbol=NSE%3AAYMSYNTEX" TargetMode="External"/><Relationship Id="rId1278" Type="http://schemas.openxmlformats.org/officeDocument/2006/relationships/hyperlink" Target="https://in.tradingview.com/chart/bXJLby4L/?symbol=NSE%3AENIL" TargetMode="External"/><Relationship Id="rId4302" Type="http://schemas.openxmlformats.org/officeDocument/2006/relationships/hyperlink" Target="https://in.tradingview.com/chart/bXJLby4L/?symbol=NSE%3ASUNCLAY" TargetMode="External"/><Relationship Id="rId1268" Type="http://schemas.openxmlformats.org/officeDocument/2006/relationships/hyperlink" Target="https://in.tradingview.com/chart/bXJLby4L/?symbol=NSE%3AENERGY" TargetMode="External"/><Relationship Id="rId2599" Type="http://schemas.openxmlformats.org/officeDocument/2006/relationships/hyperlink" Target="https://in.tradingview.com/chart/Cgv3Jm6J/?symbol=NSE%3AMOMOMENTUM" TargetMode="External"/><Relationship Id="rId1269" Type="http://schemas.openxmlformats.org/officeDocument/2006/relationships/hyperlink" Target="https://in.tradingview.com/chart/Cgv3Jm6J/?symbol=NSE%3AGANESHBE" TargetMode="External"/><Relationship Id="rId437" Type="http://schemas.openxmlformats.org/officeDocument/2006/relationships/hyperlink" Target="https://in.tradingview.com/chart/Cgv3Jm6J/?symbol=NSE%3AAXITA" TargetMode="External"/><Relationship Id="rId436" Type="http://schemas.openxmlformats.org/officeDocument/2006/relationships/hyperlink" Target="https://in.tradingview.com/chart/bXJLby4L/?symbol=NSE%3AAIIL" TargetMode="External"/><Relationship Id="rId435" Type="http://schemas.openxmlformats.org/officeDocument/2006/relationships/hyperlink" Target="https://in.tradingview.com/chart/Cgv3Jm6J/?symbol=NSE%3AAXISTECETF" TargetMode="External"/><Relationship Id="rId434" Type="http://schemas.openxmlformats.org/officeDocument/2006/relationships/hyperlink" Target="https://in.tradingview.com/chart/bXJLby4L/?symbol=NSE%3AAUSOMENT" TargetMode="External"/><Relationship Id="rId439" Type="http://schemas.openxmlformats.org/officeDocument/2006/relationships/hyperlink" Target="https://in.tradingview.com/chart/Cgv3Jm6J/?symbol=NSE%3AAXSENSEX" TargetMode="External"/><Relationship Id="rId438" Type="http://schemas.openxmlformats.org/officeDocument/2006/relationships/hyperlink" Target="https://in.tradingview.com/chart/bXJLby4L/?symbol=NSE%3AAUTOIND" TargetMode="External"/><Relationship Id="rId2590" Type="http://schemas.openxmlformats.org/officeDocument/2006/relationships/hyperlink" Target="https://in.tradingview.com/chart/bXJLby4L/?symbol=NSE%3AMHLXMIRU" TargetMode="External"/><Relationship Id="rId1260" Type="http://schemas.openxmlformats.org/officeDocument/2006/relationships/hyperlink" Target="https://in.tradingview.com/chart/bXJLby4L/?symbol=NSE%3AKRISHIVAL" TargetMode="External"/><Relationship Id="rId2591" Type="http://schemas.openxmlformats.org/officeDocument/2006/relationships/hyperlink" Target="https://in.tradingview.com/chart/Cgv3Jm6J/?symbol=NSE%3AMOM30IETF" TargetMode="External"/><Relationship Id="rId1261" Type="http://schemas.openxmlformats.org/officeDocument/2006/relationships/hyperlink" Target="https://in.tradingview.com/chart/Cgv3Jm6J/?symbol=NSE%3AGALLANTT" TargetMode="External"/><Relationship Id="rId2592" Type="http://schemas.openxmlformats.org/officeDocument/2006/relationships/hyperlink" Target="https://in.tradingview.com/chart/bXJLby4L/?symbol=NSE%3AMAHASTEEL" TargetMode="External"/><Relationship Id="rId1262" Type="http://schemas.openxmlformats.org/officeDocument/2006/relationships/hyperlink" Target="https://in.tradingview.com/chart/bXJLby4L/?symbol=NSE%3AEMSLIMITED" TargetMode="External"/><Relationship Id="rId2593" Type="http://schemas.openxmlformats.org/officeDocument/2006/relationships/hyperlink" Target="https://in.tradingview.com/chart/Cgv3Jm6J/?symbol=NSE%3AMOM50" TargetMode="External"/><Relationship Id="rId1263" Type="http://schemas.openxmlformats.org/officeDocument/2006/relationships/hyperlink" Target="https://in.tradingview.com/chart/Cgv3Jm6J/?symbol=NSE%3AGANDHAR" TargetMode="External"/><Relationship Id="rId2594" Type="http://schemas.openxmlformats.org/officeDocument/2006/relationships/hyperlink" Target="https://in.tradingview.com/chart/bXJLby4L/?symbol=NSE%3AMGL" TargetMode="External"/><Relationship Id="rId433" Type="http://schemas.openxmlformats.org/officeDocument/2006/relationships/hyperlink" Target="https://in.tradingview.com/chart/Cgv3Jm6J/?symbol=NSE%3AAXISNIFTY" TargetMode="External"/><Relationship Id="rId1264" Type="http://schemas.openxmlformats.org/officeDocument/2006/relationships/hyperlink" Target="https://in.tradingview.com/chart/bXJLby4L/?symbol=NSE%3AEMUDHRA" TargetMode="External"/><Relationship Id="rId2595" Type="http://schemas.openxmlformats.org/officeDocument/2006/relationships/hyperlink" Target="https://in.tradingview.com/chart/Cgv3Jm6J/?symbol=NSE%3AMOMENTUM" TargetMode="External"/><Relationship Id="rId432" Type="http://schemas.openxmlformats.org/officeDocument/2006/relationships/hyperlink" Target="https://in.tradingview.com/chart/bXJLby4L/?symbol=NSE%3AAURUM" TargetMode="External"/><Relationship Id="rId1265" Type="http://schemas.openxmlformats.org/officeDocument/2006/relationships/hyperlink" Target="https://in.tradingview.com/chart/Cgv3Jm6J/?symbol=NSE%3AGANDHITUBE" TargetMode="External"/><Relationship Id="rId2596" Type="http://schemas.openxmlformats.org/officeDocument/2006/relationships/hyperlink" Target="https://in.tradingview.com/chart/bXJLby4L/?symbol=NSE%3AMTNL" TargetMode="External"/><Relationship Id="rId431" Type="http://schemas.openxmlformats.org/officeDocument/2006/relationships/hyperlink" Target="https://in.tradingview.com/chart/Cgv3Jm6J/?symbol=NSE%3AAXISILVER" TargetMode="External"/><Relationship Id="rId1266" Type="http://schemas.openxmlformats.org/officeDocument/2006/relationships/hyperlink" Target="https://in.tradingview.com/chart/bXJLby4L/?symbol=NSE%3AENDURANCE" TargetMode="External"/><Relationship Id="rId2597" Type="http://schemas.openxmlformats.org/officeDocument/2006/relationships/hyperlink" Target="https://in.tradingview.com/chart/Cgv3Jm6J/?symbol=NSE%3AMOMENTUM50" TargetMode="External"/><Relationship Id="rId430" Type="http://schemas.openxmlformats.org/officeDocument/2006/relationships/hyperlink" Target="https://in.tradingview.com/chart/bXJLby4L/?symbol=NSE%3AAUROPHARMA" TargetMode="External"/><Relationship Id="rId1267" Type="http://schemas.openxmlformats.org/officeDocument/2006/relationships/hyperlink" Target="https://in.tradingview.com/chart/Cgv3Jm6J/?symbol=NSE%3AGANECOS" TargetMode="External"/><Relationship Id="rId2598" Type="http://schemas.openxmlformats.org/officeDocument/2006/relationships/hyperlink" Target="https://in.tradingview.com/chart/bXJLby4L/?symbol=NSE%3AMAHSCOOTER" TargetMode="External"/><Relationship Id="rId3070" Type="http://schemas.openxmlformats.org/officeDocument/2006/relationships/hyperlink" Target="https://in.tradingview.com/chart/bXJLby4L/?symbol=NSE%3ANIFTY200QUALITY30" TargetMode="External"/><Relationship Id="rId3072" Type="http://schemas.openxmlformats.org/officeDocument/2006/relationships/hyperlink" Target="https://in.tradingview.com/chart/bXJLby4L/?symbol=NSE%3ANV20" TargetMode="External"/><Relationship Id="rId3071" Type="http://schemas.openxmlformats.org/officeDocument/2006/relationships/hyperlink" Target="https://in.tradingview.com/chart/Cgv3Jm6J/?symbol=NSE%3APLAZACABLE" TargetMode="External"/><Relationship Id="rId3074" Type="http://schemas.openxmlformats.org/officeDocument/2006/relationships/hyperlink" Target="https://in.tradingview.com/chart/bXJLby4L/?symbol=NSE%3ANIFTY500" TargetMode="External"/><Relationship Id="rId3073" Type="http://schemas.openxmlformats.org/officeDocument/2006/relationships/hyperlink" Target="https://in.tradingview.com/chart/Cgv3Jm6J/?symbol=NSE%3APNB" TargetMode="External"/><Relationship Id="rId3076" Type="http://schemas.openxmlformats.org/officeDocument/2006/relationships/hyperlink" Target="https://in.tradingview.com/chart/bXJLby4L/?symbol=NSE%3ANIFTY500MOMENTM50" TargetMode="External"/><Relationship Id="rId3075" Type="http://schemas.openxmlformats.org/officeDocument/2006/relationships/hyperlink" Target="https://in.tradingview.com/chart/Cgv3Jm6J/?symbol=NSE%3APNBGILTS" TargetMode="External"/><Relationship Id="rId3078" Type="http://schemas.openxmlformats.org/officeDocument/2006/relationships/hyperlink" Target="https://in.tradingview.com/chart/bXJLby4L/?symbol=NSE%3ANIFTY500MULTICAP" TargetMode="External"/><Relationship Id="rId3077" Type="http://schemas.openxmlformats.org/officeDocument/2006/relationships/hyperlink" Target="https://in.tradingview.com/chart/Cgv3Jm6J/?symbol=NSE%3APNBHOUSING" TargetMode="External"/><Relationship Id="rId3079" Type="http://schemas.openxmlformats.org/officeDocument/2006/relationships/hyperlink" Target="https://in.tradingview.com/chart/Cgv3Jm6J/?symbol=NSE%3APNC" TargetMode="External"/><Relationship Id="rId4390" Type="http://schemas.openxmlformats.org/officeDocument/2006/relationships/hyperlink" Target="https://in.tradingview.com/chart/bXJLby4L/?symbol=NSE%3ATMB" TargetMode="External"/><Relationship Id="rId3061" Type="http://schemas.openxmlformats.org/officeDocument/2006/relationships/hyperlink" Target="https://in.tradingview.com/chart/Cgv3Jm6J/?symbol=NSE%3APITTIENG" TargetMode="External"/><Relationship Id="rId4392" Type="http://schemas.openxmlformats.org/officeDocument/2006/relationships/hyperlink" Target="https://in.tradingview.com/chart/bXJLby4L/?symbol=NSE%3ATNPETRO" TargetMode="External"/><Relationship Id="rId3060" Type="http://schemas.openxmlformats.org/officeDocument/2006/relationships/hyperlink" Target="https://in.tradingview.com/chart/bXJLby4L/?symbol=NSE%3ANIFTY100LIQ15" TargetMode="External"/><Relationship Id="rId4391" Type="http://schemas.openxmlformats.org/officeDocument/2006/relationships/hyperlink" Target="https://in.tradingview.com/chart/Cgv3Jm6J/?symbol=NSE%3AWHEELS" TargetMode="External"/><Relationship Id="rId3063" Type="http://schemas.openxmlformats.org/officeDocument/2006/relationships/hyperlink" Target="https://in.tradingview.com/chart/Cgv3Jm6J/?symbol=NSE%3APIXTRANS" TargetMode="External"/><Relationship Id="rId4394" Type="http://schemas.openxmlformats.org/officeDocument/2006/relationships/hyperlink" Target="https://in.tradingview.com/chart/bXJLby4L/?symbol=NSE%3ATNTELE" TargetMode="External"/><Relationship Id="rId3062" Type="http://schemas.openxmlformats.org/officeDocument/2006/relationships/hyperlink" Target="https://in.tradingview.com/chart/bXJLby4L/?symbol=NSE%3ANIFTY100LOWVOL30" TargetMode="External"/><Relationship Id="rId4393" Type="http://schemas.openxmlformats.org/officeDocument/2006/relationships/hyperlink" Target="https://in.tradingview.com/chart/Cgv3Jm6J/?symbol=NSE%3AWHIRLPOOL" TargetMode="External"/><Relationship Id="rId3065" Type="http://schemas.openxmlformats.org/officeDocument/2006/relationships/hyperlink" Target="https://in.tradingview.com/chart/Cgv3Jm6J/?symbol=NSE%3APKTEA" TargetMode="External"/><Relationship Id="rId4396" Type="http://schemas.openxmlformats.org/officeDocument/2006/relationships/hyperlink" Target="https://in.tradingview.com/chart/bXJLby4L/?symbol=NSE%3ATANLA" TargetMode="External"/><Relationship Id="rId3064" Type="http://schemas.openxmlformats.org/officeDocument/2006/relationships/hyperlink" Target="https://in.tradingview.com/chart/bXJLby4L/?symbol=NSE%3ANIFTY200" TargetMode="External"/><Relationship Id="rId4395" Type="http://schemas.openxmlformats.org/officeDocument/2006/relationships/hyperlink" Target="https://in.tradingview.com/chart/Cgv3Jm6J/?symbol=NSE%3AWILLAMAGOR" TargetMode="External"/><Relationship Id="rId3067" Type="http://schemas.openxmlformats.org/officeDocument/2006/relationships/hyperlink" Target="https://in.tradingview.com/chart/Cgv3Jm6J/?symbol=NSE%3APLASTIBLEN" TargetMode="External"/><Relationship Id="rId4398" Type="http://schemas.openxmlformats.org/officeDocument/2006/relationships/hyperlink" Target="https://in.tradingview.com/chart/bXJLby4L/?symbol=NSE%3ATICL" TargetMode="External"/><Relationship Id="rId3066" Type="http://schemas.openxmlformats.org/officeDocument/2006/relationships/hyperlink" Target="https://in.tradingview.com/chart/bXJLby4L/?symbol=NSE%3ANIFTY200ALPHA30" TargetMode="External"/><Relationship Id="rId4397" Type="http://schemas.openxmlformats.org/officeDocument/2006/relationships/hyperlink" Target="https://in.tradingview.com/chart/Cgv3Jm6J/?symbol=NSE%3AWINDLAS" TargetMode="External"/><Relationship Id="rId3069" Type="http://schemas.openxmlformats.org/officeDocument/2006/relationships/hyperlink" Target="https://in.tradingview.com/chart/Cgv3Jm6J/?symbol=NSE%3APLATIND" TargetMode="External"/><Relationship Id="rId3068" Type="http://schemas.openxmlformats.org/officeDocument/2006/relationships/hyperlink" Target="https://in.tradingview.com/chart/bXJLby4L/?symbol=NSE%3ANIFTY200MOMENTM30" TargetMode="External"/><Relationship Id="rId4399" Type="http://schemas.openxmlformats.org/officeDocument/2006/relationships/hyperlink" Target="https://in.tradingview.com/chart/Cgv3Jm6J/?symbol=NSE%3AWINDMACHIN" TargetMode="External"/><Relationship Id="rId3090" Type="http://schemas.openxmlformats.org/officeDocument/2006/relationships/hyperlink" Target="https://in.tradingview.com/chart/bXJLby4L/?symbol=NSE%3ANIFTY50TR2XLEV" TargetMode="External"/><Relationship Id="rId3092" Type="http://schemas.openxmlformats.org/officeDocument/2006/relationships/hyperlink" Target="https://in.tradingview.com/chart/bXJLby4L/?symbol=NSE%3ANIFTY50VALUE20" TargetMode="External"/><Relationship Id="rId3091" Type="http://schemas.openxmlformats.org/officeDocument/2006/relationships/hyperlink" Target="https://in.tradingview.com/chart/Cgv3Jm6J/?symbol=NSE%3APOLICYBZR" TargetMode="External"/><Relationship Id="rId3094" Type="http://schemas.openxmlformats.org/officeDocument/2006/relationships/hyperlink" Target="https://in.tradingview.com/chart/bXJLby4L/?symbol=NSE%3ANIFTY50VALUE30" TargetMode="External"/><Relationship Id="rId3093" Type="http://schemas.openxmlformats.org/officeDocument/2006/relationships/hyperlink" Target="https://in.tradingview.com/chart/Cgv3Jm6J/?symbol=NSE%3APOLYCAB" TargetMode="External"/><Relationship Id="rId3096" Type="http://schemas.openxmlformats.org/officeDocument/2006/relationships/hyperlink" Target="https://in.tradingview.com/chart/bXJLby4L/?symbol=NSE%3ANIFTYALPHA50" TargetMode="External"/><Relationship Id="rId3095" Type="http://schemas.openxmlformats.org/officeDocument/2006/relationships/hyperlink" Target="https://in.tradingview.com/chart/Cgv3Jm6J/?symbol=NSE%3APOLYMED" TargetMode="External"/><Relationship Id="rId3098" Type="http://schemas.openxmlformats.org/officeDocument/2006/relationships/hyperlink" Target="https://in.tradingview.com/chart/bXJLby4L/?symbol=NSE%3ANIFTYALPHALOWVOL" TargetMode="External"/><Relationship Id="rId3097" Type="http://schemas.openxmlformats.org/officeDocument/2006/relationships/hyperlink" Target="https://in.tradingview.com/chart/Cgv3Jm6J/?symbol=NSE%3APOLYPLEX" TargetMode="External"/><Relationship Id="rId3099" Type="http://schemas.openxmlformats.org/officeDocument/2006/relationships/hyperlink" Target="https://in.tradingview.com/chart/Cgv3Jm6J/?symbol=NSE%3APONNIERODE" TargetMode="External"/><Relationship Id="rId3081" Type="http://schemas.openxmlformats.org/officeDocument/2006/relationships/hyperlink" Target="https://in.tradingview.com/chart/Cgv3Jm6J/?symbol=NSE%3APNCINFRA" TargetMode="External"/><Relationship Id="rId3080" Type="http://schemas.openxmlformats.org/officeDocument/2006/relationships/hyperlink" Target="https://in.tradingview.com/chart/bXJLby4L/?symbol=NSE%3ANIFTY50DIVPOINT" TargetMode="External"/><Relationship Id="rId3083" Type="http://schemas.openxmlformats.org/officeDocument/2006/relationships/hyperlink" Target="https://in.tradingview.com/chart/Cgv3Jm6J/?symbol=NSE%3APNGJL" TargetMode="External"/><Relationship Id="rId3082" Type="http://schemas.openxmlformats.org/officeDocument/2006/relationships/hyperlink" Target="https://in.tradingview.com/chart/bXJLby4L/?symbol=NSE%3ANIFTY50EQLWGT" TargetMode="External"/><Relationship Id="rId3085" Type="http://schemas.openxmlformats.org/officeDocument/2006/relationships/hyperlink" Target="https://in.tradingview.com/chart/Cgv3Jm6J/?symbol=NSE%3APOCL" TargetMode="External"/><Relationship Id="rId3084" Type="http://schemas.openxmlformats.org/officeDocument/2006/relationships/hyperlink" Target="https://in.tradingview.com/chart/bXJLby4L/?symbol=NSE%3ANIFTY50PR1XINV" TargetMode="External"/><Relationship Id="rId3087" Type="http://schemas.openxmlformats.org/officeDocument/2006/relationships/hyperlink" Target="https://in.tradingview.com/chart/Cgv3Jm6J/?symbol=NSE%3APODDARMENT" TargetMode="External"/><Relationship Id="rId3086" Type="http://schemas.openxmlformats.org/officeDocument/2006/relationships/hyperlink" Target="https://in.tradingview.com/chart/bXJLby4L/?symbol=NSE%3ANIFTY50PR2XLEV" TargetMode="External"/><Relationship Id="rId3089" Type="http://schemas.openxmlformats.org/officeDocument/2006/relationships/hyperlink" Target="https://in.tradingview.com/chart/Cgv3Jm6J/?symbol=NSE%3APOKARNA" TargetMode="External"/><Relationship Id="rId3088" Type="http://schemas.openxmlformats.org/officeDocument/2006/relationships/hyperlink" Target="https://in.tradingview.com/chart/bXJLby4L/?symbol=NSE%3ANIFTY50TR1XINV" TargetMode="External"/><Relationship Id="rId3039" Type="http://schemas.openxmlformats.org/officeDocument/2006/relationships/hyperlink" Target="https://in.tradingview.com/chart/Cgv3Jm6J/?symbol=NSE%3APGHH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bXJLby4L/?symbol=NSE%3A20MICRONS" TargetMode="External"/><Relationship Id="rId3" Type="http://schemas.openxmlformats.org/officeDocument/2006/relationships/hyperlink" Target="https://in.tradingview.com/chart/Cgv3Jm6J/?symbol=NSE%3A21STCENMGM" TargetMode="External"/><Relationship Id="rId4" Type="http://schemas.openxmlformats.org/officeDocument/2006/relationships/hyperlink" Target="https://in.tradingview.com/chart/bXJLby4L/?symbol=NSE%3AGOLD360" TargetMode="External"/><Relationship Id="rId3030" Type="http://schemas.openxmlformats.org/officeDocument/2006/relationships/hyperlink" Target="https://in.tradingview.com/chart/bXJLby4L/?symbol=NSE%3ANIACL" TargetMode="External"/><Relationship Id="rId4361" Type="http://schemas.openxmlformats.org/officeDocument/2006/relationships/hyperlink" Target="https://in.tradingview.com/chart/Cgv3Jm6J/?symbol=NSE%3AWABAG" TargetMode="External"/><Relationship Id="rId4360" Type="http://schemas.openxmlformats.org/officeDocument/2006/relationships/hyperlink" Target="https://in.tradingview.com/chart/bXJLby4L/?symbol=NSE%3ASWARAJENG" TargetMode="External"/><Relationship Id="rId9" Type="http://schemas.openxmlformats.org/officeDocument/2006/relationships/hyperlink" Target="https://in.tradingview.com/chart/Cgv3Jm6J/?symbol=NSE%3A3MINDIA" TargetMode="External"/><Relationship Id="rId3032" Type="http://schemas.openxmlformats.org/officeDocument/2006/relationships/hyperlink" Target="https://in.tradingview.com/chart/bXJLby4L/?symbol=NSE%3ANEWGEN" TargetMode="External"/><Relationship Id="rId4363" Type="http://schemas.openxmlformats.org/officeDocument/2006/relationships/hyperlink" Target="https://in.tradingview.com/chart/Cgv3Jm6J/?symbol=NSE%3AWALCHANNAG" TargetMode="External"/><Relationship Id="rId3031" Type="http://schemas.openxmlformats.org/officeDocument/2006/relationships/hyperlink" Target="https://in.tradingview.com/chart/Cgv3Jm6J/?symbol=NSE%3APFIZER" TargetMode="External"/><Relationship Id="rId4362" Type="http://schemas.openxmlformats.org/officeDocument/2006/relationships/hyperlink" Target="https://in.tradingview.com/chart/bXJLby4L/?symbol=NSE%3ASWELECTES" TargetMode="External"/><Relationship Id="rId3034" Type="http://schemas.openxmlformats.org/officeDocument/2006/relationships/hyperlink" Target="https://in.tradingview.com/chart/bXJLby4L/?symbol=NSE%3ANEXTMEDIA" TargetMode="External"/><Relationship Id="rId4365" Type="http://schemas.openxmlformats.org/officeDocument/2006/relationships/hyperlink" Target="https://in.tradingview.com/chart/Cgv3Jm6J/?symbol=NSE%3AWANBURY" TargetMode="External"/><Relationship Id="rId3033" Type="http://schemas.openxmlformats.org/officeDocument/2006/relationships/hyperlink" Target="https://in.tradingview.com/chart/Cgv3Jm6J/?symbol=NSE%3APFOCUS" TargetMode="External"/><Relationship Id="rId4364" Type="http://schemas.openxmlformats.org/officeDocument/2006/relationships/hyperlink" Target="https://in.tradingview.com/chart/bXJLby4L/?symbol=NSE%3ASWIGGY" TargetMode="External"/><Relationship Id="rId5" Type="http://schemas.openxmlformats.org/officeDocument/2006/relationships/hyperlink" Target="https://in.tradingview.com/chart/Cgv3Jm6J/?symbol=NSE%3A360ONE" TargetMode="External"/><Relationship Id="rId3036" Type="http://schemas.openxmlformats.org/officeDocument/2006/relationships/hyperlink" Target="https://in.tradingview.com/chart/bXJLby4L/?symbol=NSE%3ANGLFINE" TargetMode="External"/><Relationship Id="rId4367" Type="http://schemas.openxmlformats.org/officeDocument/2006/relationships/hyperlink" Target="https://in.tradingview.com/chart/Cgv3Jm6J/?symbol=NSE%3AWCIL" TargetMode="External"/><Relationship Id="rId6" Type="http://schemas.openxmlformats.org/officeDocument/2006/relationships/hyperlink" Target="https://in.tradingview.com/chart/bXJLby4L/?symbol=NSE%3ASILVER360" TargetMode="External"/><Relationship Id="rId3035" Type="http://schemas.openxmlformats.org/officeDocument/2006/relationships/hyperlink" Target="https://in.tradingview.com/chart/Cgv3Jm6J/?symbol=NSE%3APFS" TargetMode="External"/><Relationship Id="rId4366" Type="http://schemas.openxmlformats.org/officeDocument/2006/relationships/hyperlink" Target="https://in.tradingview.com/chart/bXJLby4L/?symbol=NSE%3ASYMPHONY" TargetMode="External"/><Relationship Id="rId7" Type="http://schemas.openxmlformats.org/officeDocument/2006/relationships/hyperlink" Target="https://in.tradingview.com/chart/Cgv3Jm6J/?symbol=NSE%3A3IINFOLTD" TargetMode="External"/><Relationship Id="rId3038" Type="http://schemas.openxmlformats.org/officeDocument/2006/relationships/hyperlink" Target="https://in.tradingview.com/chart/bXJLby4L/?symbol=NSE%3ANHPC" TargetMode="External"/><Relationship Id="rId4369" Type="http://schemas.openxmlformats.org/officeDocument/2006/relationships/hyperlink" Target="https://in.tradingview.com/chart/Cgv3Jm6J/?symbol=NSE%3AWEALTH" TargetMode="External"/><Relationship Id="rId8" Type="http://schemas.openxmlformats.org/officeDocument/2006/relationships/hyperlink" Target="https://in.tradingview.com/chart/bXJLby4L/?symbol=NSE%3A360ONE" TargetMode="External"/><Relationship Id="rId3037" Type="http://schemas.openxmlformats.org/officeDocument/2006/relationships/hyperlink" Target="https://in.tradingview.com/chart/Cgv3Jm6J/?symbol=NSE%3APGEL" TargetMode="External"/><Relationship Id="rId4368" Type="http://schemas.openxmlformats.org/officeDocument/2006/relationships/hyperlink" Target="https://in.tradingview.com/chart/bXJLby4L/?symbol=NSE%3ASYNCOMF" TargetMode="External"/><Relationship Id="rId3029" Type="http://schemas.openxmlformats.org/officeDocument/2006/relationships/hyperlink" Target="https://in.tradingview.com/chart/Cgv3Jm6J/?symbol=NSE%3APFC" TargetMode="External"/><Relationship Id="rId3028" Type="http://schemas.openxmlformats.org/officeDocument/2006/relationships/hyperlink" Target="https://in.tradingview.com/chart/bXJLby4L/?symbol=NSE%3ANDTV" TargetMode="External"/><Relationship Id="rId4359" Type="http://schemas.openxmlformats.org/officeDocument/2006/relationships/hyperlink" Target="https://in.tradingview.com/chart/Cgv3Jm6J/?symbol=NSE%3AWAAREEENER" TargetMode="External"/><Relationship Id="rId4350" Type="http://schemas.openxmlformats.org/officeDocument/2006/relationships/hyperlink" Target="https://in.tradingview.com/chart/bXJLby4L/?symbol=NSE%3ASUVEN" TargetMode="External"/><Relationship Id="rId3021" Type="http://schemas.openxmlformats.org/officeDocument/2006/relationships/hyperlink" Target="https://in.tradingview.com/chart/Cgv3Jm6J/?symbol=NSE%3APEL" TargetMode="External"/><Relationship Id="rId4352" Type="http://schemas.openxmlformats.org/officeDocument/2006/relationships/hyperlink" Target="https://in.tradingview.com/chart/bXJLby4L/?symbol=NSE%3ASUYOG" TargetMode="External"/><Relationship Id="rId3020" Type="http://schemas.openxmlformats.org/officeDocument/2006/relationships/hyperlink" Target="https://in.tradingview.com/chart/bXJLby4L/?symbol=NSE%3ANETWEB" TargetMode="External"/><Relationship Id="rId4351" Type="http://schemas.openxmlformats.org/officeDocument/2006/relationships/hyperlink" Target="https://in.tradingview.com/chart/Cgv3Jm6J/?symbol=NSE%3AVSTIND" TargetMode="External"/><Relationship Id="rId3023" Type="http://schemas.openxmlformats.org/officeDocument/2006/relationships/hyperlink" Target="https://in.tradingview.com/chart/Cgv3Jm6J/?symbol=NSE%3APENIND" TargetMode="External"/><Relationship Id="rId4354" Type="http://schemas.openxmlformats.org/officeDocument/2006/relationships/hyperlink" Target="https://in.tradingview.com/chart/bXJLby4L/?symbol=NSE%3ASUZLON" TargetMode="External"/><Relationship Id="rId3022" Type="http://schemas.openxmlformats.org/officeDocument/2006/relationships/hyperlink" Target="https://in.tradingview.com/chart/bXJLby4L/?symbol=NSE%3ANPST" TargetMode="External"/><Relationship Id="rId4353" Type="http://schemas.openxmlformats.org/officeDocument/2006/relationships/hyperlink" Target="https://in.tradingview.com/chart/Cgv3Jm6J/?symbol=NSE%3AVSTL" TargetMode="External"/><Relationship Id="rId3025" Type="http://schemas.openxmlformats.org/officeDocument/2006/relationships/hyperlink" Target="https://in.tradingview.com/chart/Cgv3Jm6J/?symbol=NSE%3APERSISTENT" TargetMode="External"/><Relationship Id="rId4356" Type="http://schemas.openxmlformats.org/officeDocument/2006/relationships/hyperlink" Target="https://in.tradingview.com/chart/bXJLby4L/?symbol=NSE%3ASWANCORP" TargetMode="External"/><Relationship Id="rId3024" Type="http://schemas.openxmlformats.org/officeDocument/2006/relationships/hyperlink" Target="https://in.tradingview.com/chart/bXJLby4L/?symbol=NSE%3ANETWORK18" TargetMode="External"/><Relationship Id="rId4355" Type="http://schemas.openxmlformats.org/officeDocument/2006/relationships/hyperlink" Target="https://in.tradingview.com/chart/Cgv3Jm6J/?symbol=NSE%3AVSTTILLERS" TargetMode="External"/><Relationship Id="rId3027" Type="http://schemas.openxmlformats.org/officeDocument/2006/relationships/hyperlink" Target="https://in.tradingview.com/chart/Cgv3Jm6J/?symbol=NSE%3APETRONET" TargetMode="External"/><Relationship Id="rId4358" Type="http://schemas.openxmlformats.org/officeDocument/2006/relationships/hyperlink" Target="https://in.tradingview.com/chart/bXJLby4L/?symbol=NSE%3ASWANDEF" TargetMode="External"/><Relationship Id="rId3026" Type="http://schemas.openxmlformats.org/officeDocument/2006/relationships/hyperlink" Target="https://in.tradingview.com/chart/bXJLby4L/?symbol=NSE%3ANEULANDLAB" TargetMode="External"/><Relationship Id="rId4357" Type="http://schemas.openxmlformats.org/officeDocument/2006/relationships/hyperlink" Target="https://in.tradingview.com/chart/Cgv3Jm6J/?symbol=NSE%3AVTL" TargetMode="External"/><Relationship Id="rId3050" Type="http://schemas.openxmlformats.org/officeDocument/2006/relationships/hyperlink" Target="https://in.tradingview.com/chart/bXJLby4L/?symbol=NSE%3ANIFTY1" TargetMode="External"/><Relationship Id="rId4381" Type="http://schemas.openxmlformats.org/officeDocument/2006/relationships/hyperlink" Target="https://in.tradingview.com/chart/Cgv3Jm6J/?symbol=NSE%3AWELINV" TargetMode="External"/><Relationship Id="rId4380" Type="http://schemas.openxmlformats.org/officeDocument/2006/relationships/hyperlink" Target="https://in.tradingview.com/chart/bXJLby4L/?symbol=NSE%3ATAINWALCHM" TargetMode="External"/><Relationship Id="rId3052" Type="http://schemas.openxmlformats.org/officeDocument/2006/relationships/hyperlink" Target="https://in.tradingview.com/chart/bXJLby4L/?symbol=NSE%3ANIFTY100" TargetMode="External"/><Relationship Id="rId4383" Type="http://schemas.openxmlformats.org/officeDocument/2006/relationships/hyperlink" Target="https://in.tradingview.com/chart/Cgv3Jm6J/?symbol=NSE%3AWELSPUNLIV" TargetMode="External"/><Relationship Id="rId3051" Type="http://schemas.openxmlformats.org/officeDocument/2006/relationships/hyperlink" Target="https://in.tradingview.com/chart/Cgv3Jm6J/?symbol=NSE%3APIGL" TargetMode="External"/><Relationship Id="rId4382" Type="http://schemas.openxmlformats.org/officeDocument/2006/relationships/hyperlink" Target="https://in.tradingview.com/chart/bXJLby4L/?symbol=NSE%3ATAJGVK" TargetMode="External"/><Relationship Id="rId3054" Type="http://schemas.openxmlformats.org/officeDocument/2006/relationships/hyperlink" Target="https://in.tradingview.com/chart/bXJLby4L/?symbol=NSE%3ANIFTY100EQLWGT" TargetMode="External"/><Relationship Id="rId4385" Type="http://schemas.openxmlformats.org/officeDocument/2006/relationships/hyperlink" Target="https://in.tradingview.com/chart/Cgv3Jm6J/?symbol=NSE%3AWENDT" TargetMode="External"/><Relationship Id="rId3053" Type="http://schemas.openxmlformats.org/officeDocument/2006/relationships/hyperlink" Target="https://in.tradingview.com/chart/Cgv3Jm6J/?symbol=NSE%3APIIND" TargetMode="External"/><Relationship Id="rId4384" Type="http://schemas.openxmlformats.org/officeDocument/2006/relationships/hyperlink" Target="https://in.tradingview.com/chart/bXJLby4L/?symbol=NSE%3ATAKE" TargetMode="External"/><Relationship Id="rId3056" Type="http://schemas.openxmlformats.org/officeDocument/2006/relationships/hyperlink" Target="https://in.tradingview.com/chart/bXJLby4L/?symbol=NSE%3ANIFTY100ESG" TargetMode="External"/><Relationship Id="rId4387" Type="http://schemas.openxmlformats.org/officeDocument/2006/relationships/hyperlink" Target="https://in.tradingview.com/chart/Cgv3Jm6J/?symbol=NSE%3AWESTLIFE" TargetMode="External"/><Relationship Id="rId3055" Type="http://schemas.openxmlformats.org/officeDocument/2006/relationships/hyperlink" Target="https://in.tradingview.com/chart/Cgv3Jm6J/?symbol=NSE%3APILANIINVS" TargetMode="External"/><Relationship Id="rId4386" Type="http://schemas.openxmlformats.org/officeDocument/2006/relationships/hyperlink" Target="https://in.tradingview.com/chart/bXJLby4L/?symbol=NSE%3ATALBROAUTO" TargetMode="External"/><Relationship Id="rId3058" Type="http://schemas.openxmlformats.org/officeDocument/2006/relationships/hyperlink" Target="https://in.tradingview.com/chart/bXJLby4L/?symbol=NSE%3ANIFTY100ESGSECLDR" TargetMode="External"/><Relationship Id="rId4389" Type="http://schemas.openxmlformats.org/officeDocument/2006/relationships/hyperlink" Target="https://in.tradingview.com/chart/Cgv3Jm6J/?symbol=NSE%3AWEWIN" TargetMode="External"/><Relationship Id="rId3057" Type="http://schemas.openxmlformats.org/officeDocument/2006/relationships/hyperlink" Target="https://in.tradingview.com/chart/Cgv3Jm6J/?symbol=NSE%3APILITA" TargetMode="External"/><Relationship Id="rId4388" Type="http://schemas.openxmlformats.org/officeDocument/2006/relationships/hyperlink" Target="https://in.tradingview.com/chart/bXJLby4L/?symbol=NSE%3ATNPL" TargetMode="External"/><Relationship Id="rId3059" Type="http://schemas.openxmlformats.org/officeDocument/2006/relationships/hyperlink" Target="https://in.tradingview.com/chart/Cgv3Jm6J/?symbol=NSE%3APIONEEREMB" TargetMode="External"/><Relationship Id="rId4370" Type="http://schemas.openxmlformats.org/officeDocument/2006/relationships/hyperlink" Target="https://in.tradingview.com/chart/bXJLby4L/?symbol=NSE%3ASGIL" TargetMode="External"/><Relationship Id="rId3041" Type="http://schemas.openxmlformats.org/officeDocument/2006/relationships/hyperlink" Target="https://in.tradingview.com/chart/Cgv3Jm6J/?symbol=NSE%3APGHL" TargetMode="External"/><Relationship Id="rId4372" Type="http://schemas.openxmlformats.org/officeDocument/2006/relationships/hyperlink" Target="https://in.tradingview.com/chart/bXJLby4L/?symbol=NSE%3ASYNGENE" TargetMode="External"/><Relationship Id="rId3040" Type="http://schemas.openxmlformats.org/officeDocument/2006/relationships/hyperlink" Target="https://in.tradingview.com/chart/bXJLby4L/?symbol=NSE%3ANIBE" TargetMode="External"/><Relationship Id="rId4371" Type="http://schemas.openxmlformats.org/officeDocument/2006/relationships/hyperlink" Target="https://in.tradingview.com/chart/Cgv3Jm6J/?symbol=NSE%3AWEBELSOLAR" TargetMode="External"/><Relationship Id="rId3043" Type="http://schemas.openxmlformats.org/officeDocument/2006/relationships/hyperlink" Target="https://in.tradingview.com/chart/Cgv3Jm6J/?symbol=NSE%3APGIL" TargetMode="External"/><Relationship Id="rId4374" Type="http://schemas.openxmlformats.org/officeDocument/2006/relationships/hyperlink" Target="https://in.tradingview.com/chart/bXJLby4L/?symbol=NSE%3ASYRMA" TargetMode="External"/><Relationship Id="rId3042" Type="http://schemas.openxmlformats.org/officeDocument/2006/relationships/hyperlink" Target="https://in.tradingview.com/chart/bXJLby4L/?symbol=NSE%3ANIFTY" TargetMode="External"/><Relationship Id="rId4373" Type="http://schemas.openxmlformats.org/officeDocument/2006/relationships/hyperlink" Target="https://in.tradingview.com/chart/Cgv3Jm6J/?symbol=NSE%3AWEIZMANIND" TargetMode="External"/><Relationship Id="rId3045" Type="http://schemas.openxmlformats.org/officeDocument/2006/relationships/hyperlink" Target="https://in.tradingview.com/chart/Cgv3Jm6J/?symbol=NSE%3APHARMABEES" TargetMode="External"/><Relationship Id="rId4376" Type="http://schemas.openxmlformats.org/officeDocument/2006/relationships/hyperlink" Target="https://in.tradingview.com/chart/bXJLby4L/?symbol=NSE%3ASYSTMTXC" TargetMode="External"/><Relationship Id="rId3044" Type="http://schemas.openxmlformats.org/officeDocument/2006/relationships/hyperlink" Target="https://in.tradingview.com/chart/bXJLby4L/?symbol=NSE%3ACNXIT" TargetMode="External"/><Relationship Id="rId4375" Type="http://schemas.openxmlformats.org/officeDocument/2006/relationships/hyperlink" Target="https://in.tradingview.com/chart/Cgv3Jm6J/?symbol=NSE%3AWEL" TargetMode="External"/><Relationship Id="rId3047" Type="http://schemas.openxmlformats.org/officeDocument/2006/relationships/hyperlink" Target="https://in.tradingview.com/chart/Cgv3Jm6J/?symbol=NSE%3APHOENIXLTD" TargetMode="External"/><Relationship Id="rId4378" Type="http://schemas.openxmlformats.org/officeDocument/2006/relationships/hyperlink" Target="https://in.tradingview.com/chart/bXJLby4L/?symbol=NSE%3ATTL" TargetMode="External"/><Relationship Id="rId3046" Type="http://schemas.openxmlformats.org/officeDocument/2006/relationships/hyperlink" Target="https://in.tradingview.com/chart/bXJLby4L/?symbol=NSE%3ANIFTYMIDCAP150" TargetMode="External"/><Relationship Id="rId4377" Type="http://schemas.openxmlformats.org/officeDocument/2006/relationships/hyperlink" Target="https://in.tradingview.com/chart/Cgv3Jm6J/?symbol=NSE%3AWELCORP" TargetMode="External"/><Relationship Id="rId3049" Type="http://schemas.openxmlformats.org/officeDocument/2006/relationships/hyperlink" Target="https://in.tradingview.com/chart/Cgv3Jm6J/?symbol=NSE%3APIDILITIND" TargetMode="External"/><Relationship Id="rId3048" Type="http://schemas.openxmlformats.org/officeDocument/2006/relationships/hyperlink" Target="https://in.tradingview.com/chart/bXJLby4L/?symbol=NSE%3ANIFTYTOTALMKT" TargetMode="External"/><Relationship Id="rId4379" Type="http://schemas.openxmlformats.org/officeDocument/2006/relationships/hyperlink" Target="https://in.tradingview.com/chart/Cgv3Jm6J/?symbol=NSE%3AWELENT" TargetMode="External"/><Relationship Id="rId3911" Type="http://schemas.openxmlformats.org/officeDocument/2006/relationships/hyperlink" Target="https://in.tradingview.com/chart/Cgv3Jm6J/?symbol=NSE%3ASUULD" TargetMode="External"/><Relationship Id="rId3910" Type="http://schemas.openxmlformats.org/officeDocument/2006/relationships/hyperlink" Target="https://in.tradingview.com/chart/bXJLby4L/?symbol=NSE%3ASARLAPOLY" TargetMode="External"/><Relationship Id="rId3913" Type="http://schemas.openxmlformats.org/officeDocument/2006/relationships/hyperlink" Target="https://in.tradingview.com/chart/Cgv3Jm6J/?symbol=NSE%3ASUVEN" TargetMode="External"/><Relationship Id="rId3912" Type="http://schemas.openxmlformats.org/officeDocument/2006/relationships/hyperlink" Target="https://in.tradingview.com/chart/bXJLby4L/?symbol=NSE%3ASMLT" TargetMode="External"/><Relationship Id="rId3915" Type="http://schemas.openxmlformats.org/officeDocument/2006/relationships/hyperlink" Target="https://in.tradingview.com/chart/Cgv3Jm6J/?symbol=NSE%3ASUVIDHAA" TargetMode="External"/><Relationship Id="rId3914" Type="http://schemas.openxmlformats.org/officeDocument/2006/relationships/hyperlink" Target="https://in.tradingview.com/chart/bXJLby4L/?symbol=NSE%3ASASKEN" TargetMode="External"/><Relationship Id="rId3917" Type="http://schemas.openxmlformats.org/officeDocument/2006/relationships/hyperlink" Target="https://in.tradingview.com/chart/Cgv3Jm6J/?symbol=NSE%3ASUYOG" TargetMode="External"/><Relationship Id="rId3916" Type="http://schemas.openxmlformats.org/officeDocument/2006/relationships/hyperlink" Target="https://in.tradingview.com/chart/bXJLby4L/?symbol=NSE%3ASASTASUNDR" TargetMode="External"/><Relationship Id="rId3919" Type="http://schemas.openxmlformats.org/officeDocument/2006/relationships/hyperlink" Target="https://in.tradingview.com/chart/Cgv3Jm6J/?symbol=NSE%3ASUZLON" TargetMode="External"/><Relationship Id="rId3918" Type="http://schemas.openxmlformats.org/officeDocument/2006/relationships/hyperlink" Target="https://in.tradingview.com/chart/bXJLby4L/?symbol=NSE%3ASATIA" TargetMode="External"/><Relationship Id="rId3900" Type="http://schemas.openxmlformats.org/officeDocument/2006/relationships/hyperlink" Target="https://in.tradingview.com/chart/bXJLby4L/?symbol=NSE%3ASANSTAR" TargetMode="External"/><Relationship Id="rId3902" Type="http://schemas.openxmlformats.org/officeDocument/2006/relationships/hyperlink" Target="https://in.tradingview.com/chart/bXJLby4L/?symbol=NSE%3ASAPPHIRE" TargetMode="External"/><Relationship Id="rId3901" Type="http://schemas.openxmlformats.org/officeDocument/2006/relationships/hyperlink" Target="https://in.tradingview.com/chart/Cgv3Jm6J/?symbol=NSE%3ASURANAT_P" TargetMode="External"/><Relationship Id="rId3904" Type="http://schemas.openxmlformats.org/officeDocument/2006/relationships/hyperlink" Target="https://in.tradingview.com/chart/bXJLby4L/?symbol=NSE%3ASSDL" TargetMode="External"/><Relationship Id="rId3903" Type="http://schemas.openxmlformats.org/officeDocument/2006/relationships/hyperlink" Target="https://in.tradingview.com/chart/Cgv3Jm6J/?symbol=NSE%3ASURYALAXMI" TargetMode="External"/><Relationship Id="rId3906" Type="http://schemas.openxmlformats.org/officeDocument/2006/relationships/hyperlink" Target="https://in.tradingview.com/chart/bXJLby4L/?symbol=NSE%3ASARDAEN" TargetMode="External"/><Relationship Id="rId3905" Type="http://schemas.openxmlformats.org/officeDocument/2006/relationships/hyperlink" Target="https://in.tradingview.com/chart/Cgv3Jm6J/?symbol=NSE%3ASURYAROSNI" TargetMode="External"/><Relationship Id="rId3908" Type="http://schemas.openxmlformats.org/officeDocument/2006/relationships/hyperlink" Target="https://in.tradingview.com/chart/bXJLby4L/?symbol=NSE%3ASAREGAMA" TargetMode="External"/><Relationship Id="rId3907" Type="http://schemas.openxmlformats.org/officeDocument/2006/relationships/hyperlink" Target="https://in.tradingview.com/chart/Cgv3Jm6J/?symbol=NSE%3ASURYODAY" TargetMode="External"/><Relationship Id="rId3909" Type="http://schemas.openxmlformats.org/officeDocument/2006/relationships/hyperlink" Target="https://in.tradingview.com/chart/Cgv3Jm6J/?symbol=NSE%3ASUTLEJTEX" TargetMode="External"/><Relationship Id="rId3931" Type="http://schemas.openxmlformats.org/officeDocument/2006/relationships/hyperlink" Target="https://in.tradingview.com/chart/Cgv3Jm6J/?symbol=NSE%3ASWSOLAR" TargetMode="External"/><Relationship Id="rId2600" Type="http://schemas.openxmlformats.org/officeDocument/2006/relationships/hyperlink" Target="https://in.tradingview.com/chart/bXJLby4L/?symbol=NSE%3AMAHSEAMLES" TargetMode="External"/><Relationship Id="rId3930" Type="http://schemas.openxmlformats.org/officeDocument/2006/relationships/hyperlink" Target="https://in.tradingview.com/chart/bXJLby4L/?symbol=NSE%3ASBIETFQLTY" TargetMode="External"/><Relationship Id="rId2601" Type="http://schemas.openxmlformats.org/officeDocument/2006/relationships/hyperlink" Target="https://in.tradingview.com/chart/Cgv3Jm6J/?symbol=NSE%3AMON100" TargetMode="External"/><Relationship Id="rId3933" Type="http://schemas.openxmlformats.org/officeDocument/2006/relationships/hyperlink" Target="https://in.tradingview.com/chart/Cgv3Jm6J/?symbol=NSE%3ASYMPHONY" TargetMode="External"/><Relationship Id="rId2602" Type="http://schemas.openxmlformats.org/officeDocument/2006/relationships/hyperlink" Target="https://in.tradingview.com/chart/bXJLby4L/?symbol=NSE%3AMAHESHWARI" TargetMode="External"/><Relationship Id="rId3932" Type="http://schemas.openxmlformats.org/officeDocument/2006/relationships/hyperlink" Target="https://in.tradingview.com/chart/bXJLby4L/?symbol=NSE%3ASBIBPB" TargetMode="External"/><Relationship Id="rId2603" Type="http://schemas.openxmlformats.org/officeDocument/2006/relationships/hyperlink" Target="https://in.tradingview.com/chart/Cgv3Jm6J/?symbol=NSE%3AMONARCH" TargetMode="External"/><Relationship Id="rId3935" Type="http://schemas.openxmlformats.org/officeDocument/2006/relationships/hyperlink" Target="https://in.tradingview.com/chart/Cgv3Jm6J/?symbol=NSE%3ASYNCOMF" TargetMode="External"/><Relationship Id="rId2604" Type="http://schemas.openxmlformats.org/officeDocument/2006/relationships/hyperlink" Target="https://in.tradingview.com/chart/bXJLby4L/?symbol=NSE%3AM&amp;MFIN" TargetMode="External"/><Relationship Id="rId3934" Type="http://schemas.openxmlformats.org/officeDocument/2006/relationships/hyperlink" Target="https://in.tradingview.com/chart/bXJLby4L/?symbol=NSE%3ASBICARD" TargetMode="External"/><Relationship Id="rId2605" Type="http://schemas.openxmlformats.org/officeDocument/2006/relationships/hyperlink" Target="https://in.tradingview.com/chart/Cgv3Jm6J/?symbol=NSE%3AMONIFTY500" TargetMode="External"/><Relationship Id="rId3937" Type="http://schemas.openxmlformats.org/officeDocument/2006/relationships/hyperlink" Target="https://in.tradingview.com/chart/Cgv3Jm6J/?symbol=NSE%3ASYNGENE" TargetMode="External"/><Relationship Id="rId2606" Type="http://schemas.openxmlformats.org/officeDocument/2006/relationships/hyperlink" Target="https://in.tradingview.com/chart/bXJLby4L/?symbol=NSE%3AM&amp;M" TargetMode="External"/><Relationship Id="rId3936" Type="http://schemas.openxmlformats.org/officeDocument/2006/relationships/hyperlink" Target="https://in.tradingview.com/chart/bXJLby4L/?symbol=NSE%3ASBIETFCON" TargetMode="External"/><Relationship Id="rId808" Type="http://schemas.openxmlformats.org/officeDocument/2006/relationships/hyperlink" Target="https://in.tradingview.com/chart/bXJLby4L/?symbol=NSE%3ACCL" TargetMode="External"/><Relationship Id="rId2607" Type="http://schemas.openxmlformats.org/officeDocument/2006/relationships/hyperlink" Target="https://in.tradingview.com/chart/Cgv3Jm6J/?symbol=NSE%3AMONQ50" TargetMode="External"/><Relationship Id="rId3939" Type="http://schemas.openxmlformats.org/officeDocument/2006/relationships/hyperlink" Target="https://in.tradingview.com/chart/Cgv3Jm6J/?symbol=NSE%3ASYRMA" TargetMode="External"/><Relationship Id="rId807" Type="http://schemas.openxmlformats.org/officeDocument/2006/relationships/hyperlink" Target="https://in.tradingview.com/chart/Cgv3Jm6J/?symbol=NSE%3ACOMPUSOFT" TargetMode="External"/><Relationship Id="rId2608" Type="http://schemas.openxmlformats.org/officeDocument/2006/relationships/hyperlink" Target="https://in.tradingview.com/chart/bXJLby4L/?symbol=NSE%3AMAHEPC" TargetMode="External"/><Relationship Id="rId3938" Type="http://schemas.openxmlformats.org/officeDocument/2006/relationships/hyperlink" Target="https://in.tradingview.com/chart/bXJLby4L/?symbol=NSE%3ASBIETFIT" TargetMode="External"/><Relationship Id="rId806" Type="http://schemas.openxmlformats.org/officeDocument/2006/relationships/hyperlink" Target="https://in.tradingview.com/chart/bXJLby4L/?symbol=NSE%3ACASTROLIND" TargetMode="External"/><Relationship Id="rId2609" Type="http://schemas.openxmlformats.org/officeDocument/2006/relationships/hyperlink" Target="https://in.tradingview.com/chart/Cgv3Jm6J/?symbol=NSE%3AMONTECARLO" TargetMode="External"/><Relationship Id="rId805" Type="http://schemas.openxmlformats.org/officeDocument/2006/relationships/hyperlink" Target="https://in.tradingview.com/chart/Cgv3Jm6J/?symbol=NSE%3ACOMPINFO" TargetMode="External"/><Relationship Id="rId809" Type="http://schemas.openxmlformats.org/officeDocument/2006/relationships/hyperlink" Target="https://in.tradingview.com/chart/Cgv3Jm6J/?symbol=NSE%3ACONCOR" TargetMode="External"/><Relationship Id="rId800" Type="http://schemas.openxmlformats.org/officeDocument/2006/relationships/hyperlink" Target="https://in.tradingview.com/chart/bXJLby4L/?symbol=NSE%3ACARRARO" TargetMode="External"/><Relationship Id="rId804" Type="http://schemas.openxmlformats.org/officeDocument/2006/relationships/hyperlink" Target="https://in.tradingview.com/chart/bXJLby4L/?symbol=NSE%3ACARYSIL" TargetMode="External"/><Relationship Id="rId803" Type="http://schemas.openxmlformats.org/officeDocument/2006/relationships/hyperlink" Target="https://in.tradingview.com/chart/Cgv3Jm6J/?symbol=NSE%3ACOMMOIETF" TargetMode="External"/><Relationship Id="rId802" Type="http://schemas.openxmlformats.org/officeDocument/2006/relationships/hyperlink" Target="https://in.tradingview.com/chart/bXJLby4L/?symbol=NSE%3ACARTRADE" TargetMode="External"/><Relationship Id="rId801" Type="http://schemas.openxmlformats.org/officeDocument/2006/relationships/hyperlink" Target="https://in.tradingview.com/chart/Cgv3Jm6J/?symbol=NSE%3ACOLPAL" TargetMode="External"/><Relationship Id="rId3920" Type="http://schemas.openxmlformats.org/officeDocument/2006/relationships/hyperlink" Target="https://in.tradingview.com/chart/bXJLby4L/?symbol=NSE%3ASATIN" TargetMode="External"/><Relationship Id="rId3922" Type="http://schemas.openxmlformats.org/officeDocument/2006/relationships/hyperlink" Target="https://in.tradingview.com/chart/bXJLby4L/?symbol=NSE%3ASAURASHCEM" TargetMode="External"/><Relationship Id="rId3921" Type="http://schemas.openxmlformats.org/officeDocument/2006/relationships/hyperlink" Target="https://in.tradingview.com/chart/Cgv3Jm6J/?symbol=NSE%3ASVLL" TargetMode="External"/><Relationship Id="rId3924" Type="http://schemas.openxmlformats.org/officeDocument/2006/relationships/hyperlink" Target="https://in.tradingview.com/chart/bXJLby4L/?symbol=NSE%3ASOTL" TargetMode="External"/><Relationship Id="rId3923" Type="http://schemas.openxmlformats.org/officeDocument/2006/relationships/hyperlink" Target="https://in.tradingview.com/chart/Cgv3Jm6J/?symbol=NSE%3ASVPGLOB" TargetMode="External"/><Relationship Id="rId3926" Type="http://schemas.openxmlformats.org/officeDocument/2006/relationships/hyperlink" Target="https://in.tradingview.com/chart/bXJLby4L/?symbol=NSE%3ASBC" TargetMode="External"/><Relationship Id="rId3925" Type="http://schemas.openxmlformats.org/officeDocument/2006/relationships/hyperlink" Target="https://in.tradingview.com/chart/Cgv3Jm6J/?symbol=NSE%3ASWANENERGY" TargetMode="External"/><Relationship Id="rId3928" Type="http://schemas.openxmlformats.org/officeDocument/2006/relationships/hyperlink" Target="https://in.tradingview.com/chart/bXJLby4L/?symbol=NSE%3ASBFC" TargetMode="External"/><Relationship Id="rId3927" Type="http://schemas.openxmlformats.org/officeDocument/2006/relationships/hyperlink" Target="https://in.tradingview.com/chart/Cgv3Jm6J/?symbol=NSE%3ASWARAJENG" TargetMode="External"/><Relationship Id="rId3929" Type="http://schemas.openxmlformats.org/officeDocument/2006/relationships/hyperlink" Target="https://in.tradingview.com/chart/Cgv3Jm6J/?symbol=NSE%3ASWIGGY" TargetMode="External"/><Relationship Id="rId1334" Type="http://schemas.openxmlformats.org/officeDocument/2006/relationships/hyperlink" Target="https://in.tradingview.com/chart/bXJLby4L/?symbol=NSE%3AEXPLEOSOL" TargetMode="External"/><Relationship Id="rId2665" Type="http://schemas.openxmlformats.org/officeDocument/2006/relationships/hyperlink" Target="https://in.tradingview.com/chart/Cgv3Jm6J/?symbol=NSE%3AMULTICAP" TargetMode="External"/><Relationship Id="rId3997" Type="http://schemas.openxmlformats.org/officeDocument/2006/relationships/hyperlink" Target="https://in.tradingview.com/chart/Cgv3Jm6J/?symbol=NSE%3ATCIFINANCE" TargetMode="External"/><Relationship Id="rId1335" Type="http://schemas.openxmlformats.org/officeDocument/2006/relationships/hyperlink" Target="https://in.tradingview.com/chart/Cgv3Jm6J/?symbol=NSE%3AGLENMARK" TargetMode="External"/><Relationship Id="rId2666" Type="http://schemas.openxmlformats.org/officeDocument/2006/relationships/hyperlink" Target="https://in.tradingview.com/chart/bXJLby4L/?symbol=NSE%3AMANUGRAPH" TargetMode="External"/><Relationship Id="rId3996" Type="http://schemas.openxmlformats.org/officeDocument/2006/relationships/hyperlink" Target="https://in.tradingview.com/chart/bXJLby4L/?symbol=NSE%3ASESHAPAPER" TargetMode="External"/><Relationship Id="rId1336" Type="http://schemas.openxmlformats.org/officeDocument/2006/relationships/hyperlink" Target="https://in.tradingview.com/chart/bXJLby4L/?symbol=NSE%3AEXXARO" TargetMode="External"/><Relationship Id="rId2667" Type="http://schemas.openxmlformats.org/officeDocument/2006/relationships/hyperlink" Target="https://in.tradingview.com/chart/Cgv3Jm6J/?symbol=NSE%3AMUNJALAU" TargetMode="External"/><Relationship Id="rId3999" Type="http://schemas.openxmlformats.org/officeDocument/2006/relationships/hyperlink" Target="https://in.tradingview.com/chart/Cgv3Jm6J/?symbol=NSE%3ATCPLPACK" TargetMode="External"/><Relationship Id="rId1337" Type="http://schemas.openxmlformats.org/officeDocument/2006/relationships/hyperlink" Target="https://in.tradingview.com/chart/Cgv3Jm6J/?symbol=NSE%3AGLFL" TargetMode="External"/><Relationship Id="rId2668" Type="http://schemas.openxmlformats.org/officeDocument/2006/relationships/hyperlink" Target="https://in.tradingview.com/chart/bXJLby4L/?symbol=NSE%3AMARALOVER" TargetMode="External"/><Relationship Id="rId3998" Type="http://schemas.openxmlformats.org/officeDocument/2006/relationships/hyperlink" Target="https://in.tradingview.com/chart/bXJLby4L/?symbol=NSE%3ASETCO" TargetMode="External"/><Relationship Id="rId1338" Type="http://schemas.openxmlformats.org/officeDocument/2006/relationships/hyperlink" Target="https://in.tradingview.com/chart/bXJLby4L/?symbol=NSE%3AFABTECH" TargetMode="External"/><Relationship Id="rId2669" Type="http://schemas.openxmlformats.org/officeDocument/2006/relationships/hyperlink" Target="https://in.tradingview.com/chart/Cgv3Jm6J/?symbol=NSE%3AMUNJALSHOW" TargetMode="External"/><Relationship Id="rId1339" Type="http://schemas.openxmlformats.org/officeDocument/2006/relationships/hyperlink" Target="https://in.tradingview.com/chart/Cgv3Jm6J/?symbol=NSE%3AGLOBAL" TargetMode="External"/><Relationship Id="rId745" Type="http://schemas.openxmlformats.org/officeDocument/2006/relationships/hyperlink" Target="https://in.tradingview.com/chart/Cgv3Jm6J/?symbol=NSE%3ACESC" TargetMode="External"/><Relationship Id="rId744" Type="http://schemas.openxmlformats.org/officeDocument/2006/relationships/hyperlink" Target="https://in.tradingview.com/chart/bXJLby4L/?symbol=NSE%3ABCONCEPTS" TargetMode="External"/><Relationship Id="rId743" Type="http://schemas.openxmlformats.org/officeDocument/2006/relationships/hyperlink" Target="https://in.tradingview.com/chart/Cgv3Jm6J/?symbol=NSE%3ACEREBRAINT" TargetMode="External"/><Relationship Id="rId742" Type="http://schemas.openxmlformats.org/officeDocument/2006/relationships/hyperlink" Target="https://in.tradingview.com/chart/bXJLby4L/?symbol=NSE%3AFIRSTCRY" TargetMode="External"/><Relationship Id="rId749" Type="http://schemas.openxmlformats.org/officeDocument/2006/relationships/hyperlink" Target="https://in.tradingview.com/chart/Cgv3Jm6J/?symbol=NSE%3ACGCL" TargetMode="External"/><Relationship Id="rId748" Type="http://schemas.openxmlformats.org/officeDocument/2006/relationships/hyperlink" Target="https://in.tradingview.com/chart/bXJLby4L/?symbol=NSE%3ABRIGHOTEL" TargetMode="External"/><Relationship Id="rId747" Type="http://schemas.openxmlformats.org/officeDocument/2006/relationships/hyperlink" Target="https://in.tradingview.com/chart/Cgv3Jm6J/?symbol=NSE%3ACEWATER" TargetMode="External"/><Relationship Id="rId746" Type="http://schemas.openxmlformats.org/officeDocument/2006/relationships/hyperlink" Target="https://in.tradingview.com/chart/bXJLby4L/?symbol=NSE%3ABRIGADE" TargetMode="External"/><Relationship Id="rId3991" Type="http://schemas.openxmlformats.org/officeDocument/2006/relationships/hyperlink" Target="https://in.tradingview.com/chart/Cgv3Jm6J/?symbol=NSE%3ATBZ" TargetMode="External"/><Relationship Id="rId2660" Type="http://schemas.openxmlformats.org/officeDocument/2006/relationships/hyperlink" Target="https://in.tradingview.com/chart/bXJLby4L/?symbol=NSE%3AMVGJL" TargetMode="External"/><Relationship Id="rId3990" Type="http://schemas.openxmlformats.org/officeDocument/2006/relationships/hyperlink" Target="https://in.tradingview.com/chart/bXJLby4L/?symbol=NSE%3ASEQUENT" TargetMode="External"/><Relationship Id="rId741" Type="http://schemas.openxmlformats.org/officeDocument/2006/relationships/hyperlink" Target="https://in.tradingview.com/chart/Cgv3Jm6J/?symbol=NSE%3ACERA" TargetMode="External"/><Relationship Id="rId1330" Type="http://schemas.openxmlformats.org/officeDocument/2006/relationships/hyperlink" Target="https://in.tradingview.com/chart/bXJLby4L/?symbol=NSE%3AEXICOM" TargetMode="External"/><Relationship Id="rId2661" Type="http://schemas.openxmlformats.org/officeDocument/2006/relationships/hyperlink" Target="https://in.tradingview.com/chart/Cgv3Jm6J/?symbol=NSE%3AMUKKA" TargetMode="External"/><Relationship Id="rId3993" Type="http://schemas.openxmlformats.org/officeDocument/2006/relationships/hyperlink" Target="https://in.tradingview.com/chart/Cgv3Jm6J/?symbol=NSE%3ATCI" TargetMode="External"/><Relationship Id="rId740" Type="http://schemas.openxmlformats.org/officeDocument/2006/relationships/hyperlink" Target="https://in.tradingview.com/chart/bXJLby4L/?symbol=NSE%3ABPL" TargetMode="External"/><Relationship Id="rId1331" Type="http://schemas.openxmlformats.org/officeDocument/2006/relationships/hyperlink" Target="https://in.tradingview.com/chart/Cgv3Jm6J/?symbol=NSE%3AGLAND" TargetMode="External"/><Relationship Id="rId2662" Type="http://schemas.openxmlformats.org/officeDocument/2006/relationships/hyperlink" Target="https://in.tradingview.com/chart/bXJLby4L/?symbol=NSE%3AMANOMAY" TargetMode="External"/><Relationship Id="rId3992" Type="http://schemas.openxmlformats.org/officeDocument/2006/relationships/hyperlink" Target="https://in.tradingview.com/chart/bXJLby4L/?symbol=NSE%3ASERVOTECH" TargetMode="External"/><Relationship Id="rId1332" Type="http://schemas.openxmlformats.org/officeDocument/2006/relationships/hyperlink" Target="https://in.tradingview.com/chart/bXJLby4L/?symbol=NSE%3AEXIDEIND" TargetMode="External"/><Relationship Id="rId2663" Type="http://schemas.openxmlformats.org/officeDocument/2006/relationships/hyperlink" Target="https://in.tradingview.com/chart/Cgv3Jm6J/?symbol=NSE%3AMUKTAARTS" TargetMode="External"/><Relationship Id="rId3995" Type="http://schemas.openxmlformats.org/officeDocument/2006/relationships/hyperlink" Target="https://in.tradingview.com/chart/Cgv3Jm6J/?symbol=NSE%3ATCIEXP" TargetMode="External"/><Relationship Id="rId1333" Type="http://schemas.openxmlformats.org/officeDocument/2006/relationships/hyperlink" Target="https://in.tradingview.com/chart/Cgv3Jm6J/?symbol=NSE%3AGLAXO" TargetMode="External"/><Relationship Id="rId2664" Type="http://schemas.openxmlformats.org/officeDocument/2006/relationships/hyperlink" Target="https://in.tradingview.com/chart/bXJLby4L/?symbol=NSE%3AMANORAMA" TargetMode="External"/><Relationship Id="rId3994" Type="http://schemas.openxmlformats.org/officeDocument/2006/relationships/hyperlink" Target="https://in.tradingview.com/chart/bXJLby4L/?symbol=NSE%3ASTYL" TargetMode="External"/><Relationship Id="rId1323" Type="http://schemas.openxmlformats.org/officeDocument/2006/relationships/hyperlink" Target="https://in.tradingview.com/chart/Cgv3Jm6J/?symbol=NSE%3AGILT5YBEES" TargetMode="External"/><Relationship Id="rId2654" Type="http://schemas.openxmlformats.org/officeDocument/2006/relationships/hyperlink" Target="https://in.tradingview.com/chart/bXJLby4L/?symbol=NSE%3AMWL" TargetMode="External"/><Relationship Id="rId3986" Type="http://schemas.openxmlformats.org/officeDocument/2006/relationships/hyperlink" Target="https://in.tradingview.com/chart/bXJLby4L/?symbol=NSE%3ASENORES" TargetMode="External"/><Relationship Id="rId1324" Type="http://schemas.openxmlformats.org/officeDocument/2006/relationships/hyperlink" Target="https://in.tradingview.com/chart/bXJLby4L/?symbol=NSE%3AEKC" TargetMode="External"/><Relationship Id="rId2655" Type="http://schemas.openxmlformats.org/officeDocument/2006/relationships/hyperlink" Target="https://in.tradingview.com/chart/Cgv3Jm6J/?symbol=NSE%3AMUFIN" TargetMode="External"/><Relationship Id="rId3985" Type="http://schemas.openxmlformats.org/officeDocument/2006/relationships/hyperlink" Target="https://in.tradingview.com/chart/Cgv3Jm6J/?symbol=NSE%3ATATSILV" TargetMode="External"/><Relationship Id="rId1325" Type="http://schemas.openxmlformats.org/officeDocument/2006/relationships/hyperlink" Target="https://in.tradingview.com/chart/Cgv3Jm6J/?symbol=NSE%3AGINNIFILA" TargetMode="External"/><Relationship Id="rId2656" Type="http://schemas.openxmlformats.org/officeDocument/2006/relationships/hyperlink" Target="https://in.tradingview.com/chart/bXJLby4L/?symbol=NSE%3AMRPL" TargetMode="External"/><Relationship Id="rId3988" Type="http://schemas.openxmlformats.org/officeDocument/2006/relationships/hyperlink" Target="https://in.tradingview.com/chart/bXJLby4L/?symbol=NSE%3ASEPC" TargetMode="External"/><Relationship Id="rId1326" Type="http://schemas.openxmlformats.org/officeDocument/2006/relationships/hyperlink" Target="https://in.tradingview.com/chart/bXJLby4L/?symbol=NSE%3AEXCELINDUS" TargetMode="External"/><Relationship Id="rId2657" Type="http://schemas.openxmlformats.org/officeDocument/2006/relationships/hyperlink" Target="https://in.tradingview.com/chart/Cgv3Jm6J/?symbol=NSE%3AMUFTI" TargetMode="External"/><Relationship Id="rId3987" Type="http://schemas.openxmlformats.org/officeDocument/2006/relationships/hyperlink" Target="https://in.tradingview.com/chart/Cgv3Jm6J/?symbol=NSE%3ATATVA" TargetMode="External"/><Relationship Id="rId1327" Type="http://schemas.openxmlformats.org/officeDocument/2006/relationships/hyperlink" Target="https://in.tradingview.com/chart/Cgv3Jm6J/?symbol=NSE%3AGIPCL" TargetMode="External"/><Relationship Id="rId2658" Type="http://schemas.openxmlformats.org/officeDocument/2006/relationships/hyperlink" Target="https://in.tradingview.com/chart/bXJLby4L/?symbol=NSE%3AMANKIND" TargetMode="External"/><Relationship Id="rId1328" Type="http://schemas.openxmlformats.org/officeDocument/2006/relationships/hyperlink" Target="https://in.tradingview.com/chart/bXJLby4L/?symbol=NSE%3AEXCELSOFT" TargetMode="External"/><Relationship Id="rId2659" Type="http://schemas.openxmlformats.org/officeDocument/2006/relationships/hyperlink" Target="https://in.tradingview.com/chart/Cgv3Jm6J/?symbol=NSE%3AMUKANDLTD" TargetMode="External"/><Relationship Id="rId3989" Type="http://schemas.openxmlformats.org/officeDocument/2006/relationships/hyperlink" Target="https://in.tradingview.com/chart/Cgv3Jm6J/?symbol=NSE%3ATBOTEK" TargetMode="External"/><Relationship Id="rId1329" Type="http://schemas.openxmlformats.org/officeDocument/2006/relationships/hyperlink" Target="https://in.tradingview.com/chart/Cgv3Jm6J/?symbol=NSE%3AGKWLIMITED" TargetMode="External"/><Relationship Id="rId739" Type="http://schemas.openxmlformats.org/officeDocument/2006/relationships/hyperlink" Target="https://in.tradingview.com/chart/Cgv3Jm6J/?symbol=NSE%3ACENTURYPLY" TargetMode="External"/><Relationship Id="rId734" Type="http://schemas.openxmlformats.org/officeDocument/2006/relationships/hyperlink" Target="https://in.tradingview.com/chart/bXJLby4L/?symbol=NSE%3ABORORENEW" TargetMode="External"/><Relationship Id="rId733" Type="http://schemas.openxmlformats.org/officeDocument/2006/relationships/hyperlink" Target="https://in.tradingview.com/chart/Cgv3Jm6J/?symbol=NSE%3ACENTRALBK" TargetMode="External"/><Relationship Id="rId732" Type="http://schemas.openxmlformats.org/officeDocument/2006/relationships/hyperlink" Target="https://in.tradingview.com/chart/bXJLby4L/?symbol=NSE%3ABOROLTD" TargetMode="External"/><Relationship Id="rId731" Type="http://schemas.openxmlformats.org/officeDocument/2006/relationships/hyperlink" Target="https://in.tradingview.com/chart/Cgv3Jm6J/?symbol=NSE%3ACENTEXT" TargetMode="External"/><Relationship Id="rId738" Type="http://schemas.openxmlformats.org/officeDocument/2006/relationships/hyperlink" Target="https://in.tradingview.com/chart/bXJLby4L/?symbol=NSE%3ABOSCHLTD" TargetMode="External"/><Relationship Id="rId737" Type="http://schemas.openxmlformats.org/officeDocument/2006/relationships/hyperlink" Target="https://in.tradingview.com/chart/Cgv3Jm6J/?symbol=NSE%3ACENTUM" TargetMode="External"/><Relationship Id="rId736" Type="http://schemas.openxmlformats.org/officeDocument/2006/relationships/hyperlink" Target="https://in.tradingview.com/chart/bXJLby4L/?symbol=NSE%3ABOROSCI" TargetMode="External"/><Relationship Id="rId735" Type="http://schemas.openxmlformats.org/officeDocument/2006/relationships/hyperlink" Target="https://in.tradingview.com/chart/Cgv3Jm6J/?symbol=NSE%3ACENTRUM" TargetMode="External"/><Relationship Id="rId3980" Type="http://schemas.openxmlformats.org/officeDocument/2006/relationships/hyperlink" Target="https://in.tradingview.com/chart/bXJLby4L/?symbol=NSE%3ASELMC" TargetMode="External"/><Relationship Id="rId730" Type="http://schemas.openxmlformats.org/officeDocument/2006/relationships/hyperlink" Target="https://in.tradingview.com/chart/bXJLby4L/?symbol=NSE%3ABORANA" TargetMode="External"/><Relationship Id="rId2650" Type="http://schemas.openxmlformats.org/officeDocument/2006/relationships/hyperlink" Target="https://in.tradingview.com/chart/bXJLby4L/?symbol=NSE%3AMGEL" TargetMode="External"/><Relationship Id="rId3982" Type="http://schemas.openxmlformats.org/officeDocument/2006/relationships/hyperlink" Target="https://in.tradingview.com/chart/bXJLby4L/?symbol=NSE%3ASEMAC" TargetMode="External"/><Relationship Id="rId1320" Type="http://schemas.openxmlformats.org/officeDocument/2006/relationships/hyperlink" Target="https://in.tradingview.com/chart/bXJLby4L/?symbol=NSE%3AEVEREADY" TargetMode="External"/><Relationship Id="rId2651" Type="http://schemas.openxmlformats.org/officeDocument/2006/relationships/hyperlink" Target="https://in.tradingview.com/chart/Cgv3Jm6J/?symbol=NSE%3AMTEDUCARE" TargetMode="External"/><Relationship Id="rId3981" Type="http://schemas.openxmlformats.org/officeDocument/2006/relationships/hyperlink" Target="https://in.tradingview.com/chart/Cgv3Jm6J/?symbol=NSE%3ATATASTEEL" TargetMode="External"/><Relationship Id="rId1321" Type="http://schemas.openxmlformats.org/officeDocument/2006/relationships/hyperlink" Target="https://in.tradingview.com/chart/Cgv3Jm6J/?symbol=NSE%3AGILLETTE" TargetMode="External"/><Relationship Id="rId2652" Type="http://schemas.openxmlformats.org/officeDocument/2006/relationships/hyperlink" Target="https://in.tradingview.com/chart/bXJLby4L/?symbol=NSE%3AMANORG" TargetMode="External"/><Relationship Id="rId3984" Type="http://schemas.openxmlformats.org/officeDocument/2006/relationships/hyperlink" Target="https://in.tradingview.com/chart/bXJLby4L/?symbol=NSE%3ASENCO" TargetMode="External"/><Relationship Id="rId1322" Type="http://schemas.openxmlformats.org/officeDocument/2006/relationships/hyperlink" Target="https://in.tradingview.com/chart/bXJLby4L/?symbol=NSE%3AEVERESTIND" TargetMode="External"/><Relationship Id="rId2653" Type="http://schemas.openxmlformats.org/officeDocument/2006/relationships/hyperlink" Target="https://in.tradingview.com/chart/Cgv3Jm6J/?symbol=NSE%3AMTNL" TargetMode="External"/><Relationship Id="rId3983" Type="http://schemas.openxmlformats.org/officeDocument/2006/relationships/hyperlink" Target="https://in.tradingview.com/chart/Cgv3Jm6J/?symbol=NSE%3ATATATECH" TargetMode="External"/><Relationship Id="rId1356" Type="http://schemas.openxmlformats.org/officeDocument/2006/relationships/hyperlink" Target="https://in.tradingview.com/chart/bXJLby4L/?symbol=NSE%3AFILATEX" TargetMode="External"/><Relationship Id="rId2687" Type="http://schemas.openxmlformats.org/officeDocument/2006/relationships/hyperlink" Target="https://in.tradingview.com/chart/Cgv3Jm6J/?symbol=NSE%3ANAGREEKEXP" TargetMode="External"/><Relationship Id="rId1357" Type="http://schemas.openxmlformats.org/officeDocument/2006/relationships/hyperlink" Target="https://in.tradingview.com/chart/Cgv3Jm6J/?symbol=NSE%3AGMRAIRPORT" TargetMode="External"/><Relationship Id="rId2688" Type="http://schemas.openxmlformats.org/officeDocument/2006/relationships/hyperlink" Target="https://in.tradingview.com/chart/bXJLby4L/?symbol=NSE%3AMASTERTR" TargetMode="External"/><Relationship Id="rId1358" Type="http://schemas.openxmlformats.org/officeDocument/2006/relationships/hyperlink" Target="https://in.tradingview.com/chart/bXJLby4L/?symbol=NSE%3AFINEORG" TargetMode="External"/><Relationship Id="rId2689" Type="http://schemas.openxmlformats.org/officeDocument/2006/relationships/hyperlink" Target="https://in.tradingview.com/chart/Cgv3Jm6J/?symbol=NSE%3ANAHARCAP" TargetMode="External"/><Relationship Id="rId1359" Type="http://schemas.openxmlformats.org/officeDocument/2006/relationships/hyperlink" Target="https://in.tradingview.com/chart/Cgv3Jm6J/?symbol=NSE%3AGMRP_UI" TargetMode="External"/><Relationship Id="rId767" Type="http://schemas.openxmlformats.org/officeDocument/2006/relationships/hyperlink" Target="https://in.tradingview.com/chart/Cgv3Jm6J/?symbol=NSE%3ACHEVIOT" TargetMode="External"/><Relationship Id="rId766" Type="http://schemas.openxmlformats.org/officeDocument/2006/relationships/hyperlink" Target="https://in.tradingview.com/chart/bXJLby4L/?symbol=NSE%3ACTE" TargetMode="External"/><Relationship Id="rId765" Type="http://schemas.openxmlformats.org/officeDocument/2006/relationships/hyperlink" Target="https://in.tradingview.com/chart/Cgv3Jm6J/?symbol=NSE%3ACHENNPETRO" TargetMode="External"/><Relationship Id="rId764" Type="http://schemas.openxmlformats.org/officeDocument/2006/relationships/hyperlink" Target="https://in.tradingview.com/chart/bXJLby4L/?symbol=NSE%3ACALSOFT" TargetMode="External"/><Relationship Id="rId769" Type="http://schemas.openxmlformats.org/officeDocument/2006/relationships/hyperlink" Target="https://in.tradingview.com/chart/Cgv3Jm6J/?symbol=NSE%3ACHOICEIN" TargetMode="External"/><Relationship Id="rId768" Type="http://schemas.openxmlformats.org/officeDocument/2006/relationships/hyperlink" Target="https://in.tradingview.com/chart/bXJLby4L/?symbol=NSE%3ACAMLINFINE" TargetMode="External"/><Relationship Id="rId2680" Type="http://schemas.openxmlformats.org/officeDocument/2006/relationships/hyperlink" Target="https://in.tradingview.com/chart/bXJLby4L/?symbol=NSE%3AMARUTI" TargetMode="External"/><Relationship Id="rId1350" Type="http://schemas.openxmlformats.org/officeDocument/2006/relationships/hyperlink" Target="https://in.tradingview.com/chart/bXJLby4L/?symbol=NSE%3AFACT" TargetMode="External"/><Relationship Id="rId2681" Type="http://schemas.openxmlformats.org/officeDocument/2006/relationships/hyperlink" Target="https://in.tradingview.com/chart/Cgv3Jm6J/?symbol=NSE%3ANACLIND" TargetMode="External"/><Relationship Id="rId1351" Type="http://schemas.openxmlformats.org/officeDocument/2006/relationships/hyperlink" Target="https://in.tradingview.com/chart/Cgv3Jm6J/?symbol=NSE%3AGMBREW" TargetMode="External"/><Relationship Id="rId2682" Type="http://schemas.openxmlformats.org/officeDocument/2006/relationships/hyperlink" Target="https://in.tradingview.com/chart/bXJLby4L/?symbol=NSE%3AMASFIN" TargetMode="External"/><Relationship Id="rId763" Type="http://schemas.openxmlformats.org/officeDocument/2006/relationships/hyperlink" Target="https://in.tradingview.com/chart/Cgv3Jm6J/?symbol=NSE%3ACHEMPLASTS" TargetMode="External"/><Relationship Id="rId1352" Type="http://schemas.openxmlformats.org/officeDocument/2006/relationships/hyperlink" Target="https://in.tradingview.com/chart/bXJLby4L/?symbol=NSE%3AFIBERWEB" TargetMode="External"/><Relationship Id="rId2683" Type="http://schemas.openxmlformats.org/officeDocument/2006/relationships/hyperlink" Target="https://in.tradingview.com/chart/Cgv3Jm6J/?symbol=NSE%3ANAGAFERT" TargetMode="External"/><Relationship Id="rId762" Type="http://schemas.openxmlformats.org/officeDocument/2006/relationships/hyperlink" Target="https://in.tradingview.com/chart/bXJLby4L/?symbol=NSE%3AMAPMYINDIA" TargetMode="External"/><Relationship Id="rId1353" Type="http://schemas.openxmlformats.org/officeDocument/2006/relationships/hyperlink" Target="https://in.tradingview.com/chart/Cgv3Jm6J/?symbol=NSE%3AGMDCLTD" TargetMode="External"/><Relationship Id="rId2684" Type="http://schemas.openxmlformats.org/officeDocument/2006/relationships/hyperlink" Target="https://in.tradingview.com/chart/bXJLby4L/?symbol=NSE%3AMASKINVEST" TargetMode="External"/><Relationship Id="rId761" Type="http://schemas.openxmlformats.org/officeDocument/2006/relationships/hyperlink" Target="https://in.tradingview.com/chart/Cgv3Jm6J/?symbol=NSE%3ACHEMFAB" TargetMode="External"/><Relationship Id="rId1354" Type="http://schemas.openxmlformats.org/officeDocument/2006/relationships/hyperlink" Target="https://in.tradingview.com/chart/bXJLby4L/?symbol=NSE%3AFIEMIND" TargetMode="External"/><Relationship Id="rId2685" Type="http://schemas.openxmlformats.org/officeDocument/2006/relationships/hyperlink" Target="https://in.tradingview.com/chart/Cgv3Jm6J/?symbol=NSE%3ANAGREEKCAP" TargetMode="External"/><Relationship Id="rId760" Type="http://schemas.openxmlformats.org/officeDocument/2006/relationships/hyperlink" Target="https://in.tradingview.com/chart/bXJLby4L/?symbol=NSE%3ABUTTERFLY" TargetMode="External"/><Relationship Id="rId1355" Type="http://schemas.openxmlformats.org/officeDocument/2006/relationships/hyperlink" Target="https://in.tradingview.com/chart/Cgv3Jm6J/?symbol=NSE%3AGMMPFAUDLR" TargetMode="External"/><Relationship Id="rId2686" Type="http://schemas.openxmlformats.org/officeDocument/2006/relationships/hyperlink" Target="https://in.tradingview.com/chart/bXJLby4L/?symbol=NSE%3AMASTEK" TargetMode="External"/><Relationship Id="rId1345" Type="http://schemas.openxmlformats.org/officeDocument/2006/relationships/hyperlink" Target="https://in.tradingview.com/chart/Cgv3Jm6J/?symbol=NSE%3AGLOBE" TargetMode="External"/><Relationship Id="rId2676" Type="http://schemas.openxmlformats.org/officeDocument/2006/relationships/hyperlink" Target="https://in.tradingview.com/chart/bXJLby4L/?symbol=NSE%3AMARKOLINES" TargetMode="External"/><Relationship Id="rId1346" Type="http://schemas.openxmlformats.org/officeDocument/2006/relationships/hyperlink" Target="https://in.tradingview.com/chart/bXJLby4L/?symbol=NSE%3AFEDFINA" TargetMode="External"/><Relationship Id="rId2677" Type="http://schemas.openxmlformats.org/officeDocument/2006/relationships/hyperlink" Target="https://in.tradingview.com/chart/Cgv3Jm6J/?symbol=NSE%3AMUTHOOTMF" TargetMode="External"/><Relationship Id="rId1347" Type="http://schemas.openxmlformats.org/officeDocument/2006/relationships/hyperlink" Target="https://in.tradingview.com/chart/Cgv3Jm6J/?symbol=NSE%3AGLOBUSSPR" TargetMode="External"/><Relationship Id="rId2678" Type="http://schemas.openxmlformats.org/officeDocument/2006/relationships/hyperlink" Target="https://in.tradingview.com/chart/bXJLby4L/?symbol=NSE%3AMARKSANS" TargetMode="External"/><Relationship Id="rId1348" Type="http://schemas.openxmlformats.org/officeDocument/2006/relationships/hyperlink" Target="https://in.tradingview.com/chart/bXJLby4L/?symbol=NSE%3AFMGOETZE" TargetMode="External"/><Relationship Id="rId2679" Type="http://schemas.openxmlformats.org/officeDocument/2006/relationships/hyperlink" Target="https://in.tradingview.com/chart/Cgv3Jm6J/?symbol=NSE%3AMVGJL" TargetMode="External"/><Relationship Id="rId1349" Type="http://schemas.openxmlformats.org/officeDocument/2006/relationships/hyperlink" Target="https://in.tradingview.com/chart/Cgv3Jm6J/?symbol=NSE%3AGLOSTERLTD" TargetMode="External"/><Relationship Id="rId756" Type="http://schemas.openxmlformats.org/officeDocument/2006/relationships/hyperlink" Target="https://in.tradingview.com/chart/bXJLby4L/?symbol=NSE%3ABSE" TargetMode="External"/><Relationship Id="rId755" Type="http://schemas.openxmlformats.org/officeDocument/2006/relationships/hyperlink" Target="https://in.tradingview.com/chart/Cgv3Jm6J/?symbol=NSE%3ACHAMBLFERT" TargetMode="External"/><Relationship Id="rId754" Type="http://schemas.openxmlformats.org/officeDocument/2006/relationships/hyperlink" Target="https://in.tradingview.com/chart/bXJLby4L/?symbol=NSE%3ABROOKS" TargetMode="External"/><Relationship Id="rId753" Type="http://schemas.openxmlformats.org/officeDocument/2006/relationships/hyperlink" Target="https://in.tradingview.com/chart/Cgv3Jm6J/?symbol=NSE%3ACHALET" TargetMode="External"/><Relationship Id="rId759" Type="http://schemas.openxmlformats.org/officeDocument/2006/relationships/hyperlink" Target="https://in.tradingview.com/chart/Cgv3Jm6J/?symbol=NSE%3ACHEMCON" TargetMode="External"/><Relationship Id="rId758" Type="http://schemas.openxmlformats.org/officeDocument/2006/relationships/hyperlink" Target="https://in.tradingview.com/chart/bXJLby4L/?symbol=NSE%3ABSL" TargetMode="External"/><Relationship Id="rId757" Type="http://schemas.openxmlformats.org/officeDocument/2006/relationships/hyperlink" Target="https://in.tradingview.com/chart/Cgv3Jm6J/?symbol=NSE%3ACHEMBOND" TargetMode="External"/><Relationship Id="rId2670" Type="http://schemas.openxmlformats.org/officeDocument/2006/relationships/hyperlink" Target="https://in.tradingview.com/chart/bXJLby4L/?symbol=NSE%3AMARATHON" TargetMode="External"/><Relationship Id="rId1340" Type="http://schemas.openxmlformats.org/officeDocument/2006/relationships/hyperlink" Target="https://in.tradingview.com/chart/bXJLby4L/?symbol=NSE%3AFAIRCHEMOR" TargetMode="External"/><Relationship Id="rId2671" Type="http://schemas.openxmlformats.org/officeDocument/2006/relationships/hyperlink" Target="https://in.tradingview.com/chart/Cgv3Jm6J/?symbol=NSE%3AMURUDCERA" TargetMode="External"/><Relationship Id="rId752" Type="http://schemas.openxmlformats.org/officeDocument/2006/relationships/hyperlink" Target="https://in.tradingview.com/chart/bXJLby4L/?symbol=NSE%3ABRITANNIA" TargetMode="External"/><Relationship Id="rId1341" Type="http://schemas.openxmlformats.org/officeDocument/2006/relationships/hyperlink" Target="https://in.tradingview.com/chart/Cgv3Jm6J/?symbol=NSE%3AGLOBALE" TargetMode="External"/><Relationship Id="rId2672" Type="http://schemas.openxmlformats.org/officeDocument/2006/relationships/hyperlink" Target="https://in.tradingview.com/chart/bXJLby4L/?symbol=NSE%3AMARICO" TargetMode="External"/><Relationship Id="rId751" Type="http://schemas.openxmlformats.org/officeDocument/2006/relationships/hyperlink" Target="https://in.tradingview.com/chart/Cgv3Jm6J/?symbol=NSE%3ACGPOWER" TargetMode="External"/><Relationship Id="rId1342" Type="http://schemas.openxmlformats.org/officeDocument/2006/relationships/hyperlink" Target="https://in.tradingview.com/chart/bXJLby4L/?symbol=NSE%3AFAZE3Q" TargetMode="External"/><Relationship Id="rId2673" Type="http://schemas.openxmlformats.org/officeDocument/2006/relationships/hyperlink" Target="https://in.tradingview.com/chart/Cgv3Jm6J/?symbol=NSE%3AMUTHOOTCAP" TargetMode="External"/><Relationship Id="rId750" Type="http://schemas.openxmlformats.org/officeDocument/2006/relationships/hyperlink" Target="https://in.tradingview.com/chart/bXJLby4L/?symbol=NSE%3ABCG" TargetMode="External"/><Relationship Id="rId1343" Type="http://schemas.openxmlformats.org/officeDocument/2006/relationships/hyperlink" Target="https://in.tradingview.com/chart/Cgv3Jm6J/?symbol=NSE%3AGLOBALVECT" TargetMode="External"/><Relationship Id="rId2674" Type="http://schemas.openxmlformats.org/officeDocument/2006/relationships/hyperlink" Target="https://in.tradingview.com/chart/bXJLby4L/?symbol=NSE%3AMARINE" TargetMode="External"/><Relationship Id="rId1344" Type="http://schemas.openxmlformats.org/officeDocument/2006/relationships/hyperlink" Target="https://in.tradingview.com/chart/bXJLby4L/?symbol=NSE%3AFDC" TargetMode="External"/><Relationship Id="rId2675" Type="http://schemas.openxmlformats.org/officeDocument/2006/relationships/hyperlink" Target="https://in.tradingview.com/chart/Cgv3Jm6J/?symbol=NSE%3AMUTHOOTFIN" TargetMode="External"/><Relationship Id="rId2621" Type="http://schemas.openxmlformats.org/officeDocument/2006/relationships/hyperlink" Target="https://in.tradingview.com/chart/Cgv3Jm6J/?symbol=NSE%3AMOSMALL250" TargetMode="External"/><Relationship Id="rId3953" Type="http://schemas.openxmlformats.org/officeDocument/2006/relationships/hyperlink" Target="https://in.tradingview.com/chart/Cgv3Jm6J/?symbol=NSE%3ATARAPUR" TargetMode="External"/><Relationship Id="rId2622" Type="http://schemas.openxmlformats.org/officeDocument/2006/relationships/hyperlink" Target="https://in.tradingview.com/chart/bXJLby4L/?symbol=NSE%3AMAMATA" TargetMode="External"/><Relationship Id="rId3952" Type="http://schemas.openxmlformats.org/officeDocument/2006/relationships/hyperlink" Target="https://in.tradingview.com/chart/bXJLby4L/?symbol=NSE%3ASBILIQETF" TargetMode="External"/><Relationship Id="rId2623" Type="http://schemas.openxmlformats.org/officeDocument/2006/relationships/hyperlink" Target="https://in.tradingview.com/chart/Cgv3Jm6J/?symbol=NSE%3AMOTHERSON" TargetMode="External"/><Relationship Id="rId3955" Type="http://schemas.openxmlformats.org/officeDocument/2006/relationships/hyperlink" Target="https://in.tradingview.com/chart/Cgv3Jm6J/?symbol=NSE%3ATARC" TargetMode="External"/><Relationship Id="rId2624" Type="http://schemas.openxmlformats.org/officeDocument/2006/relationships/hyperlink" Target="https://in.tradingview.com/chart/bXJLby4L/?symbol=NSE%3AMANINDS" TargetMode="External"/><Relationship Id="rId3954" Type="http://schemas.openxmlformats.org/officeDocument/2006/relationships/hyperlink" Target="https://in.tradingview.com/chart/bXJLby4L/?symbol=NSE%3ASETFNN50" TargetMode="External"/><Relationship Id="rId2625" Type="http://schemas.openxmlformats.org/officeDocument/2006/relationships/hyperlink" Target="https://in.tradingview.com/chart/Cgv3Jm6J/?symbol=NSE%3AMOTILALOFS" TargetMode="External"/><Relationship Id="rId3957" Type="http://schemas.openxmlformats.org/officeDocument/2006/relationships/hyperlink" Target="https://in.tradingview.com/chart/Cgv3Jm6J/?symbol=NSE%3ATARIL" TargetMode="External"/><Relationship Id="rId2626" Type="http://schemas.openxmlformats.org/officeDocument/2006/relationships/hyperlink" Target="https://in.tradingview.com/chart/bXJLby4L/?symbol=NSE%3AMANINFRA" TargetMode="External"/><Relationship Id="rId3956" Type="http://schemas.openxmlformats.org/officeDocument/2006/relationships/hyperlink" Target="https://in.tradingview.com/chart/bXJLby4L/?symbol=NSE%3ASBINEQWETF" TargetMode="External"/><Relationship Id="rId2627" Type="http://schemas.openxmlformats.org/officeDocument/2006/relationships/hyperlink" Target="https://in.tradingview.com/chart/Cgv3Jm6J/?symbol=NSE%3AMOTISONS" TargetMode="External"/><Relationship Id="rId3959" Type="http://schemas.openxmlformats.org/officeDocument/2006/relationships/hyperlink" Target="https://in.tradingview.com/chart/Cgv3Jm6J/?symbol=NSE%3ATARMAT" TargetMode="External"/><Relationship Id="rId2628" Type="http://schemas.openxmlformats.org/officeDocument/2006/relationships/hyperlink" Target="https://in.tradingview.com/chart/bXJLby4L/?symbol=NSE%3AMANAKALUCO" TargetMode="External"/><Relationship Id="rId3958" Type="http://schemas.openxmlformats.org/officeDocument/2006/relationships/hyperlink" Target="https://in.tradingview.com/chart/bXJLby4L/?symbol=NSE%3ASBISILVER" TargetMode="External"/><Relationship Id="rId709" Type="http://schemas.openxmlformats.org/officeDocument/2006/relationships/hyperlink" Target="https://in.tradingview.com/chart/Cgv3Jm6J/?symbol=NSE%3ACARTRADE" TargetMode="External"/><Relationship Id="rId2629" Type="http://schemas.openxmlformats.org/officeDocument/2006/relationships/hyperlink" Target="https://in.tradingview.com/chart/Cgv3Jm6J/?symbol=NSE%3AMOTOGENFIN" TargetMode="External"/><Relationship Id="rId708" Type="http://schemas.openxmlformats.org/officeDocument/2006/relationships/hyperlink" Target="https://in.tradingview.com/chart/bXJLby4L/?symbol=NSE%3ABLUEJET" TargetMode="External"/><Relationship Id="rId707" Type="http://schemas.openxmlformats.org/officeDocument/2006/relationships/hyperlink" Target="https://in.tradingview.com/chart/Cgv3Jm6J/?symbol=NSE%3ACARRARO" TargetMode="External"/><Relationship Id="rId706" Type="http://schemas.openxmlformats.org/officeDocument/2006/relationships/hyperlink" Target="https://in.tradingview.com/chart/bXJLby4L/?symbol=NSE%3ABLUEDART" TargetMode="External"/><Relationship Id="rId701" Type="http://schemas.openxmlformats.org/officeDocument/2006/relationships/hyperlink" Target="https://in.tradingview.com/chart/Cgv3Jm6J/?symbol=NSE%3ACAPTRUST" TargetMode="External"/><Relationship Id="rId700" Type="http://schemas.openxmlformats.org/officeDocument/2006/relationships/hyperlink" Target="https://in.tradingview.com/chart/bXJLby4L/?symbol=NSE%3ABLSE" TargetMode="External"/><Relationship Id="rId705" Type="http://schemas.openxmlformats.org/officeDocument/2006/relationships/hyperlink" Target="https://in.tradingview.com/chart/Cgv3Jm6J/?symbol=NSE%3ACARERATING" TargetMode="External"/><Relationship Id="rId704" Type="http://schemas.openxmlformats.org/officeDocument/2006/relationships/hyperlink" Target="https://in.tradingview.com/chart/bXJLby4L/?symbol=NSE%3ABLUECOAST" TargetMode="External"/><Relationship Id="rId703" Type="http://schemas.openxmlformats.org/officeDocument/2006/relationships/hyperlink" Target="https://in.tradingview.com/chart/Cgv3Jm6J/?symbol=NSE%3ACARBORUNIV" TargetMode="External"/><Relationship Id="rId702" Type="http://schemas.openxmlformats.org/officeDocument/2006/relationships/hyperlink" Target="https://in.tradingview.com/chart/bXJLby4L/?symbol=NSE%3ABLS" TargetMode="External"/><Relationship Id="rId3951" Type="http://schemas.openxmlformats.org/officeDocument/2006/relationships/hyperlink" Target="https://in.tradingview.com/chart/Cgv3Jm6J/?symbol=NSE%3ATARACHAND" TargetMode="External"/><Relationship Id="rId2620" Type="http://schemas.openxmlformats.org/officeDocument/2006/relationships/hyperlink" Target="https://in.tradingview.com/chart/bXJLby4L/?symbol=NSE%3AMALUPAPER" TargetMode="External"/><Relationship Id="rId3950" Type="http://schemas.openxmlformats.org/officeDocument/2006/relationships/hyperlink" Target="https://in.tradingview.com/chart/bXJLby4L/?symbol=NSE%3ALIQUIDSBI" TargetMode="External"/><Relationship Id="rId2610" Type="http://schemas.openxmlformats.org/officeDocument/2006/relationships/hyperlink" Target="https://in.tradingview.com/chart/bXJLby4L/?symbol=NSE%3AMHRIL" TargetMode="External"/><Relationship Id="rId3942" Type="http://schemas.openxmlformats.org/officeDocument/2006/relationships/hyperlink" Target="https://in.tradingview.com/chart/bXJLby4L/?symbol=NSE%3ASETFNIFBK" TargetMode="External"/><Relationship Id="rId2611" Type="http://schemas.openxmlformats.org/officeDocument/2006/relationships/hyperlink" Target="https://in.tradingview.com/chart/Cgv3Jm6J/?symbol=NSE%3AMOQUALITY" TargetMode="External"/><Relationship Id="rId3941" Type="http://schemas.openxmlformats.org/officeDocument/2006/relationships/hyperlink" Target="https://in.tradingview.com/chart/Cgv3Jm6J/?symbol=NSE%3ATAINWALCHM" TargetMode="External"/><Relationship Id="rId2612" Type="http://schemas.openxmlformats.org/officeDocument/2006/relationships/hyperlink" Target="https://in.tradingview.com/chart/bXJLby4L/?symbol=NSE%3AMAHLIFE" TargetMode="External"/><Relationship Id="rId3944" Type="http://schemas.openxmlformats.org/officeDocument/2006/relationships/hyperlink" Target="https://in.tradingview.com/chart/bXJLby4L/?symbol=NSE%3ASBIETFPB" TargetMode="External"/><Relationship Id="rId2613" Type="http://schemas.openxmlformats.org/officeDocument/2006/relationships/hyperlink" Target="https://in.tradingview.com/chart/Cgv3Jm6J/?symbol=NSE%3AMORARJEE" TargetMode="External"/><Relationship Id="rId3943" Type="http://schemas.openxmlformats.org/officeDocument/2006/relationships/hyperlink" Target="https://in.tradingview.com/chart/Cgv3Jm6J/?symbol=NSE%3ATAJGVK" TargetMode="External"/><Relationship Id="rId2614" Type="http://schemas.openxmlformats.org/officeDocument/2006/relationships/hyperlink" Target="https://in.tradingview.com/chart/bXJLby4L/?symbol=NSE%3AMAHLOG" TargetMode="External"/><Relationship Id="rId3946" Type="http://schemas.openxmlformats.org/officeDocument/2006/relationships/hyperlink" Target="https://in.tradingview.com/chart/bXJLby4L/?symbol=NSE%3ASETFGOLD" TargetMode="External"/><Relationship Id="rId2615" Type="http://schemas.openxmlformats.org/officeDocument/2006/relationships/hyperlink" Target="https://in.tradingview.com/chart/Cgv3Jm6J/?symbol=NSE%3AMOREALTY" TargetMode="External"/><Relationship Id="rId3945" Type="http://schemas.openxmlformats.org/officeDocument/2006/relationships/hyperlink" Target="https://in.tradingview.com/chart/Cgv3Jm6J/?symbol=NSE%3ATAKE" TargetMode="External"/><Relationship Id="rId2616" Type="http://schemas.openxmlformats.org/officeDocument/2006/relationships/hyperlink" Target="https://in.tradingview.com/chart/bXJLby4L/?symbol=NSE%3AMAITHANALL" TargetMode="External"/><Relationship Id="rId3948" Type="http://schemas.openxmlformats.org/officeDocument/2006/relationships/hyperlink" Target="https://in.tradingview.com/chart/bXJLby4L/?symbol=NSE%3ASBILIFE" TargetMode="External"/><Relationship Id="rId2617" Type="http://schemas.openxmlformats.org/officeDocument/2006/relationships/hyperlink" Target="https://in.tradingview.com/chart/Cgv3Jm6J/?symbol=NSE%3AMOREPENLAB" TargetMode="External"/><Relationship Id="rId3947" Type="http://schemas.openxmlformats.org/officeDocument/2006/relationships/hyperlink" Target="https://in.tradingview.com/chart/Cgv3Jm6J/?symbol=NSE%3ATALBROAUTO" TargetMode="External"/><Relationship Id="rId2618" Type="http://schemas.openxmlformats.org/officeDocument/2006/relationships/hyperlink" Target="https://in.tradingview.com/chart/bXJLby4L/?symbol=NSE%3AMALLCOM" TargetMode="External"/><Relationship Id="rId2619" Type="http://schemas.openxmlformats.org/officeDocument/2006/relationships/hyperlink" Target="https://in.tradingview.com/chart/Cgv3Jm6J/?symbol=NSE%3AMOSCHIP" TargetMode="External"/><Relationship Id="rId3949" Type="http://schemas.openxmlformats.org/officeDocument/2006/relationships/hyperlink" Target="https://in.tradingview.com/chart/Cgv3Jm6J/?symbol=NSE%3ATANLA" TargetMode="External"/><Relationship Id="rId3940" Type="http://schemas.openxmlformats.org/officeDocument/2006/relationships/hyperlink" Target="https://in.tradingview.com/chart/bXJLby4L/?symbol=NSE%3ASETFNIF50" TargetMode="External"/><Relationship Id="rId1312" Type="http://schemas.openxmlformats.org/officeDocument/2006/relationships/hyperlink" Target="https://in.tradingview.com/chart/bXJLby4L/?symbol=NSE%3AEIFFL" TargetMode="External"/><Relationship Id="rId2643" Type="http://schemas.openxmlformats.org/officeDocument/2006/relationships/hyperlink" Target="https://in.tradingview.com/chart/Cgv3Jm6J/?symbol=NSE%3AMSPL" TargetMode="External"/><Relationship Id="rId3975" Type="http://schemas.openxmlformats.org/officeDocument/2006/relationships/hyperlink" Target="https://in.tradingview.com/chart/Cgv3Jm6J/?symbol=NSE%3ATATAINVEST" TargetMode="External"/><Relationship Id="rId1313" Type="http://schemas.openxmlformats.org/officeDocument/2006/relationships/hyperlink" Target="https://in.tradingview.com/chart/Cgv3Jm6J/?symbol=NSE%3AGHCLTEXTIL" TargetMode="External"/><Relationship Id="rId2644" Type="http://schemas.openxmlformats.org/officeDocument/2006/relationships/hyperlink" Target="https://in.tradingview.com/chart/bXJLby4L/?symbol=NSE%3AMEIL" TargetMode="External"/><Relationship Id="rId3974" Type="http://schemas.openxmlformats.org/officeDocument/2006/relationships/hyperlink" Target="https://in.tradingview.com/chart/bXJLby4L/?symbol=NSE%3ASECURKLOUD" TargetMode="External"/><Relationship Id="rId1314" Type="http://schemas.openxmlformats.org/officeDocument/2006/relationships/hyperlink" Target="https://in.tradingview.com/chart/bXJLby4L/?symbol=NSE%3AEUROBOND" TargetMode="External"/><Relationship Id="rId2645" Type="http://schemas.openxmlformats.org/officeDocument/2006/relationships/hyperlink" Target="https://in.tradingview.com/chart/Cgv3Jm6J/?symbol=NSE%3AMSTCLTD" TargetMode="External"/><Relationship Id="rId3977" Type="http://schemas.openxmlformats.org/officeDocument/2006/relationships/hyperlink" Target="https://in.tradingview.com/chart/Cgv3Jm6J/?symbol=NSE%3ATATAMOTORS" TargetMode="External"/><Relationship Id="rId1315" Type="http://schemas.openxmlformats.org/officeDocument/2006/relationships/hyperlink" Target="https://in.tradingview.com/chart/Cgv3Jm6J/?symbol=NSE%3AGICHSGFIN" TargetMode="External"/><Relationship Id="rId2646" Type="http://schemas.openxmlformats.org/officeDocument/2006/relationships/hyperlink" Target="https://in.tradingview.com/chart/bXJLby4L/?symbol=NSE%3AMANGLMCEM" TargetMode="External"/><Relationship Id="rId3976" Type="http://schemas.openxmlformats.org/officeDocument/2006/relationships/hyperlink" Target="https://in.tradingview.com/chart/bXJLby4L/?symbol=NSE%3ASIS" TargetMode="External"/><Relationship Id="rId1316" Type="http://schemas.openxmlformats.org/officeDocument/2006/relationships/hyperlink" Target="https://in.tradingview.com/chart/bXJLby4L/?symbol=NSE%3AEUROPRATIK" TargetMode="External"/><Relationship Id="rId2647" Type="http://schemas.openxmlformats.org/officeDocument/2006/relationships/hyperlink" Target="https://in.tradingview.com/chart/Cgv3Jm6J/?symbol=NSE%3AMSUMI" TargetMode="External"/><Relationship Id="rId3979" Type="http://schemas.openxmlformats.org/officeDocument/2006/relationships/hyperlink" Target="https://in.tradingview.com/chart/Cgv3Jm6J/?symbol=NSE%3ATATAPOWER" TargetMode="External"/><Relationship Id="rId1317" Type="http://schemas.openxmlformats.org/officeDocument/2006/relationships/hyperlink" Target="https://in.tradingview.com/chart/Cgv3Jm6J/?symbol=NSE%3AGICRE" TargetMode="External"/><Relationship Id="rId2648" Type="http://schemas.openxmlformats.org/officeDocument/2006/relationships/hyperlink" Target="https://in.tradingview.com/chart/bXJLby4L/?symbol=NSE%3AMANGALAM" TargetMode="External"/><Relationship Id="rId3978" Type="http://schemas.openxmlformats.org/officeDocument/2006/relationships/hyperlink" Target="https://in.tradingview.com/chart/bXJLby4L/?symbol=NSE%3ASEJALLTD" TargetMode="External"/><Relationship Id="rId1318" Type="http://schemas.openxmlformats.org/officeDocument/2006/relationships/hyperlink" Target="https://in.tradingview.com/chart/bXJLby4L/?symbol=NSE%3AEUROTEXIND" TargetMode="External"/><Relationship Id="rId2649" Type="http://schemas.openxmlformats.org/officeDocument/2006/relationships/hyperlink" Target="https://in.tradingview.com/chart/Cgv3Jm6J/?symbol=NSE%3AMTARTECH" TargetMode="External"/><Relationship Id="rId1319" Type="http://schemas.openxmlformats.org/officeDocument/2006/relationships/hyperlink" Target="https://in.tradingview.com/chart/Cgv3Jm6J/?symbol=NSE%3AGILLANDERS" TargetMode="External"/><Relationship Id="rId729" Type="http://schemas.openxmlformats.org/officeDocument/2006/relationships/hyperlink" Target="https://in.tradingview.com/chart/Cgv3Jm6J/?symbol=NSE%3ACENTENKA" TargetMode="External"/><Relationship Id="rId728" Type="http://schemas.openxmlformats.org/officeDocument/2006/relationships/hyperlink" Target="https://in.tradingview.com/chart/bXJLby4L/?symbol=NSE%3ABSHSL" TargetMode="External"/><Relationship Id="rId723" Type="http://schemas.openxmlformats.org/officeDocument/2006/relationships/hyperlink" Target="https://in.tradingview.com/chart/Cgv3Jm6J/?symbol=NSE%3ACEIGALL" TargetMode="External"/><Relationship Id="rId722" Type="http://schemas.openxmlformats.org/officeDocument/2006/relationships/hyperlink" Target="https://in.tradingview.com/chart/bXJLby4L/?symbol=NSE%3ABOHRAIND" TargetMode="External"/><Relationship Id="rId721" Type="http://schemas.openxmlformats.org/officeDocument/2006/relationships/hyperlink" Target="https://in.tradingview.com/chart/Cgv3Jm6J/?symbol=NSE%3ACEATLTD" TargetMode="External"/><Relationship Id="rId720" Type="http://schemas.openxmlformats.org/officeDocument/2006/relationships/hyperlink" Target="https://in.tradingview.com/chart/bXJLby4L/?symbol=NSE%3ABTML" TargetMode="External"/><Relationship Id="rId727" Type="http://schemas.openxmlformats.org/officeDocument/2006/relationships/hyperlink" Target="https://in.tradingview.com/chart/Cgv3Jm6J/?symbol=NSE%3ACELLO" TargetMode="External"/><Relationship Id="rId726" Type="http://schemas.openxmlformats.org/officeDocument/2006/relationships/hyperlink" Target="https://in.tradingview.com/chart/bXJLby4L/?symbol=NSE%3ABOMDYEING" TargetMode="External"/><Relationship Id="rId725" Type="http://schemas.openxmlformats.org/officeDocument/2006/relationships/hyperlink" Target="https://in.tradingview.com/chart/Cgv3Jm6J/?symbol=NSE%3ACELEBRITY" TargetMode="External"/><Relationship Id="rId724" Type="http://schemas.openxmlformats.org/officeDocument/2006/relationships/hyperlink" Target="https://in.tradingview.com/chart/bXJLby4L/?symbol=NSE%3ABBTC" TargetMode="External"/><Relationship Id="rId3971" Type="http://schemas.openxmlformats.org/officeDocument/2006/relationships/hyperlink" Target="https://in.tradingview.com/chart/Cgv3Jm6J/?symbol=NSE%3ATATAELXSI" TargetMode="External"/><Relationship Id="rId2640" Type="http://schemas.openxmlformats.org/officeDocument/2006/relationships/hyperlink" Target="https://in.tradingview.com/chart/bXJLby4L/?symbol=NSE%3AMANBA" TargetMode="External"/><Relationship Id="rId3970" Type="http://schemas.openxmlformats.org/officeDocument/2006/relationships/hyperlink" Target="https://in.tradingview.com/chart/bXJLby4L/?symbol=NSE%3ASEAMECLTD" TargetMode="External"/><Relationship Id="rId1310" Type="http://schemas.openxmlformats.org/officeDocument/2006/relationships/hyperlink" Target="https://in.tradingview.com/chart/bXJLby4L/?symbol=NSE%3AEUREKAFORB" TargetMode="External"/><Relationship Id="rId2641" Type="http://schemas.openxmlformats.org/officeDocument/2006/relationships/hyperlink" Target="https://in.tradingview.com/chart/Cgv3Jm6J/?symbol=NSE%3AMSCIINDIA" TargetMode="External"/><Relationship Id="rId3973" Type="http://schemas.openxmlformats.org/officeDocument/2006/relationships/hyperlink" Target="https://in.tradingview.com/chart/Cgv3Jm6J/?symbol=NSE%3ATATAGOLD" TargetMode="External"/><Relationship Id="rId1311" Type="http://schemas.openxmlformats.org/officeDocument/2006/relationships/hyperlink" Target="https://in.tradingview.com/chart/Cgv3Jm6J/?symbol=NSE%3AGHCL" TargetMode="External"/><Relationship Id="rId2642" Type="http://schemas.openxmlformats.org/officeDocument/2006/relationships/hyperlink" Target="https://in.tradingview.com/chart/bXJLby4L/?symbol=NSE%3AMANCREDIT" TargetMode="External"/><Relationship Id="rId3972" Type="http://schemas.openxmlformats.org/officeDocument/2006/relationships/hyperlink" Target="https://in.tradingview.com/chart/bXJLby4L/?symbol=NSE%3ASECMARK" TargetMode="External"/><Relationship Id="rId1301" Type="http://schemas.openxmlformats.org/officeDocument/2006/relationships/hyperlink" Target="https://in.tradingview.com/chart/Cgv3Jm6J/?symbol=NSE%3AGENUSPOWER" TargetMode="External"/><Relationship Id="rId2632" Type="http://schemas.openxmlformats.org/officeDocument/2006/relationships/hyperlink" Target="https://in.tradingview.com/chart/bXJLby4L/?symbol=NSE%3AMANAKSIA" TargetMode="External"/><Relationship Id="rId3964" Type="http://schemas.openxmlformats.org/officeDocument/2006/relationships/hyperlink" Target="https://in.tradingview.com/chart/bXJLby4L/?symbol=NSE%3ATHELEELA" TargetMode="External"/><Relationship Id="rId1302" Type="http://schemas.openxmlformats.org/officeDocument/2006/relationships/hyperlink" Target="https://in.tradingview.com/chart/bXJLby4L/?symbol=NSE%3AESSARSHPNG" TargetMode="External"/><Relationship Id="rId2633" Type="http://schemas.openxmlformats.org/officeDocument/2006/relationships/hyperlink" Target="https://in.tradingview.com/chart/Cgv3Jm6J/?symbol=NSE%3AMPHASIS" TargetMode="External"/><Relationship Id="rId3963" Type="http://schemas.openxmlformats.org/officeDocument/2006/relationships/hyperlink" Target="https://in.tradingview.com/chart/Cgv3Jm6J/?symbol=NSE%3ATASTYBITE" TargetMode="External"/><Relationship Id="rId1303" Type="http://schemas.openxmlformats.org/officeDocument/2006/relationships/hyperlink" Target="https://in.tradingview.com/chart/Cgv3Jm6J/?symbol=NSE%3AGEOJITFSL" TargetMode="External"/><Relationship Id="rId2634" Type="http://schemas.openxmlformats.org/officeDocument/2006/relationships/hyperlink" Target="https://in.tradingview.com/chart/bXJLby4L/?symbol=NSE%3AMANAKSTEEL" TargetMode="External"/><Relationship Id="rId3966" Type="http://schemas.openxmlformats.org/officeDocument/2006/relationships/hyperlink" Target="https://in.tradingview.com/chart/bXJLby4L/?symbol=NSE%3ASCHNEIDER" TargetMode="External"/><Relationship Id="rId1304" Type="http://schemas.openxmlformats.org/officeDocument/2006/relationships/hyperlink" Target="https://in.tradingview.com/chart/bXJLby4L/?symbol=NSE%3AESTER" TargetMode="External"/><Relationship Id="rId2635" Type="http://schemas.openxmlformats.org/officeDocument/2006/relationships/hyperlink" Target="https://in.tradingview.com/chart/Cgv3Jm6J/?symbol=NSE%3AMPSLTD" TargetMode="External"/><Relationship Id="rId3965" Type="http://schemas.openxmlformats.org/officeDocument/2006/relationships/hyperlink" Target="https://in.tradingview.com/chart/Cgv3Jm6J/?symbol=NSE%3ATATACHEM" TargetMode="External"/><Relationship Id="rId1305" Type="http://schemas.openxmlformats.org/officeDocument/2006/relationships/hyperlink" Target="https://in.tradingview.com/chart/Cgv3Jm6J/?symbol=NSE%3AGEPIL" TargetMode="External"/><Relationship Id="rId2636" Type="http://schemas.openxmlformats.org/officeDocument/2006/relationships/hyperlink" Target="https://in.tradingview.com/chart/bXJLby4L/?symbol=NSE%3AMANALIPETC" TargetMode="External"/><Relationship Id="rId3968" Type="http://schemas.openxmlformats.org/officeDocument/2006/relationships/hyperlink" Target="https://in.tradingview.com/chart/bXJLby4L/?symbol=NSE%3ASCODATUBES" TargetMode="External"/><Relationship Id="rId1306" Type="http://schemas.openxmlformats.org/officeDocument/2006/relationships/hyperlink" Target="https://in.tradingview.com/chart/bXJLby4L/?symbol=NSE%3AETERNAL" TargetMode="External"/><Relationship Id="rId2637" Type="http://schemas.openxmlformats.org/officeDocument/2006/relationships/hyperlink" Target="https://in.tradingview.com/chart/Cgv3Jm6J/?symbol=NSE%3AMRF" TargetMode="External"/><Relationship Id="rId3967" Type="http://schemas.openxmlformats.org/officeDocument/2006/relationships/hyperlink" Target="https://in.tradingview.com/chart/Cgv3Jm6J/?symbol=NSE%3ATATACOMM" TargetMode="External"/><Relationship Id="rId1307" Type="http://schemas.openxmlformats.org/officeDocument/2006/relationships/hyperlink" Target="https://in.tradingview.com/chart/Cgv3Jm6J/?symbol=NSE%3AGESHIP" TargetMode="External"/><Relationship Id="rId2638" Type="http://schemas.openxmlformats.org/officeDocument/2006/relationships/hyperlink" Target="https://in.tradingview.com/chart/bXJLby4L/?symbol=NSE%3AMANAPPURAM" TargetMode="External"/><Relationship Id="rId1308" Type="http://schemas.openxmlformats.org/officeDocument/2006/relationships/hyperlink" Target="https://in.tradingview.com/chart/bXJLby4L/?symbol=NSE%3AETHOSLTD" TargetMode="External"/><Relationship Id="rId2639" Type="http://schemas.openxmlformats.org/officeDocument/2006/relationships/hyperlink" Target="https://in.tradingview.com/chart/Cgv3Jm6J/?symbol=NSE%3AMRPL" TargetMode="External"/><Relationship Id="rId3969" Type="http://schemas.openxmlformats.org/officeDocument/2006/relationships/hyperlink" Target="https://in.tradingview.com/chart/Cgv3Jm6J/?symbol=NSE%3ATATACONSUM" TargetMode="External"/><Relationship Id="rId1309" Type="http://schemas.openxmlformats.org/officeDocument/2006/relationships/hyperlink" Target="https://in.tradingview.com/chart/Cgv3Jm6J/?symbol=NSE%3AGFLLIMITED" TargetMode="External"/><Relationship Id="rId719" Type="http://schemas.openxmlformats.org/officeDocument/2006/relationships/hyperlink" Target="https://in.tradingview.com/chart/Cgv3Jm6J/?symbol=NSE%3ACDSL" TargetMode="External"/><Relationship Id="rId718" Type="http://schemas.openxmlformats.org/officeDocument/2006/relationships/hyperlink" Target="https://in.tradingview.com/chart/bXJLby4L/?symbol=NSE%3ABODALCHEM" TargetMode="External"/><Relationship Id="rId717" Type="http://schemas.openxmlformats.org/officeDocument/2006/relationships/hyperlink" Target="https://in.tradingview.com/chart/Cgv3Jm6J/?symbol=NSE%3ACCL" TargetMode="External"/><Relationship Id="rId712" Type="http://schemas.openxmlformats.org/officeDocument/2006/relationships/hyperlink" Target="https://in.tradingview.com/chart/bXJLby4L/?symbol=NSE%3ABLUESTONE" TargetMode="External"/><Relationship Id="rId711" Type="http://schemas.openxmlformats.org/officeDocument/2006/relationships/hyperlink" Target="https://in.tradingview.com/chart/Cgv3Jm6J/?symbol=NSE%3ACARYSIL" TargetMode="External"/><Relationship Id="rId710" Type="http://schemas.openxmlformats.org/officeDocument/2006/relationships/hyperlink" Target="https://in.tradingview.com/chart/bXJLby4L/?symbol=NSE%3ABLUESTARCO" TargetMode="External"/><Relationship Id="rId716" Type="http://schemas.openxmlformats.org/officeDocument/2006/relationships/hyperlink" Target="https://in.tradingview.com/chart/bXJLby4L/?symbol=NSE%3ABMWVENTLTD" TargetMode="External"/><Relationship Id="rId715" Type="http://schemas.openxmlformats.org/officeDocument/2006/relationships/hyperlink" Target="https://in.tradingview.com/chart/Cgv3Jm6J/?symbol=NSE%3ACCHHL" TargetMode="External"/><Relationship Id="rId714" Type="http://schemas.openxmlformats.org/officeDocument/2006/relationships/hyperlink" Target="https://in.tradingview.com/chart/bXJLby4L/?symbol=NSE%3ABLUSPRING" TargetMode="External"/><Relationship Id="rId713" Type="http://schemas.openxmlformats.org/officeDocument/2006/relationships/hyperlink" Target="https://in.tradingview.com/chart/Cgv3Jm6J/?symbol=NSE%3ACASTROLIND" TargetMode="External"/><Relationship Id="rId3960" Type="http://schemas.openxmlformats.org/officeDocument/2006/relationships/hyperlink" Target="https://in.tradingview.com/chart/bXJLby4L/?symbol=NSE%3ASETF10GILT" TargetMode="External"/><Relationship Id="rId2630" Type="http://schemas.openxmlformats.org/officeDocument/2006/relationships/hyperlink" Target="https://in.tradingview.com/chart/bXJLby4L/?symbol=NSE%3AMANAKCOAT" TargetMode="External"/><Relationship Id="rId3962" Type="http://schemas.openxmlformats.org/officeDocument/2006/relationships/hyperlink" Target="https://in.tradingview.com/chart/bXJLby4L/?symbol=NSE%3ASCHAEFFLER" TargetMode="External"/><Relationship Id="rId1300" Type="http://schemas.openxmlformats.org/officeDocument/2006/relationships/hyperlink" Target="https://in.tradingview.com/chart/bXJLby4L/?symbol=NSE%3AESCORTS" TargetMode="External"/><Relationship Id="rId2631" Type="http://schemas.openxmlformats.org/officeDocument/2006/relationships/hyperlink" Target="https://in.tradingview.com/chart/Cgv3Jm6J/?symbol=NSE%3AMOVALUE" TargetMode="External"/><Relationship Id="rId3961" Type="http://schemas.openxmlformats.org/officeDocument/2006/relationships/hyperlink" Target="https://in.tradingview.com/chart/Cgv3Jm6J/?symbol=NSE%3ATARSONS" TargetMode="External"/><Relationship Id="rId3117" Type="http://schemas.openxmlformats.org/officeDocument/2006/relationships/hyperlink" Target="https://in.tradingview.com/chart/Cgv3Jm6J/?symbol=NSE%3APRAJIND" TargetMode="External"/><Relationship Id="rId4448" Type="http://schemas.openxmlformats.org/officeDocument/2006/relationships/hyperlink" Target="https://in.tradingview.com/chart/bXJLby4L/?symbol=NSE%3ATCIEXP" TargetMode="External"/><Relationship Id="rId3116" Type="http://schemas.openxmlformats.org/officeDocument/2006/relationships/hyperlink" Target="https://in.tradingview.com/chart/bXJLby4L/?symbol=NSE%3ANIFTYETF" TargetMode="External"/><Relationship Id="rId4447" Type="http://schemas.openxmlformats.org/officeDocument/2006/relationships/hyperlink" Target="https://in.tradingview.com/chart/Cgv3Jm6J/?symbol=NSE%3AZENSARTECH" TargetMode="External"/><Relationship Id="rId3119" Type="http://schemas.openxmlformats.org/officeDocument/2006/relationships/hyperlink" Target="https://in.tradingview.com/chart/Cgv3Jm6J/?symbol=NSE%3APRAKASH" TargetMode="External"/><Relationship Id="rId3118" Type="http://schemas.openxmlformats.org/officeDocument/2006/relationships/hyperlink" Target="https://in.tradingview.com/chart/bXJLby4L/?symbol=NSE%3ANIFTYFINSERVICE" TargetMode="External"/><Relationship Id="rId4449" Type="http://schemas.openxmlformats.org/officeDocument/2006/relationships/hyperlink" Target="https://in.tradingview.com/chart/Cgv3Jm6J/?symbol=NSE%3AZENTEC" TargetMode="External"/><Relationship Id="rId4440" Type="http://schemas.openxmlformats.org/officeDocument/2006/relationships/hyperlink" Target="https://in.tradingview.com/chart/bXJLby4L/?symbol=NSE%3ATATATECH" TargetMode="External"/><Relationship Id="rId3111" Type="http://schemas.openxmlformats.org/officeDocument/2006/relationships/hyperlink" Target="https://in.tradingview.com/chart/Cgv3Jm6J/?symbol=NSE%3APPL" TargetMode="External"/><Relationship Id="rId4442" Type="http://schemas.openxmlformats.org/officeDocument/2006/relationships/hyperlink" Target="https://in.tradingview.com/chart/bXJLby4L/?symbol=NSE%3ATTML" TargetMode="External"/><Relationship Id="rId3110" Type="http://schemas.openxmlformats.org/officeDocument/2006/relationships/hyperlink" Target="https://in.tradingview.com/chart/bXJLby4L/?symbol=NSE%3ANIFTYCONSURDURBL" TargetMode="External"/><Relationship Id="rId4441" Type="http://schemas.openxmlformats.org/officeDocument/2006/relationships/hyperlink" Target="https://in.tradingview.com/chart/Cgv3Jm6J/?symbol=NSE%3AZEEMEDIA" TargetMode="External"/><Relationship Id="rId3113" Type="http://schemas.openxmlformats.org/officeDocument/2006/relationships/hyperlink" Target="https://in.tradingview.com/chart/Cgv3Jm6J/?symbol=NSE%3APPLPHARMA" TargetMode="External"/><Relationship Id="rId4444" Type="http://schemas.openxmlformats.org/officeDocument/2006/relationships/hyperlink" Target="https://in.tradingview.com/chart/bXJLby4L/?symbol=NSE%3ATATVA" TargetMode="External"/><Relationship Id="rId3112" Type="http://schemas.openxmlformats.org/officeDocument/2006/relationships/hyperlink" Target="https://in.tradingview.com/chart/bXJLby4L/?symbol=NSE%3ANIFTYCPSE" TargetMode="External"/><Relationship Id="rId4443" Type="http://schemas.openxmlformats.org/officeDocument/2006/relationships/hyperlink" Target="https://in.tradingview.com/chart/Cgv3Jm6J/?symbol=NSE%3AZENITHEXPO" TargetMode="External"/><Relationship Id="rId3115" Type="http://schemas.openxmlformats.org/officeDocument/2006/relationships/hyperlink" Target="https://in.tradingview.com/chart/Cgv3Jm6J/?symbol=NSE%3APRAENG" TargetMode="External"/><Relationship Id="rId4446" Type="http://schemas.openxmlformats.org/officeDocument/2006/relationships/hyperlink" Target="https://in.tradingview.com/chart/bXJLby4L/?symbol=NSE%3ATBOTEK" TargetMode="External"/><Relationship Id="rId3114" Type="http://schemas.openxmlformats.org/officeDocument/2006/relationships/hyperlink" Target="https://in.tradingview.com/chart/bXJLby4L/?symbol=NSE%3ANIFTYDIVOPPS50" TargetMode="External"/><Relationship Id="rId4445" Type="http://schemas.openxmlformats.org/officeDocument/2006/relationships/hyperlink" Target="https://in.tradingview.com/chart/Cgv3Jm6J/?symbol=NSE%3AZENITHSTL" TargetMode="External"/><Relationship Id="rId3106" Type="http://schemas.openxmlformats.org/officeDocument/2006/relationships/hyperlink" Target="https://in.tradingview.com/chart/bXJLby4L/?symbol=NSE%3ANIFTYCOMMODITIES" TargetMode="External"/><Relationship Id="rId4437" Type="http://schemas.openxmlformats.org/officeDocument/2006/relationships/hyperlink" Target="https://in.tradingview.com/chart/Cgv3Jm6J/?symbol=NSE%3AZEEL" TargetMode="External"/><Relationship Id="rId3105" Type="http://schemas.openxmlformats.org/officeDocument/2006/relationships/hyperlink" Target="https://in.tradingview.com/chart/Cgv3Jm6J/?symbol=NSE%3APOWERINDIA" TargetMode="External"/><Relationship Id="rId4436" Type="http://schemas.openxmlformats.org/officeDocument/2006/relationships/hyperlink" Target="https://in.tradingview.com/chart/bXJLby4L/?symbol=NSE%3ATATSILV" TargetMode="External"/><Relationship Id="rId3108" Type="http://schemas.openxmlformats.org/officeDocument/2006/relationships/hyperlink" Target="https://in.tradingview.com/chart/bXJLby4L/?symbol=NSE%3ANIFTYCONSUMPTION" TargetMode="External"/><Relationship Id="rId4439" Type="http://schemas.openxmlformats.org/officeDocument/2006/relationships/hyperlink" Target="https://in.tradingview.com/chart/Cgv3Jm6J/?symbol=NSE%3AZEELEARN" TargetMode="External"/><Relationship Id="rId3107" Type="http://schemas.openxmlformats.org/officeDocument/2006/relationships/hyperlink" Target="https://in.tradingview.com/chart/Cgv3Jm6J/?symbol=NSE%3APOWERMECH" TargetMode="External"/><Relationship Id="rId4438" Type="http://schemas.openxmlformats.org/officeDocument/2006/relationships/hyperlink" Target="https://in.tradingview.com/chart/bXJLby4L/?symbol=NSE%3ATATASTEEL" TargetMode="External"/><Relationship Id="rId3109" Type="http://schemas.openxmlformats.org/officeDocument/2006/relationships/hyperlink" Target="https://in.tradingview.com/chart/Cgv3Jm6J/?symbol=NSE%3APPAP" TargetMode="External"/><Relationship Id="rId3100" Type="http://schemas.openxmlformats.org/officeDocument/2006/relationships/hyperlink" Target="https://in.tradingview.com/chart/bXJLby4L/?symbol=NSE%3ANIFTYAUTO" TargetMode="External"/><Relationship Id="rId4431" Type="http://schemas.openxmlformats.org/officeDocument/2006/relationships/hyperlink" Target="https://in.tradingview.com/chart/Cgv3Jm6J/?symbol=NSE%3AYESBANK" TargetMode="External"/><Relationship Id="rId4430" Type="http://schemas.openxmlformats.org/officeDocument/2006/relationships/hyperlink" Target="https://in.tradingview.com/chart/bXJLby4L/?symbol=NSE%3ATNIDETF" TargetMode="External"/><Relationship Id="rId3102" Type="http://schemas.openxmlformats.org/officeDocument/2006/relationships/hyperlink" Target="https://in.tradingview.com/chart/bXJLby4L/?symbol=NSE%3ANIFTYBEES" TargetMode="External"/><Relationship Id="rId4433" Type="http://schemas.openxmlformats.org/officeDocument/2006/relationships/hyperlink" Target="https://in.tradingview.com/chart/Cgv3Jm6J/?symbol=NSE%3AYUKEN" TargetMode="External"/><Relationship Id="rId3101" Type="http://schemas.openxmlformats.org/officeDocument/2006/relationships/hyperlink" Target="https://in.tradingview.com/chart/Cgv3Jm6J/?symbol=NSE%3APOONAWALLA" TargetMode="External"/><Relationship Id="rId4432" Type="http://schemas.openxmlformats.org/officeDocument/2006/relationships/hyperlink" Target="https://in.tradingview.com/chart/bXJLby4L/?symbol=NSE%3ANPBET" TargetMode="External"/><Relationship Id="rId3104" Type="http://schemas.openxmlformats.org/officeDocument/2006/relationships/hyperlink" Target="https://in.tradingview.com/chart/bXJLby4L/?symbol=NSE%3ANIFTYCAPITALMKT" TargetMode="External"/><Relationship Id="rId4435" Type="http://schemas.openxmlformats.org/officeDocument/2006/relationships/hyperlink" Target="https://in.tradingview.com/chart/Cgv3Jm6J/?symbol=NSE%3AZAGGLE" TargetMode="External"/><Relationship Id="rId3103" Type="http://schemas.openxmlformats.org/officeDocument/2006/relationships/hyperlink" Target="https://in.tradingview.com/chart/Cgv3Jm6J/?symbol=NSE%3APOWERGRID" TargetMode="External"/><Relationship Id="rId4434" Type="http://schemas.openxmlformats.org/officeDocument/2006/relationships/hyperlink" Target="https://in.tradingview.com/chart/bXJLby4L/?symbol=NSE%3ATATAPOWER" TargetMode="External"/><Relationship Id="rId3139" Type="http://schemas.openxmlformats.org/officeDocument/2006/relationships/hyperlink" Target="https://in.tradingview.com/chart/Cgv3Jm6J/?symbol=NSE%3APRESTIGE" TargetMode="External"/><Relationship Id="rId3138" Type="http://schemas.openxmlformats.org/officeDocument/2006/relationships/hyperlink" Target="https://in.tradingview.com/chart/bXJLby4L/?symbol=NSE%3ANIFTYGSCOMPSITE" TargetMode="External"/><Relationship Id="rId4469" Type="http://schemas.openxmlformats.org/officeDocument/2006/relationships/hyperlink" Target="https://in.tradingview.com/chart/bXJLby4L/?symbol=NSE%3ATEJASNET" TargetMode="External"/><Relationship Id="rId4460" Type="http://schemas.openxmlformats.org/officeDocument/2006/relationships/hyperlink" Target="https://in.tradingview.com/chart/bXJLby4L/?symbol=NSE%3ATECHM" TargetMode="External"/><Relationship Id="rId3131" Type="http://schemas.openxmlformats.org/officeDocument/2006/relationships/hyperlink" Target="https://in.tradingview.com/chart/Cgv3Jm6J/?symbol=NSE%3APREMEXPLN" TargetMode="External"/><Relationship Id="rId4462" Type="http://schemas.openxmlformats.org/officeDocument/2006/relationships/hyperlink" Target="https://in.tradingview.com/chart/bXJLby4L/?symbol=NSE%3ATECHNOE" TargetMode="External"/><Relationship Id="rId3130" Type="http://schemas.openxmlformats.org/officeDocument/2006/relationships/hyperlink" Target="https://in.tradingview.com/chart/bXJLby4L/?symbol=NSE%3ANIFTYGS1115YR" TargetMode="External"/><Relationship Id="rId4461" Type="http://schemas.openxmlformats.org/officeDocument/2006/relationships/hyperlink" Target="https://in.tradingview.com/chart/Cgv3Jm6J/?symbol=NSE%3AZUARI" TargetMode="External"/><Relationship Id="rId3133" Type="http://schemas.openxmlformats.org/officeDocument/2006/relationships/hyperlink" Target="https://in.tradingview.com/chart/Cgv3Jm6J/?symbol=NSE%3APREMIER" TargetMode="External"/><Relationship Id="rId4464" Type="http://schemas.openxmlformats.org/officeDocument/2006/relationships/hyperlink" Target="https://in.tradingview.com/chart/bXJLby4L/?symbol=NSE%3ATIIL" TargetMode="External"/><Relationship Id="rId3132" Type="http://schemas.openxmlformats.org/officeDocument/2006/relationships/hyperlink" Target="https://in.tradingview.com/chart/bXJLby4L/?symbol=NSE%3ANIFTYGS15YRPLUS" TargetMode="External"/><Relationship Id="rId4463" Type="http://schemas.openxmlformats.org/officeDocument/2006/relationships/hyperlink" Target="https://in.tradingview.com/chart/Cgv3Jm6J/?symbol=NSE%3AZUARIIND" TargetMode="External"/><Relationship Id="rId3135" Type="http://schemas.openxmlformats.org/officeDocument/2006/relationships/hyperlink" Target="https://in.tradingview.com/chart/Cgv3Jm6J/?symbol=NSE%3APREMIERENE" TargetMode="External"/><Relationship Id="rId4466" Type="http://schemas.openxmlformats.org/officeDocument/2006/relationships/hyperlink" Target="https://in.tradingview.com/chart/bXJLby4L/?symbol=NSE%3ATECILCHEM" TargetMode="External"/><Relationship Id="rId3134" Type="http://schemas.openxmlformats.org/officeDocument/2006/relationships/hyperlink" Target="https://in.tradingview.com/chart/bXJLby4L/?symbol=NSE%3ANIFTYGS48YR" TargetMode="External"/><Relationship Id="rId4465" Type="http://schemas.openxmlformats.org/officeDocument/2006/relationships/hyperlink" Target="https://in.tradingview.com/chart/Cgv3Jm6J/?symbol=NSE%3AZYDUSLIFE" TargetMode="External"/><Relationship Id="rId3137" Type="http://schemas.openxmlformats.org/officeDocument/2006/relationships/hyperlink" Target="https://in.tradingview.com/chart/Cgv3Jm6J/?symbol=NSE%3APREMIERPOL" TargetMode="External"/><Relationship Id="rId4468" Type="http://schemas.openxmlformats.org/officeDocument/2006/relationships/hyperlink" Target="https://in.tradingview.com/chart/bXJLby4L/?symbol=NSE%3ATEGA" TargetMode="External"/><Relationship Id="rId3136" Type="http://schemas.openxmlformats.org/officeDocument/2006/relationships/hyperlink" Target="https://in.tradingview.com/chart/bXJLby4L/?symbol=NSE%3ANIFTYGS813YR" TargetMode="External"/><Relationship Id="rId4467" Type="http://schemas.openxmlformats.org/officeDocument/2006/relationships/hyperlink" Target="https://in.tradingview.com/chart/Cgv3Jm6J/?symbol=NSE%3AZYDUSWELL" TargetMode="External"/><Relationship Id="rId3128" Type="http://schemas.openxmlformats.org/officeDocument/2006/relationships/hyperlink" Target="https://in.tradingview.com/chart/bXJLby4L/?symbol=NSE%3ANIFTYGS10YRCLN" TargetMode="External"/><Relationship Id="rId4459" Type="http://schemas.openxmlformats.org/officeDocument/2006/relationships/hyperlink" Target="https://in.tradingview.com/chart/Cgv3Jm6J/?symbol=NSE%3AZOTA" TargetMode="External"/><Relationship Id="rId3127" Type="http://schemas.openxmlformats.org/officeDocument/2006/relationships/hyperlink" Target="https://in.tradingview.com/chart/Cgv3Jm6J/?symbol=NSE%3APRECOT" TargetMode="External"/><Relationship Id="rId4458" Type="http://schemas.openxmlformats.org/officeDocument/2006/relationships/hyperlink" Target="https://in.tradingview.com/chart/bXJLby4L/?symbol=NSE%3ATEAMLEASE" TargetMode="External"/><Relationship Id="rId3129" Type="http://schemas.openxmlformats.org/officeDocument/2006/relationships/hyperlink" Target="https://in.tradingview.com/chart/Cgv3Jm6J/?symbol=NSE%3APRECWIRE" TargetMode="External"/><Relationship Id="rId3120" Type="http://schemas.openxmlformats.org/officeDocument/2006/relationships/hyperlink" Target="https://in.tradingview.com/chart/bXJLby4L/?symbol=NSE%3ANIFTYFINSRV2550" TargetMode="External"/><Relationship Id="rId4451" Type="http://schemas.openxmlformats.org/officeDocument/2006/relationships/hyperlink" Target="https://in.tradingview.com/chart/Cgv3Jm6J/?symbol=NSE%3AZFCVINDIA" TargetMode="External"/><Relationship Id="rId4450" Type="http://schemas.openxmlformats.org/officeDocument/2006/relationships/hyperlink" Target="https://in.tradingview.com/chart/bXJLby4L/?symbol=NSE%3ATCIFINANCE" TargetMode="External"/><Relationship Id="rId3122" Type="http://schemas.openxmlformats.org/officeDocument/2006/relationships/hyperlink" Target="https://in.tradingview.com/chart/bXJLby4L/?symbol=NSE%3ANIFTYFMCG" TargetMode="External"/><Relationship Id="rId4453" Type="http://schemas.openxmlformats.org/officeDocument/2006/relationships/hyperlink" Target="https://in.tradingview.com/chart/Cgv3Jm6J/?symbol=NSE%3AZIMLAB" TargetMode="External"/><Relationship Id="rId3121" Type="http://schemas.openxmlformats.org/officeDocument/2006/relationships/hyperlink" Target="https://in.tradingview.com/chart/Cgv3Jm6J/?symbol=NSE%3APRAKASHSTL" TargetMode="External"/><Relationship Id="rId4452" Type="http://schemas.openxmlformats.org/officeDocument/2006/relationships/hyperlink" Target="https://in.tradingview.com/chart/bXJLby4L/?symbol=NSE%3ATCPLPACK" TargetMode="External"/><Relationship Id="rId3124" Type="http://schemas.openxmlformats.org/officeDocument/2006/relationships/hyperlink" Target="https://in.tradingview.com/chart/bXJLby4L/?symbol=NSE%3ANIFTYGROWSECT15" TargetMode="External"/><Relationship Id="rId4455" Type="http://schemas.openxmlformats.org/officeDocument/2006/relationships/hyperlink" Target="https://in.tradingview.com/chart/Cgv3Jm6J/?symbol=NSE%3AZODIAC" TargetMode="External"/><Relationship Id="rId3123" Type="http://schemas.openxmlformats.org/officeDocument/2006/relationships/hyperlink" Target="https://in.tradingview.com/chart/Cgv3Jm6J/?symbol=NSE%3APRAXIS" TargetMode="External"/><Relationship Id="rId4454" Type="http://schemas.openxmlformats.org/officeDocument/2006/relationships/hyperlink" Target="https://in.tradingview.com/chart/bXJLby4L/?symbol=NSE%3ATDPOWERSYS" TargetMode="External"/><Relationship Id="rId3126" Type="http://schemas.openxmlformats.org/officeDocument/2006/relationships/hyperlink" Target="https://in.tradingview.com/chart/bXJLby4L/?symbol=NSE%3ANIFTYGS10YR" TargetMode="External"/><Relationship Id="rId4457" Type="http://schemas.openxmlformats.org/officeDocument/2006/relationships/hyperlink" Target="https://in.tradingview.com/chart/Cgv3Jm6J/?symbol=NSE%3AZODIACLOTH" TargetMode="External"/><Relationship Id="rId3125" Type="http://schemas.openxmlformats.org/officeDocument/2006/relationships/hyperlink" Target="https://in.tradingview.com/chart/Cgv3Jm6J/?symbol=NSE%3APRECAM" TargetMode="External"/><Relationship Id="rId4456" Type="http://schemas.openxmlformats.org/officeDocument/2006/relationships/hyperlink" Target="https://in.tradingview.com/chart/bXJLby4L/?symbol=NSE%3ATEAMGTY" TargetMode="External"/><Relationship Id="rId1378" Type="http://schemas.openxmlformats.org/officeDocument/2006/relationships/hyperlink" Target="https://in.tradingview.com/chart/bXJLby4L/?symbol=NSE%3AFLEXITUFF" TargetMode="External"/><Relationship Id="rId4404" Type="http://schemas.openxmlformats.org/officeDocument/2006/relationships/hyperlink" Target="https://in.tradingview.com/chart/bXJLby4L/?symbol=NSE%3ATARMAT" TargetMode="External"/><Relationship Id="rId1379" Type="http://schemas.openxmlformats.org/officeDocument/2006/relationships/hyperlink" Target="https://in.tradingview.com/chart/Cgv3Jm6J/?symbol=NSE%3AGODREJCP" TargetMode="External"/><Relationship Id="rId4403" Type="http://schemas.openxmlformats.org/officeDocument/2006/relationships/hyperlink" Target="https://in.tradingview.com/chart/Cgv3Jm6J/?symbol=NSE%3AWIPL" TargetMode="External"/><Relationship Id="rId4406" Type="http://schemas.openxmlformats.org/officeDocument/2006/relationships/hyperlink" Target="https://in.tradingview.com/chart/bXJLby4L/?symbol=NSE%3ATARSONS" TargetMode="External"/><Relationship Id="rId4405" Type="http://schemas.openxmlformats.org/officeDocument/2006/relationships/hyperlink" Target="https://in.tradingview.com/chart/Cgv3Jm6J/?symbol=NSE%3AWIPRO" TargetMode="External"/><Relationship Id="rId4408" Type="http://schemas.openxmlformats.org/officeDocument/2006/relationships/hyperlink" Target="https://in.tradingview.com/chart/bXJLby4L/?symbol=NSE%3ATASTYBITE" TargetMode="External"/><Relationship Id="rId4407" Type="http://schemas.openxmlformats.org/officeDocument/2006/relationships/hyperlink" Target="https://in.tradingview.com/chart/Cgv3Jm6J/?symbol=NSE%3AWOCKPHARMA" TargetMode="External"/><Relationship Id="rId4409" Type="http://schemas.openxmlformats.org/officeDocument/2006/relationships/hyperlink" Target="https://in.tradingview.com/chart/Cgv3Jm6J/?symbol=NSE%3AWONDERLA" TargetMode="External"/><Relationship Id="rId789" Type="http://schemas.openxmlformats.org/officeDocument/2006/relationships/hyperlink" Target="https://in.tradingview.com/chart/Cgv3Jm6J/?symbol=NSE%3ACLSEL" TargetMode="External"/><Relationship Id="rId788" Type="http://schemas.openxmlformats.org/officeDocument/2006/relationships/hyperlink" Target="https://in.tradingview.com/chart/bXJLby4L/?symbol=NSE%3ACAPITALSFB" TargetMode="External"/><Relationship Id="rId787" Type="http://schemas.openxmlformats.org/officeDocument/2006/relationships/hyperlink" Target="https://in.tradingview.com/chart/Cgv3Jm6J/?symbol=NSE%3ACLEDUCATE" TargetMode="External"/><Relationship Id="rId786" Type="http://schemas.openxmlformats.org/officeDocument/2006/relationships/hyperlink" Target="https://in.tradingview.com/chart/bXJLby4L/?symbol=NSE%3ACIFL" TargetMode="External"/><Relationship Id="rId781" Type="http://schemas.openxmlformats.org/officeDocument/2006/relationships/hyperlink" Target="https://in.tradingview.com/chart/Cgv3Jm6J/?symbol=NSE%3ACINEVISTA" TargetMode="External"/><Relationship Id="rId1370" Type="http://schemas.openxmlformats.org/officeDocument/2006/relationships/hyperlink" Target="https://in.tradingview.com/chart/bXJLby4L/?symbol=NSE%3AFSL" TargetMode="External"/><Relationship Id="rId780" Type="http://schemas.openxmlformats.org/officeDocument/2006/relationships/hyperlink" Target="https://in.tradingview.com/chart/bXJLby4L/?symbol=NSE%3ACANTABIL" TargetMode="External"/><Relationship Id="rId1371" Type="http://schemas.openxmlformats.org/officeDocument/2006/relationships/hyperlink" Target="https://in.tradingview.com/chart/Cgv3Jm6J/?symbol=NSE%3AGODAVARIB" TargetMode="External"/><Relationship Id="rId1372" Type="http://schemas.openxmlformats.org/officeDocument/2006/relationships/hyperlink" Target="https://in.tradingview.com/chart/bXJLby4L/?symbol=NSE%3AFISCHER" TargetMode="External"/><Relationship Id="rId1373" Type="http://schemas.openxmlformats.org/officeDocument/2006/relationships/hyperlink" Target="https://in.tradingview.com/chart/Cgv3Jm6J/?symbol=NSE%3AGODFRYPHLP" TargetMode="External"/><Relationship Id="rId785" Type="http://schemas.openxmlformats.org/officeDocument/2006/relationships/hyperlink" Target="https://in.tradingview.com/chart/Cgv3Jm6J/?symbol=NSE%3ACLEAN" TargetMode="External"/><Relationship Id="rId1374" Type="http://schemas.openxmlformats.org/officeDocument/2006/relationships/hyperlink" Target="https://in.tradingview.com/chart/bXJLby4L/?symbol=NSE%3AFIVESTAR" TargetMode="External"/><Relationship Id="rId4400" Type="http://schemas.openxmlformats.org/officeDocument/2006/relationships/hyperlink" Target="https://in.tradingview.com/chart/bXJLby4L/?symbol=NSE%3ATARACHAND" TargetMode="External"/><Relationship Id="rId784" Type="http://schemas.openxmlformats.org/officeDocument/2006/relationships/hyperlink" Target="https://in.tradingview.com/chart/bXJLby4L/?symbol=NSE%3ACAPILLARY" TargetMode="External"/><Relationship Id="rId1375" Type="http://schemas.openxmlformats.org/officeDocument/2006/relationships/hyperlink" Target="https://in.tradingview.com/chart/Cgv3Jm6J/?symbol=NSE%3AGODIGIT" TargetMode="External"/><Relationship Id="rId783" Type="http://schemas.openxmlformats.org/officeDocument/2006/relationships/hyperlink" Target="https://in.tradingview.com/chart/Cgv3Jm6J/?symbol=NSE%3ACIPLA" TargetMode="External"/><Relationship Id="rId1376" Type="http://schemas.openxmlformats.org/officeDocument/2006/relationships/hyperlink" Target="https://in.tradingview.com/chart/bXJLby4L/?symbol=NSE%3AFLAIR" TargetMode="External"/><Relationship Id="rId4402" Type="http://schemas.openxmlformats.org/officeDocument/2006/relationships/hyperlink" Target="https://in.tradingview.com/chart/bXJLby4L/?symbol=NSE%3ATARAPUR" TargetMode="External"/><Relationship Id="rId782" Type="http://schemas.openxmlformats.org/officeDocument/2006/relationships/hyperlink" Target="https://in.tradingview.com/chart/bXJLby4L/?symbol=NSE%3ACAPACITE" TargetMode="External"/><Relationship Id="rId1377" Type="http://schemas.openxmlformats.org/officeDocument/2006/relationships/hyperlink" Target="https://in.tradingview.com/chart/Cgv3Jm6J/?symbol=NSE%3AGODREJAGRO" TargetMode="External"/><Relationship Id="rId4401" Type="http://schemas.openxmlformats.org/officeDocument/2006/relationships/hyperlink" Target="https://in.tradingview.com/chart/Cgv3Jm6J/?symbol=NSE%3AWINSOME" TargetMode="External"/><Relationship Id="rId1367" Type="http://schemas.openxmlformats.org/officeDocument/2006/relationships/hyperlink" Target="https://in.tradingview.com/chart/Cgv3Jm6J/?symbol=NSE%3AGOCLCORP" TargetMode="External"/><Relationship Id="rId2698" Type="http://schemas.openxmlformats.org/officeDocument/2006/relationships/hyperlink" Target="https://in.tradingview.com/chart/bXJLby4L/?symbol=NSE%3AMAXHEALTH" TargetMode="External"/><Relationship Id="rId1368" Type="http://schemas.openxmlformats.org/officeDocument/2006/relationships/hyperlink" Target="https://in.tradingview.com/chart/bXJLby4L/?symbol=NSE%3AFINPIPE" TargetMode="External"/><Relationship Id="rId2699" Type="http://schemas.openxmlformats.org/officeDocument/2006/relationships/hyperlink" Target="https://in.tradingview.com/chart/Cgv3Jm6J/?symbol=NSE%3ANATCAPSUQ" TargetMode="External"/><Relationship Id="rId1369" Type="http://schemas.openxmlformats.org/officeDocument/2006/relationships/hyperlink" Target="https://in.tradingview.com/chart/Cgv3Jm6J/?symbol=NSE%3AGOCOLORS" TargetMode="External"/><Relationship Id="rId778" Type="http://schemas.openxmlformats.org/officeDocument/2006/relationships/hyperlink" Target="https://in.tradingview.com/chart/bXJLby4L/?symbol=NSE%3ACRAMC" TargetMode="External"/><Relationship Id="rId777" Type="http://schemas.openxmlformats.org/officeDocument/2006/relationships/hyperlink" Target="https://in.tradingview.com/chart/Cgv3Jm6J/?symbol=NSE%3ACIGNITITEC" TargetMode="External"/><Relationship Id="rId776" Type="http://schemas.openxmlformats.org/officeDocument/2006/relationships/hyperlink" Target="https://in.tradingview.com/chart/bXJLby4L/?symbol=NSE%3ACANHLIFE" TargetMode="External"/><Relationship Id="rId775" Type="http://schemas.openxmlformats.org/officeDocument/2006/relationships/hyperlink" Target="https://in.tradingview.com/chart/Cgv3Jm6J/?symbol=NSE%3ACIEINDIA" TargetMode="External"/><Relationship Id="rId779" Type="http://schemas.openxmlformats.org/officeDocument/2006/relationships/hyperlink" Target="https://in.tradingview.com/chart/Cgv3Jm6J/?symbol=NSE%3ACINELINE" TargetMode="External"/><Relationship Id="rId770" Type="http://schemas.openxmlformats.org/officeDocument/2006/relationships/hyperlink" Target="https://in.tradingview.com/chart/bXJLby4L/?symbol=NSE%3ACAMPUS" TargetMode="External"/><Relationship Id="rId2690" Type="http://schemas.openxmlformats.org/officeDocument/2006/relationships/hyperlink" Target="https://in.tradingview.com/chart/bXJLby4L/?symbol=NSE%3AMATRIMONY" TargetMode="External"/><Relationship Id="rId1360" Type="http://schemas.openxmlformats.org/officeDocument/2006/relationships/hyperlink" Target="https://in.tradingview.com/chart/bXJLby4L/?symbol=NSE%3AFCL" TargetMode="External"/><Relationship Id="rId2691" Type="http://schemas.openxmlformats.org/officeDocument/2006/relationships/hyperlink" Target="https://in.tradingview.com/chart/Cgv3Jm6J/?symbol=NSE%3ANAHARINDUS" TargetMode="External"/><Relationship Id="rId1361" Type="http://schemas.openxmlformats.org/officeDocument/2006/relationships/hyperlink" Target="https://in.tradingview.com/chart/Cgv3Jm6J/?symbol=NSE%3AGNA" TargetMode="External"/><Relationship Id="rId2692" Type="http://schemas.openxmlformats.org/officeDocument/2006/relationships/hyperlink" Target="https://in.tradingview.com/chart/bXJLby4L/?symbol=NSE%3AMAWANASUG" TargetMode="External"/><Relationship Id="rId1362" Type="http://schemas.openxmlformats.org/officeDocument/2006/relationships/hyperlink" Target="https://in.tradingview.com/chart/bXJLby4L/?symbol=NSE%3AFINKURVE" TargetMode="External"/><Relationship Id="rId2693" Type="http://schemas.openxmlformats.org/officeDocument/2006/relationships/hyperlink" Target="https://in.tradingview.com/chart/Cgv3Jm6J/?symbol=NSE%3ANAHARPOLY" TargetMode="External"/><Relationship Id="rId774" Type="http://schemas.openxmlformats.org/officeDocument/2006/relationships/hyperlink" Target="https://in.tradingview.com/chart/bXJLby4L/?symbol=NSE%3ACANBK" TargetMode="External"/><Relationship Id="rId1363" Type="http://schemas.openxmlformats.org/officeDocument/2006/relationships/hyperlink" Target="https://in.tradingview.com/chart/Cgv3Jm6J/?symbol=NSE%3AGNFC" TargetMode="External"/><Relationship Id="rId2694" Type="http://schemas.openxmlformats.org/officeDocument/2006/relationships/hyperlink" Target="https://in.tradingview.com/chart/bXJLby4L/?symbol=NSE%3AMAXESTATES" TargetMode="External"/><Relationship Id="rId773" Type="http://schemas.openxmlformats.org/officeDocument/2006/relationships/hyperlink" Target="https://in.tradingview.com/chart/Cgv3Jm6J/?symbol=NSE%3ACHOLAHLDNG" TargetMode="External"/><Relationship Id="rId1364" Type="http://schemas.openxmlformats.org/officeDocument/2006/relationships/hyperlink" Target="https://in.tradingview.com/chart/bXJLby4L/?symbol=NSE%3AFINOPB" TargetMode="External"/><Relationship Id="rId2695" Type="http://schemas.openxmlformats.org/officeDocument/2006/relationships/hyperlink" Target="https://in.tradingview.com/chart/Cgv3Jm6J/?symbol=NSE%3ANAHARSPING" TargetMode="External"/><Relationship Id="rId772" Type="http://schemas.openxmlformats.org/officeDocument/2006/relationships/hyperlink" Target="https://in.tradingview.com/chart/bXJLby4L/?symbol=NSE%3ACANFINHOME" TargetMode="External"/><Relationship Id="rId1365" Type="http://schemas.openxmlformats.org/officeDocument/2006/relationships/hyperlink" Target="https://in.tradingview.com/chart/Cgv3Jm6J/?symbol=NSE%3AGOACARBON" TargetMode="External"/><Relationship Id="rId2696" Type="http://schemas.openxmlformats.org/officeDocument/2006/relationships/hyperlink" Target="https://in.tradingview.com/chart/bXJLby4L/?symbol=NSE%3AMFSL" TargetMode="External"/><Relationship Id="rId771" Type="http://schemas.openxmlformats.org/officeDocument/2006/relationships/hyperlink" Target="https://in.tradingview.com/chart/Cgv3Jm6J/?symbol=NSE%3ACHOLAFIN" TargetMode="External"/><Relationship Id="rId1366" Type="http://schemas.openxmlformats.org/officeDocument/2006/relationships/hyperlink" Target="https://in.tradingview.com/chart/bXJLby4L/?symbol=NSE%3AFINCABLES" TargetMode="External"/><Relationship Id="rId2697" Type="http://schemas.openxmlformats.org/officeDocument/2006/relationships/hyperlink" Target="https://in.tradingview.com/chart/Cgv3Jm6J/?symbol=NSE%3ANARMADA" TargetMode="External"/><Relationship Id="rId4426" Type="http://schemas.openxmlformats.org/officeDocument/2006/relationships/hyperlink" Target="https://in.tradingview.com/chart/bXJLby4L/?symbol=NSE%3ATMPV" TargetMode="External"/><Relationship Id="rId4425" Type="http://schemas.openxmlformats.org/officeDocument/2006/relationships/hyperlink" Target="https://in.tradingview.com/chart/Cgv3Jm6J/?symbol=NSE%3AYASHO" TargetMode="External"/><Relationship Id="rId4428" Type="http://schemas.openxmlformats.org/officeDocument/2006/relationships/hyperlink" Target="https://in.tradingview.com/chart/bXJLby4L/?symbol=NSE%3ANETF" TargetMode="External"/><Relationship Id="rId4427" Type="http://schemas.openxmlformats.org/officeDocument/2006/relationships/hyperlink" Target="https://in.tradingview.com/chart/Cgv3Jm6J/?symbol=NSE%3AYATHARTH" TargetMode="External"/><Relationship Id="rId4429" Type="http://schemas.openxmlformats.org/officeDocument/2006/relationships/hyperlink" Target="https://in.tradingview.com/chart/Cgv3Jm6J/?symbol=NSE%3AYATRA" TargetMode="External"/><Relationship Id="rId1390" Type="http://schemas.openxmlformats.org/officeDocument/2006/relationships/hyperlink" Target="https://in.tradingview.com/chart/bXJLby4L/?symbol=NSE%3ANYKAA" TargetMode="External"/><Relationship Id="rId1391" Type="http://schemas.openxmlformats.org/officeDocument/2006/relationships/hyperlink" Target="https://in.tradingview.com/chart/Cgv3Jm6J/?symbol=NSE%3AGOKULAGRO" TargetMode="External"/><Relationship Id="rId1392" Type="http://schemas.openxmlformats.org/officeDocument/2006/relationships/hyperlink" Target="https://in.tradingview.com/chart/bXJLby4L/?symbol=NSE%3AUTLSOLAR" TargetMode="External"/><Relationship Id="rId1393" Type="http://schemas.openxmlformats.org/officeDocument/2006/relationships/hyperlink" Target="https://in.tradingview.com/chart/Cgv3Jm6J/?symbol=NSE%3AGOLD1" TargetMode="External"/><Relationship Id="rId1394" Type="http://schemas.openxmlformats.org/officeDocument/2006/relationships/hyperlink" Target="https://in.tradingview.com/chart/bXJLby4L/?symbol=NSE%3AFUSION" TargetMode="External"/><Relationship Id="rId4420" Type="http://schemas.openxmlformats.org/officeDocument/2006/relationships/hyperlink" Target="https://in.tradingview.com/chart/bXJLby4L/?symbol=NSE%3ATATAELXSI" TargetMode="External"/><Relationship Id="rId1395" Type="http://schemas.openxmlformats.org/officeDocument/2006/relationships/hyperlink" Target="https://in.tradingview.com/chart/Cgv3Jm6J/?symbol=NSE%3AGOLDBEES" TargetMode="External"/><Relationship Id="rId1396" Type="http://schemas.openxmlformats.org/officeDocument/2006/relationships/hyperlink" Target="https://in.tradingview.com/chart/bXJLby4L/?symbol=NSE%3AFMNL" TargetMode="External"/><Relationship Id="rId4422" Type="http://schemas.openxmlformats.org/officeDocument/2006/relationships/hyperlink" Target="https://in.tradingview.com/chart/bXJLby4L/?symbol=NSE%3ATATAGOLD" TargetMode="External"/><Relationship Id="rId1397" Type="http://schemas.openxmlformats.org/officeDocument/2006/relationships/hyperlink" Target="https://in.tradingview.com/chart/Cgv3Jm6J/?symbol=NSE%3AGOLDCASE" TargetMode="External"/><Relationship Id="rId4421" Type="http://schemas.openxmlformats.org/officeDocument/2006/relationships/hyperlink" Target="https://in.tradingview.com/chart/Cgv3Jm6J/?symbol=NSE%3AXTGLOBAL" TargetMode="External"/><Relationship Id="rId1398" Type="http://schemas.openxmlformats.org/officeDocument/2006/relationships/hyperlink" Target="https://in.tradingview.com/chart/bXJLby4L/?symbol=NSE%3AGRINFRA" TargetMode="External"/><Relationship Id="rId4424" Type="http://schemas.openxmlformats.org/officeDocument/2006/relationships/hyperlink" Target="https://in.tradingview.com/chart/bXJLby4L/?symbol=NSE%3ATATAINVEST" TargetMode="External"/><Relationship Id="rId1399" Type="http://schemas.openxmlformats.org/officeDocument/2006/relationships/hyperlink" Target="https://in.tradingview.com/chart/Cgv3Jm6J/?symbol=NSE%3AGOLDENTOBC" TargetMode="External"/><Relationship Id="rId4423" Type="http://schemas.openxmlformats.org/officeDocument/2006/relationships/hyperlink" Target="https://in.tradingview.com/chart/Cgv3Jm6J/?symbol=NSE%3AYAARI" TargetMode="External"/><Relationship Id="rId1389" Type="http://schemas.openxmlformats.org/officeDocument/2006/relationships/hyperlink" Target="https://in.tradingview.com/chart/Cgv3Jm6J/?symbol=NSE%3AGOKUL" TargetMode="External"/><Relationship Id="rId4415" Type="http://schemas.openxmlformats.org/officeDocument/2006/relationships/hyperlink" Target="https://in.tradingview.com/chart/Cgv3Jm6J/?symbol=NSE%3AXCHANGING" TargetMode="External"/><Relationship Id="rId4414" Type="http://schemas.openxmlformats.org/officeDocument/2006/relationships/hyperlink" Target="https://in.tradingview.com/chart/bXJLby4L/?symbol=NSE%3ATATACOMM" TargetMode="External"/><Relationship Id="rId4417" Type="http://schemas.openxmlformats.org/officeDocument/2006/relationships/hyperlink" Target="https://in.tradingview.com/chart/Cgv3Jm6J/?symbol=NSE%3AXELPMOC" TargetMode="External"/><Relationship Id="rId4416" Type="http://schemas.openxmlformats.org/officeDocument/2006/relationships/hyperlink" Target="https://in.tradingview.com/chart/bXJLby4L/?symbol=NSE%3ATCS" TargetMode="External"/><Relationship Id="rId4419" Type="http://schemas.openxmlformats.org/officeDocument/2006/relationships/hyperlink" Target="https://in.tradingview.com/chart/Cgv3Jm6J/?symbol=NSE%3AXPROINDIA" TargetMode="External"/><Relationship Id="rId4418" Type="http://schemas.openxmlformats.org/officeDocument/2006/relationships/hyperlink" Target="https://in.tradingview.com/chart/bXJLby4L/?symbol=NSE%3ATATACONSUM" TargetMode="External"/><Relationship Id="rId799" Type="http://schemas.openxmlformats.org/officeDocument/2006/relationships/hyperlink" Target="https://in.tradingview.com/chart/Cgv3Jm6J/?symbol=NSE%3ACOFORGE" TargetMode="External"/><Relationship Id="rId798" Type="http://schemas.openxmlformats.org/officeDocument/2006/relationships/hyperlink" Target="https://in.tradingview.com/chart/bXJLby4L/?symbol=NSE%3ACPEDU" TargetMode="External"/><Relationship Id="rId797" Type="http://schemas.openxmlformats.org/officeDocument/2006/relationships/hyperlink" Target="https://in.tradingview.com/chart/Cgv3Jm6J/?symbol=NSE%3ACOCHINSHIP" TargetMode="External"/><Relationship Id="rId1380" Type="http://schemas.openxmlformats.org/officeDocument/2006/relationships/hyperlink" Target="https://in.tradingview.com/chart/bXJLby4L/?symbol=NSE%3AFOCUS" TargetMode="External"/><Relationship Id="rId792" Type="http://schemas.openxmlformats.org/officeDocument/2006/relationships/hyperlink" Target="https://in.tradingview.com/chart/bXJLby4L/?symbol=NSE%3ACAPLIPOINT" TargetMode="External"/><Relationship Id="rId1381" Type="http://schemas.openxmlformats.org/officeDocument/2006/relationships/hyperlink" Target="https://in.tradingview.com/chart/Cgv3Jm6J/?symbol=NSE%3AGODREJIND" TargetMode="External"/><Relationship Id="rId791" Type="http://schemas.openxmlformats.org/officeDocument/2006/relationships/hyperlink" Target="https://in.tradingview.com/chart/Cgv3Jm6J/?symbol=NSE%3ACMSINFO" TargetMode="External"/><Relationship Id="rId1382" Type="http://schemas.openxmlformats.org/officeDocument/2006/relationships/hyperlink" Target="https://in.tradingview.com/chart/bXJLby4L/?symbol=NSE%3AFOODSIN" TargetMode="External"/><Relationship Id="rId790" Type="http://schemas.openxmlformats.org/officeDocument/2006/relationships/hyperlink" Target="https://in.tradingview.com/chart/bXJLby4L/?symbol=NSE%3ACAPTRUST" TargetMode="External"/><Relationship Id="rId1383" Type="http://schemas.openxmlformats.org/officeDocument/2006/relationships/hyperlink" Target="https://in.tradingview.com/chart/Cgv3Jm6J/?symbol=NSE%3AGODREJPROP" TargetMode="External"/><Relationship Id="rId1384" Type="http://schemas.openxmlformats.org/officeDocument/2006/relationships/hyperlink" Target="https://in.tradingview.com/chart/bXJLby4L/?symbol=NSE%3AFORCEMOT" TargetMode="External"/><Relationship Id="rId796" Type="http://schemas.openxmlformats.org/officeDocument/2006/relationships/hyperlink" Target="https://in.tradingview.com/chart/bXJLby4L/?symbol=NSE%3ACARBORUNIV" TargetMode="External"/><Relationship Id="rId1385" Type="http://schemas.openxmlformats.org/officeDocument/2006/relationships/hyperlink" Target="https://in.tradingview.com/chart/Cgv3Jm6J/?symbol=NSE%3AGOENKA" TargetMode="External"/><Relationship Id="rId4411" Type="http://schemas.openxmlformats.org/officeDocument/2006/relationships/hyperlink" Target="https://in.tradingview.com/chart/Cgv3Jm6J/?symbol=NSE%3AWSI" TargetMode="External"/><Relationship Id="rId795" Type="http://schemas.openxmlformats.org/officeDocument/2006/relationships/hyperlink" Target="https://in.tradingview.com/chart/Cgv3Jm6J/?symbol=NSE%3ACOASTCORP" TargetMode="External"/><Relationship Id="rId1386" Type="http://schemas.openxmlformats.org/officeDocument/2006/relationships/hyperlink" Target="https://in.tradingview.com/chart/bXJLby4L/?symbol=NSE%3AFORTIS" TargetMode="External"/><Relationship Id="rId4410" Type="http://schemas.openxmlformats.org/officeDocument/2006/relationships/hyperlink" Target="https://in.tradingview.com/chart/bXJLby4L/?symbol=NSE%3ATATACAP" TargetMode="External"/><Relationship Id="rId794" Type="http://schemas.openxmlformats.org/officeDocument/2006/relationships/hyperlink" Target="https://in.tradingview.com/chart/bXJLby4L/?symbol=NSE%3ACGCL" TargetMode="External"/><Relationship Id="rId1387" Type="http://schemas.openxmlformats.org/officeDocument/2006/relationships/hyperlink" Target="https://in.tradingview.com/chart/Cgv3Jm6J/?symbol=NSE%3AGOKEX" TargetMode="External"/><Relationship Id="rId4413" Type="http://schemas.openxmlformats.org/officeDocument/2006/relationships/hyperlink" Target="https://in.tradingview.com/chart/Cgv3Jm6J/?symbol=NSE%3AWSTCSTPAPR" TargetMode="External"/><Relationship Id="rId793" Type="http://schemas.openxmlformats.org/officeDocument/2006/relationships/hyperlink" Target="https://in.tradingview.com/chart/Cgv3Jm6J/?symbol=NSE%3ACOALINDIA" TargetMode="External"/><Relationship Id="rId1388" Type="http://schemas.openxmlformats.org/officeDocument/2006/relationships/hyperlink" Target="https://in.tradingview.com/chart/bXJLby4L/?symbol=NSE%3AFOSECOIND" TargetMode="External"/><Relationship Id="rId4412" Type="http://schemas.openxmlformats.org/officeDocument/2006/relationships/hyperlink" Target="https://in.tradingview.com/chart/bXJLby4L/?symbol=NSE%3ATATACHEM" TargetMode="External"/><Relationship Id="rId3191" Type="http://schemas.openxmlformats.org/officeDocument/2006/relationships/hyperlink" Target="https://in.tradingview.com/chart/Cgv3Jm6J/?symbol=NSE%3APVTBANKADD" TargetMode="External"/><Relationship Id="rId3190" Type="http://schemas.openxmlformats.org/officeDocument/2006/relationships/hyperlink" Target="https://in.tradingview.com/chart/bXJLby4L/?symbol=NSE%3ANIFTYSMALLCAP50" TargetMode="External"/><Relationship Id="rId3193" Type="http://schemas.openxmlformats.org/officeDocument/2006/relationships/hyperlink" Target="https://in.tradingview.com/chart/Cgv3Jm6J/?symbol=NSE%3APYRAMID" TargetMode="External"/><Relationship Id="rId3192" Type="http://schemas.openxmlformats.org/officeDocument/2006/relationships/hyperlink" Target="https://in.tradingview.com/chart/bXJLby4L/?symbol=NSE%3ANIFTYSML250MQ100" TargetMode="External"/><Relationship Id="rId3195" Type="http://schemas.openxmlformats.org/officeDocument/2006/relationships/hyperlink" Target="https://in.tradingview.com/chart/Cgv3Jm6J/?symbol=NSE%3AQGOLDHALF" TargetMode="External"/><Relationship Id="rId3194" Type="http://schemas.openxmlformats.org/officeDocument/2006/relationships/hyperlink" Target="https://in.tradingview.com/chart/bXJLby4L/?symbol=NSE%3ANIFTYTATA25CAP" TargetMode="External"/><Relationship Id="rId3197" Type="http://schemas.openxmlformats.org/officeDocument/2006/relationships/hyperlink" Target="https://in.tradingview.com/chart/Cgv3Jm6J/?symbol=NSE%3AQNIFTY" TargetMode="External"/><Relationship Id="rId3196" Type="http://schemas.openxmlformats.org/officeDocument/2006/relationships/hyperlink" Target="https://in.tradingview.com/chart/bXJLby4L/?symbol=NSE%3ANIFTYTOP10EW" TargetMode="External"/><Relationship Id="rId3199" Type="http://schemas.openxmlformats.org/officeDocument/2006/relationships/hyperlink" Target="https://in.tradingview.com/chart/Cgv3Jm6J/?symbol=NSE%3AQPOWER" TargetMode="External"/><Relationship Id="rId3198" Type="http://schemas.openxmlformats.org/officeDocument/2006/relationships/hyperlink" Target="https://in.tradingview.com/chart/bXJLby4L/?symbol=NSE%3ANIITMTS" TargetMode="External"/><Relationship Id="rId3180" Type="http://schemas.openxmlformats.org/officeDocument/2006/relationships/hyperlink" Target="https://in.tradingview.com/chart/bXJLby4L/?symbol=NSE%3ANIFTYOILANDGAS" TargetMode="External"/><Relationship Id="rId3182" Type="http://schemas.openxmlformats.org/officeDocument/2006/relationships/hyperlink" Target="https://in.tradingview.com/chart/bXJLby4L/?symbol=NSE%3ANIFTYPSUBANK" TargetMode="External"/><Relationship Id="rId3181" Type="http://schemas.openxmlformats.org/officeDocument/2006/relationships/hyperlink" Target="https://in.tradingview.com/chart/Cgv3Jm6J/?symbol=NSE%3APURVA" TargetMode="External"/><Relationship Id="rId3184" Type="http://schemas.openxmlformats.org/officeDocument/2006/relationships/hyperlink" Target="https://in.tradingview.com/chart/bXJLby4L/?symbol=NSE%3ANIFTYPVTBANK" TargetMode="External"/><Relationship Id="rId3183" Type="http://schemas.openxmlformats.org/officeDocument/2006/relationships/hyperlink" Target="https://in.tradingview.com/chart/Cgv3Jm6J/?symbol=NSE%3APVP" TargetMode="External"/><Relationship Id="rId3186" Type="http://schemas.openxmlformats.org/officeDocument/2006/relationships/hyperlink" Target="https://in.tradingview.com/chart/bXJLby4L/?symbol=NSE%3ANIFTYSERVSECTOR" TargetMode="External"/><Relationship Id="rId3185" Type="http://schemas.openxmlformats.org/officeDocument/2006/relationships/hyperlink" Target="https://in.tradingview.com/chart/Cgv3Jm6J/?symbol=NSE%3APVRINOX" TargetMode="External"/><Relationship Id="rId3188" Type="http://schemas.openxmlformats.org/officeDocument/2006/relationships/hyperlink" Target="https://in.tradingview.com/chart/bXJLby4L/?symbol=NSE%3ANIFTYSMALLCAP250" TargetMode="External"/><Relationship Id="rId3187" Type="http://schemas.openxmlformats.org/officeDocument/2006/relationships/hyperlink" Target="https://in.tradingview.com/chart/Cgv3Jm6J/?symbol=NSE%3APVSL" TargetMode="External"/><Relationship Id="rId3189" Type="http://schemas.openxmlformats.org/officeDocument/2006/relationships/hyperlink" Target="https://in.tradingview.com/chart/Cgv3Jm6J/?symbol=NSE%3APVTBANIETF" TargetMode="External"/><Relationship Id="rId4480" Type="http://schemas.openxmlformats.org/officeDocument/2006/relationships/hyperlink" Target="https://in.tradingview.com/chart/bXJLby4L/?symbol=NSE%3ABYKE" TargetMode="External"/><Relationship Id="rId3151" Type="http://schemas.openxmlformats.org/officeDocument/2006/relationships/hyperlink" Target="https://in.tradingview.com/chart/Cgv3Jm6J/?symbol=NSE%3APRIVISCL" TargetMode="External"/><Relationship Id="rId4482" Type="http://schemas.openxmlformats.org/officeDocument/2006/relationships/hyperlink" Target="https://in.tradingview.com/chart/bXJLby4L/?symbol=NSE%3AGESHIP" TargetMode="External"/><Relationship Id="rId3150" Type="http://schemas.openxmlformats.org/officeDocument/2006/relationships/hyperlink" Target="https://in.tradingview.com/chart/bXJLby4L/?symbol=NSE%3ANIFTYINDTOURISM" TargetMode="External"/><Relationship Id="rId4481" Type="http://schemas.openxmlformats.org/officeDocument/2006/relationships/hyperlink" Target="https://in.tradingview.com/chart/bXJLby4L/?symbol=NSE%3AFEDERALBNK" TargetMode="External"/><Relationship Id="rId3153" Type="http://schemas.openxmlformats.org/officeDocument/2006/relationships/hyperlink" Target="https://in.tradingview.com/chart/Cgv3Jm6J/?symbol=NSE%3APROTEAN" TargetMode="External"/><Relationship Id="rId4484" Type="http://schemas.openxmlformats.org/officeDocument/2006/relationships/hyperlink" Target="https://in.tradingview.com/chart/bXJLby4L/?symbol=NSE%3AHITECHGEAR" TargetMode="External"/><Relationship Id="rId3152" Type="http://schemas.openxmlformats.org/officeDocument/2006/relationships/hyperlink" Target="https://in.tradingview.com/chart/bXJLby4L/?symbol=NSE%3ANIFTYLARGEMID250" TargetMode="External"/><Relationship Id="rId4483" Type="http://schemas.openxmlformats.org/officeDocument/2006/relationships/hyperlink" Target="https://in.tradingview.com/chart/bXJLby4L/?symbol=NSE%3AGROBTEA" TargetMode="External"/><Relationship Id="rId3155" Type="http://schemas.openxmlformats.org/officeDocument/2006/relationships/hyperlink" Target="https://in.tradingview.com/chart/Cgv3Jm6J/?symbol=NSE%3APROZONER" TargetMode="External"/><Relationship Id="rId4486" Type="http://schemas.openxmlformats.org/officeDocument/2006/relationships/hyperlink" Target="https://in.tradingview.com/chart/bXJLby4L/?symbol=NSE%3AINDHOTEL" TargetMode="External"/><Relationship Id="rId3154" Type="http://schemas.openxmlformats.org/officeDocument/2006/relationships/hyperlink" Target="https://in.tradingview.com/chart/bXJLby4L/?symbol=NSE%3ANIFTYM150MOMNTM50" TargetMode="External"/><Relationship Id="rId4485" Type="http://schemas.openxmlformats.org/officeDocument/2006/relationships/hyperlink" Target="https://in.tradingview.com/chart/bXJLby4L/?symbol=NSE%3AINDIACEM" TargetMode="External"/><Relationship Id="rId3157" Type="http://schemas.openxmlformats.org/officeDocument/2006/relationships/hyperlink" Target="https://in.tradingview.com/chart/Cgv3Jm6J/?symbol=NSE%3APRSMJOHNSN" TargetMode="External"/><Relationship Id="rId4488" Type="http://schemas.openxmlformats.org/officeDocument/2006/relationships/hyperlink" Target="https://in.tradingview.com/chart/bXJLby4L/?symbol=NSE%3AJ&amp;KBANK" TargetMode="External"/><Relationship Id="rId3156" Type="http://schemas.openxmlformats.org/officeDocument/2006/relationships/hyperlink" Target="https://in.tradingview.com/chart/bXJLby4L/?symbol=NSE%3ANIFTYM150QLTY50" TargetMode="External"/><Relationship Id="rId4487" Type="http://schemas.openxmlformats.org/officeDocument/2006/relationships/hyperlink" Target="https://in.tradingview.com/chart/bXJLby4L/?symbol=NSE%3ATHEINVEST" TargetMode="External"/><Relationship Id="rId3159" Type="http://schemas.openxmlformats.org/officeDocument/2006/relationships/hyperlink" Target="https://in.tradingview.com/chart/Cgv3Jm6J/?symbol=NSE%3APRUDENT" TargetMode="External"/><Relationship Id="rId3158" Type="http://schemas.openxmlformats.org/officeDocument/2006/relationships/hyperlink" Target="https://in.tradingview.com/chart/bXJLby4L/?symbol=NSE%3ANIFTYMEDIA" TargetMode="External"/><Relationship Id="rId4489" Type="http://schemas.openxmlformats.org/officeDocument/2006/relationships/hyperlink" Target="https://in.tradingview.com/chart/bXJLby4L/?symbol=NSE%3AKTKBANK" TargetMode="External"/><Relationship Id="rId3149" Type="http://schemas.openxmlformats.org/officeDocument/2006/relationships/hyperlink" Target="https://in.tradingview.com/chart/Cgv3Jm6J/?symbol=NSE%3APRITIKAUTO" TargetMode="External"/><Relationship Id="rId3140" Type="http://schemas.openxmlformats.org/officeDocument/2006/relationships/hyperlink" Target="https://in.tradingview.com/chart/bXJLby4L/?symbol=NSE%3ANIFTYHEALTHCARE" TargetMode="External"/><Relationship Id="rId4471" Type="http://schemas.openxmlformats.org/officeDocument/2006/relationships/hyperlink" Target="https://in.tradingview.com/chart/bXJLby4L/?symbol=NSE%3ATENNIND" TargetMode="External"/><Relationship Id="rId4470" Type="http://schemas.openxmlformats.org/officeDocument/2006/relationships/hyperlink" Target="https://in.tradingview.com/chart/bXJLby4L/?symbol=NSE%3ATEMBO" TargetMode="External"/><Relationship Id="rId3142" Type="http://schemas.openxmlformats.org/officeDocument/2006/relationships/hyperlink" Target="https://in.tradingview.com/chart/bXJLby4L/?symbol=NSE%3ANIFTYIETF" TargetMode="External"/><Relationship Id="rId4473" Type="http://schemas.openxmlformats.org/officeDocument/2006/relationships/hyperlink" Target="https://in.tradingview.com/chart/bXJLby4L/?symbol=NSE%3ATEXINFRA" TargetMode="External"/><Relationship Id="rId3141" Type="http://schemas.openxmlformats.org/officeDocument/2006/relationships/hyperlink" Target="https://in.tradingview.com/chart/Cgv3Jm6J/?symbol=NSE%3APRICOLLTD" TargetMode="External"/><Relationship Id="rId4472" Type="http://schemas.openxmlformats.org/officeDocument/2006/relationships/hyperlink" Target="https://in.tradingview.com/chart/bXJLby4L/?symbol=NSE%3ATERASOFT" TargetMode="External"/><Relationship Id="rId3144" Type="http://schemas.openxmlformats.org/officeDocument/2006/relationships/hyperlink" Target="https://in.tradingview.com/chart/bXJLby4L/?symbol=NSE%3ANIFTYINDDEFENCE" TargetMode="External"/><Relationship Id="rId4475" Type="http://schemas.openxmlformats.org/officeDocument/2006/relationships/hyperlink" Target="https://in.tradingview.com/chart/bXJLby4L/?symbol=NSE%3ATEXMOPIPES" TargetMode="External"/><Relationship Id="rId3143" Type="http://schemas.openxmlformats.org/officeDocument/2006/relationships/hyperlink" Target="https://in.tradingview.com/chart/Cgv3Jm6J/?symbol=NSE%3APRIMESECU" TargetMode="External"/><Relationship Id="rId4474" Type="http://schemas.openxmlformats.org/officeDocument/2006/relationships/hyperlink" Target="https://in.tradingview.com/chart/bXJLby4L/?symbol=NSE%3ATEXRAIL" TargetMode="External"/><Relationship Id="rId3146" Type="http://schemas.openxmlformats.org/officeDocument/2006/relationships/hyperlink" Target="https://in.tradingview.com/chart/bXJLby4L/?symbol=NSE%3ANIFTYINDDIGITAL" TargetMode="External"/><Relationship Id="rId4477" Type="http://schemas.openxmlformats.org/officeDocument/2006/relationships/hyperlink" Target="https://in.tradingview.com/chart/bXJLby4L/?symbol=NSE%3ATHANGAMAYL" TargetMode="External"/><Relationship Id="rId3145" Type="http://schemas.openxmlformats.org/officeDocument/2006/relationships/hyperlink" Target="https://in.tradingview.com/chart/Cgv3Jm6J/?symbol=NSE%3APRINCEPIPE" TargetMode="External"/><Relationship Id="rId4476" Type="http://schemas.openxmlformats.org/officeDocument/2006/relationships/hyperlink" Target="https://in.tradingview.com/chart/bXJLby4L/?symbol=NSE%3ATGBHOTELS" TargetMode="External"/><Relationship Id="rId3148" Type="http://schemas.openxmlformats.org/officeDocument/2006/relationships/hyperlink" Target="https://in.tradingview.com/chart/bXJLby4L/?symbol=NSE%3ANIFTYINDIAMFG" TargetMode="External"/><Relationship Id="rId4479" Type="http://schemas.openxmlformats.org/officeDocument/2006/relationships/hyperlink" Target="https://in.tradingview.com/chart/bXJLby4L/?symbol=NSE%3AANUP" TargetMode="External"/><Relationship Id="rId3147" Type="http://schemas.openxmlformats.org/officeDocument/2006/relationships/hyperlink" Target="https://in.tradingview.com/chart/Cgv3Jm6J/?symbol=NSE%3APRITI" TargetMode="External"/><Relationship Id="rId4478" Type="http://schemas.openxmlformats.org/officeDocument/2006/relationships/hyperlink" Target="https://in.tradingview.com/chart/bXJLby4L/?symbol=NSE%3AANDHRSUGAR" TargetMode="External"/><Relationship Id="rId3171" Type="http://schemas.openxmlformats.org/officeDocument/2006/relationships/hyperlink" Target="https://in.tradingview.com/chart/Cgv3Jm6J/?symbol=NSE%3APSUBNKIETF" TargetMode="External"/><Relationship Id="rId3170" Type="http://schemas.openxmlformats.org/officeDocument/2006/relationships/hyperlink" Target="https://in.tradingview.com/chart/bXJLby4L/?symbol=NSE%3ANIFTYMIDSMALLCAP400" TargetMode="External"/><Relationship Id="rId3173" Type="http://schemas.openxmlformats.org/officeDocument/2006/relationships/hyperlink" Target="https://in.tradingview.com/chart/Cgv3Jm6J/?symbol=NSE%3APTC" TargetMode="External"/><Relationship Id="rId3172" Type="http://schemas.openxmlformats.org/officeDocument/2006/relationships/hyperlink" Target="https://in.tradingview.com/chart/bXJLby4L/?symbol=NSE%3ANIFTYMIDSMLHLTH" TargetMode="External"/><Relationship Id="rId3175" Type="http://schemas.openxmlformats.org/officeDocument/2006/relationships/hyperlink" Target="https://in.tradingview.com/chart/Cgv3Jm6J/?symbol=NSE%3APTCIL" TargetMode="External"/><Relationship Id="rId3174" Type="http://schemas.openxmlformats.org/officeDocument/2006/relationships/hyperlink" Target="https://in.tradingview.com/chart/bXJLby4L/?symbol=NSE%3ANIFTYMS400MQ100" TargetMode="External"/><Relationship Id="rId3177" Type="http://schemas.openxmlformats.org/officeDocument/2006/relationships/hyperlink" Target="https://in.tradingview.com/chart/Cgv3Jm6J/?symbol=NSE%3APTL" TargetMode="External"/><Relationship Id="rId3176" Type="http://schemas.openxmlformats.org/officeDocument/2006/relationships/hyperlink" Target="https://in.tradingview.com/chart/bXJLby4L/?symbol=NSE%3ANIFTYMULTIINFRA" TargetMode="External"/><Relationship Id="rId3179" Type="http://schemas.openxmlformats.org/officeDocument/2006/relationships/hyperlink" Target="https://in.tradingview.com/chart/Cgv3Jm6J/?symbol=NSE%3APUNJABCHEM" TargetMode="External"/><Relationship Id="rId3178" Type="http://schemas.openxmlformats.org/officeDocument/2006/relationships/hyperlink" Target="https://in.tradingview.com/chart/bXJLby4L/?symbol=NSE%3ANIFTYMULTIMFG" TargetMode="External"/><Relationship Id="rId3160" Type="http://schemas.openxmlformats.org/officeDocument/2006/relationships/hyperlink" Target="https://in.tradingview.com/chart/bXJLby4L/?symbol=NSE%3ANIFTYMETAL" TargetMode="External"/><Relationship Id="rId4491" Type="http://schemas.openxmlformats.org/officeDocument/2006/relationships/hyperlink" Target="https://in.tradingview.com/chart/bXJLby4L/?symbol=NSE%3AORISSAMINE" TargetMode="External"/><Relationship Id="rId4490" Type="http://schemas.openxmlformats.org/officeDocument/2006/relationships/hyperlink" Target="https://in.tradingview.com/chart/bXJLby4L/?symbol=NSE%3AMOTOGENFIN" TargetMode="External"/><Relationship Id="rId3162" Type="http://schemas.openxmlformats.org/officeDocument/2006/relationships/hyperlink" Target="https://in.tradingview.com/chart/bXJLby4L/?symbol=NSE%3ANIFTYMICROCAP250" TargetMode="External"/><Relationship Id="rId4493" Type="http://schemas.openxmlformats.org/officeDocument/2006/relationships/hyperlink" Target="https://in.tradingview.com/chart/bXJLby4L/?symbol=NSE%3APHOENIXLTD" TargetMode="External"/><Relationship Id="rId3161" Type="http://schemas.openxmlformats.org/officeDocument/2006/relationships/hyperlink" Target="https://in.tradingview.com/chart/Cgv3Jm6J/?symbol=NSE%3APSB" TargetMode="External"/><Relationship Id="rId4492" Type="http://schemas.openxmlformats.org/officeDocument/2006/relationships/hyperlink" Target="https://in.tradingview.com/chart/bXJLby4L/?symbol=NSE%3APKTEA" TargetMode="External"/><Relationship Id="rId3164" Type="http://schemas.openxmlformats.org/officeDocument/2006/relationships/hyperlink" Target="https://in.tradingview.com/chart/bXJLby4L/?symbol=NSE%3ANIFTYMIDCAP50" TargetMode="External"/><Relationship Id="rId4495" Type="http://schemas.openxmlformats.org/officeDocument/2006/relationships/hyperlink" Target="https://in.tradingview.com/chart/bXJLby4L/?symbol=NSE%3ARUBYMILLS" TargetMode="External"/><Relationship Id="rId3163" Type="http://schemas.openxmlformats.org/officeDocument/2006/relationships/hyperlink" Target="https://in.tradingview.com/chart/Cgv3Jm6J/?symbol=NSE%3APSPPROJECT" TargetMode="External"/><Relationship Id="rId4494" Type="http://schemas.openxmlformats.org/officeDocument/2006/relationships/hyperlink" Target="https://in.tradingview.com/chart/bXJLby4L/?symbol=NSE%3ARAMCOCEM" TargetMode="External"/><Relationship Id="rId3166" Type="http://schemas.openxmlformats.org/officeDocument/2006/relationships/hyperlink" Target="https://in.tradingview.com/chart/bXJLby4L/?symbol=NSE%3ANIFTYMIDLIQ15" TargetMode="External"/><Relationship Id="rId4497" Type="http://schemas.openxmlformats.org/officeDocument/2006/relationships/hyperlink" Target="https://in.tradingview.com/chart/bXJLby4L/?symbol=NSE%3ASOUTHBANK" TargetMode="External"/><Relationship Id="rId3165" Type="http://schemas.openxmlformats.org/officeDocument/2006/relationships/hyperlink" Target="https://in.tradingview.com/chart/Cgv3Jm6J/?symbol=NSE%3APSUBANK" TargetMode="External"/><Relationship Id="rId4496" Type="http://schemas.openxmlformats.org/officeDocument/2006/relationships/hyperlink" Target="https://in.tradingview.com/chart/bXJLby4L/?symbol=NSE%3ASANDESH" TargetMode="External"/><Relationship Id="rId3168" Type="http://schemas.openxmlformats.org/officeDocument/2006/relationships/hyperlink" Target="https://in.tradingview.com/chart/bXJLby4L/?symbol=NSE%3ANIFTYMIDSELECT" TargetMode="External"/><Relationship Id="rId4499" Type="http://schemas.openxmlformats.org/officeDocument/2006/relationships/hyperlink" Target="https://in.tradingview.com/chart/bXJLby4L/?symbol=NSE%3AUGARSUGAR" TargetMode="External"/><Relationship Id="rId3167" Type="http://schemas.openxmlformats.org/officeDocument/2006/relationships/hyperlink" Target="https://in.tradingview.com/chart/Cgv3Jm6J/?symbol=NSE%3APSUBANKADD" TargetMode="External"/><Relationship Id="rId4498" Type="http://schemas.openxmlformats.org/officeDocument/2006/relationships/hyperlink" Target="https://in.tradingview.com/chart/bXJLby4L/?symbol=NSE%3ASTCINDIA" TargetMode="External"/><Relationship Id="rId3169" Type="http://schemas.openxmlformats.org/officeDocument/2006/relationships/hyperlink" Target="https://in.tradingview.com/chart/Cgv3Jm6J/?symbol=NSE%3APSUBNKBEES" TargetMode="External"/><Relationship Id="rId2700" Type="http://schemas.openxmlformats.org/officeDocument/2006/relationships/hyperlink" Target="https://in.tradingview.com/chart/bXJLby4L/?symbol=NSE%3AMAXIND" TargetMode="External"/><Relationship Id="rId2701" Type="http://schemas.openxmlformats.org/officeDocument/2006/relationships/hyperlink" Target="https://in.tradingview.com/chart/Cgv3Jm6J/?symbol=NSE%3ANATCOPHARM" TargetMode="External"/><Relationship Id="rId2702" Type="http://schemas.openxmlformats.org/officeDocument/2006/relationships/hyperlink" Target="https://in.tradingview.com/chart/bXJLby4L/?symbol=NSE%3AMAYURUNIQ" TargetMode="External"/><Relationship Id="rId2703" Type="http://schemas.openxmlformats.org/officeDocument/2006/relationships/hyperlink" Target="https://in.tradingview.com/chart/Cgv3Jm6J/?symbol=NSE%3ANATHBIOGEN" TargetMode="External"/><Relationship Id="rId2704" Type="http://schemas.openxmlformats.org/officeDocument/2006/relationships/hyperlink" Target="https://in.tradingview.com/chart/bXJLby4L/?symbol=NSE%3AMAZDOCK" TargetMode="External"/><Relationship Id="rId2705" Type="http://schemas.openxmlformats.org/officeDocument/2006/relationships/hyperlink" Target="https://in.tradingview.com/chart/Cgv3Jm6J/?symbol=NSE%3ANATIONALUM" TargetMode="External"/><Relationship Id="rId2706" Type="http://schemas.openxmlformats.org/officeDocument/2006/relationships/hyperlink" Target="https://in.tradingview.com/chart/bXJLby4L/?symbol=NSE%3AMAZDA" TargetMode="External"/><Relationship Id="rId2707" Type="http://schemas.openxmlformats.org/officeDocument/2006/relationships/hyperlink" Target="https://in.tradingview.com/chart/Cgv3Jm6J/?symbol=NSE%3ANAUKRI" TargetMode="External"/><Relationship Id="rId2708" Type="http://schemas.openxmlformats.org/officeDocument/2006/relationships/hyperlink" Target="https://in.tradingview.com/chart/bXJLby4L/?symbol=NSE%3AMBLINFRA" TargetMode="External"/><Relationship Id="rId2709" Type="http://schemas.openxmlformats.org/officeDocument/2006/relationships/hyperlink" Target="https://in.tradingview.com/chart/Cgv3Jm6J/?symbol=NSE%3ANAVA" TargetMode="External"/><Relationship Id="rId2720" Type="http://schemas.openxmlformats.org/officeDocument/2006/relationships/hyperlink" Target="https://in.tradingview.com/chart/bXJLby4L/?symbol=NSE%3AMEGASOFT" TargetMode="External"/><Relationship Id="rId2721" Type="http://schemas.openxmlformats.org/officeDocument/2006/relationships/hyperlink" Target="https://in.tradingview.com/chart/Cgv3Jm6J/?symbol=NSE%3ANBCC" TargetMode="External"/><Relationship Id="rId2722" Type="http://schemas.openxmlformats.org/officeDocument/2006/relationships/hyperlink" Target="https://in.tradingview.com/chart/bXJLby4L/?symbol=NSE%3AMEGASTAR" TargetMode="External"/><Relationship Id="rId2723" Type="http://schemas.openxmlformats.org/officeDocument/2006/relationships/hyperlink" Target="https://in.tradingview.com/chart/Cgv3Jm6J/?symbol=NSE%3ANBIFIN" TargetMode="External"/><Relationship Id="rId2724" Type="http://schemas.openxmlformats.org/officeDocument/2006/relationships/hyperlink" Target="https://in.tradingview.com/chart/bXJLby4L/?symbol=NSE%3AMOL" TargetMode="External"/><Relationship Id="rId2725" Type="http://schemas.openxmlformats.org/officeDocument/2006/relationships/hyperlink" Target="https://in.tradingview.com/chart/Cgv3Jm6J/?symbol=NSE%3ANCC" TargetMode="External"/><Relationship Id="rId2726" Type="http://schemas.openxmlformats.org/officeDocument/2006/relationships/hyperlink" Target="https://in.tradingview.com/chart/bXJLby4L/?symbol=NSE%3AMENONBE" TargetMode="External"/><Relationship Id="rId2727" Type="http://schemas.openxmlformats.org/officeDocument/2006/relationships/hyperlink" Target="https://in.tradingview.com/chart/Cgv3Jm6J/?symbol=NSE%3ANCLIND" TargetMode="External"/><Relationship Id="rId2728" Type="http://schemas.openxmlformats.org/officeDocument/2006/relationships/hyperlink" Target="https://in.tradingview.com/chart/bXJLby4L/?symbol=NSE%3AMETROBRAND" TargetMode="External"/><Relationship Id="rId2729" Type="http://schemas.openxmlformats.org/officeDocument/2006/relationships/hyperlink" Target="https://in.tradingview.com/chart/Cgv3Jm6J/?symbol=NSE%3ANDGL" TargetMode="External"/><Relationship Id="rId2710" Type="http://schemas.openxmlformats.org/officeDocument/2006/relationships/hyperlink" Target="https://in.tradingview.com/chart/bXJLby4L/?symbol=NSE%3AMCLEODRUSS" TargetMode="External"/><Relationship Id="rId2711" Type="http://schemas.openxmlformats.org/officeDocument/2006/relationships/hyperlink" Target="https://in.tradingview.com/chart/Cgv3Jm6J/?symbol=NSE%3ANAVINFLUOR" TargetMode="External"/><Relationship Id="rId2712" Type="http://schemas.openxmlformats.org/officeDocument/2006/relationships/hyperlink" Target="https://in.tradingview.com/chart/bXJLby4L/?symbol=NSE%3AMEDIASSIST" TargetMode="External"/><Relationship Id="rId2713" Type="http://schemas.openxmlformats.org/officeDocument/2006/relationships/hyperlink" Target="https://in.tradingview.com/chart/Cgv3Jm6J/?symbol=NSE%3ANAVKARCORP" TargetMode="External"/><Relationship Id="rId2714" Type="http://schemas.openxmlformats.org/officeDocument/2006/relationships/hyperlink" Target="https://in.tradingview.com/chart/bXJLby4L/?symbol=NSE%3AMEDICAMEQ" TargetMode="External"/><Relationship Id="rId2715" Type="http://schemas.openxmlformats.org/officeDocument/2006/relationships/hyperlink" Target="https://in.tradingview.com/chart/Cgv3Jm6J/?symbol=NSE%3ANAVKARURB" TargetMode="External"/><Relationship Id="rId2716" Type="http://schemas.openxmlformats.org/officeDocument/2006/relationships/hyperlink" Target="https://in.tradingview.com/chart/bXJLby4L/?symbol=NSE%3AMEDICO" TargetMode="External"/><Relationship Id="rId2717" Type="http://schemas.openxmlformats.org/officeDocument/2006/relationships/hyperlink" Target="https://in.tradingview.com/chart/Cgv3Jm6J/?symbol=NSE%3ANAVNETEDUL" TargetMode="External"/><Relationship Id="rId2718" Type="http://schemas.openxmlformats.org/officeDocument/2006/relationships/hyperlink" Target="https://in.tradingview.com/chart/bXJLby4L/?symbol=NSE%3AMEDPLUS" TargetMode="External"/><Relationship Id="rId2719" Type="http://schemas.openxmlformats.org/officeDocument/2006/relationships/hyperlink" Target="https://in.tradingview.com/chart/Cgv3Jm6J/?symbol=NSE%3ANAZARA" TargetMode="External"/><Relationship Id="rId1455" Type="http://schemas.openxmlformats.org/officeDocument/2006/relationships/hyperlink" Target="https://in.tradingview.com/chart/Cgv3Jm6J/?symbol=NSE%3AGROWWEV" TargetMode="External"/><Relationship Id="rId2786" Type="http://schemas.openxmlformats.org/officeDocument/2006/relationships/hyperlink" Target="https://in.tradingview.com/chart/bXJLby4L/?symbol=NSE%3AEQUAL50" TargetMode="External"/><Relationship Id="rId1456" Type="http://schemas.openxmlformats.org/officeDocument/2006/relationships/hyperlink" Target="https://in.tradingview.com/chart/bXJLby4L/?symbol=NSE%3AGENUSPOWER" TargetMode="External"/><Relationship Id="rId2787" Type="http://schemas.openxmlformats.org/officeDocument/2006/relationships/hyperlink" Target="https://in.tradingview.com/chart/Cgv3Jm6J/?symbol=NSE%3ANIF100IETF" TargetMode="External"/><Relationship Id="rId1457" Type="http://schemas.openxmlformats.org/officeDocument/2006/relationships/hyperlink" Target="https://in.tradingview.com/chart/Cgv3Jm6J/?symbol=NSE%3AGROWWGOLD" TargetMode="External"/><Relationship Id="rId2788" Type="http://schemas.openxmlformats.org/officeDocument/2006/relationships/hyperlink" Target="https://in.tradingview.com/chart/bXJLby4L/?symbol=NSE%3AMULTICAP" TargetMode="External"/><Relationship Id="rId1458" Type="http://schemas.openxmlformats.org/officeDocument/2006/relationships/hyperlink" Target="https://in.tradingview.com/chart/bXJLby4L/?symbol=NSE%3AGEOJITFSL" TargetMode="External"/><Relationship Id="rId2789" Type="http://schemas.openxmlformats.org/officeDocument/2006/relationships/hyperlink" Target="https://in.tradingview.com/chart/Cgv3Jm6J/?symbol=NSE%3ANIF10GETF" TargetMode="External"/><Relationship Id="rId1459" Type="http://schemas.openxmlformats.org/officeDocument/2006/relationships/hyperlink" Target="https://in.tradingview.com/chart/Cgv3Jm6J/?symbol=NSE%3AGROWWLIQID" TargetMode="External"/><Relationship Id="rId629" Type="http://schemas.openxmlformats.org/officeDocument/2006/relationships/hyperlink" Target="https://in.tradingview.com/chart/Cgv3Jm6J/?symbol=NSE%3ABLUEJET" TargetMode="External"/><Relationship Id="rId624" Type="http://schemas.openxmlformats.org/officeDocument/2006/relationships/hyperlink" Target="https://in.tradingview.com/chart/bXJLby4L/?symbol=NSE%3ABHAGYANGR" TargetMode="External"/><Relationship Id="rId623" Type="http://schemas.openxmlformats.org/officeDocument/2006/relationships/hyperlink" Target="https://in.tradingview.com/chart/Cgv3Jm6J/?symbol=NSE%3ABLSE" TargetMode="External"/><Relationship Id="rId622" Type="http://schemas.openxmlformats.org/officeDocument/2006/relationships/hyperlink" Target="https://in.tradingview.com/chart/bXJLby4L/?symbol=NSE%3ABHAGCHEM" TargetMode="External"/><Relationship Id="rId621" Type="http://schemas.openxmlformats.org/officeDocument/2006/relationships/hyperlink" Target="https://in.tradingview.com/chart/Cgv3Jm6J/?symbol=NSE%3ABLS" TargetMode="External"/><Relationship Id="rId628" Type="http://schemas.openxmlformats.org/officeDocument/2006/relationships/hyperlink" Target="https://in.tradingview.com/chart/bXJLby4L/?symbol=NSE%3AICICIB22" TargetMode="External"/><Relationship Id="rId627" Type="http://schemas.openxmlformats.org/officeDocument/2006/relationships/hyperlink" Target="https://in.tradingview.com/chart/Cgv3Jm6J/?symbol=NSE%3ABLUEDART" TargetMode="External"/><Relationship Id="rId626" Type="http://schemas.openxmlformats.org/officeDocument/2006/relationships/hyperlink" Target="https://in.tradingview.com/chart/bXJLby4L/?symbol=NSE%3ABEPL" TargetMode="External"/><Relationship Id="rId625" Type="http://schemas.openxmlformats.org/officeDocument/2006/relationships/hyperlink" Target="https://in.tradingview.com/chart/Cgv3Jm6J/?symbol=NSE%3ABLUECHIP" TargetMode="External"/><Relationship Id="rId2780" Type="http://schemas.openxmlformats.org/officeDocument/2006/relationships/hyperlink" Target="https://in.tradingview.com/chart/bXJLby4L/?symbol=NSE%3ANEXT50" TargetMode="External"/><Relationship Id="rId1450" Type="http://schemas.openxmlformats.org/officeDocument/2006/relationships/hyperlink" Target="https://in.tradingview.com/chart/bXJLby4L/?symbol=NSE%3AGENESYS" TargetMode="External"/><Relationship Id="rId2781" Type="http://schemas.openxmlformats.org/officeDocument/2006/relationships/hyperlink" Target="https://in.tradingview.com/chart/Cgv3Jm6J/?symbol=NSE%3ANIBE" TargetMode="External"/><Relationship Id="rId620" Type="http://schemas.openxmlformats.org/officeDocument/2006/relationships/hyperlink" Target="https://in.tradingview.com/chart/bXJLby4L/?symbol=NSE%3ABHAGERIA" TargetMode="External"/><Relationship Id="rId1451" Type="http://schemas.openxmlformats.org/officeDocument/2006/relationships/hyperlink" Target="https://in.tradingview.com/chart/Cgv3Jm6J/?symbol=NSE%3AGROBTEA" TargetMode="External"/><Relationship Id="rId2782" Type="http://schemas.openxmlformats.org/officeDocument/2006/relationships/hyperlink" Target="https://in.tradingview.com/chart/bXJLby4L/?symbol=NSE%3ABANKPSU" TargetMode="External"/><Relationship Id="rId1452" Type="http://schemas.openxmlformats.org/officeDocument/2006/relationships/hyperlink" Target="https://in.tradingview.com/chart/bXJLby4L/?symbol=NSE%3AGENSOL" TargetMode="External"/><Relationship Id="rId2783" Type="http://schemas.openxmlformats.org/officeDocument/2006/relationships/hyperlink" Target="https://in.tradingview.com/chart/Cgv3Jm6J/?symbol=NSE%3ANIBL" TargetMode="External"/><Relationship Id="rId1453" Type="http://schemas.openxmlformats.org/officeDocument/2006/relationships/hyperlink" Target="https://in.tradingview.com/chart/Cgv3Jm6J/?symbol=NSE%3AGROWWDEFNC" TargetMode="External"/><Relationship Id="rId2784" Type="http://schemas.openxmlformats.org/officeDocument/2006/relationships/hyperlink" Target="https://in.tradingview.com/chart/bXJLby4L/?symbol=NSE%3ASMALLCAP" TargetMode="External"/><Relationship Id="rId1454" Type="http://schemas.openxmlformats.org/officeDocument/2006/relationships/hyperlink" Target="https://in.tradingview.com/chart/bXJLby4L/?symbol=NSE%3AGENUSPAPER" TargetMode="External"/><Relationship Id="rId2785" Type="http://schemas.openxmlformats.org/officeDocument/2006/relationships/hyperlink" Target="https://in.tradingview.com/chart/Cgv3Jm6J/?symbol=NSE%3ANIF100BEES" TargetMode="External"/><Relationship Id="rId1444" Type="http://schemas.openxmlformats.org/officeDocument/2006/relationships/hyperlink" Target="https://in.tradingview.com/chart/bXJLby4L/?symbol=NSE%3AGEMAROMA" TargetMode="External"/><Relationship Id="rId2775" Type="http://schemas.openxmlformats.org/officeDocument/2006/relationships/hyperlink" Target="https://in.tradingview.com/chart/Cgv3Jm6J/?symbol=NSE%3ANH" TargetMode="External"/><Relationship Id="rId1445" Type="http://schemas.openxmlformats.org/officeDocument/2006/relationships/hyperlink" Target="https://in.tradingview.com/chart/Cgv3Jm6J/?symbol=NSE%3AGRINDWELL" TargetMode="External"/><Relationship Id="rId2776" Type="http://schemas.openxmlformats.org/officeDocument/2006/relationships/hyperlink" Target="https://in.tradingview.com/chart/bXJLby4L/?symbol=NSE%3AMETAL" TargetMode="External"/><Relationship Id="rId1446" Type="http://schemas.openxmlformats.org/officeDocument/2006/relationships/hyperlink" Target="https://in.tradingview.com/chart/bXJLby4L/?symbol=NSE%3AGICRE" TargetMode="External"/><Relationship Id="rId2777" Type="http://schemas.openxmlformats.org/officeDocument/2006/relationships/hyperlink" Target="https://in.tradingview.com/chart/Cgv3Jm6J/?symbol=NSE%3ANHPC" TargetMode="External"/><Relationship Id="rId1447" Type="http://schemas.openxmlformats.org/officeDocument/2006/relationships/hyperlink" Target="https://in.tradingview.com/chart/Cgv3Jm6J/?symbol=NSE%3AGRINFRA" TargetMode="External"/><Relationship Id="rId2778" Type="http://schemas.openxmlformats.org/officeDocument/2006/relationships/hyperlink" Target="https://in.tradingview.com/chart/bXJLby4L/?symbol=NSE%3AMIDCAPETF" TargetMode="External"/><Relationship Id="rId1448" Type="http://schemas.openxmlformats.org/officeDocument/2006/relationships/hyperlink" Target="https://in.tradingview.com/chart/bXJLby4L/?symbol=NSE%3AGENCON" TargetMode="External"/><Relationship Id="rId2779" Type="http://schemas.openxmlformats.org/officeDocument/2006/relationships/hyperlink" Target="https://in.tradingview.com/chart/Cgv3Jm6J/?symbol=NSE%3ANIACL" TargetMode="External"/><Relationship Id="rId1449" Type="http://schemas.openxmlformats.org/officeDocument/2006/relationships/hyperlink" Target="https://in.tradingview.com/chart/Cgv3Jm6J/?symbol=NSE%3AGRMOVER" TargetMode="External"/><Relationship Id="rId619" Type="http://schemas.openxmlformats.org/officeDocument/2006/relationships/hyperlink" Target="https://in.tradingview.com/chart/Cgv3Jm6J/?symbol=NSE%3ABLKASHYAP" TargetMode="External"/><Relationship Id="rId618" Type="http://schemas.openxmlformats.org/officeDocument/2006/relationships/hyperlink" Target="https://in.tradingview.com/chart/bXJLby4L/?symbol=NSE%3ABGRENERGY" TargetMode="External"/><Relationship Id="rId613" Type="http://schemas.openxmlformats.org/officeDocument/2006/relationships/hyperlink" Target="https://in.tradingview.com/chart/Cgv3Jm6J/?symbol=NSE%3ABLAL" TargetMode="External"/><Relationship Id="rId612" Type="http://schemas.openxmlformats.org/officeDocument/2006/relationships/hyperlink" Target="https://in.tradingview.com/chart/bXJLby4L/?symbol=NSE%3ABETA" TargetMode="External"/><Relationship Id="rId611" Type="http://schemas.openxmlformats.org/officeDocument/2006/relationships/hyperlink" Target="https://in.tradingview.com/chart/Cgv3Jm6J/?symbol=NSE%3ABLACKBUCK" TargetMode="External"/><Relationship Id="rId610" Type="http://schemas.openxmlformats.org/officeDocument/2006/relationships/hyperlink" Target="https://in.tradingview.com/chart/bXJLby4L/?symbol=NSE%3ABESTAGRO" TargetMode="External"/><Relationship Id="rId617" Type="http://schemas.openxmlformats.org/officeDocument/2006/relationships/hyperlink" Target="https://in.tradingview.com/chart/Cgv3Jm6J/?symbol=NSE%3ABLISSGVS" TargetMode="External"/><Relationship Id="rId616" Type="http://schemas.openxmlformats.org/officeDocument/2006/relationships/hyperlink" Target="https://in.tradingview.com/chart/bXJLby4L/?symbol=NSE%3ABFUTILITIE" TargetMode="External"/><Relationship Id="rId615" Type="http://schemas.openxmlformats.org/officeDocument/2006/relationships/hyperlink" Target="https://in.tradingview.com/chart/Cgv3Jm6J/?symbol=NSE%3ABLBLIMITED" TargetMode="External"/><Relationship Id="rId614" Type="http://schemas.openxmlformats.org/officeDocument/2006/relationships/hyperlink" Target="https://in.tradingview.com/chart/bXJLby4L/?symbol=NSE%3ABFINVEST" TargetMode="External"/><Relationship Id="rId2770" Type="http://schemas.openxmlformats.org/officeDocument/2006/relationships/hyperlink" Target="https://in.tradingview.com/chart/bXJLby4L/?symbol=NSE%3AMAKEINDIA" TargetMode="External"/><Relationship Id="rId1440" Type="http://schemas.openxmlformats.org/officeDocument/2006/relationships/hyperlink" Target="https://in.tradingview.com/chart/bXJLby4L/?symbol=NSE%3AGEECEE" TargetMode="External"/><Relationship Id="rId2771" Type="http://schemas.openxmlformats.org/officeDocument/2006/relationships/hyperlink" Target="https://in.tradingview.com/chart/Cgv3Jm6J/?symbol=NSE%3ANFL" TargetMode="External"/><Relationship Id="rId1441" Type="http://schemas.openxmlformats.org/officeDocument/2006/relationships/hyperlink" Target="https://in.tradingview.com/chart/Cgv3Jm6J/?symbol=NSE%3AGREENPLY" TargetMode="External"/><Relationship Id="rId2772" Type="http://schemas.openxmlformats.org/officeDocument/2006/relationships/hyperlink" Target="https://in.tradingview.com/chart/bXJLby4L/?symbol=NSE%3ACONSUMER" TargetMode="External"/><Relationship Id="rId1442" Type="http://schemas.openxmlformats.org/officeDocument/2006/relationships/hyperlink" Target="https://in.tradingview.com/chart/bXJLby4L/?symbol=NSE%3AGEEKAYWIRE" TargetMode="External"/><Relationship Id="rId2773" Type="http://schemas.openxmlformats.org/officeDocument/2006/relationships/hyperlink" Target="https://in.tradingview.com/chart/Cgv3Jm6J/?symbol=NSE%3ANGIL" TargetMode="External"/><Relationship Id="rId1443" Type="http://schemas.openxmlformats.org/officeDocument/2006/relationships/hyperlink" Target="https://in.tradingview.com/chart/Cgv3Jm6J/?symbol=NSE%3AGREENPOWER" TargetMode="External"/><Relationship Id="rId2774" Type="http://schemas.openxmlformats.org/officeDocument/2006/relationships/hyperlink" Target="https://in.tradingview.com/chart/bXJLby4L/?symbol=NSE%3AITETF" TargetMode="External"/><Relationship Id="rId1477" Type="http://schemas.openxmlformats.org/officeDocument/2006/relationships/hyperlink" Target="https://in.tradingview.com/chart/Cgv3Jm6J/?symbol=NSE%3AGSEC5IETF" TargetMode="External"/><Relationship Id="rId4503" Type="http://schemas.openxmlformats.org/officeDocument/2006/relationships/hyperlink" Target="https://in.tradingview.com/chart/bXJLby4L/?symbol=NSE%3ATHERMAX" TargetMode="External"/><Relationship Id="rId1478" Type="http://schemas.openxmlformats.org/officeDocument/2006/relationships/hyperlink" Target="https://in.tradingview.com/chart/bXJLby4L/?symbol=NSE%3AGLAND" TargetMode="External"/><Relationship Id="rId4502" Type="http://schemas.openxmlformats.org/officeDocument/2006/relationships/hyperlink" Target="https://in.tradingview.com/chart/bXJLby4L/?symbol=NSE%3ATHEMISMED" TargetMode="External"/><Relationship Id="rId1479" Type="http://schemas.openxmlformats.org/officeDocument/2006/relationships/hyperlink" Target="https://in.tradingview.com/chart/Cgv3Jm6J/?symbol=NSE%3AGSFC" TargetMode="External"/><Relationship Id="rId4505" Type="http://schemas.openxmlformats.org/officeDocument/2006/relationships/hyperlink" Target="https://in.tradingview.com/chart/bXJLby4L/?symbol=NSE%3ATHOMASCOOK" TargetMode="External"/><Relationship Id="rId4504" Type="http://schemas.openxmlformats.org/officeDocument/2006/relationships/hyperlink" Target="https://in.tradingview.com/chart/bXJLby4L/?symbol=NSE%3ATIRUMALCHM" TargetMode="External"/><Relationship Id="rId4507" Type="http://schemas.openxmlformats.org/officeDocument/2006/relationships/hyperlink" Target="https://in.tradingview.com/chart/bXJLby4L/?symbol=NSE%3ATHYROCARE" TargetMode="External"/><Relationship Id="rId4506" Type="http://schemas.openxmlformats.org/officeDocument/2006/relationships/hyperlink" Target="https://in.tradingview.com/chart/bXJLby4L/?symbol=NSE%3ATHOMASCOTT" TargetMode="External"/><Relationship Id="rId4509" Type="http://schemas.openxmlformats.org/officeDocument/2006/relationships/hyperlink" Target="https://in.tradingview.com/chart/bXJLby4L/?symbol=NSE%3ATIJARIA" TargetMode="External"/><Relationship Id="rId4508" Type="http://schemas.openxmlformats.org/officeDocument/2006/relationships/hyperlink" Target="https://in.tradingview.com/chart/bXJLby4L/?symbol=NSE%3ATIGERLOGS" TargetMode="External"/><Relationship Id="rId646" Type="http://schemas.openxmlformats.org/officeDocument/2006/relationships/hyperlink" Target="https://in.tradingview.com/chart/bXJLby4L/?symbol=NSE%3ABHARATGEAR" TargetMode="External"/><Relationship Id="rId645" Type="http://schemas.openxmlformats.org/officeDocument/2006/relationships/hyperlink" Target="https://in.tradingview.com/chart/Cgv3Jm6J/?symbol=NSE%3ABPCL" TargetMode="External"/><Relationship Id="rId644" Type="http://schemas.openxmlformats.org/officeDocument/2006/relationships/hyperlink" Target="https://in.tradingview.com/chart/bXJLby4L/?symbol=NSE%3ABHARATFORG" TargetMode="External"/><Relationship Id="rId643" Type="http://schemas.openxmlformats.org/officeDocument/2006/relationships/hyperlink" Target="https://in.tradingview.com/chart/Cgv3Jm6J/?symbol=NSE%3ABOSCHLTD" TargetMode="External"/><Relationship Id="rId649" Type="http://schemas.openxmlformats.org/officeDocument/2006/relationships/hyperlink" Target="https://in.tradingview.com/chart/Cgv3Jm6J/?symbol=NSE%3ABRIGADE" TargetMode="External"/><Relationship Id="rId648" Type="http://schemas.openxmlformats.org/officeDocument/2006/relationships/hyperlink" Target="https://in.tradingview.com/chart/bXJLby4L/?symbol=NSE%3ABHEL" TargetMode="External"/><Relationship Id="rId647" Type="http://schemas.openxmlformats.org/officeDocument/2006/relationships/hyperlink" Target="https://in.tradingview.com/chart/Cgv3Jm6J/?symbol=NSE%3ABPL" TargetMode="External"/><Relationship Id="rId1470" Type="http://schemas.openxmlformats.org/officeDocument/2006/relationships/hyperlink" Target="https://in.tradingview.com/chart/bXJLby4L/?symbol=NSE%3AGILLETTE" TargetMode="External"/><Relationship Id="rId1471" Type="http://schemas.openxmlformats.org/officeDocument/2006/relationships/hyperlink" Target="https://in.tradingview.com/chart/Cgv3Jm6J/?symbol=NSE%3AGSEC10ABSL" TargetMode="External"/><Relationship Id="rId1472" Type="http://schemas.openxmlformats.org/officeDocument/2006/relationships/hyperlink" Target="https://in.tradingview.com/chart/bXJLby4L/?symbol=NSE%3AGINNIFILA" TargetMode="External"/><Relationship Id="rId642" Type="http://schemas.openxmlformats.org/officeDocument/2006/relationships/hyperlink" Target="https://in.tradingview.com/chart/bXJLby4L/?symbol=NSE%3ABEL" TargetMode="External"/><Relationship Id="rId1473" Type="http://schemas.openxmlformats.org/officeDocument/2006/relationships/hyperlink" Target="https://in.tradingview.com/chart/Cgv3Jm6J/?symbol=NSE%3AGSEC10IETF" TargetMode="External"/><Relationship Id="rId641" Type="http://schemas.openxmlformats.org/officeDocument/2006/relationships/hyperlink" Target="https://in.tradingview.com/chart/Cgv3Jm6J/?symbol=NSE%3ABOROSCI" TargetMode="External"/><Relationship Id="rId1474" Type="http://schemas.openxmlformats.org/officeDocument/2006/relationships/hyperlink" Target="https://in.tradingview.com/chart/bXJLby4L/?symbol=NSE%3AGKENERGY" TargetMode="External"/><Relationship Id="rId640" Type="http://schemas.openxmlformats.org/officeDocument/2006/relationships/hyperlink" Target="https://in.tradingview.com/chart/bXJLby4L/?symbol=NSE%3ABDL" TargetMode="External"/><Relationship Id="rId1475" Type="http://schemas.openxmlformats.org/officeDocument/2006/relationships/hyperlink" Target="https://in.tradingview.com/chart/Cgv3Jm6J/?symbol=NSE%3AGSEC10YEAR" TargetMode="External"/><Relationship Id="rId4501" Type="http://schemas.openxmlformats.org/officeDocument/2006/relationships/hyperlink" Target="https://in.tradingview.com/chart/bXJLby4L/?symbol=NSE%3ATHEJO" TargetMode="External"/><Relationship Id="rId1476" Type="http://schemas.openxmlformats.org/officeDocument/2006/relationships/hyperlink" Target="https://in.tradingview.com/chart/bXJLby4L/?symbol=NSE%3AGKWLIMITED" TargetMode="External"/><Relationship Id="rId4500" Type="http://schemas.openxmlformats.org/officeDocument/2006/relationships/hyperlink" Target="https://in.tradingview.com/chart/bXJLby4L/?symbol=NSE%3AUNITEDTEA" TargetMode="External"/><Relationship Id="rId1466" Type="http://schemas.openxmlformats.org/officeDocument/2006/relationships/hyperlink" Target="https://in.tradingview.com/chart/bXJLby4L/?symbol=NSE%3AGICHSGFIN" TargetMode="External"/><Relationship Id="rId2797" Type="http://schemas.openxmlformats.org/officeDocument/2006/relationships/hyperlink" Target="https://in.tradingview.com/chart/Cgv3Jm6J/?symbol=NSE%3ANIFTY1" TargetMode="External"/><Relationship Id="rId1467" Type="http://schemas.openxmlformats.org/officeDocument/2006/relationships/hyperlink" Target="https://in.tradingview.com/chart/Cgv3Jm6J/?symbol=NSE%3AGRSE" TargetMode="External"/><Relationship Id="rId2798" Type="http://schemas.openxmlformats.org/officeDocument/2006/relationships/hyperlink" Target="https://in.tradingview.com/chart/bXJLby4L/?symbol=NSE%3AMIRCELECTR" TargetMode="External"/><Relationship Id="rId1468" Type="http://schemas.openxmlformats.org/officeDocument/2006/relationships/hyperlink" Target="https://in.tradingview.com/chart/bXJLby4L/?symbol=NSE%3AGILLANDERS" TargetMode="External"/><Relationship Id="rId2799" Type="http://schemas.openxmlformats.org/officeDocument/2006/relationships/hyperlink" Target="https://in.tradingview.com/chart/Cgv3Jm6J/?symbol=NSE%3ANIFTY100EW" TargetMode="External"/><Relationship Id="rId1469" Type="http://schemas.openxmlformats.org/officeDocument/2006/relationships/hyperlink" Target="https://in.tradingview.com/chart/Cgv3Jm6J/?symbol=NSE%3AGRWRHITECH" TargetMode="External"/><Relationship Id="rId635" Type="http://schemas.openxmlformats.org/officeDocument/2006/relationships/hyperlink" Target="https://in.tradingview.com/chart/Cgv3Jm6J/?symbol=NSE%3ABOMDYEING" TargetMode="External"/><Relationship Id="rId634" Type="http://schemas.openxmlformats.org/officeDocument/2006/relationships/hyperlink" Target="https://in.tradingview.com/chart/bXJLby4L/?symbol=NSE%3AEBBETF0431" TargetMode="External"/><Relationship Id="rId633" Type="http://schemas.openxmlformats.org/officeDocument/2006/relationships/hyperlink" Target="https://in.tradingview.com/chart/Cgv3Jm6J/?symbol=NSE%3ABODALCHEM" TargetMode="External"/><Relationship Id="rId632" Type="http://schemas.openxmlformats.org/officeDocument/2006/relationships/hyperlink" Target="https://in.tradingview.com/chart/bXJLby4L/?symbol=NSE%3AEBBETF0430" TargetMode="External"/><Relationship Id="rId639" Type="http://schemas.openxmlformats.org/officeDocument/2006/relationships/hyperlink" Target="https://in.tradingview.com/chart/Cgv3Jm6J/?symbol=NSE%3ABORORENEW" TargetMode="External"/><Relationship Id="rId638" Type="http://schemas.openxmlformats.org/officeDocument/2006/relationships/hyperlink" Target="https://in.tradingview.com/chart/bXJLby4L/?symbol=NSE%3AEBBETF0433" TargetMode="External"/><Relationship Id="rId637" Type="http://schemas.openxmlformats.org/officeDocument/2006/relationships/hyperlink" Target="https://in.tradingview.com/chart/Cgv3Jm6J/?symbol=NSE%3ABOROLTD" TargetMode="External"/><Relationship Id="rId636" Type="http://schemas.openxmlformats.org/officeDocument/2006/relationships/hyperlink" Target="https://in.tradingview.com/chart/bXJLby4L/?symbol=NSE%3ABBETF0432" TargetMode="External"/><Relationship Id="rId2790" Type="http://schemas.openxmlformats.org/officeDocument/2006/relationships/hyperlink" Target="https://in.tradingview.com/chart/bXJLby4L/?symbol=NSE%3AMAFANG" TargetMode="External"/><Relationship Id="rId1460" Type="http://schemas.openxmlformats.org/officeDocument/2006/relationships/hyperlink" Target="https://in.tradingview.com/chart/bXJLby4L/?symbol=NSE%3AGFLLIMITED" TargetMode="External"/><Relationship Id="rId2791" Type="http://schemas.openxmlformats.org/officeDocument/2006/relationships/hyperlink" Target="https://in.tradingview.com/chart/Cgv3Jm6J/?symbol=NSE%3ANIF5GETF" TargetMode="External"/><Relationship Id="rId1461" Type="http://schemas.openxmlformats.org/officeDocument/2006/relationships/hyperlink" Target="https://in.tradingview.com/chart/Cgv3Jm6J/?symbol=NSE%3AGROWWN200" TargetMode="External"/><Relationship Id="rId2792" Type="http://schemas.openxmlformats.org/officeDocument/2006/relationships/hyperlink" Target="https://in.tradingview.com/chart/bXJLby4L/?symbol=NSE%3AMASPTOP50" TargetMode="External"/><Relationship Id="rId631" Type="http://schemas.openxmlformats.org/officeDocument/2006/relationships/hyperlink" Target="https://in.tradingview.com/chart/Cgv3Jm6J/?symbol=NSE%3ABLUESTARCO" TargetMode="External"/><Relationship Id="rId1462" Type="http://schemas.openxmlformats.org/officeDocument/2006/relationships/hyperlink" Target="https://in.tradingview.com/chart/bXJLby4L/?symbol=NSE%3AGHCL" TargetMode="External"/><Relationship Id="rId2793" Type="http://schemas.openxmlformats.org/officeDocument/2006/relationships/hyperlink" Target="https://in.tradingview.com/chart/Cgv3Jm6J/?symbol=NSE%3ANIFITETF" TargetMode="External"/><Relationship Id="rId630" Type="http://schemas.openxmlformats.org/officeDocument/2006/relationships/hyperlink" Target="https://in.tradingview.com/chart/bXJLby4L/?symbol=NSE%3ABBL" TargetMode="External"/><Relationship Id="rId1463" Type="http://schemas.openxmlformats.org/officeDocument/2006/relationships/hyperlink" Target="https://in.tradingview.com/chart/Cgv3Jm6J/?symbol=NSE%3AGROWWRAIL" TargetMode="External"/><Relationship Id="rId2794" Type="http://schemas.openxmlformats.org/officeDocument/2006/relationships/hyperlink" Target="https://in.tradingview.com/chart/bXJLby4L/?symbol=NSE%3ASENSEXETF" TargetMode="External"/><Relationship Id="rId1464" Type="http://schemas.openxmlformats.org/officeDocument/2006/relationships/hyperlink" Target="https://in.tradingview.com/chart/bXJLby4L/?symbol=NSE%3AGHCLTEXTIL" TargetMode="External"/><Relationship Id="rId2795" Type="http://schemas.openxmlformats.org/officeDocument/2006/relationships/hyperlink" Target="https://in.tradingview.com/chart/Cgv3Jm6J/?symbol=NSE%3ANIFMID150" TargetMode="External"/><Relationship Id="rId1465" Type="http://schemas.openxmlformats.org/officeDocument/2006/relationships/hyperlink" Target="https://in.tradingview.com/chart/Cgv3Jm6J/?symbol=NSE%3AGRPLTD" TargetMode="External"/><Relationship Id="rId2796" Type="http://schemas.openxmlformats.org/officeDocument/2006/relationships/hyperlink" Target="https://in.tradingview.com/chart/bXJLby4L/?symbol=NSE%3ASILVERAG" TargetMode="External"/><Relationship Id="rId1411" Type="http://schemas.openxmlformats.org/officeDocument/2006/relationships/hyperlink" Target="https://in.tradingview.com/chart/Cgv3Jm6J/?symbol=NSE%3AGOLDTECH" TargetMode="External"/><Relationship Id="rId2742" Type="http://schemas.openxmlformats.org/officeDocument/2006/relationships/hyperlink" Target="https://in.tradingview.com/chart/bXJLby4L/?symbol=NSE%3AEQUAL200" TargetMode="External"/><Relationship Id="rId1412" Type="http://schemas.openxmlformats.org/officeDocument/2006/relationships/hyperlink" Target="https://in.tradingview.com/chart/bXJLby4L/?symbol=NSE%3AGANDHAR" TargetMode="External"/><Relationship Id="rId2743" Type="http://schemas.openxmlformats.org/officeDocument/2006/relationships/hyperlink" Target="https://in.tradingview.com/chart/Cgv3Jm6J/?symbol=NSE%3ANELCAST" TargetMode="External"/><Relationship Id="rId1413" Type="http://schemas.openxmlformats.org/officeDocument/2006/relationships/hyperlink" Target="https://in.tradingview.com/chart/Cgv3Jm6J/?symbol=NSE%3AGOODLUCK" TargetMode="External"/><Relationship Id="rId2744" Type="http://schemas.openxmlformats.org/officeDocument/2006/relationships/hyperlink" Target="https://in.tradingview.com/chart/bXJLby4L/?symbol=NSE%3ASELECTIPO" TargetMode="External"/><Relationship Id="rId1414" Type="http://schemas.openxmlformats.org/officeDocument/2006/relationships/hyperlink" Target="https://in.tradingview.com/chart/bXJLby4L/?symbol=NSE%3AGANDHITUBE" TargetMode="External"/><Relationship Id="rId2745" Type="http://schemas.openxmlformats.org/officeDocument/2006/relationships/hyperlink" Target="https://in.tradingview.com/chart/Cgv3Jm6J/?symbol=NSE%3ANELCO" TargetMode="External"/><Relationship Id="rId1415" Type="http://schemas.openxmlformats.org/officeDocument/2006/relationships/hyperlink" Target="https://in.tradingview.com/chart/Cgv3Jm6J/?symbol=NSE%3AGOPAL" TargetMode="External"/><Relationship Id="rId2746" Type="http://schemas.openxmlformats.org/officeDocument/2006/relationships/hyperlink" Target="https://in.tradingview.com/chart/bXJLby4L/?symbol=NSE%3AGOLDETF" TargetMode="External"/><Relationship Id="rId1416" Type="http://schemas.openxmlformats.org/officeDocument/2006/relationships/hyperlink" Target="https://in.tradingview.com/chart/bXJLby4L/?symbol=NSE%3AGANESHBE" TargetMode="External"/><Relationship Id="rId2747" Type="http://schemas.openxmlformats.org/officeDocument/2006/relationships/hyperlink" Target="https://in.tradingview.com/chart/Cgv3Jm6J/?symbol=NSE%3ANEOGEN" TargetMode="External"/><Relationship Id="rId1417" Type="http://schemas.openxmlformats.org/officeDocument/2006/relationships/hyperlink" Target="https://in.tradingview.com/chart/Cgv3Jm6J/?symbol=NSE%3AGOYALALUM" TargetMode="External"/><Relationship Id="rId2748" Type="http://schemas.openxmlformats.org/officeDocument/2006/relationships/hyperlink" Target="https://in.tradingview.com/chart/bXJLby4L/?symbol=NSE%3AMAHKTECH" TargetMode="External"/><Relationship Id="rId1418" Type="http://schemas.openxmlformats.org/officeDocument/2006/relationships/hyperlink" Target="https://in.tradingview.com/chart/bXJLby4L/?symbol=NSE%3AGANESHCP" TargetMode="External"/><Relationship Id="rId2749" Type="http://schemas.openxmlformats.org/officeDocument/2006/relationships/hyperlink" Target="https://in.tradingview.com/chart/Cgv3Jm6J/?symbol=NSE%3ANESCO" TargetMode="External"/><Relationship Id="rId1419" Type="http://schemas.openxmlformats.org/officeDocument/2006/relationships/hyperlink" Target="https://in.tradingview.com/chart/Cgv3Jm6J/?symbol=NSE%3AGPIL" TargetMode="External"/><Relationship Id="rId2740" Type="http://schemas.openxmlformats.org/officeDocument/2006/relationships/hyperlink" Target="https://in.tradingview.com/chart/bXJLby4L/?symbol=NSE%3AMIDSMALL" TargetMode="External"/><Relationship Id="rId1410" Type="http://schemas.openxmlformats.org/officeDocument/2006/relationships/hyperlink" Target="https://in.tradingview.com/chart/bXJLby4L/?symbol=NSE%3AGALLANTT" TargetMode="External"/><Relationship Id="rId2741" Type="http://schemas.openxmlformats.org/officeDocument/2006/relationships/hyperlink" Target="https://in.tradingview.com/chart/Cgv3Jm6J/?symbol=NSE%3ANECLIFE" TargetMode="External"/><Relationship Id="rId1400" Type="http://schemas.openxmlformats.org/officeDocument/2006/relationships/hyperlink" Target="https://in.tradingview.com/chart/bXJLby4L/?symbol=NSE%3AGTECJAINX" TargetMode="External"/><Relationship Id="rId2731" Type="http://schemas.openxmlformats.org/officeDocument/2006/relationships/hyperlink" Target="https://in.tradingview.com/chart/Cgv3Jm6J/?symbol=NSE%3ANDL" TargetMode="External"/><Relationship Id="rId1401" Type="http://schemas.openxmlformats.org/officeDocument/2006/relationships/hyperlink" Target="https://in.tradingview.com/chart/Cgv3Jm6J/?symbol=NSE%3AGOLDETF" TargetMode="External"/><Relationship Id="rId2732" Type="http://schemas.openxmlformats.org/officeDocument/2006/relationships/hyperlink" Target="https://in.tradingview.com/chart/bXJLby4L/?symbol=NSE%3AMICEL" TargetMode="External"/><Relationship Id="rId1402" Type="http://schemas.openxmlformats.org/officeDocument/2006/relationships/hyperlink" Target="https://in.tradingview.com/chart/bXJLby4L/?symbol=NSE%3AGABRIEL" TargetMode="External"/><Relationship Id="rId2733" Type="http://schemas.openxmlformats.org/officeDocument/2006/relationships/hyperlink" Target="https://in.tradingview.com/chart/Cgv3Jm6J/?symbol=NSE%3ANDLVENTURE" TargetMode="External"/><Relationship Id="rId1403" Type="http://schemas.openxmlformats.org/officeDocument/2006/relationships/hyperlink" Target="https://in.tradingview.com/chart/Cgv3Jm6J/?symbol=NSE%3AGOLDETFADD" TargetMode="External"/><Relationship Id="rId2734" Type="http://schemas.openxmlformats.org/officeDocument/2006/relationships/hyperlink" Target="https://in.tradingview.com/chart/bXJLby4L/?symbol=NSE%3AMIDWESTLTD" TargetMode="External"/><Relationship Id="rId1404" Type="http://schemas.openxmlformats.org/officeDocument/2006/relationships/hyperlink" Target="https://in.tradingview.com/chart/bXJLby4L/?symbol=NSE%3AGAIL" TargetMode="External"/><Relationship Id="rId2735" Type="http://schemas.openxmlformats.org/officeDocument/2006/relationships/hyperlink" Target="https://in.tradingview.com/chart/Cgv3Jm6J/?symbol=NSE%3ANDRAUTO" TargetMode="External"/><Relationship Id="rId1405" Type="http://schemas.openxmlformats.org/officeDocument/2006/relationships/hyperlink" Target="https://in.tradingview.com/chart/Cgv3Jm6J/?symbol=NSE%3AGOLDIAM" TargetMode="External"/><Relationship Id="rId2736" Type="http://schemas.openxmlformats.org/officeDocument/2006/relationships/hyperlink" Target="https://in.tradingview.com/chart/bXJLby4L/?symbol=NSE%3AMINDACORP" TargetMode="External"/><Relationship Id="rId1406" Type="http://schemas.openxmlformats.org/officeDocument/2006/relationships/hyperlink" Target="https://in.tradingview.com/chart/bXJLby4L/?symbol=NSE%3AGALAPREC" TargetMode="External"/><Relationship Id="rId2737" Type="http://schemas.openxmlformats.org/officeDocument/2006/relationships/hyperlink" Target="https://in.tradingview.com/chart/Cgv3Jm6J/?symbol=NSE%3ANDTV" TargetMode="External"/><Relationship Id="rId1407" Type="http://schemas.openxmlformats.org/officeDocument/2006/relationships/hyperlink" Target="https://in.tradingview.com/chart/Cgv3Jm6J/?symbol=NSE%3AGOLDIETF" TargetMode="External"/><Relationship Id="rId2738" Type="http://schemas.openxmlformats.org/officeDocument/2006/relationships/hyperlink" Target="https://in.tradingview.com/chart/bXJLby4L/?symbol=NSE%3AMINDTECK" TargetMode="External"/><Relationship Id="rId1408" Type="http://schemas.openxmlformats.org/officeDocument/2006/relationships/hyperlink" Target="https://in.tradingview.com/chart/bXJLby4L/?symbol=NSE%3AGALAXYSURF" TargetMode="External"/><Relationship Id="rId2739" Type="http://schemas.openxmlformats.org/officeDocument/2006/relationships/hyperlink" Target="https://in.tradingview.com/chart/Cgv3Jm6J/?symbol=NSE%3ANECCLTD" TargetMode="External"/><Relationship Id="rId1409" Type="http://schemas.openxmlformats.org/officeDocument/2006/relationships/hyperlink" Target="https://in.tradingview.com/chart/Cgv3Jm6J/?symbol=NSE%3AGOLDSHARE" TargetMode="External"/><Relationship Id="rId2730" Type="http://schemas.openxmlformats.org/officeDocument/2006/relationships/hyperlink" Target="https://in.tradingview.com/chart/bXJLby4L/?symbol=NSE%3AMETROPOLIS" TargetMode="External"/><Relationship Id="rId1433" Type="http://schemas.openxmlformats.org/officeDocument/2006/relationships/hyperlink" Target="https://in.tradingview.com/chart/Cgv3Jm6J/?symbol=NSE%3AGRAVITA" TargetMode="External"/><Relationship Id="rId2764" Type="http://schemas.openxmlformats.org/officeDocument/2006/relationships/hyperlink" Target="https://in.tradingview.com/chart/bXJLby4L/?symbol=NSE%3AEVINDIA" TargetMode="External"/><Relationship Id="rId1434" Type="http://schemas.openxmlformats.org/officeDocument/2006/relationships/hyperlink" Target="https://in.tradingview.com/chart/bXJLby4L/?symbol=NSE%3AGATEWAY" TargetMode="External"/><Relationship Id="rId2765" Type="http://schemas.openxmlformats.org/officeDocument/2006/relationships/hyperlink" Target="https://in.tradingview.com/chart/Cgv3Jm6J/?symbol=NSE%3ANEXT50" TargetMode="External"/><Relationship Id="rId1435" Type="http://schemas.openxmlformats.org/officeDocument/2006/relationships/hyperlink" Target="https://in.tradingview.com/chart/Cgv3Jm6J/?symbol=NSE%3AGREAVESCOT" TargetMode="External"/><Relationship Id="rId2766" Type="http://schemas.openxmlformats.org/officeDocument/2006/relationships/hyperlink" Target="https://in.tradingview.com/chart/bXJLby4L/?symbol=NSE%3ABFSI" TargetMode="External"/><Relationship Id="rId1436" Type="http://schemas.openxmlformats.org/officeDocument/2006/relationships/hyperlink" Target="https://in.tradingview.com/chart/bXJLby4L/?symbol=NSE%3AGVPIL" TargetMode="External"/><Relationship Id="rId2767" Type="http://schemas.openxmlformats.org/officeDocument/2006/relationships/hyperlink" Target="https://in.tradingview.com/chart/Cgv3Jm6J/?symbol=NSE%3ANEXT50IETF" TargetMode="External"/><Relationship Id="rId1437" Type="http://schemas.openxmlformats.org/officeDocument/2006/relationships/hyperlink" Target="https://in.tradingview.com/chart/Cgv3Jm6J/?symbol=NSE%3AGREENLAM" TargetMode="External"/><Relationship Id="rId2768" Type="http://schemas.openxmlformats.org/officeDocument/2006/relationships/hyperlink" Target="https://in.tradingview.com/chart/bXJLby4L/?symbol=NSE%3AINTERNET" TargetMode="External"/><Relationship Id="rId1438" Type="http://schemas.openxmlformats.org/officeDocument/2006/relationships/hyperlink" Target="https://in.tradingview.com/chart/bXJLby4L/?symbol=NSE%3AGVT&amp;D" TargetMode="External"/><Relationship Id="rId2769" Type="http://schemas.openxmlformats.org/officeDocument/2006/relationships/hyperlink" Target="https://in.tradingview.com/chart/Cgv3Jm6J/?symbol=NSE%3ANEXTMEDIA" TargetMode="External"/><Relationship Id="rId1439" Type="http://schemas.openxmlformats.org/officeDocument/2006/relationships/hyperlink" Target="https://in.tradingview.com/chart/Cgv3Jm6J/?symbol=NSE%3AGREENPANEL" TargetMode="External"/><Relationship Id="rId609" Type="http://schemas.openxmlformats.org/officeDocument/2006/relationships/hyperlink" Target="https://in.tradingview.com/chart/Cgv3Jm6J/?symbol=NSE%3ABIRLACORPN" TargetMode="External"/><Relationship Id="rId608" Type="http://schemas.openxmlformats.org/officeDocument/2006/relationships/hyperlink" Target="https://in.tradingview.com/chart/bXJLby4L/?symbol=NSE%3ABERGEPAINT" TargetMode="External"/><Relationship Id="rId607" Type="http://schemas.openxmlformats.org/officeDocument/2006/relationships/hyperlink" Target="https://in.tradingview.com/chart/Cgv3Jm6J/?symbol=NSE%3ABIRLACABLE" TargetMode="External"/><Relationship Id="rId602" Type="http://schemas.openxmlformats.org/officeDocument/2006/relationships/hyperlink" Target="https://in.tradingview.com/chart/bXJLby4L/?symbol=NSE%3ABELRISE" TargetMode="External"/><Relationship Id="rId601" Type="http://schemas.openxmlformats.org/officeDocument/2006/relationships/hyperlink" Target="https://in.tradingview.com/chart/Cgv3Jm6J/?symbol=NSE%3ABIKAJI" TargetMode="External"/><Relationship Id="rId600" Type="http://schemas.openxmlformats.org/officeDocument/2006/relationships/hyperlink" Target="https://in.tradingview.com/chart/bXJLby4L/?symbol=NSE%3ABELLACASA" TargetMode="External"/><Relationship Id="rId606" Type="http://schemas.openxmlformats.org/officeDocument/2006/relationships/hyperlink" Target="https://in.tradingview.com/chart/bXJLby4L/?symbol=NSE%3ABEML" TargetMode="External"/><Relationship Id="rId605" Type="http://schemas.openxmlformats.org/officeDocument/2006/relationships/hyperlink" Target="https://in.tradingview.com/chart/Cgv3Jm6J/?symbol=NSE%3ABIOFILCHEM" TargetMode="External"/><Relationship Id="rId604" Type="http://schemas.openxmlformats.org/officeDocument/2006/relationships/hyperlink" Target="https://in.tradingview.com/chart/bXJLby4L/?symbol=NSE%3ABLAL" TargetMode="External"/><Relationship Id="rId603" Type="http://schemas.openxmlformats.org/officeDocument/2006/relationships/hyperlink" Target="https://in.tradingview.com/chart/Cgv3Jm6J/?symbol=NSE%3ABIOCON" TargetMode="External"/><Relationship Id="rId2760" Type="http://schemas.openxmlformats.org/officeDocument/2006/relationships/hyperlink" Target="https://in.tradingview.com/chart/bXJLby4L/?symbol=NSE%3AGSEC10YEAR" TargetMode="External"/><Relationship Id="rId1430" Type="http://schemas.openxmlformats.org/officeDocument/2006/relationships/hyperlink" Target="https://in.tradingview.com/chart/bXJLby4L/?symbol=NSE%3AGRWRHITECH" TargetMode="External"/><Relationship Id="rId2761" Type="http://schemas.openxmlformats.org/officeDocument/2006/relationships/hyperlink" Target="https://in.tradingview.com/chart/Cgv3Jm6J/?symbol=NSE%3ANEWGEN" TargetMode="External"/><Relationship Id="rId1431" Type="http://schemas.openxmlformats.org/officeDocument/2006/relationships/hyperlink" Target="https://in.tradingview.com/chart/Cgv3Jm6J/?symbol=NSE%3AGRASIM" TargetMode="External"/><Relationship Id="rId2762" Type="http://schemas.openxmlformats.org/officeDocument/2006/relationships/hyperlink" Target="https://in.tradingview.com/chart/bXJLby4L/?symbol=NSE%3ABANKETF" TargetMode="External"/><Relationship Id="rId1432" Type="http://schemas.openxmlformats.org/officeDocument/2006/relationships/hyperlink" Target="https://in.tradingview.com/chart/bXJLby4L/?symbol=NSE%3AGARFIBRES" TargetMode="External"/><Relationship Id="rId2763" Type="http://schemas.openxmlformats.org/officeDocument/2006/relationships/hyperlink" Target="https://in.tradingview.com/chart/Cgv3Jm6J/?symbol=NSE%3ANEXT30ADD" TargetMode="External"/><Relationship Id="rId1422" Type="http://schemas.openxmlformats.org/officeDocument/2006/relationships/hyperlink" Target="https://in.tradingview.com/chart/bXJLby4L/?symbol=NSE%3AGANECOS" TargetMode="External"/><Relationship Id="rId2753" Type="http://schemas.openxmlformats.org/officeDocument/2006/relationships/hyperlink" Target="https://in.tradingview.com/chart/Cgv3Jm6J/?symbol=NSE%3ANETF" TargetMode="External"/><Relationship Id="rId1423" Type="http://schemas.openxmlformats.org/officeDocument/2006/relationships/hyperlink" Target="https://in.tradingview.com/chart/Cgv3Jm6J/?symbol=NSE%3AGPTHEALTH" TargetMode="External"/><Relationship Id="rId2754" Type="http://schemas.openxmlformats.org/officeDocument/2006/relationships/hyperlink" Target="https://in.tradingview.com/chart/bXJLby4L/?symbol=NSE%3ALIQUID" TargetMode="External"/><Relationship Id="rId1424" Type="http://schemas.openxmlformats.org/officeDocument/2006/relationships/hyperlink" Target="https://in.tradingview.com/chart/bXJLby4L/?symbol=NSE%3AGANGESSECU" TargetMode="External"/><Relationship Id="rId2755" Type="http://schemas.openxmlformats.org/officeDocument/2006/relationships/hyperlink" Target="https://in.tradingview.com/chart/Cgv3Jm6J/?symbol=NSE%3ANETWEB" TargetMode="External"/><Relationship Id="rId1425" Type="http://schemas.openxmlformats.org/officeDocument/2006/relationships/hyperlink" Target="https://in.tradingview.com/chart/Cgv3Jm6J/?symbol=NSE%3AGPTINFRA" TargetMode="External"/><Relationship Id="rId2756" Type="http://schemas.openxmlformats.org/officeDocument/2006/relationships/hyperlink" Target="https://in.tradingview.com/chart/bXJLby4L/?symbol=NSE%3ALIQUIDPLUS" TargetMode="External"/><Relationship Id="rId1426" Type="http://schemas.openxmlformats.org/officeDocument/2006/relationships/hyperlink" Target="https://in.tradingview.com/chart/bXJLby4L/?symbol=NSE%3AGRSE" TargetMode="External"/><Relationship Id="rId2757" Type="http://schemas.openxmlformats.org/officeDocument/2006/relationships/hyperlink" Target="https://in.tradingview.com/chart/Cgv3Jm6J/?symbol=NSE%3ANETWORK18" TargetMode="External"/><Relationship Id="rId1427" Type="http://schemas.openxmlformats.org/officeDocument/2006/relationships/hyperlink" Target="https://in.tradingview.com/chart/Cgv3Jm6J/?symbol=NSE%3AGRANULES" TargetMode="External"/><Relationship Id="rId2758" Type="http://schemas.openxmlformats.org/officeDocument/2006/relationships/hyperlink" Target="https://in.tradingview.com/chart/bXJLby4L/?symbol=NSE%3AALPHAETF" TargetMode="External"/><Relationship Id="rId1428" Type="http://schemas.openxmlformats.org/officeDocument/2006/relationships/hyperlink" Target="https://in.tradingview.com/chart/bXJLby4L/?symbol=NSE%3AGARUDA" TargetMode="External"/><Relationship Id="rId2759" Type="http://schemas.openxmlformats.org/officeDocument/2006/relationships/hyperlink" Target="https://in.tradingview.com/chart/Cgv3Jm6J/?symbol=NSE%3ANEULANDLAB" TargetMode="External"/><Relationship Id="rId1429" Type="http://schemas.openxmlformats.org/officeDocument/2006/relationships/hyperlink" Target="https://in.tradingview.com/chart/Cgv3Jm6J/?symbol=NSE%3AGRAPHITE" TargetMode="External"/><Relationship Id="rId2750" Type="http://schemas.openxmlformats.org/officeDocument/2006/relationships/hyperlink" Target="https://in.tradingview.com/chart/bXJLby4L/?symbol=NSE%3AESG" TargetMode="External"/><Relationship Id="rId1420" Type="http://schemas.openxmlformats.org/officeDocument/2006/relationships/hyperlink" Target="https://in.tradingview.com/chart/bXJLby4L/?symbol=NSE%3AGANESHHOU" TargetMode="External"/><Relationship Id="rId2751" Type="http://schemas.openxmlformats.org/officeDocument/2006/relationships/hyperlink" Target="https://in.tradingview.com/chart/Cgv3Jm6J/?symbol=NSE%3ANESTLEIND" TargetMode="External"/><Relationship Id="rId1421" Type="http://schemas.openxmlformats.org/officeDocument/2006/relationships/hyperlink" Target="https://in.tradingview.com/chart/Cgv3Jm6J/?symbol=NSE%3AGPPL" TargetMode="External"/><Relationship Id="rId2752" Type="http://schemas.openxmlformats.org/officeDocument/2006/relationships/hyperlink" Target="https://in.tradingview.com/chart/bXJLby4L/?symbol=NSE%3ALOWVOL" TargetMode="External"/><Relationship Id="rId3238" Type="http://schemas.openxmlformats.org/officeDocument/2006/relationships/hyperlink" Target="https://in.tradingview.com/chart/bXJLby4L/?symbol=NSE%3AMID150BEES" TargetMode="External"/><Relationship Id="rId4569" Type="http://schemas.openxmlformats.org/officeDocument/2006/relationships/hyperlink" Target="https://in.tradingview.com/chart/bXJLby4L/?symbol=NSE%3AUMIYA-MRO" TargetMode="External"/><Relationship Id="rId3237" Type="http://schemas.openxmlformats.org/officeDocument/2006/relationships/hyperlink" Target="https://in.tradingview.com/chart/Cgv3Jm6J/?symbol=NSE%3ARAJSREESUG" TargetMode="External"/><Relationship Id="rId4568" Type="http://schemas.openxmlformats.org/officeDocument/2006/relationships/hyperlink" Target="https://in.tradingview.com/chart/bXJLby4L/?symbol=NSE%3AUMAEXPORTS" TargetMode="External"/><Relationship Id="rId3239" Type="http://schemas.openxmlformats.org/officeDocument/2006/relationships/hyperlink" Target="https://in.tradingview.com/chart/Cgv3Jm6J/?symbol=NSE%3ARAJTV" TargetMode="External"/><Relationship Id="rId3230" Type="http://schemas.openxmlformats.org/officeDocument/2006/relationships/hyperlink" Target="https://in.tradingview.com/chart/bXJLby4L/?symbol=NSE%3ANV20BEES" TargetMode="External"/><Relationship Id="rId4561" Type="http://schemas.openxmlformats.org/officeDocument/2006/relationships/hyperlink" Target="https://in.tradingview.com/chart/bXJLby4L/?symbol=NSE%3AUSK" TargetMode="External"/><Relationship Id="rId4560" Type="http://schemas.openxmlformats.org/officeDocument/2006/relationships/hyperlink" Target="https://in.tradingview.com/chart/bXJLby4L/?symbol=NSE%3AUCOBANK" TargetMode="External"/><Relationship Id="rId3232" Type="http://schemas.openxmlformats.org/officeDocument/2006/relationships/hyperlink" Target="https://in.tradingview.com/chart/bXJLby4L/?symbol=NSE%3ALTGILTBEES" TargetMode="External"/><Relationship Id="rId4563" Type="http://schemas.openxmlformats.org/officeDocument/2006/relationships/hyperlink" Target="https://in.tradingview.com/chart/bXJLby4L/?symbol=NSE%3AUFO" TargetMode="External"/><Relationship Id="rId3231" Type="http://schemas.openxmlformats.org/officeDocument/2006/relationships/hyperlink" Target="https://in.tradingview.com/chart/Cgv3Jm6J/?symbol=NSE%3ARAJMET" TargetMode="External"/><Relationship Id="rId4562" Type="http://schemas.openxmlformats.org/officeDocument/2006/relationships/hyperlink" Target="https://in.tradingview.com/chart/bXJLby4L/?symbol=NSE%3AUFLEX" TargetMode="External"/><Relationship Id="rId3234" Type="http://schemas.openxmlformats.org/officeDocument/2006/relationships/hyperlink" Target="https://in.tradingview.com/chart/bXJLby4L/?symbol=NSE%3ACONSUMBEES" TargetMode="External"/><Relationship Id="rId4565" Type="http://schemas.openxmlformats.org/officeDocument/2006/relationships/hyperlink" Target="https://in.tradingview.com/chart/bXJLby4L/?symbol=NSE%3AUEL" TargetMode="External"/><Relationship Id="rId3233" Type="http://schemas.openxmlformats.org/officeDocument/2006/relationships/hyperlink" Target="https://in.tradingview.com/chart/Cgv3Jm6J/?symbol=NSE%3ARAJRATAN" TargetMode="External"/><Relationship Id="rId4564" Type="http://schemas.openxmlformats.org/officeDocument/2006/relationships/hyperlink" Target="https://in.tradingview.com/chart/bXJLby4L/?symbol=NSE%3AUGROCAP" TargetMode="External"/><Relationship Id="rId3236" Type="http://schemas.openxmlformats.org/officeDocument/2006/relationships/hyperlink" Target="https://in.tradingview.com/chart/bXJLby4L/?symbol=NSE%3AITBEES" TargetMode="External"/><Relationship Id="rId4567" Type="http://schemas.openxmlformats.org/officeDocument/2006/relationships/hyperlink" Target="https://in.tradingview.com/chart/bXJLby4L/?symbol=NSE%3AULTRACEMCO" TargetMode="External"/><Relationship Id="rId3235" Type="http://schemas.openxmlformats.org/officeDocument/2006/relationships/hyperlink" Target="https://in.tradingview.com/chart/Cgv3Jm6J/?symbol=NSE%3ARAJRILTD" TargetMode="External"/><Relationship Id="rId4566" Type="http://schemas.openxmlformats.org/officeDocument/2006/relationships/hyperlink" Target="https://in.tradingview.com/chart/bXJLby4L/?symbol=NSE%3AUJJIVANSFB" TargetMode="External"/><Relationship Id="rId3227" Type="http://schemas.openxmlformats.org/officeDocument/2006/relationships/hyperlink" Target="https://in.tradingview.com/chart/Cgv3Jm6J/?symbol=NSE%3ARAINBOW" TargetMode="External"/><Relationship Id="rId4558" Type="http://schemas.openxmlformats.org/officeDocument/2006/relationships/hyperlink" Target="https://in.tradingview.com/chart/bXJLby4L/?symbol=NSE%3AUYFINCORP" TargetMode="External"/><Relationship Id="rId3226" Type="http://schemas.openxmlformats.org/officeDocument/2006/relationships/hyperlink" Target="https://in.tradingview.com/chart/bXJLby4L/?symbol=NSE%3ALIQUIDBEES" TargetMode="External"/><Relationship Id="rId4557" Type="http://schemas.openxmlformats.org/officeDocument/2006/relationships/hyperlink" Target="https://in.tradingview.com/chart/bXJLby4L/?symbol=NSE%3A21STCENMGM" TargetMode="External"/><Relationship Id="rId3229" Type="http://schemas.openxmlformats.org/officeDocument/2006/relationships/hyperlink" Target="https://in.tradingview.com/chart/Cgv3Jm6J/?symbol=NSE%3ARAJESHEXPO" TargetMode="External"/><Relationship Id="rId3228" Type="http://schemas.openxmlformats.org/officeDocument/2006/relationships/hyperlink" Target="https://in.tradingview.com/chart/bXJLby4L/?symbol=NSE%3ANIF100BEES" TargetMode="External"/><Relationship Id="rId4559" Type="http://schemas.openxmlformats.org/officeDocument/2006/relationships/hyperlink" Target="https://in.tradingview.com/chart/bXJLby4L/?symbol=NSE%3AUCAL" TargetMode="External"/><Relationship Id="rId699" Type="http://schemas.openxmlformats.org/officeDocument/2006/relationships/hyperlink" Target="https://in.tradingview.com/chart/Cgv3Jm6J/?symbol=NSE%3ACAPLIPOINT" TargetMode="External"/><Relationship Id="rId698" Type="http://schemas.openxmlformats.org/officeDocument/2006/relationships/hyperlink" Target="https://in.tradingview.com/chart/bXJLby4L/?symbol=NSE%3ABLISSGVS" TargetMode="External"/><Relationship Id="rId693" Type="http://schemas.openxmlformats.org/officeDocument/2006/relationships/hyperlink" Target="https://in.tradingview.com/chart/Cgv3Jm6J/?symbol=NSE%3ACANTABIL" TargetMode="External"/><Relationship Id="rId4550" Type="http://schemas.openxmlformats.org/officeDocument/2006/relationships/hyperlink" Target="https://in.tradingview.com/chart/bXJLby4L/?symbol=NSE%3ATVTODAY" TargetMode="External"/><Relationship Id="rId692" Type="http://schemas.openxmlformats.org/officeDocument/2006/relationships/hyperlink" Target="https://in.tradingview.com/chart/bXJLby4L/?symbol=NSE%3ABSOFT" TargetMode="External"/><Relationship Id="rId691" Type="http://schemas.openxmlformats.org/officeDocument/2006/relationships/hyperlink" Target="https://in.tradingview.com/chart/Cgv3Jm6J/?symbol=NSE%3ACANFINHOME" TargetMode="External"/><Relationship Id="rId3221" Type="http://schemas.openxmlformats.org/officeDocument/2006/relationships/hyperlink" Target="https://in.tradingview.com/chart/Cgv3Jm6J/?symbol=NSE%3ARADIOCITY" TargetMode="External"/><Relationship Id="rId4552" Type="http://schemas.openxmlformats.org/officeDocument/2006/relationships/hyperlink" Target="https://in.tradingview.com/chart/bXJLby4L/?symbol=NSE%3ATVSELECT" TargetMode="External"/><Relationship Id="rId690" Type="http://schemas.openxmlformats.org/officeDocument/2006/relationships/hyperlink" Target="https://in.tradingview.com/chart/bXJLby4L/?symbol=NSE%3ABIRLANU" TargetMode="External"/><Relationship Id="rId3220" Type="http://schemas.openxmlformats.org/officeDocument/2006/relationships/hyperlink" Target="https://in.tradingview.com/chart/bXJLby4L/?symbol=NSE%3AHNGSNGBEES" TargetMode="External"/><Relationship Id="rId4551" Type="http://schemas.openxmlformats.org/officeDocument/2006/relationships/hyperlink" Target="https://in.tradingview.com/chart/bXJLby4L/?symbol=NSE%3ATVVISION" TargetMode="External"/><Relationship Id="rId697" Type="http://schemas.openxmlformats.org/officeDocument/2006/relationships/hyperlink" Target="https://in.tradingview.com/chart/Cgv3Jm6J/?symbol=NSE%3ACAPITALSFB" TargetMode="External"/><Relationship Id="rId3223" Type="http://schemas.openxmlformats.org/officeDocument/2006/relationships/hyperlink" Target="https://in.tradingview.com/chart/Cgv3Jm6J/?symbol=NSE%3ARAILTEL" TargetMode="External"/><Relationship Id="rId4554" Type="http://schemas.openxmlformats.org/officeDocument/2006/relationships/hyperlink" Target="https://in.tradingview.com/chart/bXJLby4L/?symbol=NSE%3ATVSMOTOR" TargetMode="External"/><Relationship Id="rId696" Type="http://schemas.openxmlformats.org/officeDocument/2006/relationships/hyperlink" Target="https://in.tradingview.com/chart/bXJLby4L/?symbol=NSE%3ABLBLIMITED" TargetMode="External"/><Relationship Id="rId3222" Type="http://schemas.openxmlformats.org/officeDocument/2006/relationships/hyperlink" Target="https://in.tradingview.com/chart/bXJLby4L/?symbol=NSE%3AINFRABEES" TargetMode="External"/><Relationship Id="rId4553" Type="http://schemas.openxmlformats.org/officeDocument/2006/relationships/hyperlink" Target="https://in.tradingview.com/chart/bXJLby4L/?symbol=NSE%3ATVSHLTD" TargetMode="External"/><Relationship Id="rId695" Type="http://schemas.openxmlformats.org/officeDocument/2006/relationships/hyperlink" Target="https://in.tradingview.com/chart/Cgv3Jm6J/?symbol=NSE%3ACAPACITE" TargetMode="External"/><Relationship Id="rId3225" Type="http://schemas.openxmlformats.org/officeDocument/2006/relationships/hyperlink" Target="https://in.tradingview.com/chart/Cgv3Jm6J/?symbol=NSE%3ARAIN" TargetMode="External"/><Relationship Id="rId4556" Type="http://schemas.openxmlformats.org/officeDocument/2006/relationships/hyperlink" Target="https://in.tradingview.com/chart/bXJLby4L/?symbol=NSE%3ATVSSCS" TargetMode="External"/><Relationship Id="rId694" Type="http://schemas.openxmlformats.org/officeDocument/2006/relationships/hyperlink" Target="https://in.tradingview.com/chart/bXJLby4L/?symbol=NSE%3ABBOX" TargetMode="External"/><Relationship Id="rId3224" Type="http://schemas.openxmlformats.org/officeDocument/2006/relationships/hyperlink" Target="https://in.tradingview.com/chart/bXJLby4L/?symbol=NSE%3AJUNIORBEES" TargetMode="External"/><Relationship Id="rId4555" Type="http://schemas.openxmlformats.org/officeDocument/2006/relationships/hyperlink" Target="https://in.tradingview.com/chart/bXJLby4L/?symbol=NSE%3ATVSSRICHAK" TargetMode="External"/><Relationship Id="rId3259" Type="http://schemas.openxmlformats.org/officeDocument/2006/relationships/hyperlink" Target="https://in.tradingview.com/chart/Cgv3Jm6J/?symbol=NSE%3ARANASUG" TargetMode="External"/><Relationship Id="rId3250" Type="http://schemas.openxmlformats.org/officeDocument/2006/relationships/hyperlink" Target="https://in.tradingview.com/chart/bXJLby4L/?symbol=NSE%3AMANUFGBEES" TargetMode="External"/><Relationship Id="rId4581" Type="http://schemas.openxmlformats.org/officeDocument/2006/relationships/hyperlink" Target="https://in.tradingview.com/chart/bXJLby4L/?symbol=NSE%3AUFBL" TargetMode="External"/><Relationship Id="rId4580" Type="http://schemas.openxmlformats.org/officeDocument/2006/relationships/hyperlink" Target="https://in.tradingview.com/chart/bXJLby4L/?symbol=NSE%3AUNIDT" TargetMode="External"/><Relationship Id="rId3252" Type="http://schemas.openxmlformats.org/officeDocument/2006/relationships/hyperlink" Target="https://in.tradingview.com/chart/bXJLby4L/?symbol=NSE%3APHARMABEES" TargetMode="External"/><Relationship Id="rId4583" Type="http://schemas.openxmlformats.org/officeDocument/2006/relationships/hyperlink" Target="https://in.tradingview.com/chart/bXJLby4L/?symbol=NSE%3AUNITDSPR" TargetMode="External"/><Relationship Id="rId3251" Type="http://schemas.openxmlformats.org/officeDocument/2006/relationships/hyperlink" Target="https://in.tradingview.com/chart/Cgv3Jm6J/?symbol=NSE%3ARAMCOIND" TargetMode="External"/><Relationship Id="rId4582" Type="http://schemas.openxmlformats.org/officeDocument/2006/relationships/hyperlink" Target="https://in.tradingview.com/chart/bXJLby4L/?symbol=NSE%3AUNITEDPOLY" TargetMode="External"/><Relationship Id="rId3254" Type="http://schemas.openxmlformats.org/officeDocument/2006/relationships/hyperlink" Target="https://in.tradingview.com/chart/bXJLby4L/?symbol=NSE%3ASILVERBEES" TargetMode="External"/><Relationship Id="rId4585" Type="http://schemas.openxmlformats.org/officeDocument/2006/relationships/hyperlink" Target="https://in.tradingview.com/chart/bXJLby4L/?symbol=NSE%3AUNIVASTU" TargetMode="External"/><Relationship Id="rId3253" Type="http://schemas.openxmlformats.org/officeDocument/2006/relationships/hyperlink" Target="https://in.tradingview.com/chart/Cgv3Jm6J/?symbol=NSE%3ARAMCOSYS" TargetMode="External"/><Relationship Id="rId4584" Type="http://schemas.openxmlformats.org/officeDocument/2006/relationships/hyperlink" Target="https://in.tradingview.com/chart/bXJLby4L/?symbol=NSE%3AUNIVAFOODS" TargetMode="External"/><Relationship Id="rId3256" Type="http://schemas.openxmlformats.org/officeDocument/2006/relationships/hyperlink" Target="https://in.tradingview.com/chart/bXJLby4L/?symbol=NSE%3ANAM-INDIA" TargetMode="External"/><Relationship Id="rId4587" Type="http://schemas.openxmlformats.org/officeDocument/2006/relationships/hyperlink" Target="https://in.tradingview.com/chart/bXJLby4L/?symbol=NSE%3AUNIVPHOTO" TargetMode="External"/><Relationship Id="rId3255" Type="http://schemas.openxmlformats.org/officeDocument/2006/relationships/hyperlink" Target="https://in.tradingview.com/chart/Cgv3Jm6J/?symbol=NSE%3ARAMKY" TargetMode="External"/><Relationship Id="rId4586" Type="http://schemas.openxmlformats.org/officeDocument/2006/relationships/hyperlink" Target="https://in.tradingview.com/chart/bXJLby4L/?symbol=NSE%3AUNIVCABLES" TargetMode="External"/><Relationship Id="rId3258" Type="http://schemas.openxmlformats.org/officeDocument/2006/relationships/hyperlink" Target="https://in.tradingview.com/chart/bXJLby4L/?symbol=NSE%3ANIRAJ" TargetMode="External"/><Relationship Id="rId4589" Type="http://schemas.openxmlformats.org/officeDocument/2006/relationships/hyperlink" Target="https://in.tradingview.com/chart/bXJLby4L/?symbol=NSE%3AUDS" TargetMode="External"/><Relationship Id="rId3257" Type="http://schemas.openxmlformats.org/officeDocument/2006/relationships/hyperlink" Target="https://in.tradingview.com/chart/Cgv3Jm6J/?symbol=NSE%3ARAMRAT" TargetMode="External"/><Relationship Id="rId4588" Type="http://schemas.openxmlformats.org/officeDocument/2006/relationships/hyperlink" Target="https://in.tradingview.com/chart/bXJLby4L/?symbol=NSE%3AUNOMINDA" TargetMode="External"/><Relationship Id="rId3249" Type="http://schemas.openxmlformats.org/officeDocument/2006/relationships/hyperlink" Target="https://in.tradingview.com/chart/Cgv3Jm6J/?symbol=NSE%3ARAMCOCEM" TargetMode="External"/><Relationship Id="rId3248" Type="http://schemas.openxmlformats.org/officeDocument/2006/relationships/hyperlink" Target="https://in.tradingview.com/chart/bXJLby4L/?symbol=NSE%3AAUTOBEES" TargetMode="External"/><Relationship Id="rId4579" Type="http://schemas.openxmlformats.org/officeDocument/2006/relationships/hyperlink" Target="https://in.tradingview.com/chart/bXJLby4L/?symbol=NSE%3AUBL" TargetMode="External"/><Relationship Id="rId4570" Type="http://schemas.openxmlformats.org/officeDocument/2006/relationships/hyperlink" Target="https://in.tradingview.com/chart/bXJLby4L/?symbol=NSE%3AUNICHEMLAB" TargetMode="External"/><Relationship Id="rId3241" Type="http://schemas.openxmlformats.org/officeDocument/2006/relationships/hyperlink" Target="https://in.tradingview.com/chart/Cgv3Jm6J/?symbol=NSE%3ARALLIS" TargetMode="External"/><Relationship Id="rId4572" Type="http://schemas.openxmlformats.org/officeDocument/2006/relationships/hyperlink" Target="https://in.tradingview.com/chart/bXJLby4L/?symbol=NSE%3AUNIINFO" TargetMode="External"/><Relationship Id="rId3240" Type="http://schemas.openxmlformats.org/officeDocument/2006/relationships/hyperlink" Target="https://in.tradingview.com/chart/bXJLby4L/?symbol=NSE%3ASDL26BEES" TargetMode="External"/><Relationship Id="rId4571" Type="http://schemas.openxmlformats.org/officeDocument/2006/relationships/hyperlink" Target="https://in.tradingview.com/chart/bXJLby4L/?symbol=NSE%3AUNIECOM" TargetMode="External"/><Relationship Id="rId3243" Type="http://schemas.openxmlformats.org/officeDocument/2006/relationships/hyperlink" Target="https://in.tradingview.com/chart/Cgv3Jm6J/?symbol=NSE%3ARAMANEWS" TargetMode="External"/><Relationship Id="rId4574" Type="http://schemas.openxmlformats.org/officeDocument/2006/relationships/hyperlink" Target="https://in.tradingview.com/chart/bXJLby4L/?symbol=NSE%3AUNIONBANK" TargetMode="External"/><Relationship Id="rId3242" Type="http://schemas.openxmlformats.org/officeDocument/2006/relationships/hyperlink" Target="https://in.tradingview.com/chart/bXJLby4L/?symbol=NSE%3APSUBNKBEES" TargetMode="External"/><Relationship Id="rId4573" Type="http://schemas.openxmlformats.org/officeDocument/2006/relationships/hyperlink" Target="https://in.tradingview.com/chart/bXJLby4L/?symbol=NSE%3AUNIMECH" TargetMode="External"/><Relationship Id="rId3245" Type="http://schemas.openxmlformats.org/officeDocument/2006/relationships/hyperlink" Target="https://in.tradingview.com/chart/Cgv3Jm6J/?symbol=NSE%3ARAMAPHO" TargetMode="External"/><Relationship Id="rId4576" Type="http://schemas.openxmlformats.org/officeDocument/2006/relationships/hyperlink" Target="https://in.tradingview.com/chart/bXJLby4L/?symbol=NSE%3AUNIPARTS" TargetMode="External"/><Relationship Id="rId3244" Type="http://schemas.openxmlformats.org/officeDocument/2006/relationships/hyperlink" Target="https://in.tradingview.com/chart/bXJLby4L/?symbol=NSE%3ASHARIABEES" TargetMode="External"/><Relationship Id="rId4575" Type="http://schemas.openxmlformats.org/officeDocument/2006/relationships/hyperlink" Target="https://in.tradingview.com/chart/bXJLby4L/?symbol=NSE%3AUNIONGOLD" TargetMode="External"/><Relationship Id="rId3247" Type="http://schemas.openxmlformats.org/officeDocument/2006/relationships/hyperlink" Target="https://in.tradingview.com/chart/Cgv3Jm6J/?symbol=NSE%3ARAMASTEEL" TargetMode="External"/><Relationship Id="rId4578" Type="http://schemas.openxmlformats.org/officeDocument/2006/relationships/hyperlink" Target="https://in.tradingview.com/chart/bXJLby4L/?symbol=NSE%3AUNITECH" TargetMode="External"/><Relationship Id="rId3246" Type="http://schemas.openxmlformats.org/officeDocument/2006/relationships/hyperlink" Target="https://in.tradingview.com/chart/bXJLby4L/?symbol=NSE%3ALIQGRWBEES" TargetMode="External"/><Relationship Id="rId4577" Type="http://schemas.openxmlformats.org/officeDocument/2006/relationships/hyperlink" Target="https://in.tradingview.com/chart/bXJLby4L/?symbol=NSE%3AUNIENTER" TargetMode="External"/><Relationship Id="rId1499" Type="http://schemas.openxmlformats.org/officeDocument/2006/relationships/hyperlink" Target="https://in.tradingview.com/chart/Cgv3Jm6J/?symbol=NSE%3AGUJAPOLLO" TargetMode="External"/><Relationship Id="rId4525" Type="http://schemas.openxmlformats.org/officeDocument/2006/relationships/hyperlink" Target="https://in.tradingview.com/chart/bXJLby4L/?symbol=NSE%3ATOTAL" TargetMode="External"/><Relationship Id="rId4524" Type="http://schemas.openxmlformats.org/officeDocument/2006/relationships/hyperlink" Target="https://in.tradingview.com/chart/bXJLby4L/?symbol=NSE%3ATORNTPOWER" TargetMode="External"/><Relationship Id="rId4527" Type="http://schemas.openxmlformats.org/officeDocument/2006/relationships/hyperlink" Target="https://in.tradingview.com/chart/bXJLby4L/?symbol=NSE%3ATFCILTD" TargetMode="External"/><Relationship Id="rId4526" Type="http://schemas.openxmlformats.org/officeDocument/2006/relationships/hyperlink" Target="https://in.tradingview.com/chart/bXJLby4L/?symbol=NSE%3ATOUCHWOOD" TargetMode="External"/><Relationship Id="rId4529" Type="http://schemas.openxmlformats.org/officeDocument/2006/relationships/hyperlink" Target="https://in.tradingview.com/chart/bXJLby4L/?symbol=NSE%3ATRACXN" TargetMode="External"/><Relationship Id="rId4528" Type="http://schemas.openxmlformats.org/officeDocument/2006/relationships/hyperlink" Target="https://in.tradingview.com/chart/bXJLby4L/?symbol=NSE%3ATPLPLASTEH" TargetMode="External"/><Relationship Id="rId668" Type="http://schemas.openxmlformats.org/officeDocument/2006/relationships/hyperlink" Target="https://in.tradingview.com/chart/bXJLby4L/?symbol=NSE%3ABHARTIARTL" TargetMode="External"/><Relationship Id="rId667" Type="http://schemas.openxmlformats.org/officeDocument/2006/relationships/hyperlink" Target="https://in.tradingview.com/chart/Cgv3Jm6J/?symbol=NSE%3ABSLNIFTY" TargetMode="External"/><Relationship Id="rId666" Type="http://schemas.openxmlformats.org/officeDocument/2006/relationships/hyperlink" Target="https://in.tradingview.com/chart/bXJLby4L/?symbol=NSE%3ABHARATBOND-APR33" TargetMode="External"/><Relationship Id="rId665" Type="http://schemas.openxmlformats.org/officeDocument/2006/relationships/hyperlink" Target="https://in.tradingview.com/chart/Cgv3Jm6J/?symbol=NSE%3ABSLGOLDETF" TargetMode="External"/><Relationship Id="rId669" Type="http://schemas.openxmlformats.org/officeDocument/2006/relationships/hyperlink" Target="https://in.tradingview.com/chart/Cgv3Jm6J/?symbol=NSE%3ABSLSENETFG" TargetMode="External"/><Relationship Id="rId1490" Type="http://schemas.openxmlformats.org/officeDocument/2006/relationships/hyperlink" Target="https://in.tradingview.com/chart/bXJLby4L/?symbol=NSE%3AGLOBALVECT" TargetMode="External"/><Relationship Id="rId660" Type="http://schemas.openxmlformats.org/officeDocument/2006/relationships/hyperlink" Target="https://in.tradingview.com/chart/bXJLby4L/?symbol=NSE%3ABHARATBOND-APR30" TargetMode="External"/><Relationship Id="rId1491" Type="http://schemas.openxmlformats.org/officeDocument/2006/relationships/hyperlink" Target="https://in.tradingview.com/chart/Cgv3Jm6J/?symbol=NSE%3AGTLINFRA" TargetMode="External"/><Relationship Id="rId1492" Type="http://schemas.openxmlformats.org/officeDocument/2006/relationships/hyperlink" Target="https://in.tradingview.com/chart/bXJLby4L/?symbol=NSE%3AGLOBALE" TargetMode="External"/><Relationship Id="rId1493" Type="http://schemas.openxmlformats.org/officeDocument/2006/relationships/hyperlink" Target="https://in.tradingview.com/chart/Cgv3Jm6J/?symbol=NSE%3AGTPL" TargetMode="External"/><Relationship Id="rId1494" Type="http://schemas.openxmlformats.org/officeDocument/2006/relationships/hyperlink" Target="https://in.tradingview.com/chart/bXJLby4L/?symbol=NSE%3AGLOBECIVIL" TargetMode="External"/><Relationship Id="rId664" Type="http://schemas.openxmlformats.org/officeDocument/2006/relationships/hyperlink" Target="https://in.tradingview.com/chart/bXJLby4L/?symbol=NSE%3ABHARATBOND-APR32" TargetMode="External"/><Relationship Id="rId1495" Type="http://schemas.openxmlformats.org/officeDocument/2006/relationships/hyperlink" Target="https://in.tradingview.com/chart/Cgv3Jm6J/?symbol=NSE%3AGUFICBIO" TargetMode="External"/><Relationship Id="rId4521" Type="http://schemas.openxmlformats.org/officeDocument/2006/relationships/hyperlink" Target="https://in.tradingview.com/chart/bXJLby4L/?symbol=NSE%3ATOKYOPLAST" TargetMode="External"/><Relationship Id="rId663" Type="http://schemas.openxmlformats.org/officeDocument/2006/relationships/hyperlink" Target="https://in.tradingview.com/chart/Cgv3Jm6J/?symbol=NSE%3ABSL" TargetMode="External"/><Relationship Id="rId1496" Type="http://schemas.openxmlformats.org/officeDocument/2006/relationships/hyperlink" Target="https://in.tradingview.com/chart/bXJLby4L/?symbol=NSE%3AGLOBUSSPR" TargetMode="External"/><Relationship Id="rId4520" Type="http://schemas.openxmlformats.org/officeDocument/2006/relationships/hyperlink" Target="https://in.tradingview.com/chart/bXJLby4L/?symbol=NSE%3ATMCV" TargetMode="External"/><Relationship Id="rId662" Type="http://schemas.openxmlformats.org/officeDocument/2006/relationships/hyperlink" Target="https://in.tradingview.com/chart/bXJLby4L/?symbol=NSE%3ABHARATBOND-APR31" TargetMode="External"/><Relationship Id="rId1497" Type="http://schemas.openxmlformats.org/officeDocument/2006/relationships/hyperlink" Target="https://in.tradingview.com/chart/Cgv3Jm6J/?symbol=NSE%3AGUJALKALI" TargetMode="External"/><Relationship Id="rId4523" Type="http://schemas.openxmlformats.org/officeDocument/2006/relationships/hyperlink" Target="https://in.tradingview.com/chart/bXJLby4L/?symbol=NSE%3ATORNTPHARM" TargetMode="External"/><Relationship Id="rId661" Type="http://schemas.openxmlformats.org/officeDocument/2006/relationships/hyperlink" Target="https://in.tradingview.com/chart/Cgv3Jm6J/?symbol=NSE%3ABSHSL" TargetMode="External"/><Relationship Id="rId1498" Type="http://schemas.openxmlformats.org/officeDocument/2006/relationships/hyperlink" Target="https://in.tradingview.com/chart/bXJLby4L/?symbol=NSE%3AGLOSTERLTD" TargetMode="External"/><Relationship Id="rId4522" Type="http://schemas.openxmlformats.org/officeDocument/2006/relationships/hyperlink" Target="https://in.tradingview.com/chart/bXJLby4L/?symbol=NSE%3ATOLINS" TargetMode="External"/><Relationship Id="rId1488" Type="http://schemas.openxmlformats.org/officeDocument/2006/relationships/hyperlink" Target="https://in.tradingview.com/chart/bXJLby4L/?symbol=NSE%3AGSLSU" TargetMode="External"/><Relationship Id="rId4514" Type="http://schemas.openxmlformats.org/officeDocument/2006/relationships/hyperlink" Target="https://in.tradingview.com/chart/bXJLby4L/?symbol=NSE%3ATINNARUBR" TargetMode="External"/><Relationship Id="rId1489" Type="http://schemas.openxmlformats.org/officeDocument/2006/relationships/hyperlink" Target="https://in.tradingview.com/chart/Cgv3Jm6J/?symbol=NSE%3AGTL" TargetMode="External"/><Relationship Id="rId4513" Type="http://schemas.openxmlformats.org/officeDocument/2006/relationships/hyperlink" Target="https://in.tradingview.com/chart/bXJLby4L/?symbol=NSE%3ATIMKEN" TargetMode="External"/><Relationship Id="rId4516" Type="http://schemas.openxmlformats.org/officeDocument/2006/relationships/hyperlink" Target="https://in.tradingview.com/chart/bXJLby4L/?symbol=NSE%3ATIPSMUSIC" TargetMode="External"/><Relationship Id="rId4515" Type="http://schemas.openxmlformats.org/officeDocument/2006/relationships/hyperlink" Target="https://in.tradingview.com/chart/bXJLby4L/?symbol=NSE%3ATIPSFILMS" TargetMode="External"/><Relationship Id="rId4518" Type="http://schemas.openxmlformats.org/officeDocument/2006/relationships/hyperlink" Target="https://in.tradingview.com/chart/bXJLby4L/?symbol=NSE%3ATITAGARH" TargetMode="External"/><Relationship Id="rId4517" Type="http://schemas.openxmlformats.org/officeDocument/2006/relationships/hyperlink" Target="https://in.tradingview.com/chart/bXJLby4L/?symbol=NSE%3ATIRUPATIFL" TargetMode="External"/><Relationship Id="rId4519" Type="http://schemas.openxmlformats.org/officeDocument/2006/relationships/hyperlink" Target="https://in.tradingview.com/chart/bXJLby4L/?symbol=NSE%3ATITAN" TargetMode="External"/><Relationship Id="rId657" Type="http://schemas.openxmlformats.org/officeDocument/2006/relationships/hyperlink" Target="https://in.tradingview.com/chart/Cgv3Jm6J/?symbol=NSE%3ABSE" TargetMode="External"/><Relationship Id="rId656" Type="http://schemas.openxmlformats.org/officeDocument/2006/relationships/hyperlink" Target="https://in.tradingview.com/chart/bXJLby4L/?symbol=NSE%3ABHARATSE" TargetMode="External"/><Relationship Id="rId655" Type="http://schemas.openxmlformats.org/officeDocument/2006/relationships/hyperlink" Target="https://in.tradingview.com/chart/Cgv3Jm6J/?symbol=NSE%3ABROOKS" TargetMode="External"/><Relationship Id="rId654" Type="http://schemas.openxmlformats.org/officeDocument/2006/relationships/hyperlink" Target="https://in.tradingview.com/chart/bXJLby4L/?symbol=NSE%3ABRNL" TargetMode="External"/><Relationship Id="rId659" Type="http://schemas.openxmlformats.org/officeDocument/2006/relationships/hyperlink" Target="https://in.tradingview.com/chart/Cgv3Jm6J/?symbol=NSE%3ABSE500IETF" TargetMode="External"/><Relationship Id="rId658" Type="http://schemas.openxmlformats.org/officeDocument/2006/relationships/hyperlink" Target="https://in.tradingview.com/chart/bXJLby4L/?symbol=NSE%3ABHARATWIRE" TargetMode="External"/><Relationship Id="rId1480" Type="http://schemas.openxmlformats.org/officeDocument/2006/relationships/hyperlink" Target="https://in.tradingview.com/chart/bXJLby4L/?symbol=NSE%3AGLAXO" TargetMode="External"/><Relationship Id="rId1481" Type="http://schemas.openxmlformats.org/officeDocument/2006/relationships/hyperlink" Target="https://in.tradingview.com/chart/Cgv3Jm6J/?symbol=NSE%3AGSLSU" TargetMode="External"/><Relationship Id="rId1482" Type="http://schemas.openxmlformats.org/officeDocument/2006/relationships/hyperlink" Target="https://in.tradingview.com/chart/bXJLby4L/?symbol=NSE%3AGLENMARK" TargetMode="External"/><Relationship Id="rId1483" Type="http://schemas.openxmlformats.org/officeDocument/2006/relationships/hyperlink" Target="https://in.tradingview.com/chart/Cgv3Jm6J/?symbol=NSE%3AGSPL" TargetMode="External"/><Relationship Id="rId653" Type="http://schemas.openxmlformats.org/officeDocument/2006/relationships/hyperlink" Target="https://in.tradingview.com/chart/Cgv3Jm6J/?symbol=NSE%3ABRNL" TargetMode="External"/><Relationship Id="rId1484" Type="http://schemas.openxmlformats.org/officeDocument/2006/relationships/hyperlink" Target="https://in.tradingview.com/chart/bXJLby4L/?symbol=NSE%3AGLOBAL" TargetMode="External"/><Relationship Id="rId4510" Type="http://schemas.openxmlformats.org/officeDocument/2006/relationships/hyperlink" Target="https://in.tradingview.com/chart/bXJLby4L/?symbol=NSE%3ATIL" TargetMode="External"/><Relationship Id="rId652" Type="http://schemas.openxmlformats.org/officeDocument/2006/relationships/hyperlink" Target="https://in.tradingview.com/chart/bXJLby4L/?symbol=NSE%3ABHARATRAS" TargetMode="External"/><Relationship Id="rId1485" Type="http://schemas.openxmlformats.org/officeDocument/2006/relationships/hyperlink" Target="https://in.tradingview.com/chart/Cgv3Jm6J/?symbol=NSE%3AGSS" TargetMode="External"/><Relationship Id="rId651" Type="http://schemas.openxmlformats.org/officeDocument/2006/relationships/hyperlink" Target="https://in.tradingview.com/chart/Cgv3Jm6J/?symbol=NSE%3ABRITANNIA" TargetMode="External"/><Relationship Id="rId1486" Type="http://schemas.openxmlformats.org/officeDocument/2006/relationships/hyperlink" Target="https://in.tradingview.com/chart/bXJLby4L/?symbol=NSE%3AMEDANTA" TargetMode="External"/><Relationship Id="rId4512" Type="http://schemas.openxmlformats.org/officeDocument/2006/relationships/hyperlink" Target="https://in.tradingview.com/chart/bXJLby4L/?symbol=NSE%3ATIMETECHNO" TargetMode="External"/><Relationship Id="rId650" Type="http://schemas.openxmlformats.org/officeDocument/2006/relationships/hyperlink" Target="https://in.tradingview.com/chart/bXJLby4L/?symbol=NSE%3ABPCL" TargetMode="External"/><Relationship Id="rId1487" Type="http://schemas.openxmlformats.org/officeDocument/2006/relationships/hyperlink" Target="https://in.tradingview.com/chart/Cgv3Jm6J/?symbol=NSE%3AGTECJAINX" TargetMode="External"/><Relationship Id="rId4511" Type="http://schemas.openxmlformats.org/officeDocument/2006/relationships/hyperlink" Target="https://in.tradingview.com/chart/bXJLby4L/?symbol=NSE%3ATI" TargetMode="External"/><Relationship Id="rId3216" Type="http://schemas.openxmlformats.org/officeDocument/2006/relationships/hyperlink" Target="https://in.tradingview.com/chart/bXJLby4L/?symbol=NSE%3ABANKBEES" TargetMode="External"/><Relationship Id="rId4547" Type="http://schemas.openxmlformats.org/officeDocument/2006/relationships/hyperlink" Target="https://in.tradingview.com/chart/bXJLby4L/?symbol=NSE%3ATTKHLTCARE" TargetMode="External"/><Relationship Id="rId3215" Type="http://schemas.openxmlformats.org/officeDocument/2006/relationships/hyperlink" Target="https://in.tradingview.com/chart/Cgv3Jm6J/?symbol=NSE%3ARADHIKAJWE" TargetMode="External"/><Relationship Id="rId4546" Type="http://schemas.openxmlformats.org/officeDocument/2006/relationships/hyperlink" Target="https://in.tradingview.com/chart/bXJLby4L/?symbol=NSE%3ATSFINV" TargetMode="External"/><Relationship Id="rId3218" Type="http://schemas.openxmlformats.org/officeDocument/2006/relationships/hyperlink" Target="https://in.tradingview.com/chart/bXJLby4L/?symbol=NSE%3AGOLDBEES" TargetMode="External"/><Relationship Id="rId4549" Type="http://schemas.openxmlformats.org/officeDocument/2006/relationships/hyperlink" Target="https://in.tradingview.com/chart/bXJLby4L/?symbol=NSE%3ATIINDIA" TargetMode="External"/><Relationship Id="rId3217" Type="http://schemas.openxmlformats.org/officeDocument/2006/relationships/hyperlink" Target="https://in.tradingview.com/chart/Cgv3Jm6J/?symbol=NSE%3ARADIANTCMS" TargetMode="External"/><Relationship Id="rId4548" Type="http://schemas.openxmlformats.org/officeDocument/2006/relationships/hyperlink" Target="https://in.tradingview.com/chart/bXJLby4L/?symbol=NSE%3ATTKPRESTIG" TargetMode="External"/><Relationship Id="rId3219" Type="http://schemas.openxmlformats.org/officeDocument/2006/relationships/hyperlink" Target="https://in.tradingview.com/chart/Cgv3Jm6J/?symbol=NSE%3ARADICO" TargetMode="External"/><Relationship Id="rId689" Type="http://schemas.openxmlformats.org/officeDocument/2006/relationships/hyperlink" Target="https://in.tradingview.com/chart/Cgv3Jm6J/?symbol=NSE%3ACANBK" TargetMode="External"/><Relationship Id="rId688" Type="http://schemas.openxmlformats.org/officeDocument/2006/relationships/hyperlink" Target="https://in.tradingview.com/chart/bXJLby4L/?symbol=NSE%3ABSLSENETFG" TargetMode="External"/><Relationship Id="rId687" Type="http://schemas.openxmlformats.org/officeDocument/2006/relationships/hyperlink" Target="https://in.tradingview.com/chart/Cgv3Jm6J/?symbol=NSE%3ACAMS" TargetMode="External"/><Relationship Id="rId682" Type="http://schemas.openxmlformats.org/officeDocument/2006/relationships/hyperlink" Target="https://in.tradingview.com/chart/bXJLby4L/?symbol=NSE%3ABIOFILCHEM" TargetMode="External"/><Relationship Id="rId681" Type="http://schemas.openxmlformats.org/officeDocument/2006/relationships/hyperlink" Target="https://in.tradingview.com/chart/Cgv3Jm6J/?symbol=NSE%3ACALSOFT" TargetMode="External"/><Relationship Id="rId680" Type="http://schemas.openxmlformats.org/officeDocument/2006/relationships/hyperlink" Target="https://in.tradingview.com/chart/bXJLby4L/?symbol=NSE%3ABIOCON" TargetMode="External"/><Relationship Id="rId3210" Type="http://schemas.openxmlformats.org/officeDocument/2006/relationships/hyperlink" Target="https://in.tradingview.com/chart/bXJLby4L/?symbol=NSE%3ASNXT30BEES" TargetMode="External"/><Relationship Id="rId4541" Type="http://schemas.openxmlformats.org/officeDocument/2006/relationships/hyperlink" Target="https://in.tradingview.com/chart/bXJLby4L/?symbol=NSE%3ATRIDENT" TargetMode="External"/><Relationship Id="rId4540" Type="http://schemas.openxmlformats.org/officeDocument/2006/relationships/hyperlink" Target="https://in.tradingview.com/chart/bXJLby4L/?symbol=NSE%3ATBZ" TargetMode="External"/><Relationship Id="rId686" Type="http://schemas.openxmlformats.org/officeDocument/2006/relationships/hyperlink" Target="https://in.tradingview.com/chart/bXJLby4L/?symbol=NSE%3ABIRLACORPN" TargetMode="External"/><Relationship Id="rId3212" Type="http://schemas.openxmlformats.org/officeDocument/2006/relationships/hyperlink" Target="https://in.tradingview.com/chart/bXJLby4L/?symbol=NSE%3ADIVOPPBEES" TargetMode="External"/><Relationship Id="rId4543" Type="http://schemas.openxmlformats.org/officeDocument/2006/relationships/hyperlink" Target="https://in.tradingview.com/chart/bXJLby4L/?symbol=NSE%3ATRIVENI" TargetMode="External"/><Relationship Id="rId685" Type="http://schemas.openxmlformats.org/officeDocument/2006/relationships/hyperlink" Target="https://in.tradingview.com/chart/Cgv3Jm6J/?symbol=NSE%3ACAMPUS" TargetMode="External"/><Relationship Id="rId3211" Type="http://schemas.openxmlformats.org/officeDocument/2006/relationships/hyperlink" Target="https://in.tradingview.com/chart/Cgv3Jm6J/?symbol=NSE%3ARACLGEAR" TargetMode="External"/><Relationship Id="rId4542" Type="http://schemas.openxmlformats.org/officeDocument/2006/relationships/hyperlink" Target="https://in.tradingview.com/chart/bXJLby4L/?symbol=NSE%3ATRIGYN" TargetMode="External"/><Relationship Id="rId684" Type="http://schemas.openxmlformats.org/officeDocument/2006/relationships/hyperlink" Target="https://in.tradingview.com/chart/bXJLby4L/?symbol=NSE%3ABIRLACABLE" TargetMode="External"/><Relationship Id="rId3214" Type="http://schemas.openxmlformats.org/officeDocument/2006/relationships/hyperlink" Target="https://in.tradingview.com/chart/bXJLby4L/?symbol=NSE%3AGILT5YBEES" TargetMode="External"/><Relationship Id="rId4545" Type="http://schemas.openxmlformats.org/officeDocument/2006/relationships/hyperlink" Target="https://in.tradingview.com/chart/bXJLby4L/?symbol=NSE%3ATRU" TargetMode="External"/><Relationship Id="rId683" Type="http://schemas.openxmlformats.org/officeDocument/2006/relationships/hyperlink" Target="https://in.tradingview.com/chart/Cgv3Jm6J/?symbol=NSE%3ACAMLINFINE" TargetMode="External"/><Relationship Id="rId3213" Type="http://schemas.openxmlformats.org/officeDocument/2006/relationships/hyperlink" Target="https://in.tradingview.com/chart/Cgv3Jm6J/?symbol=NSE%3ARADAAN" TargetMode="External"/><Relationship Id="rId4544" Type="http://schemas.openxmlformats.org/officeDocument/2006/relationships/hyperlink" Target="https://in.tradingview.com/chart/bXJLby4L/?symbol=NSE%3ATRITURBINE" TargetMode="External"/><Relationship Id="rId3205" Type="http://schemas.openxmlformats.org/officeDocument/2006/relationships/hyperlink" Target="https://in.tradingview.com/chart/Cgv3Jm6J/?symbol=NSE%3AQUESS" TargetMode="External"/><Relationship Id="rId4536" Type="http://schemas.openxmlformats.org/officeDocument/2006/relationships/hyperlink" Target="https://in.tradingview.com/chart/bXJLby4L/?symbol=NSE%3ATREEHOUSE" TargetMode="External"/><Relationship Id="rId3204" Type="http://schemas.openxmlformats.org/officeDocument/2006/relationships/hyperlink" Target="https://in.tradingview.com/chart/bXJLby4L/?symbol=NSE%3ANILASPACES" TargetMode="External"/><Relationship Id="rId4535" Type="http://schemas.openxmlformats.org/officeDocument/2006/relationships/hyperlink" Target="https://in.tradingview.com/chart/bXJLby4L/?symbol=NSE%3ATRAVELFOOD" TargetMode="External"/><Relationship Id="rId3207" Type="http://schemas.openxmlformats.org/officeDocument/2006/relationships/hyperlink" Target="https://in.tradingview.com/chart/Cgv3Jm6J/?symbol=NSE%3AQUICKHEAL" TargetMode="External"/><Relationship Id="rId4538" Type="http://schemas.openxmlformats.org/officeDocument/2006/relationships/hyperlink" Target="https://in.tradingview.com/chart/bXJLby4L/?symbol=NSE%3ATRENT" TargetMode="External"/><Relationship Id="rId3206" Type="http://schemas.openxmlformats.org/officeDocument/2006/relationships/hyperlink" Target="https://in.tradingview.com/chart/bXJLby4L/?symbol=NSE%3ANILKAMAL" TargetMode="External"/><Relationship Id="rId4537" Type="http://schemas.openxmlformats.org/officeDocument/2006/relationships/hyperlink" Target="https://in.tradingview.com/chart/bXJLby4L/?symbol=NSE%3ATREJHARA" TargetMode="External"/><Relationship Id="rId3209" Type="http://schemas.openxmlformats.org/officeDocument/2006/relationships/hyperlink" Target="https://in.tradingview.com/chart/Cgv3Jm6J/?symbol=NSE%3ARACE" TargetMode="External"/><Relationship Id="rId3208" Type="http://schemas.openxmlformats.org/officeDocument/2006/relationships/hyperlink" Target="https://in.tradingview.com/chart/bXJLby4L/?symbol=NSE%3ANINSYS" TargetMode="External"/><Relationship Id="rId4539" Type="http://schemas.openxmlformats.org/officeDocument/2006/relationships/hyperlink" Target="https://in.tradingview.com/chart/bXJLby4L/?symbol=NSE%3ATRF" TargetMode="External"/><Relationship Id="rId679" Type="http://schemas.openxmlformats.org/officeDocument/2006/relationships/hyperlink" Target="https://in.tradingview.com/chart/Cgv3Jm6J/?symbol=NSE%3ABYKE" TargetMode="External"/><Relationship Id="rId678" Type="http://schemas.openxmlformats.org/officeDocument/2006/relationships/hyperlink" Target="https://in.tradingview.com/chart/bXJLby4L/?symbol=NSE%3ABILVYAPAR" TargetMode="External"/><Relationship Id="rId677" Type="http://schemas.openxmlformats.org/officeDocument/2006/relationships/hyperlink" Target="https://in.tradingview.com/chart/Cgv3Jm6J/?symbol=NSE%3ABVCL" TargetMode="External"/><Relationship Id="rId676" Type="http://schemas.openxmlformats.org/officeDocument/2006/relationships/hyperlink" Target="https://in.tradingview.com/chart/bXJLby4L/?symbol=NSE%3ABIKAJI" TargetMode="External"/><Relationship Id="rId671" Type="http://schemas.openxmlformats.org/officeDocument/2006/relationships/hyperlink" Target="https://in.tradingview.com/chart/Cgv3Jm6J/?symbol=NSE%3ABSOFT" TargetMode="External"/><Relationship Id="rId670" Type="http://schemas.openxmlformats.org/officeDocument/2006/relationships/hyperlink" Target="https://in.tradingview.com/chart/bXJLby4L/?symbol=NSE%3ABHARTIHEXA" TargetMode="External"/><Relationship Id="rId4530" Type="http://schemas.openxmlformats.org/officeDocument/2006/relationships/hyperlink" Target="https://in.tradingview.com/chart/bXJLby4L/?symbol=NSE%3ATARIL" TargetMode="External"/><Relationship Id="rId675" Type="http://schemas.openxmlformats.org/officeDocument/2006/relationships/hyperlink" Target="https://in.tradingview.com/chart/Cgv3Jm6J/?symbol=NSE%3ABUTTERFLY" TargetMode="External"/><Relationship Id="rId3201" Type="http://schemas.openxmlformats.org/officeDocument/2006/relationships/hyperlink" Target="https://in.tradingview.com/chart/Cgv3Jm6J/?symbol=NSE%3AQUADFUTURE" TargetMode="External"/><Relationship Id="rId4532" Type="http://schemas.openxmlformats.org/officeDocument/2006/relationships/hyperlink" Target="https://in.tradingview.com/chart/bXJLby4L/?symbol=NSE%3ATCI" TargetMode="External"/><Relationship Id="rId674" Type="http://schemas.openxmlformats.org/officeDocument/2006/relationships/hyperlink" Target="https://in.tradingview.com/chart/bXJLby4L/?symbol=NSE%3ABIGBLOC" TargetMode="External"/><Relationship Id="rId3200" Type="http://schemas.openxmlformats.org/officeDocument/2006/relationships/hyperlink" Target="https://in.tradingview.com/chart/bXJLby4L/?symbol=NSE%3ANIITLTD" TargetMode="External"/><Relationship Id="rId4531" Type="http://schemas.openxmlformats.org/officeDocument/2006/relationships/hyperlink" Target="https://in.tradingview.com/chart/bXJLby4L/?symbol=NSE%3ATREL" TargetMode="External"/><Relationship Id="rId673" Type="http://schemas.openxmlformats.org/officeDocument/2006/relationships/hyperlink" Target="https://in.tradingview.com/chart/Cgv3Jm6J/?symbol=NSE%3ABTML" TargetMode="External"/><Relationship Id="rId3203" Type="http://schemas.openxmlformats.org/officeDocument/2006/relationships/hyperlink" Target="https://in.tradingview.com/chart/Cgv3Jm6J/?symbol=NSE%3AQUAL30IETF" TargetMode="External"/><Relationship Id="rId4534" Type="http://schemas.openxmlformats.org/officeDocument/2006/relationships/hyperlink" Target="https://in.tradingview.com/chart/bXJLby4L/?symbol=NSE%3ATFL" TargetMode="External"/><Relationship Id="rId672" Type="http://schemas.openxmlformats.org/officeDocument/2006/relationships/hyperlink" Target="https://in.tradingview.com/chart/bXJLby4L/?symbol=NSE%3ABIL" TargetMode="External"/><Relationship Id="rId3202" Type="http://schemas.openxmlformats.org/officeDocument/2006/relationships/hyperlink" Target="https://in.tradingview.com/chart/bXJLby4L/?symbol=NSE%3ANILAINFRA" TargetMode="External"/><Relationship Id="rId4533" Type="http://schemas.openxmlformats.org/officeDocument/2006/relationships/hyperlink" Target="https://in.tradingview.com/chart/bXJLby4L/?symbol=NSE%3ATRANSRAILL" TargetMode="External"/><Relationship Id="rId190" Type="http://schemas.openxmlformats.org/officeDocument/2006/relationships/hyperlink" Target="https://in.tradingview.com/chart/bXJLby4L/?symbol=NSE%3AAKG" TargetMode="External"/><Relationship Id="rId194" Type="http://schemas.openxmlformats.org/officeDocument/2006/relationships/hyperlink" Target="https://in.tradingview.com/chart/bXJLby4L/?symbol=NSE%3AAFIL" TargetMode="External"/><Relationship Id="rId193" Type="http://schemas.openxmlformats.org/officeDocument/2006/relationships/hyperlink" Target="https://in.tradingview.com/chart/Cgv3Jm6J/?symbol=NSE%3AALKYLAMINE" TargetMode="External"/><Relationship Id="rId192" Type="http://schemas.openxmlformats.org/officeDocument/2006/relationships/hyperlink" Target="https://in.tradingview.com/chart/bXJLby4L/?symbol=NSE%3AAKI" TargetMode="External"/><Relationship Id="rId191" Type="http://schemas.openxmlformats.org/officeDocument/2006/relationships/hyperlink" Target="https://in.tradingview.com/chart/Cgv3Jm6J/?symbol=NSE%3AALKEM" TargetMode="External"/><Relationship Id="rId187" Type="http://schemas.openxmlformats.org/officeDocument/2006/relationships/hyperlink" Target="https://in.tradingview.com/chart/Cgv3Jm6J/?symbol=NSE%3AALIVUS" TargetMode="External"/><Relationship Id="rId186" Type="http://schemas.openxmlformats.org/officeDocument/2006/relationships/hyperlink" Target="https://in.tradingview.com/chart/bXJLby4L/?symbol=NSE%3AAJMERA" TargetMode="External"/><Relationship Id="rId185" Type="http://schemas.openxmlformats.org/officeDocument/2006/relationships/hyperlink" Target="https://in.tradingview.com/chart/Cgv3Jm6J/?symbol=NSE%3AALICON" TargetMode="External"/><Relationship Id="rId184" Type="http://schemas.openxmlformats.org/officeDocument/2006/relationships/hyperlink" Target="https://in.tradingview.com/chart/bXJLby4L/?symbol=NSE%3AAJAXENGG" TargetMode="External"/><Relationship Id="rId189" Type="http://schemas.openxmlformats.org/officeDocument/2006/relationships/hyperlink" Target="https://in.tradingview.com/chart/Cgv3Jm6J/?symbol=NSE%3AALKALI" TargetMode="External"/><Relationship Id="rId188" Type="http://schemas.openxmlformats.org/officeDocument/2006/relationships/hyperlink" Target="https://in.tradingview.com/chart/bXJLby4L/?symbol=NSE%3AAKASH" TargetMode="External"/><Relationship Id="rId183" Type="http://schemas.openxmlformats.org/officeDocument/2006/relationships/hyperlink" Target="https://in.tradingview.com/chart/Cgv3Jm6J/?symbol=NSE%3AALEMBICLTD" TargetMode="External"/><Relationship Id="rId182" Type="http://schemas.openxmlformats.org/officeDocument/2006/relationships/hyperlink" Target="https://in.tradingview.com/chart/bXJLby4L/?symbol=NSE%3AAJANTPHARM" TargetMode="External"/><Relationship Id="rId181" Type="http://schemas.openxmlformats.org/officeDocument/2006/relationships/hyperlink" Target="https://in.tradingview.com/chart/Cgv3Jm6J/?symbol=NSE%3AALBERTDAVD" TargetMode="External"/><Relationship Id="rId180" Type="http://schemas.openxmlformats.org/officeDocument/2006/relationships/hyperlink" Target="https://in.tradingview.com/chart/bXJLby4L/?symbol=NSE%3AAIROLAM" TargetMode="External"/><Relationship Id="rId176" Type="http://schemas.openxmlformats.org/officeDocument/2006/relationships/hyperlink" Target="https://in.tradingview.com/chart/bXJLby4L/?symbol=NSE%3AAIAENG" TargetMode="External"/><Relationship Id="rId175" Type="http://schemas.openxmlformats.org/officeDocument/2006/relationships/hyperlink" Target="https://in.tradingview.com/chart/Cgv3Jm6J/?symbol=NSE%3AAKUMS" TargetMode="External"/><Relationship Id="rId174" Type="http://schemas.openxmlformats.org/officeDocument/2006/relationships/hyperlink" Target="https://in.tradingview.com/chart/bXJLby4L/?symbol=NSE%3AAHLUCONT" TargetMode="External"/><Relationship Id="rId173" Type="http://schemas.openxmlformats.org/officeDocument/2006/relationships/hyperlink" Target="https://in.tradingview.com/chart/Cgv3Jm6J/?symbol=NSE%3AAKSHOPTFBR" TargetMode="External"/><Relationship Id="rId179" Type="http://schemas.openxmlformats.org/officeDocument/2006/relationships/hyperlink" Target="https://in.tradingview.com/chart/Cgv3Jm6J/?symbol=NSE%3AALANKIT" TargetMode="External"/><Relationship Id="rId178" Type="http://schemas.openxmlformats.org/officeDocument/2006/relationships/hyperlink" Target="https://in.tradingview.com/chart/bXJLby4L/?symbol=NSE%3AAIRAN" TargetMode="External"/><Relationship Id="rId177" Type="http://schemas.openxmlformats.org/officeDocument/2006/relationships/hyperlink" Target="https://in.tradingview.com/chart/Cgv3Jm6J/?symbol=NSE%3AAKZOINDIA" TargetMode="External"/><Relationship Id="rId198" Type="http://schemas.openxmlformats.org/officeDocument/2006/relationships/hyperlink" Target="https://in.tradingview.com/chart/bXJLby4L/?symbol=NSE%3AAKSHARCHEM" TargetMode="External"/><Relationship Id="rId197" Type="http://schemas.openxmlformats.org/officeDocument/2006/relationships/hyperlink" Target="https://in.tradingview.com/chart/Cgv3Jm6J/?symbol=NSE%3AALLDIGI" TargetMode="External"/><Relationship Id="rId196" Type="http://schemas.openxmlformats.org/officeDocument/2006/relationships/hyperlink" Target="https://in.tradingview.com/chart/bXJLby4L/?symbol=NSE%3AAKSHOPTFBR" TargetMode="External"/><Relationship Id="rId195" Type="http://schemas.openxmlformats.org/officeDocument/2006/relationships/hyperlink" Target="https://in.tradingview.com/chart/Cgv3Jm6J/?symbol=NSE%3AALLCARGO" TargetMode="External"/><Relationship Id="rId199" Type="http://schemas.openxmlformats.org/officeDocument/2006/relationships/hyperlink" Target="https://in.tradingview.com/chart/Cgv3Jm6J/?symbol=NSE%3AALMONDZ" TargetMode="External"/><Relationship Id="rId150" Type="http://schemas.openxmlformats.org/officeDocument/2006/relationships/hyperlink" Target="https://in.tradingview.com/chart/bXJLby4L/?symbol=NSE%3AAEROFLEX" TargetMode="External"/><Relationship Id="rId149" Type="http://schemas.openxmlformats.org/officeDocument/2006/relationships/hyperlink" Target="https://in.tradingview.com/chart/Cgv3Jm6J/?symbol=NSE%3AAIIL" TargetMode="External"/><Relationship Id="rId148" Type="http://schemas.openxmlformats.org/officeDocument/2006/relationships/hyperlink" Target="https://in.tradingview.com/chart/bXJLby4L/?symbol=NSE%3AAEROENTER" TargetMode="External"/><Relationship Id="rId3270" Type="http://schemas.openxmlformats.org/officeDocument/2006/relationships/hyperlink" Target="https://in.tradingview.com/chart/bXJLby4L/?symbol=NSE%3ANKIND" TargetMode="External"/><Relationship Id="rId3272" Type="http://schemas.openxmlformats.org/officeDocument/2006/relationships/hyperlink" Target="https://in.tradingview.com/chart/bXJLby4L/?symbol=NSE%3ANLCINDIA" TargetMode="External"/><Relationship Id="rId3271" Type="http://schemas.openxmlformats.org/officeDocument/2006/relationships/hyperlink" Target="https://in.tradingview.com/chart/Cgv3Jm6J/?symbol=NSE%3ARAYMONDLSL" TargetMode="External"/><Relationship Id="rId143" Type="http://schemas.openxmlformats.org/officeDocument/2006/relationships/hyperlink" Target="https://in.tradingview.com/chart/Cgv3Jm6J/?symbol=NSE%3AAHLEAST" TargetMode="External"/><Relationship Id="rId3274" Type="http://schemas.openxmlformats.org/officeDocument/2006/relationships/hyperlink" Target="https://in.tradingview.com/chart/bXJLby4L/?symbol=NSE%3ANMDC" TargetMode="External"/><Relationship Id="rId142" Type="http://schemas.openxmlformats.org/officeDocument/2006/relationships/hyperlink" Target="https://in.tradingview.com/chart/bXJLby4L/?symbol=NSE%3AADVENTHTL" TargetMode="External"/><Relationship Id="rId3273" Type="http://schemas.openxmlformats.org/officeDocument/2006/relationships/hyperlink" Target="https://in.tradingview.com/chart/Cgv3Jm6J/?symbol=NSE%3ARBA" TargetMode="External"/><Relationship Id="rId141" Type="http://schemas.openxmlformats.org/officeDocument/2006/relationships/hyperlink" Target="https://in.tradingview.com/chart/Cgv3Jm6J/?symbol=NSE%3AAHLADA" TargetMode="External"/><Relationship Id="rId3276" Type="http://schemas.openxmlformats.org/officeDocument/2006/relationships/hyperlink" Target="https://in.tradingview.com/chart/bXJLby4L/?symbol=NSE%3ANSLNISP" TargetMode="External"/><Relationship Id="rId140" Type="http://schemas.openxmlformats.org/officeDocument/2006/relationships/hyperlink" Target="https://in.tradingview.com/chart/bXJLby4L/?symbol=NSE%3AADVANIHOTR" TargetMode="External"/><Relationship Id="rId3275" Type="http://schemas.openxmlformats.org/officeDocument/2006/relationships/hyperlink" Target="https://in.tradingview.com/chart/Cgv3Jm6J/?symbol=NSE%3ARBLBANK" TargetMode="External"/><Relationship Id="rId147" Type="http://schemas.openxmlformats.org/officeDocument/2006/relationships/hyperlink" Target="https://in.tradingview.com/chart/Cgv3Jm6J/?symbol=NSE%3AAIAENG" TargetMode="External"/><Relationship Id="rId3278" Type="http://schemas.openxmlformats.org/officeDocument/2006/relationships/hyperlink" Target="https://in.tradingview.com/chart/bXJLby4L/?symbol=NSE%3ANOCIL" TargetMode="External"/><Relationship Id="rId146" Type="http://schemas.openxmlformats.org/officeDocument/2006/relationships/hyperlink" Target="https://in.tradingview.com/chart/bXJLby4L/?symbol=NSE%3AAEGISVOPAK" TargetMode="External"/><Relationship Id="rId3277" Type="http://schemas.openxmlformats.org/officeDocument/2006/relationships/hyperlink" Target="https://in.tradingview.com/chart/Cgv3Jm6J/?symbol=NSE%3ARBZJEWEL" TargetMode="External"/><Relationship Id="rId145" Type="http://schemas.openxmlformats.org/officeDocument/2006/relationships/hyperlink" Target="https://in.tradingview.com/chart/Cgv3Jm6J/?symbol=NSE%3AAHLUCONT" TargetMode="External"/><Relationship Id="rId144" Type="http://schemas.openxmlformats.org/officeDocument/2006/relationships/hyperlink" Target="https://in.tradingview.com/chart/bXJLby4L/?symbol=NSE%3AAEGISLOG" TargetMode="External"/><Relationship Id="rId3279" Type="http://schemas.openxmlformats.org/officeDocument/2006/relationships/hyperlink" Target="https://in.tradingview.com/chart/Cgv3Jm6J/?symbol=NSE%3ARCF" TargetMode="External"/><Relationship Id="rId139" Type="http://schemas.openxmlformats.org/officeDocument/2006/relationships/hyperlink" Target="https://in.tradingview.com/chart/Cgv3Jm6J/?symbol=NSE%3AAGSTRA" TargetMode="External"/><Relationship Id="rId138" Type="http://schemas.openxmlformats.org/officeDocument/2006/relationships/hyperlink" Target="https://in.tradingview.com/chart/bXJLby4L/?symbol=NSE%3AADVENZYMES" TargetMode="External"/><Relationship Id="rId137" Type="http://schemas.openxmlformats.org/officeDocument/2006/relationships/hyperlink" Target="https://in.tradingview.com/chart/Cgv3Jm6J/?symbol=NSE%3AAGROPHOS" TargetMode="External"/><Relationship Id="rId4590" Type="http://schemas.openxmlformats.org/officeDocument/2006/relationships/hyperlink" Target="https://in.tradingview.com/chart/bXJLby4L/?symbol=NSE%3AUPL" TargetMode="External"/><Relationship Id="rId3261" Type="http://schemas.openxmlformats.org/officeDocument/2006/relationships/hyperlink" Target="https://in.tradingview.com/chart/Cgv3Jm6J/?symbol=NSE%3ARANEHOLDIN" TargetMode="External"/><Relationship Id="rId4592" Type="http://schemas.openxmlformats.org/officeDocument/2006/relationships/hyperlink" Target="https://in.tradingview.com/chart/bXJLby4L/?symbol=NSE%3AURBANCO" TargetMode="External"/><Relationship Id="rId3260" Type="http://schemas.openxmlformats.org/officeDocument/2006/relationships/hyperlink" Target="https://in.tradingview.com/chart/bXJLby4L/?symbol=NSE%3ANIRAJISPAT" TargetMode="External"/><Relationship Id="rId4591" Type="http://schemas.openxmlformats.org/officeDocument/2006/relationships/hyperlink" Target="https://in.tradingview.com/chart/bXJLby4L/?symbol=NSE%3AURAVIDEF" TargetMode="External"/><Relationship Id="rId132" Type="http://schemas.openxmlformats.org/officeDocument/2006/relationships/hyperlink" Target="https://in.tradingview.com/chart/bXJLby4L/?symbol=NSE%3AADOR" TargetMode="External"/><Relationship Id="rId3263" Type="http://schemas.openxmlformats.org/officeDocument/2006/relationships/hyperlink" Target="https://in.tradingview.com/chart/Cgv3Jm6J/?symbol=NSE%3ARATEGAIN" TargetMode="External"/><Relationship Id="rId4594" Type="http://schemas.openxmlformats.org/officeDocument/2006/relationships/hyperlink" Target="https://in.tradingview.com/chart/bXJLby4L/?symbol=NSE%3AUSHAMART" TargetMode="External"/><Relationship Id="rId131" Type="http://schemas.openxmlformats.org/officeDocument/2006/relationships/hyperlink" Target="https://in.tradingview.com/chart/Cgv3Jm6J/?symbol=NSE%3AAGI" TargetMode="External"/><Relationship Id="rId3262" Type="http://schemas.openxmlformats.org/officeDocument/2006/relationships/hyperlink" Target="https://in.tradingview.com/chart/bXJLby4L/?symbol=NSE%3ANITCO" TargetMode="External"/><Relationship Id="rId4593" Type="http://schemas.openxmlformats.org/officeDocument/2006/relationships/hyperlink" Target="https://in.tradingview.com/chart/bXJLby4L/?symbol=NSE%3AURJA" TargetMode="External"/><Relationship Id="rId130" Type="http://schemas.openxmlformats.org/officeDocument/2006/relationships/hyperlink" Target="https://in.tradingview.com/chart/bXJLby4L/?symbol=NSE%3AAVL" TargetMode="External"/><Relationship Id="rId3265" Type="http://schemas.openxmlformats.org/officeDocument/2006/relationships/hyperlink" Target="https://in.tradingview.com/chart/Cgv3Jm6J/?symbol=NSE%3ARATNAMANI" TargetMode="External"/><Relationship Id="rId4596" Type="http://schemas.openxmlformats.org/officeDocument/2006/relationships/hyperlink" Target="https://in.tradingview.com/chart/bXJLby4L/?symbol=NSE%3AUTIAMC" TargetMode="External"/><Relationship Id="rId3264" Type="http://schemas.openxmlformats.org/officeDocument/2006/relationships/hyperlink" Target="https://in.tradingview.com/chart/bXJLby4L/?symbol=NSE%3ANITINSPIN" TargetMode="External"/><Relationship Id="rId4595" Type="http://schemas.openxmlformats.org/officeDocument/2006/relationships/hyperlink" Target="https://in.tradingview.com/chart/bXJLby4L/?symbol=NSE%3AGOLDSHARE" TargetMode="External"/><Relationship Id="rId136" Type="http://schemas.openxmlformats.org/officeDocument/2006/relationships/hyperlink" Target="https://in.tradingview.com/chart/bXJLby4L/?symbol=NSE%3AADVANCE" TargetMode="External"/><Relationship Id="rId3267" Type="http://schemas.openxmlformats.org/officeDocument/2006/relationships/hyperlink" Target="https://in.tradingview.com/chart/Cgv3Jm6J/?symbol=NSE%3ARATNAVEER" TargetMode="External"/><Relationship Id="rId4598" Type="http://schemas.openxmlformats.org/officeDocument/2006/relationships/hyperlink" Target="https://in.tradingview.com/chart/bXJLby4L/?symbol=NSE%3ANIF10GETF" TargetMode="External"/><Relationship Id="rId135" Type="http://schemas.openxmlformats.org/officeDocument/2006/relationships/hyperlink" Target="https://in.tradingview.com/chart/Cgv3Jm6J/?symbol=NSE%3AAGRITECH" TargetMode="External"/><Relationship Id="rId3266" Type="http://schemas.openxmlformats.org/officeDocument/2006/relationships/hyperlink" Target="https://in.tradingview.com/chart/bXJLby4L/?symbol=NSE%3ANITIRAJ" TargetMode="External"/><Relationship Id="rId4597" Type="http://schemas.openxmlformats.org/officeDocument/2006/relationships/hyperlink" Target="https://in.tradingview.com/chart/bXJLby4L/?symbol=NSE%3AUTIBANKETF" TargetMode="External"/><Relationship Id="rId134" Type="http://schemas.openxmlformats.org/officeDocument/2006/relationships/hyperlink" Target="https://in.tradingview.com/chart/bXJLby4L/?symbol=NSE%3AADROITINFO" TargetMode="External"/><Relationship Id="rId3269" Type="http://schemas.openxmlformats.org/officeDocument/2006/relationships/hyperlink" Target="https://in.tradingview.com/chart/Cgv3Jm6J/?symbol=NSE%3ARAYMOND" TargetMode="External"/><Relationship Id="rId133" Type="http://schemas.openxmlformats.org/officeDocument/2006/relationships/hyperlink" Target="https://in.tradingview.com/chart/Cgv3Jm6J/?symbol=NSE%3AAGIIL" TargetMode="External"/><Relationship Id="rId3268" Type="http://schemas.openxmlformats.org/officeDocument/2006/relationships/hyperlink" Target="https://in.tradingview.com/chart/bXJLby4L/?symbol=NSE%3ANIVABUPA" TargetMode="External"/><Relationship Id="rId4599" Type="http://schemas.openxmlformats.org/officeDocument/2006/relationships/hyperlink" Target="https://in.tradingview.com/chart/bXJLby4L/?symbol=NSE%3ANIF5GETF" TargetMode="External"/><Relationship Id="rId172" Type="http://schemas.openxmlformats.org/officeDocument/2006/relationships/hyperlink" Target="https://in.tradingview.com/chart/bXJLby4L/?symbol=NSE%3AAHLADA" TargetMode="External"/><Relationship Id="rId171" Type="http://schemas.openxmlformats.org/officeDocument/2006/relationships/hyperlink" Target="https://in.tradingview.com/chart/Cgv3Jm6J/?symbol=NSE%3AAKSHARCHEM" TargetMode="External"/><Relationship Id="rId170" Type="http://schemas.openxmlformats.org/officeDocument/2006/relationships/hyperlink" Target="https://in.tradingview.com/chart/bXJLby4L/?symbol=NSE%3AAGROPHOS" TargetMode="External"/><Relationship Id="rId3290" Type="http://schemas.openxmlformats.org/officeDocument/2006/relationships/hyperlink" Target="https://in.tradingview.com/chart/bXJLby4L/?symbol=NSE%3ANIBL" TargetMode="External"/><Relationship Id="rId3292" Type="http://schemas.openxmlformats.org/officeDocument/2006/relationships/hyperlink" Target="https://in.tradingview.com/chart/bXJLby4L/?symbol=NSE%3ANTPCGREEN" TargetMode="External"/><Relationship Id="rId3291" Type="http://schemas.openxmlformats.org/officeDocument/2006/relationships/hyperlink" Target="https://in.tradingview.com/chart/Cgv3Jm6J/?symbol=NSE%3ARELAXO" TargetMode="External"/><Relationship Id="rId3294" Type="http://schemas.openxmlformats.org/officeDocument/2006/relationships/hyperlink" Target="https://in.tradingview.com/chart/bXJLby4L/?symbol=NSE%3ANTPC" TargetMode="External"/><Relationship Id="rId3293" Type="http://schemas.openxmlformats.org/officeDocument/2006/relationships/hyperlink" Target="https://in.tradingview.com/chart/Cgv3Jm6J/?symbol=NSE%3ARELCHEMQ" TargetMode="External"/><Relationship Id="rId165" Type="http://schemas.openxmlformats.org/officeDocument/2006/relationships/hyperlink" Target="https://in.tradingview.com/chart/Cgv3Jm6J/?symbol=NSE%3AAKG" TargetMode="External"/><Relationship Id="rId3296" Type="http://schemas.openxmlformats.org/officeDocument/2006/relationships/hyperlink" Target="https://in.tradingview.com/chart/bXJLby4L/?symbol=NSE%3ANUCLEUS" TargetMode="External"/><Relationship Id="rId164" Type="http://schemas.openxmlformats.org/officeDocument/2006/relationships/hyperlink" Target="https://in.tradingview.com/chart/bXJLby4L/?symbol=NSE%3AAGI" TargetMode="External"/><Relationship Id="rId3295" Type="http://schemas.openxmlformats.org/officeDocument/2006/relationships/hyperlink" Target="https://in.tradingview.com/chart/Cgv3Jm6J/?symbol=NSE%3ARELIABLE" TargetMode="External"/><Relationship Id="rId163" Type="http://schemas.openxmlformats.org/officeDocument/2006/relationships/hyperlink" Target="https://in.tradingview.com/chart/Cgv3Jm6J/?symbol=NSE%3AAKASH" TargetMode="External"/><Relationship Id="rId3298" Type="http://schemas.openxmlformats.org/officeDocument/2006/relationships/hyperlink" Target="https://in.tradingview.com/chart/bXJLby4L/?symbol=NSE%3ANRL" TargetMode="External"/><Relationship Id="rId162" Type="http://schemas.openxmlformats.org/officeDocument/2006/relationships/hyperlink" Target="https://in.tradingview.com/chart/bXJLby4L/?symbol=NSE%3AAGARIND" TargetMode="External"/><Relationship Id="rId3297" Type="http://schemas.openxmlformats.org/officeDocument/2006/relationships/hyperlink" Target="https://in.tradingview.com/chart/Cgv3Jm6J/?symbol=NSE%3ARELIANCE" TargetMode="External"/><Relationship Id="rId169" Type="http://schemas.openxmlformats.org/officeDocument/2006/relationships/hyperlink" Target="https://in.tradingview.com/chart/Cgv3Jm6J/?symbol=NSE%3AAKSHAR" TargetMode="External"/><Relationship Id="rId168" Type="http://schemas.openxmlformats.org/officeDocument/2006/relationships/hyperlink" Target="https://in.tradingview.com/chart/bXJLby4L/?symbol=NSE%3AAGRITECH" TargetMode="External"/><Relationship Id="rId3299" Type="http://schemas.openxmlformats.org/officeDocument/2006/relationships/hyperlink" Target="https://in.tradingview.com/chart/Cgv3Jm6J/?symbol=NSE%3ARELIGARE" TargetMode="External"/><Relationship Id="rId167" Type="http://schemas.openxmlformats.org/officeDocument/2006/relationships/hyperlink" Target="https://in.tradingview.com/chart/Cgv3Jm6J/?symbol=NSE%3AAKI" TargetMode="External"/><Relationship Id="rId166" Type="http://schemas.openxmlformats.org/officeDocument/2006/relationships/hyperlink" Target="https://in.tradingview.com/chart/bXJLby4L/?symbol=NSE%3AAGIIL" TargetMode="External"/><Relationship Id="rId161" Type="http://schemas.openxmlformats.org/officeDocument/2006/relationships/hyperlink" Target="https://in.tradingview.com/chart/Cgv3Jm6J/?symbol=NSE%3AAJOONI" TargetMode="External"/><Relationship Id="rId160" Type="http://schemas.openxmlformats.org/officeDocument/2006/relationships/hyperlink" Target="https://in.tradingview.com/chart/bXJLby4L/?symbol=NSE%3AAFFORDABLE" TargetMode="External"/><Relationship Id="rId159" Type="http://schemas.openxmlformats.org/officeDocument/2006/relationships/hyperlink" Target="https://in.tradingview.com/chart/Cgv3Jm6J/?symbol=NSE%3AAJMERA" TargetMode="External"/><Relationship Id="rId3281" Type="http://schemas.openxmlformats.org/officeDocument/2006/relationships/hyperlink" Target="https://in.tradingview.com/chart/Cgv3Jm6J/?symbol=NSE%3ARECLTD" TargetMode="External"/><Relationship Id="rId3280" Type="http://schemas.openxmlformats.org/officeDocument/2006/relationships/hyperlink" Target="https://in.tradingview.com/chart/bXJLby4L/?symbol=NSE%3ANORBTEAEXP" TargetMode="External"/><Relationship Id="rId3283" Type="http://schemas.openxmlformats.org/officeDocument/2006/relationships/hyperlink" Target="https://in.tradingview.com/chart/Cgv3Jm6J/?symbol=NSE%3AREDINGTON" TargetMode="External"/><Relationship Id="rId3282" Type="http://schemas.openxmlformats.org/officeDocument/2006/relationships/hyperlink" Target="https://in.tradingview.com/chart/bXJLby4L/?symbol=NSE%3ANECCLTD" TargetMode="External"/><Relationship Id="rId154" Type="http://schemas.openxmlformats.org/officeDocument/2006/relationships/hyperlink" Target="https://in.tradingview.com/chart/bXJLby4L/?symbol=NSE%3AAETHER" TargetMode="External"/><Relationship Id="rId3285" Type="http://schemas.openxmlformats.org/officeDocument/2006/relationships/hyperlink" Target="https://in.tradingview.com/chart/Cgv3Jm6J/?symbol=NSE%3AREDTAPE" TargetMode="External"/><Relationship Id="rId153" Type="http://schemas.openxmlformats.org/officeDocument/2006/relationships/hyperlink" Target="https://in.tradingview.com/chart/Cgv3Jm6J/?symbol=NSE%3AAIROLAM" TargetMode="External"/><Relationship Id="rId3284" Type="http://schemas.openxmlformats.org/officeDocument/2006/relationships/hyperlink" Target="https://in.tradingview.com/chart/bXJLby4L/?symbol=NSE%3ANORTHARC" TargetMode="External"/><Relationship Id="rId152" Type="http://schemas.openxmlformats.org/officeDocument/2006/relationships/hyperlink" Target="https://in.tradingview.com/chart/bXJLby4L/?symbol=NSE%3AAERONEU" TargetMode="External"/><Relationship Id="rId3287" Type="http://schemas.openxmlformats.org/officeDocument/2006/relationships/hyperlink" Target="https://in.tradingview.com/chart/Cgv3Jm6J/?symbol=NSE%3AREFEX" TargetMode="External"/><Relationship Id="rId151" Type="http://schemas.openxmlformats.org/officeDocument/2006/relationships/hyperlink" Target="https://in.tradingview.com/chart/Cgv3Jm6J/?symbol=NSE%3AAIRAN" TargetMode="External"/><Relationship Id="rId3286" Type="http://schemas.openxmlformats.org/officeDocument/2006/relationships/hyperlink" Target="https://in.tradingview.com/chart/bXJLby4L/?symbol=NSE%3ANOVAAGRI" TargetMode="External"/><Relationship Id="rId158" Type="http://schemas.openxmlformats.org/officeDocument/2006/relationships/hyperlink" Target="https://in.tradingview.com/chart/bXJLby4L/?symbol=NSE%3AAFFLE" TargetMode="External"/><Relationship Id="rId3289" Type="http://schemas.openxmlformats.org/officeDocument/2006/relationships/hyperlink" Target="https://in.tradingview.com/chart/Cgv3Jm6J/?symbol=NSE%3AREGENCERAM" TargetMode="External"/><Relationship Id="rId157" Type="http://schemas.openxmlformats.org/officeDocument/2006/relationships/hyperlink" Target="https://in.tradingview.com/chart/Cgv3Jm6J/?symbol=NSE%3AAJAXENGG" TargetMode="External"/><Relationship Id="rId3288" Type="http://schemas.openxmlformats.org/officeDocument/2006/relationships/hyperlink" Target="https://in.tradingview.com/chart/bXJLby4L/?symbol=NSE%3ANRBBEARING" TargetMode="External"/><Relationship Id="rId156" Type="http://schemas.openxmlformats.org/officeDocument/2006/relationships/hyperlink" Target="https://in.tradingview.com/chart/bXJLby4L/?symbol=NSE%3AAFCONS" TargetMode="External"/><Relationship Id="rId155" Type="http://schemas.openxmlformats.org/officeDocument/2006/relationships/hyperlink" Target="https://in.tradingview.com/chart/Cgv3Jm6J/?symbol=NSE%3AAJANTPHARM" TargetMode="External"/><Relationship Id="rId2820" Type="http://schemas.openxmlformats.org/officeDocument/2006/relationships/hyperlink" Target="https://in.tradingview.com/chart/bXJLby4L/?symbol=NSE%3AMOHITIND" TargetMode="External"/><Relationship Id="rId2821" Type="http://schemas.openxmlformats.org/officeDocument/2006/relationships/hyperlink" Target="https://in.tradingview.com/chart/Cgv3Jm6J/?symbol=NSE%3ANINSYS" TargetMode="External"/><Relationship Id="rId2822" Type="http://schemas.openxmlformats.org/officeDocument/2006/relationships/hyperlink" Target="https://in.tradingview.com/chart/bXJLby4L/?symbol=NSE%3AMOIL" TargetMode="External"/><Relationship Id="rId2823" Type="http://schemas.openxmlformats.org/officeDocument/2006/relationships/hyperlink" Target="https://in.tradingview.com/chart/Cgv3Jm6J/?symbol=NSE%3ANIPPOBATRY" TargetMode="External"/><Relationship Id="rId2824" Type="http://schemas.openxmlformats.org/officeDocument/2006/relationships/hyperlink" Target="https://in.tradingview.com/chart/bXJLby4L/?symbol=NSE%3AMOKSH" TargetMode="External"/><Relationship Id="rId2825" Type="http://schemas.openxmlformats.org/officeDocument/2006/relationships/hyperlink" Target="https://in.tradingview.com/chart/Cgv3Jm6J/?symbol=NSE%3ANIRAJ" TargetMode="External"/><Relationship Id="rId2826" Type="http://schemas.openxmlformats.org/officeDocument/2006/relationships/hyperlink" Target="https://in.tradingview.com/chart/bXJLby4L/?symbol=NSE%3AMOLDTKPAC" TargetMode="External"/><Relationship Id="rId2827" Type="http://schemas.openxmlformats.org/officeDocument/2006/relationships/hyperlink" Target="https://in.tradingview.com/chart/Cgv3Jm6J/?symbol=NSE%3ANITCO" TargetMode="External"/><Relationship Id="rId2828" Type="http://schemas.openxmlformats.org/officeDocument/2006/relationships/hyperlink" Target="https://in.tradingview.com/chart/bXJLby4L/?symbol=NSE%3AMOLDTECH" TargetMode="External"/><Relationship Id="rId2829" Type="http://schemas.openxmlformats.org/officeDocument/2006/relationships/hyperlink" Target="https://in.tradingview.com/chart/Cgv3Jm6J/?symbol=NSE%3ANITINSPIN" TargetMode="External"/><Relationship Id="rId2810" Type="http://schemas.openxmlformats.org/officeDocument/2006/relationships/hyperlink" Target="https://in.tradingview.com/chart/bXJLby4L/?symbol=NSE%3AMMTC" TargetMode="External"/><Relationship Id="rId2811" Type="http://schemas.openxmlformats.org/officeDocument/2006/relationships/hyperlink" Target="https://in.tradingview.com/chart/Cgv3Jm6J/?symbol=NSE%3ANIFTYQLITY" TargetMode="External"/><Relationship Id="rId2812" Type="http://schemas.openxmlformats.org/officeDocument/2006/relationships/hyperlink" Target="https://in.tradingview.com/chart/bXJLby4L/?symbol=NSE%3AMODTHREAD" TargetMode="External"/><Relationship Id="rId2813" Type="http://schemas.openxmlformats.org/officeDocument/2006/relationships/hyperlink" Target="https://in.tradingview.com/chart/Cgv3Jm6J/?symbol=NSE%3ANIITLTD" TargetMode="External"/><Relationship Id="rId2814" Type="http://schemas.openxmlformats.org/officeDocument/2006/relationships/hyperlink" Target="https://in.tradingview.com/chart/bXJLby4L/?symbol=NSE%3AMODIRUBBER" TargetMode="External"/><Relationship Id="rId2815" Type="http://schemas.openxmlformats.org/officeDocument/2006/relationships/hyperlink" Target="https://in.tradingview.com/chart/Cgv3Jm6J/?symbol=NSE%3ANIITMTS" TargetMode="External"/><Relationship Id="rId2816" Type="http://schemas.openxmlformats.org/officeDocument/2006/relationships/hyperlink" Target="https://in.tradingview.com/chart/bXJLby4L/?symbol=NSE%3AMODIS" TargetMode="External"/><Relationship Id="rId2817" Type="http://schemas.openxmlformats.org/officeDocument/2006/relationships/hyperlink" Target="https://in.tradingview.com/chart/Cgv3Jm6J/?symbol=NSE%3ANILAINFRA" TargetMode="External"/><Relationship Id="rId2818" Type="http://schemas.openxmlformats.org/officeDocument/2006/relationships/hyperlink" Target="https://in.tradingview.com/chart/bXJLby4L/?symbol=NSE%3AMODISONLTD" TargetMode="External"/><Relationship Id="rId2819" Type="http://schemas.openxmlformats.org/officeDocument/2006/relationships/hyperlink" Target="https://in.tradingview.com/chart/Cgv3Jm6J/?symbol=NSE%3ANILKAMAL" TargetMode="External"/><Relationship Id="rId1510" Type="http://schemas.openxmlformats.org/officeDocument/2006/relationships/hyperlink" Target="https://in.tradingview.com/chart/bXJLby4L/?symbol=NSE%3AGNA" TargetMode="External"/><Relationship Id="rId2841" Type="http://schemas.openxmlformats.org/officeDocument/2006/relationships/hyperlink" Target="https://in.tradingview.com/chart/Cgv3Jm6J/?symbol=NSE%3ANOCIL" TargetMode="External"/><Relationship Id="rId1511" Type="http://schemas.openxmlformats.org/officeDocument/2006/relationships/hyperlink" Target="https://in.tradingview.com/chart/Cgv3Jm6J/?symbol=NSE%3AGULPOLY" TargetMode="External"/><Relationship Id="rId2842" Type="http://schemas.openxmlformats.org/officeDocument/2006/relationships/hyperlink" Target="https://in.tradingview.com/chart/bXJLby4L/?symbol=NSE%3AMOSCHIP" TargetMode="External"/><Relationship Id="rId1512" Type="http://schemas.openxmlformats.org/officeDocument/2006/relationships/hyperlink" Target="https://in.tradingview.com/chart/bXJLby4L/?symbol=NSE%3AEBGNG" TargetMode="External"/><Relationship Id="rId2843" Type="http://schemas.openxmlformats.org/officeDocument/2006/relationships/hyperlink" Target="https://in.tradingview.com/chart/Cgv3Jm6J/?symbol=NSE%3ANOIDATOLL" TargetMode="External"/><Relationship Id="rId1513" Type="http://schemas.openxmlformats.org/officeDocument/2006/relationships/hyperlink" Target="https://in.tradingview.com/chart/Cgv3Jm6J/?symbol=NSE%3AGVKPIL" TargetMode="External"/><Relationship Id="rId2844" Type="http://schemas.openxmlformats.org/officeDocument/2006/relationships/hyperlink" Target="https://in.tradingview.com/chart/bXJLby4L/?symbol=NSE%3AMOTHERSON" TargetMode="External"/><Relationship Id="rId1514" Type="http://schemas.openxmlformats.org/officeDocument/2006/relationships/hyperlink" Target="https://in.tradingview.com/chart/bXJLby4L/?symbol=NSE%3AGODIGIT" TargetMode="External"/><Relationship Id="rId2845" Type="http://schemas.openxmlformats.org/officeDocument/2006/relationships/hyperlink" Target="https://in.tradingview.com/chart/Cgv3Jm6J/?symbol=NSE%3ANORBTEAEXP" TargetMode="External"/><Relationship Id="rId1515" Type="http://schemas.openxmlformats.org/officeDocument/2006/relationships/hyperlink" Target="https://in.tradingview.com/chart/Cgv3Jm6J/?symbol=NSE%3AGVPTECH" TargetMode="External"/><Relationship Id="rId2846" Type="http://schemas.openxmlformats.org/officeDocument/2006/relationships/hyperlink" Target="https://in.tradingview.com/chart/bXJLby4L/?symbol=NSE%3AMSUMI" TargetMode="External"/><Relationship Id="rId1516" Type="http://schemas.openxmlformats.org/officeDocument/2006/relationships/hyperlink" Target="https://in.tradingview.com/chart/bXJLby4L/?symbol=NSE%3AGOCOLORS" TargetMode="External"/><Relationship Id="rId2847" Type="http://schemas.openxmlformats.org/officeDocument/2006/relationships/hyperlink" Target="https://in.tradingview.com/chart/Cgv3Jm6J/?symbol=NSE%3ANORTHARC" TargetMode="External"/><Relationship Id="rId1517" Type="http://schemas.openxmlformats.org/officeDocument/2006/relationships/hyperlink" Target="https://in.tradingview.com/chart/Cgv3Jm6J/?symbol=NSE%3AGVT_D" TargetMode="External"/><Relationship Id="rId2848" Type="http://schemas.openxmlformats.org/officeDocument/2006/relationships/hyperlink" Target="https://in.tradingview.com/chart/bXJLby4L/?symbol=NSE%3AMOGSEC" TargetMode="External"/><Relationship Id="rId1518" Type="http://schemas.openxmlformats.org/officeDocument/2006/relationships/hyperlink" Target="https://in.tradingview.com/chart/bXJLby4L/?symbol=NSE%3AGOACARBON" TargetMode="External"/><Relationship Id="rId2849" Type="http://schemas.openxmlformats.org/officeDocument/2006/relationships/hyperlink" Target="https://in.tradingview.com/chart/Cgv3Jm6J/?symbol=NSE%3ANOVAAGRI" TargetMode="External"/><Relationship Id="rId1519" Type="http://schemas.openxmlformats.org/officeDocument/2006/relationships/hyperlink" Target="https://in.tradingview.com/chart/Cgv3Jm6J/?symbol=NSE%3AHAL" TargetMode="External"/><Relationship Id="rId2840" Type="http://schemas.openxmlformats.org/officeDocument/2006/relationships/hyperlink" Target="https://in.tradingview.com/chart/bXJLby4L/?symbol=NSE%3AMOREPENLAB" TargetMode="External"/><Relationship Id="rId2830" Type="http://schemas.openxmlformats.org/officeDocument/2006/relationships/hyperlink" Target="https://in.tradingview.com/chart/bXJLby4L/?symbol=NSE%3AMOMGF" TargetMode="External"/><Relationship Id="rId1500" Type="http://schemas.openxmlformats.org/officeDocument/2006/relationships/hyperlink" Target="https://in.tradingview.com/chart/bXJLby4L/?symbol=NSE%3AGLOTTIS" TargetMode="External"/><Relationship Id="rId2831" Type="http://schemas.openxmlformats.org/officeDocument/2006/relationships/hyperlink" Target="https://in.tradingview.com/chart/Cgv3Jm6J/?symbol=NSE%3ANITIRAJ" TargetMode="External"/><Relationship Id="rId1501" Type="http://schemas.openxmlformats.org/officeDocument/2006/relationships/hyperlink" Target="https://in.tradingview.com/chart/Cgv3Jm6J/?symbol=NSE%3AGUJGASLTD" TargetMode="External"/><Relationship Id="rId2832" Type="http://schemas.openxmlformats.org/officeDocument/2006/relationships/hyperlink" Target="https://in.tradingview.com/chart/bXJLby4L/?symbol=NSE%3AMONARCH" TargetMode="External"/><Relationship Id="rId1502" Type="http://schemas.openxmlformats.org/officeDocument/2006/relationships/hyperlink" Target="https://in.tradingview.com/chart/bXJLby4L/?symbol=NSE%3AGMBREW" TargetMode="External"/><Relationship Id="rId2833" Type="http://schemas.openxmlformats.org/officeDocument/2006/relationships/hyperlink" Target="https://in.tradingview.com/chart/Cgv3Jm6J/?symbol=NSE%3ANIVABUPA" TargetMode="External"/><Relationship Id="rId1503" Type="http://schemas.openxmlformats.org/officeDocument/2006/relationships/hyperlink" Target="https://in.tradingview.com/chart/Cgv3Jm6J/?symbol=NSE%3AGUJRAFFIA" TargetMode="External"/><Relationship Id="rId2834" Type="http://schemas.openxmlformats.org/officeDocument/2006/relationships/hyperlink" Target="https://in.tradingview.com/chart/bXJLby4L/?symbol=NSE%3AMONEYBOXX" TargetMode="External"/><Relationship Id="rId1504" Type="http://schemas.openxmlformats.org/officeDocument/2006/relationships/hyperlink" Target="https://in.tradingview.com/chart/bXJLby4L/?symbol=NSE%3AGMMPFAUDLR" TargetMode="External"/><Relationship Id="rId2835" Type="http://schemas.openxmlformats.org/officeDocument/2006/relationships/hyperlink" Target="https://in.tradingview.com/chart/Cgv3Jm6J/?symbol=NSE%3ANKIND" TargetMode="External"/><Relationship Id="rId1505" Type="http://schemas.openxmlformats.org/officeDocument/2006/relationships/hyperlink" Target="https://in.tradingview.com/chart/Cgv3Jm6J/?symbol=NSE%3AGUJTHEM" TargetMode="External"/><Relationship Id="rId2836" Type="http://schemas.openxmlformats.org/officeDocument/2006/relationships/hyperlink" Target="https://in.tradingview.com/chart/bXJLby4L/?symbol=NSE%3AMONTECARLO" TargetMode="External"/><Relationship Id="rId1506" Type="http://schemas.openxmlformats.org/officeDocument/2006/relationships/hyperlink" Target="https://in.tradingview.com/chart/bXJLby4L/?symbol=NSE%3AGMRAIRPORT" TargetMode="External"/><Relationship Id="rId2837" Type="http://schemas.openxmlformats.org/officeDocument/2006/relationships/hyperlink" Target="https://in.tradingview.com/chart/Cgv3Jm6J/?symbol=NSE%3ANLCINDIA" TargetMode="External"/><Relationship Id="rId1507" Type="http://schemas.openxmlformats.org/officeDocument/2006/relationships/hyperlink" Target="https://in.tradingview.com/chart/Cgv3Jm6J/?symbol=NSE%3AGULFOILLUB" TargetMode="External"/><Relationship Id="rId2838" Type="http://schemas.openxmlformats.org/officeDocument/2006/relationships/hyperlink" Target="https://in.tradingview.com/chart/bXJLby4L/?symbol=NSE%3AMORARJEE" TargetMode="External"/><Relationship Id="rId1508" Type="http://schemas.openxmlformats.org/officeDocument/2006/relationships/hyperlink" Target="https://in.tradingview.com/chart/bXJLby4L/?symbol=NSE%3AGMRP&amp;UI" TargetMode="External"/><Relationship Id="rId2839" Type="http://schemas.openxmlformats.org/officeDocument/2006/relationships/hyperlink" Target="https://in.tradingview.com/chart/Cgv3Jm6J/?symbol=NSE%3ANMDC" TargetMode="External"/><Relationship Id="rId1509" Type="http://schemas.openxmlformats.org/officeDocument/2006/relationships/hyperlink" Target="https://in.tradingview.com/chart/Cgv3Jm6J/?symbol=NSE%3AGULFPETRO" TargetMode="External"/><Relationship Id="rId2800" Type="http://schemas.openxmlformats.org/officeDocument/2006/relationships/hyperlink" Target="https://in.tradingview.com/chart/bXJLby4L/?symbol=NSE%3AMIRZAINT" TargetMode="External"/><Relationship Id="rId2801" Type="http://schemas.openxmlformats.org/officeDocument/2006/relationships/hyperlink" Target="https://in.tradingview.com/chart/Cgv3Jm6J/?symbol=NSE%3ANIFTY50ADD" TargetMode="External"/><Relationship Id="rId2802" Type="http://schemas.openxmlformats.org/officeDocument/2006/relationships/hyperlink" Target="https://in.tradingview.com/chart/bXJLby4L/?symbol=NSE%3AMIDHANI" TargetMode="External"/><Relationship Id="rId2803" Type="http://schemas.openxmlformats.org/officeDocument/2006/relationships/hyperlink" Target="https://in.tradingview.com/chart/Cgv3Jm6J/?symbol=NSE%3ANIFTYBEES" TargetMode="External"/><Relationship Id="rId2804" Type="http://schemas.openxmlformats.org/officeDocument/2006/relationships/hyperlink" Target="https://in.tradingview.com/chart/bXJLby4L/?symbol=NSE%3AMITCON" TargetMode="External"/><Relationship Id="rId2805" Type="http://schemas.openxmlformats.org/officeDocument/2006/relationships/hyperlink" Target="https://in.tradingview.com/chart/Cgv3Jm6J/?symbol=NSE%3ANIFTYBETF" TargetMode="External"/><Relationship Id="rId2806" Type="http://schemas.openxmlformats.org/officeDocument/2006/relationships/hyperlink" Target="https://in.tradingview.com/chart/bXJLby4L/?symbol=NSE%3AMMFL" TargetMode="External"/><Relationship Id="rId2807" Type="http://schemas.openxmlformats.org/officeDocument/2006/relationships/hyperlink" Target="https://in.tradingview.com/chart/Cgv3Jm6J/?symbol=NSE%3ANIFTYETF" TargetMode="External"/><Relationship Id="rId2808" Type="http://schemas.openxmlformats.org/officeDocument/2006/relationships/hyperlink" Target="https://in.tradingview.com/chart/bXJLby4L/?symbol=NSE%3AMMP" TargetMode="External"/><Relationship Id="rId2809" Type="http://schemas.openxmlformats.org/officeDocument/2006/relationships/hyperlink" Target="https://in.tradingview.com/chart/Cgv3Jm6J/?symbol=NSE%3ANIFTYIETF" TargetMode="External"/><Relationship Id="rId1576" Type="http://schemas.openxmlformats.org/officeDocument/2006/relationships/hyperlink" Target="https://in.tradingview.com/chart/bXJLby4L/?symbol=NSE%3AGREENPLY" TargetMode="External"/><Relationship Id="rId4602" Type="http://schemas.openxmlformats.org/officeDocument/2006/relationships/hyperlink" Target="https://in.tradingview.com/chart/bXJLby4L/?symbol=NSE%3ANIFMID150" TargetMode="External"/><Relationship Id="rId1577" Type="http://schemas.openxmlformats.org/officeDocument/2006/relationships/hyperlink" Target="https://in.tradingview.com/chart/Cgv3Jm6J/?symbol=NSE%3AHDFCNIFIT" TargetMode="External"/><Relationship Id="rId4601" Type="http://schemas.openxmlformats.org/officeDocument/2006/relationships/hyperlink" Target="https://in.tradingview.com/chart/bXJLby4L/?symbol=NSE%3ANIFITETF" TargetMode="External"/><Relationship Id="rId1578" Type="http://schemas.openxmlformats.org/officeDocument/2006/relationships/hyperlink" Target="https://in.tradingview.com/chart/bXJLby4L/?symbol=NSE%3AGCSL" TargetMode="External"/><Relationship Id="rId4604" Type="http://schemas.openxmlformats.org/officeDocument/2006/relationships/hyperlink" Target="https://in.tradingview.com/chart/bXJLby4L/?symbol=NSE%3AUTISXN50" TargetMode="External"/><Relationship Id="rId1579" Type="http://schemas.openxmlformats.org/officeDocument/2006/relationships/hyperlink" Target="https://in.tradingview.com/chart/Cgv3Jm6J/?symbol=NSE%3AHDFCNIFTY" TargetMode="External"/><Relationship Id="rId4603" Type="http://schemas.openxmlformats.org/officeDocument/2006/relationships/hyperlink" Target="https://in.tradingview.com/chart/bXJLby4L/?symbol=NSE%3AUTINEXT50" TargetMode="External"/><Relationship Id="rId4606" Type="http://schemas.openxmlformats.org/officeDocument/2006/relationships/hyperlink" Target="https://in.tradingview.com/chart/bXJLby4L/?symbol=NSE%3ASILVERETF" TargetMode="External"/><Relationship Id="rId4605" Type="http://schemas.openxmlformats.org/officeDocument/2006/relationships/hyperlink" Target="https://in.tradingview.com/chart/bXJLby4L/?symbol=NSE%3AUTISENSETF" TargetMode="External"/><Relationship Id="rId4608" Type="http://schemas.openxmlformats.org/officeDocument/2006/relationships/hyperlink" Target="https://in.tradingview.com/chart/bXJLby4L/?symbol=NSE%3AUTTAMSUGAR" TargetMode="External"/><Relationship Id="rId4607" Type="http://schemas.openxmlformats.org/officeDocument/2006/relationships/hyperlink" Target="https://in.tradingview.com/chart/bXJLby4L/?symbol=NSE%3AUTKARSHBNK" TargetMode="External"/><Relationship Id="rId4609" Type="http://schemas.openxmlformats.org/officeDocument/2006/relationships/hyperlink" Target="https://in.tradingview.com/chart/bXJLby4L/?symbol=NSE%3AVGUARD" TargetMode="External"/><Relationship Id="rId987" Type="http://schemas.openxmlformats.org/officeDocument/2006/relationships/hyperlink" Target="https://in.tradingview.com/chart/Cgv3Jm6J/?symbol=NSE%3ADIVGIITTS" TargetMode="External"/><Relationship Id="rId986" Type="http://schemas.openxmlformats.org/officeDocument/2006/relationships/hyperlink" Target="https://in.tradingview.com/chart/bXJLby4L/?symbol=NSE%3ACURAA" TargetMode="External"/><Relationship Id="rId985" Type="http://schemas.openxmlformats.org/officeDocument/2006/relationships/hyperlink" Target="https://in.tradingview.com/chart/Cgv3Jm6J/?symbol=NSE%3ADISHTV" TargetMode="External"/><Relationship Id="rId984" Type="http://schemas.openxmlformats.org/officeDocument/2006/relationships/hyperlink" Target="https://in.tradingview.com/chart/bXJLby4L/?symbol=NSE%3ACUPID" TargetMode="External"/><Relationship Id="rId989" Type="http://schemas.openxmlformats.org/officeDocument/2006/relationships/hyperlink" Target="https://in.tradingview.com/chart/Cgv3Jm6J/?symbol=NSE%3ADIVISLAB" TargetMode="External"/><Relationship Id="rId988" Type="http://schemas.openxmlformats.org/officeDocument/2006/relationships/hyperlink" Target="https://in.tradingview.com/chart/bXJLby4L/?symbol=NSE%3ACYBERMEDIA" TargetMode="External"/><Relationship Id="rId1570" Type="http://schemas.openxmlformats.org/officeDocument/2006/relationships/hyperlink" Target="https://in.tradingview.com/chart/bXJLby4L/?symbol=NSE%3AGREAVESCOT" TargetMode="External"/><Relationship Id="rId1571" Type="http://schemas.openxmlformats.org/officeDocument/2006/relationships/hyperlink" Target="https://in.tradingview.com/chart/Cgv3Jm6J/?symbol=NSE%3AHDFCNEXT50" TargetMode="External"/><Relationship Id="rId983" Type="http://schemas.openxmlformats.org/officeDocument/2006/relationships/hyperlink" Target="https://in.tradingview.com/chart/Cgv3Jm6J/?symbol=NSE%3ADIL" TargetMode="External"/><Relationship Id="rId1572" Type="http://schemas.openxmlformats.org/officeDocument/2006/relationships/hyperlink" Target="https://in.tradingview.com/chart/bXJLby4L/?symbol=NSE%3AGREENLAM" TargetMode="External"/><Relationship Id="rId982" Type="http://schemas.openxmlformats.org/officeDocument/2006/relationships/hyperlink" Target="https://in.tradingview.com/chart/bXJLby4L/?symbol=NSE%3ACUMMINSIND" TargetMode="External"/><Relationship Id="rId1573" Type="http://schemas.openxmlformats.org/officeDocument/2006/relationships/hyperlink" Target="https://in.tradingview.com/chart/Cgv3Jm6J/?symbol=NSE%3AHDFCNIF100" TargetMode="External"/><Relationship Id="rId981" Type="http://schemas.openxmlformats.org/officeDocument/2006/relationships/hyperlink" Target="https://in.tradingview.com/chart/Cgv3Jm6J/?symbol=NSE%3ADIGJAMLMTD" TargetMode="External"/><Relationship Id="rId1574" Type="http://schemas.openxmlformats.org/officeDocument/2006/relationships/hyperlink" Target="https://in.tradingview.com/chart/bXJLby4L/?symbol=NSE%3AGREENPANEL" TargetMode="External"/><Relationship Id="rId4600" Type="http://schemas.openxmlformats.org/officeDocument/2006/relationships/hyperlink" Target="https://in.tradingview.com/chart/bXJLby4L/?symbol=NSE%3AUTINIFTETF" TargetMode="External"/><Relationship Id="rId980" Type="http://schemas.openxmlformats.org/officeDocument/2006/relationships/hyperlink" Target="https://in.tradingview.com/chart/bXJLby4L/?symbol=NSE%3ACUBEXTUB" TargetMode="External"/><Relationship Id="rId1575" Type="http://schemas.openxmlformats.org/officeDocument/2006/relationships/hyperlink" Target="https://in.tradingview.com/chart/Cgv3Jm6J/?symbol=NSE%3AHDFCNIFBAN" TargetMode="External"/><Relationship Id="rId1565" Type="http://schemas.openxmlformats.org/officeDocument/2006/relationships/hyperlink" Target="https://in.tradingview.com/chart/Cgv3Jm6J/?symbol=NSE%3AHDFCLOWVOL" TargetMode="External"/><Relationship Id="rId2896" Type="http://schemas.openxmlformats.org/officeDocument/2006/relationships/hyperlink" Target="https://in.tradingview.com/chart/bXJLby4L/?symbol=NSE%3AMOSMALL250" TargetMode="External"/><Relationship Id="rId1566" Type="http://schemas.openxmlformats.org/officeDocument/2006/relationships/hyperlink" Target="https://in.tradingview.com/chart/bXJLby4L/?symbol=NSE%3AGRASIM" TargetMode="External"/><Relationship Id="rId2897" Type="http://schemas.openxmlformats.org/officeDocument/2006/relationships/hyperlink" Target="https://in.tradingview.com/chart/Cgv3Jm6J/?symbol=NSE%3AOIL" TargetMode="External"/><Relationship Id="rId1567" Type="http://schemas.openxmlformats.org/officeDocument/2006/relationships/hyperlink" Target="https://in.tradingview.com/chart/Cgv3Jm6J/?symbol=NSE%3AHDFCMID150" TargetMode="External"/><Relationship Id="rId2898" Type="http://schemas.openxmlformats.org/officeDocument/2006/relationships/hyperlink" Target="https://in.tradingview.com/chart/bXJLby4L/?symbol=NSE%3AMOVALUE" TargetMode="External"/><Relationship Id="rId1568" Type="http://schemas.openxmlformats.org/officeDocument/2006/relationships/hyperlink" Target="https://in.tradingview.com/chart/bXJLby4L/?symbol=NSE%3AGRAVITA" TargetMode="External"/><Relationship Id="rId2899" Type="http://schemas.openxmlformats.org/officeDocument/2006/relationships/hyperlink" Target="https://in.tradingview.com/chart/Cgv3Jm6J/?symbol=NSE%3AOILCOUNTUB" TargetMode="External"/><Relationship Id="rId1569" Type="http://schemas.openxmlformats.org/officeDocument/2006/relationships/hyperlink" Target="https://in.tradingview.com/chart/Cgv3Jm6J/?symbol=NSE%3AHDFCMOMENT" TargetMode="External"/><Relationship Id="rId976" Type="http://schemas.openxmlformats.org/officeDocument/2006/relationships/hyperlink" Target="https://in.tradingview.com/chart/bXJLby4L/?symbol=NSE%3ACSBBANK" TargetMode="External"/><Relationship Id="rId975" Type="http://schemas.openxmlformats.org/officeDocument/2006/relationships/hyperlink" Target="https://in.tradingview.com/chart/Cgv3Jm6J/?symbol=NSE%3ADICIND" TargetMode="External"/><Relationship Id="rId974" Type="http://schemas.openxmlformats.org/officeDocument/2006/relationships/hyperlink" Target="https://in.tradingview.com/chart/bXJLby4L/?symbol=NSE%3ACROWN" TargetMode="External"/><Relationship Id="rId973" Type="http://schemas.openxmlformats.org/officeDocument/2006/relationships/hyperlink" Target="https://in.tradingview.com/chart/Cgv3Jm6J/?symbol=NSE%3ADIAMONDYD" TargetMode="External"/><Relationship Id="rId979" Type="http://schemas.openxmlformats.org/officeDocument/2006/relationships/hyperlink" Target="https://in.tradingview.com/chart/Cgv3Jm6J/?symbol=NSE%3ADIGISPICE" TargetMode="External"/><Relationship Id="rId978" Type="http://schemas.openxmlformats.org/officeDocument/2006/relationships/hyperlink" Target="https://in.tradingview.com/chart/bXJLby4L/?symbol=NSE%3ACSLFINANCE" TargetMode="External"/><Relationship Id="rId977" Type="http://schemas.openxmlformats.org/officeDocument/2006/relationships/hyperlink" Target="https://in.tradingview.com/chart/Cgv3Jm6J/?symbol=NSE%3ADIGIDRIVE" TargetMode="External"/><Relationship Id="rId2890" Type="http://schemas.openxmlformats.org/officeDocument/2006/relationships/hyperlink" Target="https://in.tradingview.com/chart/bXJLby4L/?symbol=NSE%3AMOPSE" TargetMode="External"/><Relationship Id="rId1560" Type="http://schemas.openxmlformats.org/officeDocument/2006/relationships/hyperlink" Target="https://in.tradingview.com/chart/bXJLby4L/?symbol=NSE%3AGFSTEELS" TargetMode="External"/><Relationship Id="rId2891" Type="http://schemas.openxmlformats.org/officeDocument/2006/relationships/hyperlink" Target="https://in.tradingview.com/chart/Cgv3Jm6J/?symbol=NSE%3AOCCLLTD" TargetMode="External"/><Relationship Id="rId972" Type="http://schemas.openxmlformats.org/officeDocument/2006/relationships/hyperlink" Target="https://in.tradingview.com/chart/bXJLby4L/?symbol=NSE%3ACROMPTON" TargetMode="External"/><Relationship Id="rId1561" Type="http://schemas.openxmlformats.org/officeDocument/2006/relationships/hyperlink" Target="https://in.tradingview.com/chart/Cgv3Jm6J/?symbol=NSE%3AHDFCLIFE" TargetMode="External"/><Relationship Id="rId2892" Type="http://schemas.openxmlformats.org/officeDocument/2006/relationships/hyperlink" Target="https://in.tradingview.com/chart/bXJLby4L/?symbol=NSE%3AMOREALTY" TargetMode="External"/><Relationship Id="rId971" Type="http://schemas.openxmlformats.org/officeDocument/2006/relationships/hyperlink" Target="https://in.tradingview.com/chart/Cgv3Jm6J/?symbol=NSE%3ADIAMINESQ" TargetMode="External"/><Relationship Id="rId1562" Type="http://schemas.openxmlformats.org/officeDocument/2006/relationships/hyperlink" Target="https://in.tradingview.com/chart/bXJLby4L/?symbol=NSE%3AGRANULES" TargetMode="External"/><Relationship Id="rId2893" Type="http://schemas.openxmlformats.org/officeDocument/2006/relationships/hyperlink" Target="https://in.tradingview.com/chart/Cgv3Jm6J/?symbol=NSE%3AODIGMA" TargetMode="External"/><Relationship Id="rId970" Type="http://schemas.openxmlformats.org/officeDocument/2006/relationships/hyperlink" Target="https://in.tradingview.com/chart/bXJLby4L/?symbol=NSE%3ACRIZAC" TargetMode="External"/><Relationship Id="rId1563" Type="http://schemas.openxmlformats.org/officeDocument/2006/relationships/hyperlink" Target="https://in.tradingview.com/chart/Cgv3Jm6J/?symbol=NSE%3AHDFCLIQUID" TargetMode="External"/><Relationship Id="rId2894" Type="http://schemas.openxmlformats.org/officeDocument/2006/relationships/hyperlink" Target="https://in.tradingview.com/chart/bXJLby4L/?symbol=NSE%3AMOSERVICE" TargetMode="External"/><Relationship Id="rId1564" Type="http://schemas.openxmlformats.org/officeDocument/2006/relationships/hyperlink" Target="https://in.tradingview.com/chart/bXJLby4L/?symbol=NSE%3AGRAPHITE" TargetMode="External"/><Relationship Id="rId2895" Type="http://schemas.openxmlformats.org/officeDocument/2006/relationships/hyperlink" Target="https://in.tradingview.com/chart/Cgv3Jm6J/?symbol=NSE%3AOFSS" TargetMode="External"/><Relationship Id="rId1598" Type="http://schemas.openxmlformats.org/officeDocument/2006/relationships/hyperlink" Target="https://in.tradingview.com/chart/bXJLby4L/?symbol=NSE%3AGROWWEV" TargetMode="External"/><Relationship Id="rId4624" Type="http://schemas.openxmlformats.org/officeDocument/2006/relationships/hyperlink" Target="https://in.tradingview.com/chart/bXJLby4L/?symbol=NSE%3AVTL" TargetMode="External"/><Relationship Id="rId1599" Type="http://schemas.openxmlformats.org/officeDocument/2006/relationships/hyperlink" Target="https://in.tradingview.com/chart/Cgv3Jm6J/?symbol=NSE%3AHEALTHADD" TargetMode="External"/><Relationship Id="rId4623" Type="http://schemas.openxmlformats.org/officeDocument/2006/relationships/hyperlink" Target="https://in.tradingview.com/chart/bXJLby4L/?symbol=NSE%3AVSSL" TargetMode="External"/><Relationship Id="rId4626" Type="http://schemas.openxmlformats.org/officeDocument/2006/relationships/hyperlink" Target="https://in.tradingview.com/chart/bXJLby4L/?symbol=NSE%3AVBL" TargetMode="External"/><Relationship Id="rId4625" Type="http://schemas.openxmlformats.org/officeDocument/2006/relationships/hyperlink" Target="https://in.tradingview.com/chart/bXJLby4L/?symbol=NSE%3AVARROC" TargetMode="External"/><Relationship Id="rId4628" Type="http://schemas.openxmlformats.org/officeDocument/2006/relationships/hyperlink" Target="https://in.tradingview.com/chart/bXJLby4L/?symbol=NSE%3AVASCONEQ" TargetMode="External"/><Relationship Id="rId4627" Type="http://schemas.openxmlformats.org/officeDocument/2006/relationships/hyperlink" Target="https://in.tradingview.com/chart/bXJLby4L/?symbol=NSE%3AVGL" TargetMode="External"/><Relationship Id="rId4629" Type="http://schemas.openxmlformats.org/officeDocument/2006/relationships/hyperlink" Target="https://in.tradingview.com/chart/bXJLby4L/?symbol=NSE%3AVASWANI" TargetMode="External"/><Relationship Id="rId1590" Type="http://schemas.openxmlformats.org/officeDocument/2006/relationships/hyperlink" Target="https://in.tradingview.com/chart/bXJLby4L/?symbol=NSE%3AGROWWLIQID" TargetMode="External"/><Relationship Id="rId1591" Type="http://schemas.openxmlformats.org/officeDocument/2006/relationships/hyperlink" Target="https://in.tradingview.com/chart/Cgv3Jm6J/?symbol=NSE%3AHDFCSML250" TargetMode="External"/><Relationship Id="rId1592" Type="http://schemas.openxmlformats.org/officeDocument/2006/relationships/hyperlink" Target="https://in.tradingview.com/chart/bXJLby4L/?symbol=NSE%3AGROWWN200" TargetMode="External"/><Relationship Id="rId1593" Type="http://schemas.openxmlformats.org/officeDocument/2006/relationships/hyperlink" Target="https://in.tradingview.com/chart/Cgv3Jm6J/?symbol=NSE%3AHDFCVALUE" TargetMode="External"/><Relationship Id="rId1594" Type="http://schemas.openxmlformats.org/officeDocument/2006/relationships/hyperlink" Target="https://in.tradingview.com/chart/bXJLby4L/?symbol=NSE%3AGROWWLOVOL" TargetMode="External"/><Relationship Id="rId4620" Type="http://schemas.openxmlformats.org/officeDocument/2006/relationships/hyperlink" Target="https://in.tradingview.com/chart/bXJLby4L/?symbol=NSE%3AVARDHACRLC" TargetMode="External"/><Relationship Id="rId1595" Type="http://schemas.openxmlformats.org/officeDocument/2006/relationships/hyperlink" Target="https://in.tradingview.com/chart/Cgv3Jm6J/?symbol=NSE%3AHDIL" TargetMode="External"/><Relationship Id="rId1596" Type="http://schemas.openxmlformats.org/officeDocument/2006/relationships/hyperlink" Target="https://in.tradingview.com/chart/bXJLby4L/?symbol=NSE%3AGROWWMOM50" TargetMode="External"/><Relationship Id="rId4622" Type="http://schemas.openxmlformats.org/officeDocument/2006/relationships/hyperlink" Target="https://in.tradingview.com/chart/bXJLby4L/?symbol=NSE%3AVARDMNPOLY" TargetMode="External"/><Relationship Id="rId1597" Type="http://schemas.openxmlformats.org/officeDocument/2006/relationships/hyperlink" Target="https://in.tradingview.com/chart/Cgv3Jm6J/?symbol=NSE%3AHEADSUP" TargetMode="External"/><Relationship Id="rId4621" Type="http://schemas.openxmlformats.org/officeDocument/2006/relationships/hyperlink" Target="https://in.tradingview.com/chart/bXJLby4L/?symbol=NSE%3AVHL" TargetMode="External"/><Relationship Id="rId1587" Type="http://schemas.openxmlformats.org/officeDocument/2006/relationships/hyperlink" Target="https://in.tradingview.com/chart/Cgv3Jm6J/?symbol=NSE%3AHDFCSENSEX" TargetMode="External"/><Relationship Id="rId4613" Type="http://schemas.openxmlformats.org/officeDocument/2006/relationships/hyperlink" Target="https://in.tradingview.com/chart/bXJLby4L/?symbol=NSE%3AWABAG" TargetMode="External"/><Relationship Id="rId1588" Type="http://schemas.openxmlformats.org/officeDocument/2006/relationships/hyperlink" Target="https://in.tradingview.com/chart/bXJLby4L/?symbol=NSE%3AGROWWGOLD" TargetMode="External"/><Relationship Id="rId4612" Type="http://schemas.openxmlformats.org/officeDocument/2006/relationships/hyperlink" Target="https://in.tradingview.com/chart/bXJLby4L/?symbol=NSE%3AV2RETAIL" TargetMode="External"/><Relationship Id="rId1589" Type="http://schemas.openxmlformats.org/officeDocument/2006/relationships/hyperlink" Target="https://in.tradingview.com/chart/Cgv3Jm6J/?symbol=NSE%3AHDFCSILVER" TargetMode="External"/><Relationship Id="rId4615" Type="http://schemas.openxmlformats.org/officeDocument/2006/relationships/hyperlink" Target="https://in.tradingview.com/chart/bXJLby4L/?symbol=NSE%3AVAIBHAVGBL" TargetMode="External"/><Relationship Id="rId4614" Type="http://schemas.openxmlformats.org/officeDocument/2006/relationships/hyperlink" Target="https://in.tradingview.com/chart/bXJLby4L/?symbol=NSE%3AVADILALIND" TargetMode="External"/><Relationship Id="rId4617" Type="http://schemas.openxmlformats.org/officeDocument/2006/relationships/hyperlink" Target="https://in.tradingview.com/chart/bXJLby4L/?symbol=NSE%3AVAKRANGEE" TargetMode="External"/><Relationship Id="rId4616" Type="http://schemas.openxmlformats.org/officeDocument/2006/relationships/hyperlink" Target="https://in.tradingview.com/chart/bXJLby4L/?symbol=NSE%3AVAISHALI" TargetMode="External"/><Relationship Id="rId4619" Type="http://schemas.openxmlformats.org/officeDocument/2006/relationships/hyperlink" Target="https://in.tradingview.com/chart/bXJLby4L/?symbol=NSE%3AVALIANTORG" TargetMode="External"/><Relationship Id="rId4618" Type="http://schemas.openxmlformats.org/officeDocument/2006/relationships/hyperlink" Target="https://in.tradingview.com/chart/bXJLby4L/?symbol=NSE%3AVALIANTLAB" TargetMode="External"/><Relationship Id="rId998" Type="http://schemas.openxmlformats.org/officeDocument/2006/relationships/hyperlink" Target="https://in.tradingview.com/chart/bXJLby4L/?symbol=NSE%3ADPWIRES" TargetMode="External"/><Relationship Id="rId997" Type="http://schemas.openxmlformats.org/officeDocument/2006/relationships/hyperlink" Target="https://in.tradingview.com/chart/Cgv3Jm6J/?symbol=NSE%3ADLINKINDIA" TargetMode="External"/><Relationship Id="rId996" Type="http://schemas.openxmlformats.org/officeDocument/2006/relationships/hyperlink" Target="https://in.tradingview.com/chart/bXJLby4L/?symbol=NSE%3ADBREALTY" TargetMode="External"/><Relationship Id="rId995" Type="http://schemas.openxmlformats.org/officeDocument/2006/relationships/hyperlink" Target="https://in.tradingview.com/chart/Cgv3Jm6J/?symbol=NSE%3ADLF" TargetMode="External"/><Relationship Id="rId999" Type="http://schemas.openxmlformats.org/officeDocument/2006/relationships/hyperlink" Target="https://in.tradingview.com/chart/Cgv3Jm6J/?symbol=NSE%3ADMART" TargetMode="External"/><Relationship Id="rId990" Type="http://schemas.openxmlformats.org/officeDocument/2006/relationships/hyperlink" Target="https://in.tradingview.com/chart/bXJLby4L/?symbol=NSE%3ACYBERTECH" TargetMode="External"/><Relationship Id="rId1580" Type="http://schemas.openxmlformats.org/officeDocument/2006/relationships/hyperlink" Target="https://in.tradingview.com/chart/bXJLby4L/?symbol=NSE%3AGRINDWELL" TargetMode="External"/><Relationship Id="rId1581" Type="http://schemas.openxmlformats.org/officeDocument/2006/relationships/hyperlink" Target="https://in.tradingview.com/chart/Cgv3Jm6J/?symbol=NSE%3AHDFCPSUBK" TargetMode="External"/><Relationship Id="rId1582" Type="http://schemas.openxmlformats.org/officeDocument/2006/relationships/hyperlink" Target="https://in.tradingview.com/chart/bXJLby4L/?symbol=NSE%3AGRMOVER" TargetMode="External"/><Relationship Id="rId994" Type="http://schemas.openxmlformats.org/officeDocument/2006/relationships/hyperlink" Target="https://in.tradingview.com/chart/bXJLby4L/?symbol=NSE%3ACYIENT" TargetMode="External"/><Relationship Id="rId1583" Type="http://schemas.openxmlformats.org/officeDocument/2006/relationships/hyperlink" Target="https://in.tradingview.com/chart/Cgv3Jm6J/?symbol=NSE%3AHDFCPVTBAN" TargetMode="External"/><Relationship Id="rId993" Type="http://schemas.openxmlformats.org/officeDocument/2006/relationships/hyperlink" Target="https://in.tradingview.com/chart/Cgv3Jm6J/?symbol=NSE%3ADIXON" TargetMode="External"/><Relationship Id="rId1584" Type="http://schemas.openxmlformats.org/officeDocument/2006/relationships/hyperlink" Target="https://in.tradingview.com/chart/bXJLby4L/?symbol=NSE%3AGROWW" TargetMode="External"/><Relationship Id="rId992" Type="http://schemas.openxmlformats.org/officeDocument/2006/relationships/hyperlink" Target="https://in.tradingview.com/chart/bXJLby4L/?symbol=NSE%3ACYIENTDLM" TargetMode="External"/><Relationship Id="rId1585" Type="http://schemas.openxmlformats.org/officeDocument/2006/relationships/hyperlink" Target="https://in.tradingview.com/chart/Cgv3Jm6J/?symbol=NSE%3AHDFCQUAL" TargetMode="External"/><Relationship Id="rId4611" Type="http://schemas.openxmlformats.org/officeDocument/2006/relationships/hyperlink" Target="https://in.tradingview.com/chart/bXJLby4L/?symbol=NSE%3AVSTTILLERS" TargetMode="External"/><Relationship Id="rId991" Type="http://schemas.openxmlformats.org/officeDocument/2006/relationships/hyperlink" Target="https://in.tradingview.com/chart/Cgv3Jm6J/?symbol=NSE%3ADIVOPPBEES" TargetMode="External"/><Relationship Id="rId1586" Type="http://schemas.openxmlformats.org/officeDocument/2006/relationships/hyperlink" Target="https://in.tradingview.com/chart/bXJLby4L/?symbol=NSE%3AGROWWPOWER" TargetMode="External"/><Relationship Id="rId4610" Type="http://schemas.openxmlformats.org/officeDocument/2006/relationships/hyperlink" Target="https://in.tradingview.com/chart/bXJLby4L/?symbol=NSE%3AVMART" TargetMode="External"/><Relationship Id="rId1532" Type="http://schemas.openxmlformats.org/officeDocument/2006/relationships/hyperlink" Target="https://in.tradingview.com/chart/bXJLby4L/?symbol=NSE%3AGODREJIND" TargetMode="External"/><Relationship Id="rId2863" Type="http://schemas.openxmlformats.org/officeDocument/2006/relationships/hyperlink" Target="https://in.tradingview.com/chart/Cgv3Jm6J/?symbol=NSE%3ANTPC" TargetMode="External"/><Relationship Id="rId1533" Type="http://schemas.openxmlformats.org/officeDocument/2006/relationships/hyperlink" Target="https://in.tradingview.com/chart/Cgv3Jm6J/?symbol=NSE%3AHATHWAY" TargetMode="External"/><Relationship Id="rId2864" Type="http://schemas.openxmlformats.org/officeDocument/2006/relationships/hyperlink" Target="https://in.tradingview.com/chart/bXJLby4L/?symbol=NSE%3AMONQ50" TargetMode="External"/><Relationship Id="rId1534" Type="http://schemas.openxmlformats.org/officeDocument/2006/relationships/hyperlink" Target="https://in.tradingview.com/chart/bXJLby4L/?symbol=NSE%3AGODREJPROP" TargetMode="External"/><Relationship Id="rId2865" Type="http://schemas.openxmlformats.org/officeDocument/2006/relationships/hyperlink" Target="https://in.tradingview.com/chart/Cgv3Jm6J/?symbol=NSE%3ANTPCGREEN" TargetMode="External"/><Relationship Id="rId1535" Type="http://schemas.openxmlformats.org/officeDocument/2006/relationships/hyperlink" Target="https://in.tradingview.com/chart/Cgv3Jm6J/?symbol=NSE%3AHATSUN" TargetMode="External"/><Relationship Id="rId2866" Type="http://schemas.openxmlformats.org/officeDocument/2006/relationships/hyperlink" Target="https://in.tradingview.com/chart/bXJLby4L/?symbol=NSE%3AMONIFTY100" TargetMode="External"/><Relationship Id="rId1536" Type="http://schemas.openxmlformats.org/officeDocument/2006/relationships/hyperlink" Target="https://in.tradingview.com/chart/bXJLby4L/?symbol=NSE%3AGOKEX" TargetMode="External"/><Relationship Id="rId2867" Type="http://schemas.openxmlformats.org/officeDocument/2006/relationships/hyperlink" Target="https://in.tradingview.com/chart/Cgv3Jm6J/?symbol=NSE%3ANUCLEUS" TargetMode="External"/><Relationship Id="rId1537" Type="http://schemas.openxmlformats.org/officeDocument/2006/relationships/hyperlink" Target="https://in.tradingview.com/chart/Cgv3Jm6J/?symbol=NSE%3AHAVELLS" TargetMode="External"/><Relationship Id="rId2868" Type="http://schemas.openxmlformats.org/officeDocument/2006/relationships/hyperlink" Target="https://in.tradingview.com/chart/bXJLby4L/?symbol=NSE%3AMOMOMENTUM" TargetMode="External"/><Relationship Id="rId1538" Type="http://schemas.openxmlformats.org/officeDocument/2006/relationships/hyperlink" Target="https://in.tradingview.com/chart/bXJLby4L/?symbol=NSE%3AGOKULAGRO" TargetMode="External"/><Relationship Id="rId2869" Type="http://schemas.openxmlformats.org/officeDocument/2006/relationships/hyperlink" Target="https://in.tradingview.com/chart/Cgv3Jm6J/?symbol=NSE%3ANURECA" TargetMode="External"/><Relationship Id="rId1539" Type="http://schemas.openxmlformats.org/officeDocument/2006/relationships/hyperlink" Target="https://in.tradingview.com/chart/Cgv3Jm6J/?symbol=NSE%3AHAVISHA" TargetMode="External"/><Relationship Id="rId949" Type="http://schemas.openxmlformats.org/officeDocument/2006/relationships/hyperlink" Target="https://in.tradingview.com/chart/Cgv3Jm6J/?symbol=NSE%3ADENTA" TargetMode="External"/><Relationship Id="rId948" Type="http://schemas.openxmlformats.org/officeDocument/2006/relationships/hyperlink" Target="https://in.tradingview.com/chart/bXJLby4L/?symbol=NSE%3ACCHHL" TargetMode="External"/><Relationship Id="rId943" Type="http://schemas.openxmlformats.org/officeDocument/2006/relationships/hyperlink" Target="https://in.tradingview.com/chart/Cgv3Jm6J/?symbol=NSE%3ADELTAMAGNT" TargetMode="External"/><Relationship Id="rId942" Type="http://schemas.openxmlformats.org/officeDocument/2006/relationships/hyperlink" Target="https://in.tradingview.com/chart/bXJLby4L/?symbol=NSE%3ACORDSCABLE" TargetMode="External"/><Relationship Id="rId941" Type="http://schemas.openxmlformats.org/officeDocument/2006/relationships/hyperlink" Target="https://in.tradingview.com/chart/Cgv3Jm6J/?symbol=NSE%3ADELTACORP" TargetMode="External"/><Relationship Id="rId940" Type="http://schemas.openxmlformats.org/officeDocument/2006/relationships/hyperlink" Target="https://in.tradingview.com/chart/bXJLby4L/?symbol=NSE%3ACORALFINAC" TargetMode="External"/><Relationship Id="rId947" Type="http://schemas.openxmlformats.org/officeDocument/2006/relationships/hyperlink" Target="https://in.tradingview.com/chart/Cgv3Jm6J/?symbol=NSE%3ADENORA" TargetMode="External"/><Relationship Id="rId946" Type="http://schemas.openxmlformats.org/officeDocument/2006/relationships/hyperlink" Target="https://in.tradingview.com/chart/bXJLby4L/?symbol=NSE%3ACOSMOFIRST" TargetMode="External"/><Relationship Id="rId945" Type="http://schemas.openxmlformats.org/officeDocument/2006/relationships/hyperlink" Target="https://in.tradingview.com/chart/Cgv3Jm6J/?symbol=NSE%3ADEN" TargetMode="External"/><Relationship Id="rId944" Type="http://schemas.openxmlformats.org/officeDocument/2006/relationships/hyperlink" Target="https://in.tradingview.com/chart/bXJLby4L/?symbol=NSE%3ACOROMANDEL" TargetMode="External"/><Relationship Id="rId2860" Type="http://schemas.openxmlformats.org/officeDocument/2006/relationships/hyperlink" Target="https://in.tradingview.com/chart/bXJLby4L/?symbol=NSE%3AMOM100" TargetMode="External"/><Relationship Id="rId1530" Type="http://schemas.openxmlformats.org/officeDocument/2006/relationships/hyperlink" Target="https://in.tradingview.com/chart/bXJLby4L/?symbol=NSE%3AGODREJCP" TargetMode="External"/><Relationship Id="rId2861" Type="http://schemas.openxmlformats.org/officeDocument/2006/relationships/hyperlink" Target="https://in.tradingview.com/chart/Cgv3Jm6J/?symbol=NSE%3ANSLNISP" TargetMode="External"/><Relationship Id="rId1531" Type="http://schemas.openxmlformats.org/officeDocument/2006/relationships/hyperlink" Target="https://in.tradingview.com/chart/Cgv3Jm6J/?symbol=NSE%3AHARSHA" TargetMode="External"/><Relationship Id="rId2862" Type="http://schemas.openxmlformats.org/officeDocument/2006/relationships/hyperlink" Target="https://in.tradingview.com/chart/bXJLby4L/?symbol=NSE%3AMON100" TargetMode="External"/><Relationship Id="rId1521" Type="http://schemas.openxmlformats.org/officeDocument/2006/relationships/hyperlink" Target="https://in.tradingview.com/chart/Cgv3Jm6J/?symbol=NSE%3AHAPPSTMNDS" TargetMode="External"/><Relationship Id="rId2852" Type="http://schemas.openxmlformats.org/officeDocument/2006/relationships/hyperlink" Target="https://in.tradingview.com/chart/bXJLby4L/?symbol=NSE%3AMOIPO" TargetMode="External"/><Relationship Id="rId1522" Type="http://schemas.openxmlformats.org/officeDocument/2006/relationships/hyperlink" Target="https://in.tradingview.com/chart/bXJLby4L/?symbol=NSE%3AGODAVARIB" TargetMode="External"/><Relationship Id="rId2853" Type="http://schemas.openxmlformats.org/officeDocument/2006/relationships/hyperlink" Target="https://in.tradingview.com/chart/Cgv3Jm6J/?symbol=NSE%3ANRAIL" TargetMode="External"/><Relationship Id="rId1523" Type="http://schemas.openxmlformats.org/officeDocument/2006/relationships/hyperlink" Target="https://in.tradingview.com/chart/Cgv3Jm6J/?symbol=NSE%3AHAPPYFORGE" TargetMode="External"/><Relationship Id="rId2854" Type="http://schemas.openxmlformats.org/officeDocument/2006/relationships/hyperlink" Target="https://in.tradingview.com/chart/bXJLby4L/?symbol=NSE%3AMOTILALOFS" TargetMode="External"/><Relationship Id="rId1524" Type="http://schemas.openxmlformats.org/officeDocument/2006/relationships/hyperlink" Target="https://in.tradingview.com/chart/bXJLby4L/?symbol=NSE%3AGPIL" TargetMode="External"/><Relationship Id="rId2855" Type="http://schemas.openxmlformats.org/officeDocument/2006/relationships/hyperlink" Target="https://in.tradingview.com/chart/Cgv3Jm6J/?symbol=NSE%3ANRBBEARING" TargetMode="External"/><Relationship Id="rId1525" Type="http://schemas.openxmlformats.org/officeDocument/2006/relationships/hyperlink" Target="https://in.tradingview.com/chart/Cgv3Jm6J/?symbol=NSE%3AHARDWYN" TargetMode="External"/><Relationship Id="rId2856" Type="http://schemas.openxmlformats.org/officeDocument/2006/relationships/hyperlink" Target="https://in.tradingview.com/chart/bXJLby4L/?symbol=NSE%3AMOGOLD" TargetMode="External"/><Relationship Id="rId1526" Type="http://schemas.openxmlformats.org/officeDocument/2006/relationships/hyperlink" Target="https://in.tradingview.com/chart/bXJLby4L/?symbol=NSE%3AGODFRYPHLP" TargetMode="External"/><Relationship Id="rId2857" Type="http://schemas.openxmlformats.org/officeDocument/2006/relationships/hyperlink" Target="https://in.tradingview.com/chart/Cgv3Jm6J/?symbol=NSE%3ANRL" TargetMode="External"/><Relationship Id="rId1527" Type="http://schemas.openxmlformats.org/officeDocument/2006/relationships/hyperlink" Target="https://in.tradingview.com/chart/Cgv3Jm6J/?symbol=NSE%3AHARIOMPIPE" TargetMode="External"/><Relationship Id="rId2858" Type="http://schemas.openxmlformats.org/officeDocument/2006/relationships/hyperlink" Target="https://in.tradingview.com/chart/bXJLby4L/?symbol=NSE%3AMOM50" TargetMode="External"/><Relationship Id="rId1528" Type="http://schemas.openxmlformats.org/officeDocument/2006/relationships/hyperlink" Target="https://in.tradingview.com/chart/bXJLby4L/?symbol=NSE%3AGODREJAGRO" TargetMode="External"/><Relationship Id="rId2859" Type="http://schemas.openxmlformats.org/officeDocument/2006/relationships/hyperlink" Target="https://in.tradingview.com/chart/Cgv3Jm6J/?symbol=NSE%3ANSIL" TargetMode="External"/><Relationship Id="rId1529" Type="http://schemas.openxmlformats.org/officeDocument/2006/relationships/hyperlink" Target="https://in.tradingview.com/chart/Cgv3Jm6J/?symbol=NSE%3AHARRMALAYA" TargetMode="External"/><Relationship Id="rId939" Type="http://schemas.openxmlformats.org/officeDocument/2006/relationships/hyperlink" Target="https://in.tradingview.com/chart/Cgv3Jm6J/?symbol=NSE%3ADELPHIFX" TargetMode="External"/><Relationship Id="rId938" Type="http://schemas.openxmlformats.org/officeDocument/2006/relationships/hyperlink" Target="https://in.tradingview.com/chart/bXJLby4L/?symbol=NSE%3ACONTROLPR" TargetMode="External"/><Relationship Id="rId937" Type="http://schemas.openxmlformats.org/officeDocument/2006/relationships/hyperlink" Target="https://in.tradingview.com/chart/Cgv3Jm6J/?symbol=NSE%3ADELHIVERY" TargetMode="External"/><Relationship Id="rId932" Type="http://schemas.openxmlformats.org/officeDocument/2006/relationships/hyperlink" Target="https://in.tradingview.com/chart/bXJLby4L/?symbol=NSE%3ACCCL" TargetMode="External"/><Relationship Id="rId931" Type="http://schemas.openxmlformats.org/officeDocument/2006/relationships/hyperlink" Target="https://in.tradingview.com/chart/Cgv3Jm6J/?symbol=NSE%3ADEEPAKFERT" TargetMode="External"/><Relationship Id="rId930" Type="http://schemas.openxmlformats.org/officeDocument/2006/relationships/hyperlink" Target="https://in.tradingview.com/chart/bXJLby4L/?symbol=NSE%3ACONFIPET" TargetMode="External"/><Relationship Id="rId936" Type="http://schemas.openxmlformats.org/officeDocument/2006/relationships/hyperlink" Target="https://in.tradingview.com/chart/bXJLby4L/?symbol=NSE%3ACONCOR" TargetMode="External"/><Relationship Id="rId935" Type="http://schemas.openxmlformats.org/officeDocument/2006/relationships/hyperlink" Target="https://in.tradingview.com/chart/Cgv3Jm6J/?symbol=NSE%3ADEEPINDS" TargetMode="External"/><Relationship Id="rId934" Type="http://schemas.openxmlformats.org/officeDocument/2006/relationships/hyperlink" Target="https://in.tradingview.com/chart/bXJLby4L/?symbol=NSE%3ACONSOFINVT" TargetMode="External"/><Relationship Id="rId933" Type="http://schemas.openxmlformats.org/officeDocument/2006/relationships/hyperlink" Target="https://in.tradingview.com/chart/Cgv3Jm6J/?symbol=NSE%3ADEEPAKNTR" TargetMode="External"/><Relationship Id="rId2850" Type="http://schemas.openxmlformats.org/officeDocument/2006/relationships/hyperlink" Target="https://in.tradingview.com/chart/bXJLby4L/?symbol=NSE%3AMOINFRA" TargetMode="External"/><Relationship Id="rId1520" Type="http://schemas.openxmlformats.org/officeDocument/2006/relationships/hyperlink" Target="https://in.tradingview.com/chart/bXJLby4L/?symbol=NSE%3AGOCLCORP" TargetMode="External"/><Relationship Id="rId2851" Type="http://schemas.openxmlformats.org/officeDocument/2006/relationships/hyperlink" Target="https://in.tradingview.com/chart/Cgv3Jm6J/?symbol=NSE%3ANPBET" TargetMode="External"/><Relationship Id="rId1554" Type="http://schemas.openxmlformats.org/officeDocument/2006/relationships/hyperlink" Target="https://in.tradingview.com/chart/bXJLby4L/?symbol=NSE%3AGULFPETRO" TargetMode="External"/><Relationship Id="rId2885" Type="http://schemas.openxmlformats.org/officeDocument/2006/relationships/hyperlink" Target="https://in.tradingview.com/chart/Cgv3Jm6J/?symbol=NSE%3AOBCL" TargetMode="External"/><Relationship Id="rId1555" Type="http://schemas.openxmlformats.org/officeDocument/2006/relationships/hyperlink" Target="https://in.tradingview.com/chart/Cgv3Jm6J/?symbol=NSE%3AHDFCBANK" TargetMode="External"/><Relationship Id="rId2886" Type="http://schemas.openxmlformats.org/officeDocument/2006/relationships/hyperlink" Target="https://in.tradingview.com/chart/bXJLby4L/?symbol=NSE%3AMOMIDMTM" TargetMode="External"/><Relationship Id="rId1556" Type="http://schemas.openxmlformats.org/officeDocument/2006/relationships/hyperlink" Target="https://in.tradingview.com/chart/bXJLby4L/?symbol=NSE%3AGPTHEALTH" TargetMode="External"/><Relationship Id="rId2887" Type="http://schemas.openxmlformats.org/officeDocument/2006/relationships/hyperlink" Target="https://in.tradingview.com/chart/Cgv3Jm6J/?symbol=NSE%3AOBEROIRLTY" TargetMode="External"/><Relationship Id="rId1557" Type="http://schemas.openxmlformats.org/officeDocument/2006/relationships/hyperlink" Target="https://in.tradingview.com/chart/Cgv3Jm6J/?symbol=NSE%3AHDFCBSE500" TargetMode="External"/><Relationship Id="rId2888" Type="http://schemas.openxmlformats.org/officeDocument/2006/relationships/hyperlink" Target="https://in.tradingview.com/chart/bXJLby4L/?symbol=NSE%3AMONEXT50" TargetMode="External"/><Relationship Id="rId1558" Type="http://schemas.openxmlformats.org/officeDocument/2006/relationships/hyperlink" Target="https://in.tradingview.com/chart/bXJLby4L/?symbol=NSE%3AGPTINFRA" TargetMode="External"/><Relationship Id="rId2889" Type="http://schemas.openxmlformats.org/officeDocument/2006/relationships/hyperlink" Target="https://in.tradingview.com/chart/Cgv3Jm6J/?symbol=NSE%3AOCCL" TargetMode="External"/><Relationship Id="rId1559" Type="http://schemas.openxmlformats.org/officeDocument/2006/relationships/hyperlink" Target="https://in.tradingview.com/chart/Cgv3Jm6J/?symbol=NSE%3AHDFCGOLD" TargetMode="External"/><Relationship Id="rId965" Type="http://schemas.openxmlformats.org/officeDocument/2006/relationships/hyperlink" Target="https://in.tradingview.com/chart/Cgv3Jm6J/?symbol=NSE%3ADHRUV" TargetMode="External"/><Relationship Id="rId964" Type="http://schemas.openxmlformats.org/officeDocument/2006/relationships/hyperlink" Target="https://in.tradingview.com/chart/bXJLby4L/?symbol=NSE%3AMUFTI" TargetMode="External"/><Relationship Id="rId963" Type="http://schemas.openxmlformats.org/officeDocument/2006/relationships/hyperlink" Target="https://in.tradingview.com/chart/Cgv3Jm6J/?symbol=NSE%3ADHARMAJ" TargetMode="External"/><Relationship Id="rId962" Type="http://schemas.openxmlformats.org/officeDocument/2006/relationships/hyperlink" Target="https://in.tradingview.com/chart/bXJLby4L/?symbol=NSE%3ACREDITACC" TargetMode="External"/><Relationship Id="rId969" Type="http://schemas.openxmlformats.org/officeDocument/2006/relationships/hyperlink" Target="https://in.tradingview.com/chart/Cgv3Jm6J/?symbol=NSE%3ADIACABS" TargetMode="External"/><Relationship Id="rId968" Type="http://schemas.openxmlformats.org/officeDocument/2006/relationships/hyperlink" Target="https://in.tradingview.com/chart/bXJLby4L/?symbol=NSE%3ACRISIL" TargetMode="External"/><Relationship Id="rId967" Type="http://schemas.openxmlformats.org/officeDocument/2006/relationships/hyperlink" Target="https://in.tradingview.com/chart/Cgv3Jm6J/?symbol=NSE%3ADHUNINV" TargetMode="External"/><Relationship Id="rId966" Type="http://schemas.openxmlformats.org/officeDocument/2006/relationships/hyperlink" Target="https://in.tradingview.com/chart/bXJLby4L/?symbol=NSE%3ACREST" TargetMode="External"/><Relationship Id="rId2880" Type="http://schemas.openxmlformats.org/officeDocument/2006/relationships/hyperlink" Target="https://in.tradingview.com/chart/bXJLby4L/?symbol=NSE%3AMOENERGY" TargetMode="External"/><Relationship Id="rId961" Type="http://schemas.openxmlformats.org/officeDocument/2006/relationships/hyperlink" Target="https://in.tradingview.com/chart/Cgv3Jm6J/?symbol=NSE%3ADHANUKA" TargetMode="External"/><Relationship Id="rId1550" Type="http://schemas.openxmlformats.org/officeDocument/2006/relationships/hyperlink" Target="https://in.tradingview.com/chart/bXJLby4L/?symbol=NSE%3AGOPAL" TargetMode="External"/><Relationship Id="rId2881" Type="http://schemas.openxmlformats.org/officeDocument/2006/relationships/hyperlink" Target="https://in.tradingview.com/chart/Cgv3Jm6J/?symbol=NSE%3ANYKAA" TargetMode="External"/><Relationship Id="rId960" Type="http://schemas.openxmlformats.org/officeDocument/2006/relationships/hyperlink" Target="https://in.tradingview.com/chart/bXJLby4L/?symbol=NSE%3ACARERATING" TargetMode="External"/><Relationship Id="rId1551" Type="http://schemas.openxmlformats.org/officeDocument/2006/relationships/hyperlink" Target="https://in.tradingview.com/chart/Cgv3Jm6J/?symbol=NSE%3AHCLTECH" TargetMode="External"/><Relationship Id="rId2882" Type="http://schemas.openxmlformats.org/officeDocument/2006/relationships/hyperlink" Target="https://in.tradingview.com/chart/bXJLby4L/?symbol=NSE%3AMODEFENCE" TargetMode="External"/><Relationship Id="rId1552" Type="http://schemas.openxmlformats.org/officeDocument/2006/relationships/hyperlink" Target="https://in.tradingview.com/chart/bXJLby4L/?symbol=NSE%3AGOYALALUM" TargetMode="External"/><Relationship Id="rId2883" Type="http://schemas.openxmlformats.org/officeDocument/2006/relationships/hyperlink" Target="https://in.tradingview.com/chart/Cgv3Jm6J/?symbol=NSE%3AOAL" TargetMode="External"/><Relationship Id="rId1553" Type="http://schemas.openxmlformats.org/officeDocument/2006/relationships/hyperlink" Target="https://in.tradingview.com/chart/Cgv3Jm6J/?symbol=NSE%3AHDFCAMC" TargetMode="External"/><Relationship Id="rId2884" Type="http://schemas.openxmlformats.org/officeDocument/2006/relationships/hyperlink" Target="https://in.tradingview.com/chart/bXJLby4L/?symbol=NSE%3AMOTOUR" TargetMode="External"/><Relationship Id="rId1543" Type="http://schemas.openxmlformats.org/officeDocument/2006/relationships/hyperlink" Target="https://in.tradingview.com/chart/Cgv3Jm6J/?symbol=NSE%3AHBSL" TargetMode="External"/><Relationship Id="rId2874" Type="http://schemas.openxmlformats.org/officeDocument/2006/relationships/hyperlink" Target="https://in.tradingview.com/chart/bXJLby4L/?symbol=NSE%3AMOMENTUM50" TargetMode="External"/><Relationship Id="rId1544" Type="http://schemas.openxmlformats.org/officeDocument/2006/relationships/hyperlink" Target="https://in.tradingview.com/chart/bXJLby4L/?symbol=NSE%3AGOLDIAM" TargetMode="External"/><Relationship Id="rId2875" Type="http://schemas.openxmlformats.org/officeDocument/2006/relationships/hyperlink" Target="https://in.tradingview.com/chart/Cgv3Jm6J/?symbol=NSE%3ANV20" TargetMode="External"/><Relationship Id="rId1545" Type="http://schemas.openxmlformats.org/officeDocument/2006/relationships/hyperlink" Target="https://in.tradingview.com/chart/Cgv3Jm6J/?symbol=NSE%3AHCC" TargetMode="External"/><Relationship Id="rId2876" Type="http://schemas.openxmlformats.org/officeDocument/2006/relationships/hyperlink" Target="https://in.tradingview.com/chart/bXJLby4L/?symbol=NSE%3AMOALPHA50" TargetMode="External"/><Relationship Id="rId1546" Type="http://schemas.openxmlformats.org/officeDocument/2006/relationships/hyperlink" Target="https://in.tradingview.com/chart/bXJLby4L/?symbol=NSE%3AGOLDTECH" TargetMode="External"/><Relationship Id="rId2877" Type="http://schemas.openxmlformats.org/officeDocument/2006/relationships/hyperlink" Target="https://in.tradingview.com/chart/Cgv3Jm6J/?symbol=NSE%3ANV20BEES" TargetMode="External"/><Relationship Id="rId1547" Type="http://schemas.openxmlformats.org/officeDocument/2006/relationships/hyperlink" Target="https://in.tradingview.com/chart/Cgv3Jm6J/?symbol=NSE%3AHCG" TargetMode="External"/><Relationship Id="rId2878" Type="http://schemas.openxmlformats.org/officeDocument/2006/relationships/hyperlink" Target="https://in.tradingview.com/chart/bXJLby4L/?symbol=NSE%3AMOCAPITAL" TargetMode="External"/><Relationship Id="rId1548" Type="http://schemas.openxmlformats.org/officeDocument/2006/relationships/hyperlink" Target="https://in.tradingview.com/chart/bXJLby4L/?symbol=NSE%3AGOODLUCK" TargetMode="External"/><Relationship Id="rId2879" Type="http://schemas.openxmlformats.org/officeDocument/2006/relationships/hyperlink" Target="https://in.tradingview.com/chart/Cgv3Jm6J/?symbol=NSE%3ANV20IETF" TargetMode="External"/><Relationship Id="rId1549" Type="http://schemas.openxmlformats.org/officeDocument/2006/relationships/hyperlink" Target="https://in.tradingview.com/chart/Cgv3Jm6J/?symbol=NSE%3AHCL_INSYS" TargetMode="External"/><Relationship Id="rId959" Type="http://schemas.openxmlformats.org/officeDocument/2006/relationships/hyperlink" Target="https://in.tradingview.com/chart/Cgv3Jm6J/?symbol=NSE%3ADHANI" TargetMode="External"/><Relationship Id="rId954" Type="http://schemas.openxmlformats.org/officeDocument/2006/relationships/hyperlink" Target="https://in.tradingview.com/chart/bXJLby4L/?symbol=NSE%3ACPSEETF" TargetMode="External"/><Relationship Id="rId953" Type="http://schemas.openxmlformats.org/officeDocument/2006/relationships/hyperlink" Target="https://in.tradingview.com/chart/Cgv3Jm6J/?symbol=NSE%3ADEVYANI" TargetMode="External"/><Relationship Id="rId952" Type="http://schemas.openxmlformats.org/officeDocument/2006/relationships/hyperlink" Target="https://in.tradingview.com/chart/bXJLby4L/?symbol=NSE%3ACPCAP" TargetMode="External"/><Relationship Id="rId951" Type="http://schemas.openxmlformats.org/officeDocument/2006/relationships/hyperlink" Target="https://in.tradingview.com/chart/Cgv3Jm6J/?symbol=NSE%3ADEVIT" TargetMode="External"/><Relationship Id="rId958" Type="http://schemas.openxmlformats.org/officeDocument/2006/relationships/hyperlink" Target="https://in.tradingview.com/chart/bXJLby4L/?symbol=NSE%3ACREATIVEYE" TargetMode="External"/><Relationship Id="rId957" Type="http://schemas.openxmlformats.org/officeDocument/2006/relationships/hyperlink" Target="https://in.tradingview.com/chart/Cgv3Jm6J/?symbol=NSE%3ADHANBANK" TargetMode="External"/><Relationship Id="rId956" Type="http://schemas.openxmlformats.org/officeDocument/2006/relationships/hyperlink" Target="https://in.tradingview.com/chart/bXJLby4L/?symbol=NSE%3ACRAFTSMAN" TargetMode="External"/><Relationship Id="rId955" Type="http://schemas.openxmlformats.org/officeDocument/2006/relationships/hyperlink" Target="https://in.tradingview.com/chart/Cgv3Jm6J/?symbol=NSE%3ADHAMPURSUG" TargetMode="External"/><Relationship Id="rId950" Type="http://schemas.openxmlformats.org/officeDocument/2006/relationships/hyperlink" Target="https://in.tradingview.com/chart/bXJLby4L/?symbol=NSE%3ACOUNCODOS" TargetMode="External"/><Relationship Id="rId2870" Type="http://schemas.openxmlformats.org/officeDocument/2006/relationships/hyperlink" Target="https://in.tradingview.com/chart/bXJLby4L/?symbol=NSE%3AMON50EQUAL" TargetMode="External"/><Relationship Id="rId1540" Type="http://schemas.openxmlformats.org/officeDocument/2006/relationships/hyperlink" Target="https://in.tradingview.com/chart/bXJLby4L/?symbol=NSE%3AGOKUL" TargetMode="External"/><Relationship Id="rId2871" Type="http://schemas.openxmlformats.org/officeDocument/2006/relationships/hyperlink" Target="https://in.tradingview.com/chart/Cgv3Jm6J/?symbol=NSE%3ANUVAMA" TargetMode="External"/><Relationship Id="rId1541" Type="http://schemas.openxmlformats.org/officeDocument/2006/relationships/hyperlink" Target="https://in.tradingview.com/chart/Cgv3Jm6J/?symbol=NSE%3AHBLENGINE" TargetMode="External"/><Relationship Id="rId2872" Type="http://schemas.openxmlformats.org/officeDocument/2006/relationships/hyperlink" Target="https://in.tradingview.com/chart/bXJLby4L/?symbol=NSE%3AMONIFTY500" TargetMode="External"/><Relationship Id="rId1542" Type="http://schemas.openxmlformats.org/officeDocument/2006/relationships/hyperlink" Target="https://in.tradingview.com/chart/bXJLby4L/?symbol=NSE%3AGOLDENTOBC" TargetMode="External"/><Relationship Id="rId2873" Type="http://schemas.openxmlformats.org/officeDocument/2006/relationships/hyperlink" Target="https://in.tradingview.com/chart/Cgv3Jm6J/?symbol=NSE%3ANUVOCO" TargetMode="External"/><Relationship Id="rId2027" Type="http://schemas.openxmlformats.org/officeDocument/2006/relationships/hyperlink" Target="https://in.tradingview.com/chart/Cgv3Jm6J/?symbol=NSE%3AJTLIND" TargetMode="External"/><Relationship Id="rId3359" Type="http://schemas.openxmlformats.org/officeDocument/2006/relationships/hyperlink" Target="https://in.tradingview.com/chart/Cgv3Jm6J/?symbol=NSE%3AROSSELLIND" TargetMode="External"/><Relationship Id="rId2028" Type="http://schemas.openxmlformats.org/officeDocument/2006/relationships/hyperlink" Target="https://in.tradingview.com/chart/bXJLby4L/?symbol=NSE%3AINDOUS" TargetMode="External"/><Relationship Id="rId3358" Type="http://schemas.openxmlformats.org/officeDocument/2006/relationships/hyperlink" Target="https://in.tradingview.com/chart/bXJLby4L/?symbol=NSE%3AORIENTCEM" TargetMode="External"/><Relationship Id="rId4689" Type="http://schemas.openxmlformats.org/officeDocument/2006/relationships/hyperlink" Target="https://in.tradingview.com/chart/bXJLby4L/?symbol=NSE%3AWEWORK" TargetMode="External"/><Relationship Id="rId2029" Type="http://schemas.openxmlformats.org/officeDocument/2006/relationships/hyperlink" Target="https://in.tradingview.com/chart/Cgv3Jm6J/?symbol=NSE%3AJUBLCPL" TargetMode="External"/><Relationship Id="rId107" Type="http://schemas.openxmlformats.org/officeDocument/2006/relationships/hyperlink" Target="https://in.tradingview.com/chart/Cgv3Jm6J/?symbol=NSE%3AADSL" TargetMode="External"/><Relationship Id="rId106" Type="http://schemas.openxmlformats.org/officeDocument/2006/relationships/hyperlink" Target="https://in.tradingview.com/chart/bXJLby4L/?symbol=NSE%3AGSEC10ABSL" TargetMode="External"/><Relationship Id="rId105" Type="http://schemas.openxmlformats.org/officeDocument/2006/relationships/hyperlink" Target="https://in.tradingview.com/chart/Cgv3Jm6J/?symbol=NSE%3AADROITINFO" TargetMode="External"/><Relationship Id="rId104" Type="http://schemas.openxmlformats.org/officeDocument/2006/relationships/hyperlink" Target="https://in.tradingview.com/chart/bXJLby4L/?symbol=NSE%3AABSLBANETF" TargetMode="External"/><Relationship Id="rId109" Type="http://schemas.openxmlformats.org/officeDocument/2006/relationships/hyperlink" Target="https://in.tradingview.com/chart/Cgv3Jm6J/?symbol=NSE%3AADVANIHOTR" TargetMode="External"/><Relationship Id="rId4680" Type="http://schemas.openxmlformats.org/officeDocument/2006/relationships/hyperlink" Target="https://in.tradingview.com/chart/bXJLby4L/?symbol=NSE%3AWELCORP" TargetMode="External"/><Relationship Id="rId108" Type="http://schemas.openxmlformats.org/officeDocument/2006/relationships/hyperlink" Target="https://in.tradingview.com/chart/bXJLby4L/?symbol=NSE%3AABGSEC" TargetMode="External"/><Relationship Id="rId3351" Type="http://schemas.openxmlformats.org/officeDocument/2006/relationships/hyperlink" Target="https://in.tradingview.com/chart/Cgv3Jm6J/?symbol=NSE%3AROLLT" TargetMode="External"/><Relationship Id="rId4682" Type="http://schemas.openxmlformats.org/officeDocument/2006/relationships/hyperlink" Target="https://in.tradingview.com/chart/bXJLby4L/?symbol=NSE%3AWELINV" TargetMode="External"/><Relationship Id="rId2020" Type="http://schemas.openxmlformats.org/officeDocument/2006/relationships/hyperlink" Target="https://in.tradingview.com/chart/bXJLby4L/?symbol=NSE%3AINDOFARM" TargetMode="External"/><Relationship Id="rId3350" Type="http://schemas.openxmlformats.org/officeDocument/2006/relationships/hyperlink" Target="https://in.tradingview.com/chart/bXJLby4L/?symbol=NSE%3AORBTEXP" TargetMode="External"/><Relationship Id="rId4681" Type="http://schemas.openxmlformats.org/officeDocument/2006/relationships/hyperlink" Target="https://in.tradingview.com/chart/bXJLby4L/?symbol=NSE%3AWELENT" TargetMode="External"/><Relationship Id="rId2021" Type="http://schemas.openxmlformats.org/officeDocument/2006/relationships/hyperlink" Target="https://in.tradingview.com/chart/Cgv3Jm6J/?symbol=NSE%3AJSWINFRA" TargetMode="External"/><Relationship Id="rId3353" Type="http://schemas.openxmlformats.org/officeDocument/2006/relationships/hyperlink" Target="https://in.tradingview.com/chart/Cgv3Jm6J/?symbol=NSE%3AROLTA" TargetMode="External"/><Relationship Id="rId4684" Type="http://schemas.openxmlformats.org/officeDocument/2006/relationships/hyperlink" Target="https://in.tradingview.com/chart/bXJLby4L/?symbol=NSE%3AWENDT" TargetMode="External"/><Relationship Id="rId2022" Type="http://schemas.openxmlformats.org/officeDocument/2006/relationships/hyperlink" Target="https://in.tradingview.com/chart/bXJLby4L/?symbol=NSE%3AINDORAMA" TargetMode="External"/><Relationship Id="rId3352" Type="http://schemas.openxmlformats.org/officeDocument/2006/relationships/hyperlink" Target="https://in.tradingview.com/chart/bXJLby4L/?symbol=NSE%3AORCHPHARMA" TargetMode="External"/><Relationship Id="rId4683" Type="http://schemas.openxmlformats.org/officeDocument/2006/relationships/hyperlink" Target="https://in.tradingview.com/chart/bXJLby4L/?symbol=NSE%3AWELSPUNLIV" TargetMode="External"/><Relationship Id="rId103" Type="http://schemas.openxmlformats.org/officeDocument/2006/relationships/hyperlink" Target="https://in.tradingview.com/chart/Cgv3Jm6J/?symbol=NSE%3AADL" TargetMode="External"/><Relationship Id="rId2023" Type="http://schemas.openxmlformats.org/officeDocument/2006/relationships/hyperlink" Target="https://in.tradingview.com/chart/Cgv3Jm6J/?symbol=NSE%3AJSWSTEEL" TargetMode="External"/><Relationship Id="rId3355" Type="http://schemas.openxmlformats.org/officeDocument/2006/relationships/hyperlink" Target="https://in.tradingview.com/chart/Cgv3Jm6J/?symbol=NSE%3AROML" TargetMode="External"/><Relationship Id="rId4686" Type="http://schemas.openxmlformats.org/officeDocument/2006/relationships/hyperlink" Target="https://in.tradingview.com/chart/bXJLby4L/?symbol=NSE%3AWCIL" TargetMode="External"/><Relationship Id="rId102" Type="http://schemas.openxmlformats.org/officeDocument/2006/relationships/hyperlink" Target="https://in.tradingview.com/chart/bXJLby4L/?symbol=NSE%3AABSLAMC" TargetMode="External"/><Relationship Id="rId2024" Type="http://schemas.openxmlformats.org/officeDocument/2006/relationships/hyperlink" Target="https://in.tradingview.com/chart/bXJLby4L/?symbol=NSE%3AINDOTECH" TargetMode="External"/><Relationship Id="rId3354" Type="http://schemas.openxmlformats.org/officeDocument/2006/relationships/hyperlink" Target="https://in.tradingview.com/chart/bXJLby4L/?symbol=NSE%3AORICONENT" TargetMode="External"/><Relationship Id="rId4685" Type="http://schemas.openxmlformats.org/officeDocument/2006/relationships/hyperlink" Target="https://in.tradingview.com/chart/bXJLby4L/?symbol=NSE%3AWSTCSTPAPR" TargetMode="External"/><Relationship Id="rId101" Type="http://schemas.openxmlformats.org/officeDocument/2006/relationships/hyperlink" Target="https://in.tradingview.com/chart/Cgv3Jm6J/?symbol=NSE%3AADFFOODS" TargetMode="External"/><Relationship Id="rId2025" Type="http://schemas.openxmlformats.org/officeDocument/2006/relationships/hyperlink" Target="https://in.tradingview.com/chart/Cgv3Jm6J/?symbol=NSE%3AJTEKTINDIA" TargetMode="External"/><Relationship Id="rId3357" Type="http://schemas.openxmlformats.org/officeDocument/2006/relationships/hyperlink" Target="https://in.tradingview.com/chart/Cgv3Jm6J/?symbol=NSE%3AROSSARI" TargetMode="External"/><Relationship Id="rId4688" Type="http://schemas.openxmlformats.org/officeDocument/2006/relationships/hyperlink" Target="https://in.tradingview.com/chart/bXJLby4L/?symbol=NSE%3AWESTLIFE" TargetMode="External"/><Relationship Id="rId100" Type="http://schemas.openxmlformats.org/officeDocument/2006/relationships/hyperlink" Target="https://in.tradingview.com/chart/bXJLby4L/?symbol=NSE%3AABSLLIQUID" TargetMode="External"/><Relationship Id="rId2026" Type="http://schemas.openxmlformats.org/officeDocument/2006/relationships/hyperlink" Target="https://in.tradingview.com/chart/bXJLby4L/?symbol=NSE%3AINDOTHAI" TargetMode="External"/><Relationship Id="rId3356" Type="http://schemas.openxmlformats.org/officeDocument/2006/relationships/hyperlink" Target="https://in.tradingview.com/chart/bXJLby4L/?symbol=NSE%3AORIENTBELL" TargetMode="External"/><Relationship Id="rId4687" Type="http://schemas.openxmlformats.org/officeDocument/2006/relationships/hyperlink" Target="https://in.tradingview.com/chart/bXJLby4L/?symbol=NSE%3AWIPL" TargetMode="External"/><Relationship Id="rId2016" Type="http://schemas.openxmlformats.org/officeDocument/2006/relationships/hyperlink" Target="https://in.tradingview.com/chart/bXJLby4L/?symbol=NSE%3AINDOBORAX" TargetMode="External"/><Relationship Id="rId3348" Type="http://schemas.openxmlformats.org/officeDocument/2006/relationships/hyperlink" Target="https://in.tradingview.com/chart/bXJLby4L/?symbol=NSE%3AOFSS" TargetMode="External"/><Relationship Id="rId4679" Type="http://schemas.openxmlformats.org/officeDocument/2006/relationships/hyperlink" Target="https://in.tradingview.com/chart/bXJLby4L/?symbol=NSE%3AWEIZMANIND" TargetMode="External"/><Relationship Id="rId2017" Type="http://schemas.openxmlformats.org/officeDocument/2006/relationships/hyperlink" Target="https://in.tradingview.com/chart/Cgv3Jm6J/?symbol=NSE%3AJSWENERGY" TargetMode="External"/><Relationship Id="rId3347" Type="http://schemas.openxmlformats.org/officeDocument/2006/relationships/hyperlink" Target="https://in.tradingview.com/chart/Cgv3Jm6J/?symbol=NSE%3AROHLTD" TargetMode="External"/><Relationship Id="rId4678" Type="http://schemas.openxmlformats.org/officeDocument/2006/relationships/hyperlink" Target="https://in.tradingview.com/chart/bXJLby4L/?symbol=NSE%3AWEBELSOLAR" TargetMode="External"/><Relationship Id="rId2018" Type="http://schemas.openxmlformats.org/officeDocument/2006/relationships/hyperlink" Target="https://in.tradingview.com/chart/bXJLby4L/?symbol=NSE%3AICIL" TargetMode="External"/><Relationship Id="rId2019" Type="http://schemas.openxmlformats.org/officeDocument/2006/relationships/hyperlink" Target="https://in.tradingview.com/chart/Cgv3Jm6J/?symbol=NSE%3AJSWHL" TargetMode="External"/><Relationship Id="rId3349" Type="http://schemas.openxmlformats.org/officeDocument/2006/relationships/hyperlink" Target="https://in.tradingview.com/chart/Cgv3Jm6J/?symbol=NSE%3AROLEXRINGS" TargetMode="External"/><Relationship Id="rId3340" Type="http://schemas.openxmlformats.org/officeDocument/2006/relationships/hyperlink" Target="https://in.tradingview.com/chart/bXJLby4L/?symbol=NSE%3AONESOURCE" TargetMode="External"/><Relationship Id="rId4671" Type="http://schemas.openxmlformats.org/officeDocument/2006/relationships/hyperlink" Target="https://in.tradingview.com/chart/bXJLby4L/?symbol=NSE%3AWSI" TargetMode="External"/><Relationship Id="rId4670" Type="http://schemas.openxmlformats.org/officeDocument/2006/relationships/hyperlink" Target="https://in.tradingview.com/chart/bXJLby4L/?symbol=NSE%3AVSTIND" TargetMode="External"/><Relationship Id="rId2010" Type="http://schemas.openxmlformats.org/officeDocument/2006/relationships/hyperlink" Target="https://in.tradingview.com/chart/bXJLby4L/?symbol=NSE%3AINDIGOPNTS" TargetMode="External"/><Relationship Id="rId3342" Type="http://schemas.openxmlformats.org/officeDocument/2006/relationships/hyperlink" Target="https://in.tradingview.com/chart/bXJLby4L/?symbol=NSE%3AONMOBILE" TargetMode="External"/><Relationship Id="rId4673" Type="http://schemas.openxmlformats.org/officeDocument/2006/relationships/hyperlink" Target="https://in.tradingview.com/chart/bXJLby4L/?symbol=NSE%3AWAAREERTL" TargetMode="External"/><Relationship Id="rId2011" Type="http://schemas.openxmlformats.org/officeDocument/2006/relationships/hyperlink" Target="https://in.tradingview.com/chart/Cgv3Jm6J/?symbol=NSE%3AJPPOWER" TargetMode="External"/><Relationship Id="rId3341" Type="http://schemas.openxmlformats.org/officeDocument/2006/relationships/hyperlink" Target="https://in.tradingview.com/chart/Cgv3Jm6J/?symbol=NSE%3ARKFORGE" TargetMode="External"/><Relationship Id="rId4672" Type="http://schemas.openxmlformats.org/officeDocument/2006/relationships/hyperlink" Target="https://in.tradingview.com/chart/bXJLby4L/?symbol=NSE%3AWAAREEENER" TargetMode="External"/><Relationship Id="rId2012" Type="http://schemas.openxmlformats.org/officeDocument/2006/relationships/hyperlink" Target="https://in.tradingview.com/chart/bXJLby4L/?symbol=NSE%3AINDIQUBE" TargetMode="External"/><Relationship Id="rId3344" Type="http://schemas.openxmlformats.org/officeDocument/2006/relationships/hyperlink" Target="https://in.tradingview.com/chart/bXJLby4L/?symbol=NSE%3AONWARDTEC" TargetMode="External"/><Relationship Id="rId4675" Type="http://schemas.openxmlformats.org/officeDocument/2006/relationships/hyperlink" Target="https://in.tradingview.com/chart/bXJLby4L/?symbol=NSE%3AWANBURY" TargetMode="External"/><Relationship Id="rId2013" Type="http://schemas.openxmlformats.org/officeDocument/2006/relationships/hyperlink" Target="https://in.tradingview.com/chart/Cgv3Jm6J/?symbol=NSE%3AJSFB" TargetMode="External"/><Relationship Id="rId3343" Type="http://schemas.openxmlformats.org/officeDocument/2006/relationships/hyperlink" Target="https://in.tradingview.com/chart/Cgv3Jm6J/?symbol=NSE%3ARKSWAMY" TargetMode="External"/><Relationship Id="rId4674" Type="http://schemas.openxmlformats.org/officeDocument/2006/relationships/hyperlink" Target="https://in.tradingview.com/chart/bXJLby4L/?symbol=NSE%3AWALCHANNAG" TargetMode="External"/><Relationship Id="rId2014" Type="http://schemas.openxmlformats.org/officeDocument/2006/relationships/hyperlink" Target="https://in.tradingview.com/chart/bXJLby4L/?symbol=NSE%3AINDOAMIN" TargetMode="External"/><Relationship Id="rId3346" Type="http://schemas.openxmlformats.org/officeDocument/2006/relationships/hyperlink" Target="https://in.tradingview.com/chart/bXJLby4L/?symbol=NSE%3AOPTIEMUS" TargetMode="External"/><Relationship Id="rId4677" Type="http://schemas.openxmlformats.org/officeDocument/2006/relationships/hyperlink" Target="https://in.tradingview.com/chart/bXJLby4L/?symbol=NSE%3AWEALTH" TargetMode="External"/><Relationship Id="rId2015" Type="http://schemas.openxmlformats.org/officeDocument/2006/relationships/hyperlink" Target="https://in.tradingview.com/chart/Cgv3Jm6J/?symbol=NSE%3AJSL" TargetMode="External"/><Relationship Id="rId3345" Type="http://schemas.openxmlformats.org/officeDocument/2006/relationships/hyperlink" Target="https://in.tradingview.com/chart/Cgv3Jm6J/?symbol=NSE%3ARML" TargetMode="External"/><Relationship Id="rId4676" Type="http://schemas.openxmlformats.org/officeDocument/2006/relationships/hyperlink" Target="https://in.tradingview.com/chart/bXJLby4L/?symbol=NSE%3AWEWIN" TargetMode="External"/><Relationship Id="rId2049" Type="http://schemas.openxmlformats.org/officeDocument/2006/relationships/hyperlink" Target="https://in.tradingview.com/chart/Cgv3Jm6J/?symbol=NSE%3AJYOTISTRUC" TargetMode="External"/><Relationship Id="rId129" Type="http://schemas.openxmlformats.org/officeDocument/2006/relationships/hyperlink" Target="https://in.tradingview.com/chart/Cgv3Jm6J/?symbol=NSE%3AAGARWALEYE" TargetMode="External"/><Relationship Id="rId128" Type="http://schemas.openxmlformats.org/officeDocument/2006/relationships/hyperlink" Target="https://in.tradingview.com/chart/bXJLby4L/?symbol=NSE%3ACPPLUS" TargetMode="External"/><Relationship Id="rId127" Type="http://schemas.openxmlformats.org/officeDocument/2006/relationships/hyperlink" Target="https://in.tradingview.com/chart/Cgv3Jm6J/?symbol=NSE%3AAGARIND" TargetMode="External"/><Relationship Id="rId126" Type="http://schemas.openxmlformats.org/officeDocument/2006/relationships/hyperlink" Target="https://in.tradingview.com/chart/bXJLby4L/?symbol=NSE%3ASILVER" TargetMode="External"/><Relationship Id="rId3371" Type="http://schemas.openxmlformats.org/officeDocument/2006/relationships/hyperlink" Target="https://in.tradingview.com/chart/Cgv3Jm6J/?symbol=NSE%3ARPOWER" TargetMode="External"/><Relationship Id="rId2040" Type="http://schemas.openxmlformats.org/officeDocument/2006/relationships/hyperlink" Target="https://in.tradingview.com/chart/bXJLby4L/?symbol=NSE%3AINDOWIND" TargetMode="External"/><Relationship Id="rId3370" Type="http://schemas.openxmlformats.org/officeDocument/2006/relationships/hyperlink" Target="https://in.tradingview.com/chart/bXJLby4L/?symbol=NSE%3AORIENTTECH" TargetMode="External"/><Relationship Id="rId121" Type="http://schemas.openxmlformats.org/officeDocument/2006/relationships/hyperlink" Target="https://in.tradingview.com/chart/Cgv3Jm6J/?symbol=NSE%3AAFFLE" TargetMode="External"/><Relationship Id="rId2041" Type="http://schemas.openxmlformats.org/officeDocument/2006/relationships/hyperlink" Target="https://in.tradingview.com/chart/Cgv3Jm6J/?symbol=NSE%3AJUSTDIAL" TargetMode="External"/><Relationship Id="rId3373" Type="http://schemas.openxmlformats.org/officeDocument/2006/relationships/hyperlink" Target="https://in.tradingview.com/chart/Cgv3Jm6J/?symbol=NSE%3ARPPINFRA" TargetMode="External"/><Relationship Id="rId120" Type="http://schemas.openxmlformats.org/officeDocument/2006/relationships/hyperlink" Target="https://in.tradingview.com/chart/bXJLby4L/?symbol=NSE%3ATECH" TargetMode="External"/><Relationship Id="rId2042" Type="http://schemas.openxmlformats.org/officeDocument/2006/relationships/hyperlink" Target="https://in.tradingview.com/chart/bXJLby4L/?symbol=NSE%3AIGL" TargetMode="External"/><Relationship Id="rId3372" Type="http://schemas.openxmlformats.org/officeDocument/2006/relationships/hyperlink" Target="https://in.tradingview.com/chart/bXJLby4L/?symbol=NSE%3AOAL" TargetMode="External"/><Relationship Id="rId2043" Type="http://schemas.openxmlformats.org/officeDocument/2006/relationships/hyperlink" Target="https://in.tradingview.com/chart/Cgv3Jm6J/?symbol=NSE%3AJWL" TargetMode="External"/><Relationship Id="rId3375" Type="http://schemas.openxmlformats.org/officeDocument/2006/relationships/hyperlink" Target="https://in.tradingview.com/chart/Cgv3Jm6J/?symbol=NSE%3ARPPL" TargetMode="External"/><Relationship Id="rId2044" Type="http://schemas.openxmlformats.org/officeDocument/2006/relationships/hyperlink" Target="https://in.tradingview.com/chart/bXJLby4L/?symbol=NSE%3AINDRAMEDCO" TargetMode="External"/><Relationship Id="rId3374" Type="http://schemas.openxmlformats.org/officeDocument/2006/relationships/hyperlink" Target="https://in.tradingview.com/chart/bXJLby4L/?symbol=NSE%3AORIENTHOT" TargetMode="External"/><Relationship Id="rId125" Type="http://schemas.openxmlformats.org/officeDocument/2006/relationships/hyperlink" Target="https://in.tradingview.com/chart/Cgv3Jm6J/?symbol=NSE%3AAFIL" TargetMode="External"/><Relationship Id="rId2045" Type="http://schemas.openxmlformats.org/officeDocument/2006/relationships/hyperlink" Target="https://in.tradingview.com/chart/Cgv3Jm6J/?symbol=NSE%3AJYOTHYLAB" TargetMode="External"/><Relationship Id="rId3377" Type="http://schemas.openxmlformats.org/officeDocument/2006/relationships/hyperlink" Target="https://in.tradingview.com/chart/Cgv3Jm6J/?symbol=NSE%3ARPSGVENT" TargetMode="External"/><Relationship Id="rId124" Type="http://schemas.openxmlformats.org/officeDocument/2006/relationships/hyperlink" Target="https://in.tradingview.com/chart/bXJLby4L/?symbol=NSE%3AABSLPSE" TargetMode="External"/><Relationship Id="rId2046" Type="http://schemas.openxmlformats.org/officeDocument/2006/relationships/hyperlink" Target="https://in.tradingview.com/chart/bXJLby4L/?symbol=NSE%3AINDUSTOWER" TargetMode="External"/><Relationship Id="rId3376" Type="http://schemas.openxmlformats.org/officeDocument/2006/relationships/hyperlink" Target="https://in.tradingview.com/chart/bXJLby4L/?symbol=NSE%3AORIENTALTL" TargetMode="External"/><Relationship Id="rId123" Type="http://schemas.openxmlformats.org/officeDocument/2006/relationships/hyperlink" Target="https://in.tradingview.com/chart/Cgv3Jm6J/?symbol=NSE%3AAFFORDABLE" TargetMode="External"/><Relationship Id="rId2047" Type="http://schemas.openxmlformats.org/officeDocument/2006/relationships/hyperlink" Target="https://in.tradingview.com/chart/Cgv3Jm6J/?symbol=NSE%3AJYOTICNC" TargetMode="External"/><Relationship Id="rId3379" Type="http://schemas.openxmlformats.org/officeDocument/2006/relationships/hyperlink" Target="https://in.tradingview.com/chart/Cgv3Jm6J/?symbol=NSE%3ARPTECH" TargetMode="External"/><Relationship Id="rId122" Type="http://schemas.openxmlformats.org/officeDocument/2006/relationships/hyperlink" Target="https://in.tradingview.com/chart/bXJLby4L/?symbol=NSE%3AABSLNN50ET" TargetMode="External"/><Relationship Id="rId2048" Type="http://schemas.openxmlformats.org/officeDocument/2006/relationships/hyperlink" Target="https://in.tradingview.com/chart/bXJLby4L/?symbol=NSE%3AINDUSINDBK" TargetMode="External"/><Relationship Id="rId3378" Type="http://schemas.openxmlformats.org/officeDocument/2006/relationships/hyperlink" Target="https://in.tradingview.com/chart/bXJLby4L/?symbol=NSE%3AOBCL" TargetMode="External"/><Relationship Id="rId2038" Type="http://schemas.openxmlformats.org/officeDocument/2006/relationships/hyperlink" Target="https://in.tradingview.com/chart/bXJLby4L/?symbol=NSE%3AINDOSTAR" TargetMode="External"/><Relationship Id="rId2039" Type="http://schemas.openxmlformats.org/officeDocument/2006/relationships/hyperlink" Target="https://in.tradingview.com/chart/Cgv3Jm6J/?symbol=NSE%3AJUNIPER" TargetMode="External"/><Relationship Id="rId3369" Type="http://schemas.openxmlformats.org/officeDocument/2006/relationships/hyperlink" Target="https://in.tradingview.com/chart/Cgv3Jm6J/?symbol=NSE%3ARPGLIFE" TargetMode="External"/><Relationship Id="rId118" Type="http://schemas.openxmlformats.org/officeDocument/2006/relationships/hyperlink" Target="https://in.tradingview.com/chart/bXJLby4L/?symbol=NSE%3AHEALTHY" TargetMode="External"/><Relationship Id="rId117" Type="http://schemas.openxmlformats.org/officeDocument/2006/relationships/hyperlink" Target="https://in.tradingview.com/chart/Cgv3Jm6J/?symbol=NSE%3AAETHER" TargetMode="External"/><Relationship Id="rId116" Type="http://schemas.openxmlformats.org/officeDocument/2006/relationships/hyperlink" Target="https://in.tradingview.com/chart/bXJLby4L/?symbol=NSE%3ABSLNIFTY" TargetMode="External"/><Relationship Id="rId115" Type="http://schemas.openxmlformats.org/officeDocument/2006/relationships/hyperlink" Target="https://in.tradingview.com/chart/Cgv3Jm6J/?symbol=NSE%3AAEROFLEX" TargetMode="External"/><Relationship Id="rId3360" Type="http://schemas.openxmlformats.org/officeDocument/2006/relationships/hyperlink" Target="https://in.tradingview.com/chart/bXJLby4L/?symbol=NSE%3AORIENTCER" TargetMode="External"/><Relationship Id="rId4691" Type="http://schemas.openxmlformats.org/officeDocument/2006/relationships/hyperlink" Target="https://in.tradingview.com/chart/bXJLby4L/?symbol=NSE%3AWHIRLPOOL" TargetMode="External"/><Relationship Id="rId119" Type="http://schemas.openxmlformats.org/officeDocument/2006/relationships/hyperlink" Target="https://in.tradingview.com/chart/Cgv3Jm6J/?symbol=NSE%3AAFCONS" TargetMode="External"/><Relationship Id="rId4690" Type="http://schemas.openxmlformats.org/officeDocument/2006/relationships/hyperlink" Target="https://in.tradingview.com/chart/bXJLby4L/?symbol=NSE%3AWHEELS" TargetMode="External"/><Relationship Id="rId110" Type="http://schemas.openxmlformats.org/officeDocument/2006/relationships/hyperlink" Target="https://in.tradingview.com/chart/bXJLby4L/?symbol=NSE%3ABSLGOLDETF" TargetMode="External"/><Relationship Id="rId2030" Type="http://schemas.openxmlformats.org/officeDocument/2006/relationships/hyperlink" Target="https://in.tradingview.com/chart/bXJLby4L/?symbol=NSE%3ANIPPOBATRY" TargetMode="External"/><Relationship Id="rId3362" Type="http://schemas.openxmlformats.org/officeDocument/2006/relationships/hyperlink" Target="https://in.tradingview.com/chart/bXJLby4L/?symbol=NSE%3AORIENTELEC" TargetMode="External"/><Relationship Id="rId4693" Type="http://schemas.openxmlformats.org/officeDocument/2006/relationships/hyperlink" Target="https://in.tradingview.com/chart/bXJLby4L/?symbol=NSE%3AWINDLAS" TargetMode="External"/><Relationship Id="rId2031" Type="http://schemas.openxmlformats.org/officeDocument/2006/relationships/hyperlink" Target="https://in.tradingview.com/chart/Cgv3Jm6J/?symbol=NSE%3AJUBLFOOD" TargetMode="External"/><Relationship Id="rId3361" Type="http://schemas.openxmlformats.org/officeDocument/2006/relationships/hyperlink" Target="https://in.tradingview.com/chart/Cgv3Jm6J/?symbol=NSE%3AROSSTECH" TargetMode="External"/><Relationship Id="rId4692" Type="http://schemas.openxmlformats.org/officeDocument/2006/relationships/hyperlink" Target="https://in.tradingview.com/chart/bXJLby4L/?symbol=NSE%3AWILLAMAGOR" TargetMode="External"/><Relationship Id="rId2032" Type="http://schemas.openxmlformats.org/officeDocument/2006/relationships/hyperlink" Target="https://in.tradingview.com/chart/bXJLby4L/?symbol=NSE%3AINDOCO" TargetMode="External"/><Relationship Id="rId3364" Type="http://schemas.openxmlformats.org/officeDocument/2006/relationships/hyperlink" Target="https://in.tradingview.com/chart/bXJLby4L/?symbol=NSE%3AGREENPOWER" TargetMode="External"/><Relationship Id="rId4695" Type="http://schemas.openxmlformats.org/officeDocument/2006/relationships/hyperlink" Target="https://in.tradingview.com/chart/bXJLby4L/?symbol=NSE%3AWIPRO" TargetMode="External"/><Relationship Id="rId2033" Type="http://schemas.openxmlformats.org/officeDocument/2006/relationships/hyperlink" Target="https://in.tradingview.com/chart/Cgv3Jm6J/?symbol=NSE%3AJUBLINGREA" TargetMode="External"/><Relationship Id="rId3363" Type="http://schemas.openxmlformats.org/officeDocument/2006/relationships/hyperlink" Target="https://in.tradingview.com/chart/Cgv3Jm6J/?symbol=NSE%3AROTO" TargetMode="External"/><Relationship Id="rId4694" Type="http://schemas.openxmlformats.org/officeDocument/2006/relationships/hyperlink" Target="https://in.tradingview.com/chart/bXJLby4L/?symbol=NSE%3AWINDMACHIN" TargetMode="External"/><Relationship Id="rId114" Type="http://schemas.openxmlformats.org/officeDocument/2006/relationships/hyperlink" Target="https://in.tradingview.com/chart/bXJLby4L/?symbol=NSE%3ANIFTYQLITY" TargetMode="External"/><Relationship Id="rId2034" Type="http://schemas.openxmlformats.org/officeDocument/2006/relationships/hyperlink" Target="https://in.tradingview.com/chart/bXJLby4L/?symbol=NSE%3AIGCL" TargetMode="External"/><Relationship Id="rId3366" Type="http://schemas.openxmlformats.org/officeDocument/2006/relationships/hyperlink" Target="https://in.tradingview.com/chart/bXJLby4L/?symbol=NSE%3AORIENTPPR" TargetMode="External"/><Relationship Id="rId4697" Type="http://schemas.openxmlformats.org/officeDocument/2006/relationships/hyperlink" Target="https://in.tradingview.com/chart/bXJLby4L/?symbol=NSE%3AWEL" TargetMode="External"/><Relationship Id="rId113" Type="http://schemas.openxmlformats.org/officeDocument/2006/relationships/hyperlink" Target="https://in.tradingview.com/chart/Cgv3Jm6J/?symbol=NSE%3AAEGISLOG" TargetMode="External"/><Relationship Id="rId2035" Type="http://schemas.openxmlformats.org/officeDocument/2006/relationships/hyperlink" Target="https://in.tradingview.com/chart/Cgv3Jm6J/?symbol=NSE%3AJUBLPHARMA" TargetMode="External"/><Relationship Id="rId3365" Type="http://schemas.openxmlformats.org/officeDocument/2006/relationships/hyperlink" Target="https://in.tradingview.com/chart/Cgv3Jm6J/?symbol=NSE%3AROUTE" TargetMode="External"/><Relationship Id="rId4696" Type="http://schemas.openxmlformats.org/officeDocument/2006/relationships/hyperlink" Target="https://in.tradingview.com/chart/bXJLby4L/?symbol=NSE%3AWOCKPHARMA" TargetMode="External"/><Relationship Id="rId112" Type="http://schemas.openxmlformats.org/officeDocument/2006/relationships/hyperlink" Target="https://in.tradingview.com/chart/bXJLby4L/?symbol=NSE%3AMOMENTUM" TargetMode="External"/><Relationship Id="rId2036" Type="http://schemas.openxmlformats.org/officeDocument/2006/relationships/hyperlink" Target="https://in.tradingview.com/chart/bXJLby4L/?symbol=NSE%3AWAAREEINDO" TargetMode="External"/><Relationship Id="rId3368" Type="http://schemas.openxmlformats.org/officeDocument/2006/relationships/hyperlink" Target="https://in.tradingview.com/chart/bXJLby4L/?symbol=NSE%3AORIENTLTD" TargetMode="External"/><Relationship Id="rId4699" Type="http://schemas.openxmlformats.org/officeDocument/2006/relationships/hyperlink" Target="https://in.tradingview.com/chart/bXJLby4L/?symbol=NSE%3AWORTHPERI" TargetMode="External"/><Relationship Id="rId111" Type="http://schemas.openxmlformats.org/officeDocument/2006/relationships/hyperlink" Target="https://in.tradingview.com/chart/Cgv3Jm6J/?symbol=NSE%3AADVENZYMES" TargetMode="External"/><Relationship Id="rId2037" Type="http://schemas.openxmlformats.org/officeDocument/2006/relationships/hyperlink" Target="https://in.tradingview.com/chart/Cgv3Jm6J/?symbol=NSE%3AJUNIORBEES" TargetMode="External"/><Relationship Id="rId3367" Type="http://schemas.openxmlformats.org/officeDocument/2006/relationships/hyperlink" Target="https://in.tradingview.com/chart/Cgv3Jm6J/?symbol=NSE%3ARPEL" TargetMode="External"/><Relationship Id="rId4698" Type="http://schemas.openxmlformats.org/officeDocument/2006/relationships/hyperlink" Target="https://in.tradingview.com/chart/bXJLby4L/?symbol=NSE%3AWONDERLA" TargetMode="External"/><Relationship Id="rId3315" Type="http://schemas.openxmlformats.org/officeDocument/2006/relationships/hyperlink" Target="https://in.tradingview.com/chart/Cgv3Jm6J/?symbol=NSE%3ARESPONIND" TargetMode="External"/><Relationship Id="rId4646" Type="http://schemas.openxmlformats.org/officeDocument/2006/relationships/hyperlink" Target="https://in.tradingview.com/chart/bXJLby4L/?symbol=NSE%3AVIKRAN" TargetMode="External"/><Relationship Id="rId3314" Type="http://schemas.openxmlformats.org/officeDocument/2006/relationships/hyperlink" Target="https://in.tradingview.com/chart/bXJLby4L/?symbol=NSE%3AOILCOUNTUB" TargetMode="External"/><Relationship Id="rId4645" Type="http://schemas.openxmlformats.org/officeDocument/2006/relationships/hyperlink" Target="https://in.tradingview.com/chart/bXJLby4L/?symbol=NSE%3AVIKRAMSOLR" TargetMode="External"/><Relationship Id="rId3317" Type="http://schemas.openxmlformats.org/officeDocument/2006/relationships/hyperlink" Target="https://in.tradingview.com/chart/Cgv3Jm6J/?symbol=NSE%3ARETAIL" TargetMode="External"/><Relationship Id="rId4648" Type="http://schemas.openxmlformats.org/officeDocument/2006/relationships/hyperlink" Target="https://in.tradingview.com/chart/bXJLby4L/?symbol=NSE%3AVINATIORGA" TargetMode="External"/><Relationship Id="rId3316" Type="http://schemas.openxmlformats.org/officeDocument/2006/relationships/hyperlink" Target="https://in.tradingview.com/chart/bXJLby4L/?symbol=NSE%3AOIL" TargetMode="External"/><Relationship Id="rId4647" Type="http://schemas.openxmlformats.org/officeDocument/2006/relationships/hyperlink" Target="https://in.tradingview.com/chart/bXJLby4L/?symbol=NSE%3AVIMTALABS" TargetMode="External"/><Relationship Id="rId3319" Type="http://schemas.openxmlformats.org/officeDocument/2006/relationships/hyperlink" Target="https://in.tradingview.com/chart/Cgv3Jm6J/?symbol=NSE%3ARGL" TargetMode="External"/><Relationship Id="rId3318" Type="http://schemas.openxmlformats.org/officeDocument/2006/relationships/hyperlink" Target="https://in.tradingview.com/chart/bXJLby4L/?symbol=NSE%3AOLAELEC" TargetMode="External"/><Relationship Id="rId4649" Type="http://schemas.openxmlformats.org/officeDocument/2006/relationships/hyperlink" Target="https://in.tradingview.com/chart/bXJLby4L/?symbol=NSE%3AVINDHYATEL" TargetMode="External"/><Relationship Id="rId4640" Type="http://schemas.openxmlformats.org/officeDocument/2006/relationships/hyperlink" Target="https://in.tradingview.com/chart/bXJLby4L/?symbol=NSE%3AVETO" TargetMode="External"/><Relationship Id="rId3311" Type="http://schemas.openxmlformats.org/officeDocument/2006/relationships/hyperlink" Target="https://in.tradingview.com/chart/Cgv3Jm6J/?symbol=NSE%3AREPL" TargetMode="External"/><Relationship Id="rId4642" Type="http://schemas.openxmlformats.org/officeDocument/2006/relationships/hyperlink" Target="https://in.tradingview.com/chart/bXJLby4L/?symbol=NSE%3AVHLTD" TargetMode="External"/><Relationship Id="rId3310" Type="http://schemas.openxmlformats.org/officeDocument/2006/relationships/hyperlink" Target="https://in.tradingview.com/chart/bXJLby4L/?symbol=NSE%3AODIGMA" TargetMode="External"/><Relationship Id="rId4641" Type="http://schemas.openxmlformats.org/officeDocument/2006/relationships/hyperlink" Target="https://in.tradingview.com/chart/bXJLby4L/?symbol=NSE%3AVSTL" TargetMode="External"/><Relationship Id="rId3313" Type="http://schemas.openxmlformats.org/officeDocument/2006/relationships/hyperlink" Target="https://in.tradingview.com/chart/Cgv3Jm6J/?symbol=NSE%3AREPRO" TargetMode="External"/><Relationship Id="rId4644" Type="http://schemas.openxmlformats.org/officeDocument/2006/relationships/hyperlink" Target="https://in.tradingview.com/chart/bXJLby4L/?symbol=NSE%3AVIJAYA" TargetMode="External"/><Relationship Id="rId3312" Type="http://schemas.openxmlformats.org/officeDocument/2006/relationships/hyperlink" Target="https://in.tradingview.com/chart/bXJLby4L/?symbol=NSE%3AONGC" TargetMode="External"/><Relationship Id="rId4643" Type="http://schemas.openxmlformats.org/officeDocument/2006/relationships/hyperlink" Target="https://in.tradingview.com/chart/bXJLby4L/?symbol=NSE%3AVIDHIING" TargetMode="External"/><Relationship Id="rId3304" Type="http://schemas.openxmlformats.org/officeDocument/2006/relationships/hyperlink" Target="https://in.tradingview.com/chart/bXJLby4L/?symbol=NSE%3ANUVOCO" TargetMode="External"/><Relationship Id="rId4635" Type="http://schemas.openxmlformats.org/officeDocument/2006/relationships/hyperlink" Target="https://in.tradingview.com/chart/bXJLby4L/?symbol=NSE%3AVENUSPIPES" TargetMode="External"/><Relationship Id="rId3303" Type="http://schemas.openxmlformats.org/officeDocument/2006/relationships/hyperlink" Target="https://in.tradingview.com/chart/Cgv3Jm6J/?symbol=NSE%3ARELTD" TargetMode="External"/><Relationship Id="rId4634" Type="http://schemas.openxmlformats.org/officeDocument/2006/relationships/hyperlink" Target="https://in.tradingview.com/chart/bXJLby4L/?symbol=NSE%3AVENTIVE" TargetMode="External"/><Relationship Id="rId3306" Type="http://schemas.openxmlformats.org/officeDocument/2006/relationships/hyperlink" Target="https://in.tradingview.com/chart/bXJLby4L/?symbol=NSE%3AOBEROIRLTY" TargetMode="External"/><Relationship Id="rId4637" Type="http://schemas.openxmlformats.org/officeDocument/2006/relationships/hyperlink" Target="https://in.tradingview.com/chart/bXJLby4L/?symbol=NSE%3AVERANDA" TargetMode="External"/><Relationship Id="rId3305" Type="http://schemas.openxmlformats.org/officeDocument/2006/relationships/hyperlink" Target="https://in.tradingview.com/chart/Cgv3Jm6J/?symbol=NSE%3AREMSONSIND" TargetMode="External"/><Relationship Id="rId4636" Type="http://schemas.openxmlformats.org/officeDocument/2006/relationships/hyperlink" Target="https://in.tradingview.com/chart/bXJLby4L/?symbol=NSE%3AVENUSREM" TargetMode="External"/><Relationship Id="rId3308" Type="http://schemas.openxmlformats.org/officeDocument/2006/relationships/hyperlink" Target="https://in.tradingview.com/chart/bXJLby4L/?symbol=NSE%3AOCCLLTD" TargetMode="External"/><Relationship Id="rId4639" Type="http://schemas.openxmlformats.org/officeDocument/2006/relationships/hyperlink" Target="https://in.tradingview.com/chart/bXJLby4L/?symbol=NSE%3AVESUVIUS" TargetMode="External"/><Relationship Id="rId3307" Type="http://schemas.openxmlformats.org/officeDocument/2006/relationships/hyperlink" Target="https://in.tradingview.com/chart/Cgv3Jm6J/?symbol=NSE%3ARENUKA" TargetMode="External"/><Relationship Id="rId4638" Type="http://schemas.openxmlformats.org/officeDocument/2006/relationships/hyperlink" Target="https://in.tradingview.com/chart/bXJLby4L/?symbol=NSE%3AVERTOZ" TargetMode="External"/><Relationship Id="rId3309" Type="http://schemas.openxmlformats.org/officeDocument/2006/relationships/hyperlink" Target="https://in.tradingview.com/chart/Cgv3Jm6J/?symbol=NSE%3AREPCOHOME" TargetMode="External"/><Relationship Id="rId3300" Type="http://schemas.openxmlformats.org/officeDocument/2006/relationships/hyperlink" Target="https://in.tradingview.com/chart/bXJLby4L/?symbol=NSE%3ANURECA" TargetMode="External"/><Relationship Id="rId4631" Type="http://schemas.openxmlformats.org/officeDocument/2006/relationships/hyperlink" Target="https://in.tradingview.com/chart/bXJLby4L/?symbol=NSE%3AVEDL" TargetMode="External"/><Relationship Id="rId4630" Type="http://schemas.openxmlformats.org/officeDocument/2006/relationships/hyperlink" Target="https://in.tradingview.com/chart/bXJLby4L/?symbol=NSE%3AMANYAVAR" TargetMode="External"/><Relationship Id="rId3302" Type="http://schemas.openxmlformats.org/officeDocument/2006/relationships/hyperlink" Target="https://in.tradingview.com/chart/bXJLby4L/?symbol=NSE%3ANUVAMA" TargetMode="External"/><Relationship Id="rId4633" Type="http://schemas.openxmlformats.org/officeDocument/2006/relationships/hyperlink" Target="https://in.tradingview.com/chart/bXJLby4L/?symbol=NSE%3AVENKEYS" TargetMode="External"/><Relationship Id="rId3301" Type="http://schemas.openxmlformats.org/officeDocument/2006/relationships/hyperlink" Target="https://in.tradingview.com/chart/Cgv3Jm6J/?symbol=NSE%3ARELINFRA" TargetMode="External"/><Relationship Id="rId4632" Type="http://schemas.openxmlformats.org/officeDocument/2006/relationships/hyperlink" Target="https://in.tradingview.com/chart/bXJLby4L/?symbol=NSE%3AVEEDOL" TargetMode="External"/><Relationship Id="rId2005" Type="http://schemas.openxmlformats.org/officeDocument/2006/relationships/hyperlink" Target="https://in.tradingview.com/chart/Cgv3Jm6J/?symbol=NSE%3AJOCIL" TargetMode="External"/><Relationship Id="rId3337" Type="http://schemas.openxmlformats.org/officeDocument/2006/relationships/hyperlink" Target="https://in.tradingview.com/chart/Cgv3Jm6J/?symbol=NSE%3ARKDL" TargetMode="External"/><Relationship Id="rId4668" Type="http://schemas.openxmlformats.org/officeDocument/2006/relationships/hyperlink" Target="https://in.tradingview.com/chart/bXJLby4L/?symbol=NSE%3AVRAJ" TargetMode="External"/><Relationship Id="rId2006" Type="http://schemas.openxmlformats.org/officeDocument/2006/relationships/hyperlink" Target="https://in.tradingview.com/chart/bXJLby4L/?symbol=NSE%3AIREDA" TargetMode="External"/><Relationship Id="rId3336" Type="http://schemas.openxmlformats.org/officeDocument/2006/relationships/hyperlink" Target="https://in.tradingview.com/chart/bXJLby4L/?symbol=NSE%3AONEPOINT" TargetMode="External"/><Relationship Id="rId4667" Type="http://schemas.openxmlformats.org/officeDocument/2006/relationships/hyperlink" Target="https://in.tradingview.com/chart/bXJLby4L/?symbol=NSE%3AVOLTAS" TargetMode="External"/><Relationship Id="rId2007" Type="http://schemas.openxmlformats.org/officeDocument/2006/relationships/hyperlink" Target="https://in.tradingview.com/chart/Cgv3Jm6J/?symbol=NSE%3AJPASSOCIAT" TargetMode="External"/><Relationship Id="rId3339" Type="http://schemas.openxmlformats.org/officeDocument/2006/relationships/hyperlink" Target="https://in.tradingview.com/chart/Cgv3Jm6J/?symbol=NSE%3ARKEC" TargetMode="External"/><Relationship Id="rId2008" Type="http://schemas.openxmlformats.org/officeDocument/2006/relationships/hyperlink" Target="https://in.tradingview.com/chart/bXJLby4L/?symbol=NSE%3AINDTERRAIN" TargetMode="External"/><Relationship Id="rId3338" Type="http://schemas.openxmlformats.org/officeDocument/2006/relationships/hyperlink" Target="https://in.tradingview.com/chart/bXJLby4L/?symbol=NSE%3AONELIFECAP" TargetMode="External"/><Relationship Id="rId4669" Type="http://schemas.openxmlformats.org/officeDocument/2006/relationships/hyperlink" Target="https://in.tradingview.com/chart/bXJLby4L/?symbol=NSE%3AVRLLOG" TargetMode="External"/><Relationship Id="rId2009" Type="http://schemas.openxmlformats.org/officeDocument/2006/relationships/hyperlink" Target="https://in.tradingview.com/chart/Cgv3Jm6J/?symbol=NSE%3AJPOLYINVST" TargetMode="External"/><Relationship Id="rId4660" Type="http://schemas.openxmlformats.org/officeDocument/2006/relationships/hyperlink" Target="https://in.tradingview.com/chart/bXJLby4L/?symbol=NSE%3AVISHNU" TargetMode="External"/><Relationship Id="rId3331" Type="http://schemas.openxmlformats.org/officeDocument/2006/relationships/hyperlink" Target="https://in.tradingview.com/chart/Cgv3Jm6J/?symbol=NSE%3ARISHABH" TargetMode="External"/><Relationship Id="rId4662" Type="http://schemas.openxmlformats.org/officeDocument/2006/relationships/hyperlink" Target="https://in.tradingview.com/chart/bXJLby4L/?symbol=NSE%3AVISHWARAJ" TargetMode="External"/><Relationship Id="rId2000" Type="http://schemas.openxmlformats.org/officeDocument/2006/relationships/hyperlink" Target="https://in.tradingview.com/chart/bXJLby4L/?symbol=NSE%3AIOB" TargetMode="External"/><Relationship Id="rId3330" Type="http://schemas.openxmlformats.org/officeDocument/2006/relationships/hyperlink" Target="https://in.tradingview.com/chart/bXJLby4L/?symbol=NSE%3AOMKARCHEM" TargetMode="External"/><Relationship Id="rId4661" Type="http://schemas.openxmlformats.org/officeDocument/2006/relationships/hyperlink" Target="https://in.tradingview.com/chart/bXJLby4L/?symbol=NSE%3AVPRPL" TargetMode="External"/><Relationship Id="rId2001" Type="http://schemas.openxmlformats.org/officeDocument/2006/relationships/hyperlink" Target="https://in.tradingview.com/chart/Cgv3Jm6J/?symbol=NSE%3AJMFINANCIL" TargetMode="External"/><Relationship Id="rId3333" Type="http://schemas.openxmlformats.org/officeDocument/2006/relationships/hyperlink" Target="https://in.tradingview.com/chart/Cgv3Jm6J/?symbol=NSE%3ARITCO" TargetMode="External"/><Relationship Id="rId4664" Type="http://schemas.openxmlformats.org/officeDocument/2006/relationships/hyperlink" Target="https://in.tradingview.com/chart/bXJLby4L/?symbol=NSE%3AVLSFINANCE" TargetMode="External"/><Relationship Id="rId2002" Type="http://schemas.openxmlformats.org/officeDocument/2006/relationships/hyperlink" Target="https://in.tradingview.com/chart/bXJLby4L/?symbol=NSE%3AIRCTC" TargetMode="External"/><Relationship Id="rId3332" Type="http://schemas.openxmlformats.org/officeDocument/2006/relationships/hyperlink" Target="https://in.tradingview.com/chart/bXJLby4L/?symbol=NSE%3APAYTM" TargetMode="External"/><Relationship Id="rId4663" Type="http://schemas.openxmlformats.org/officeDocument/2006/relationships/hyperlink" Target="https://in.tradingview.com/chart/bXJLby4L/?symbol=NSE%3AVLEGOV" TargetMode="External"/><Relationship Id="rId2003" Type="http://schemas.openxmlformats.org/officeDocument/2006/relationships/hyperlink" Target="https://in.tradingview.com/chart/Cgv3Jm6J/?symbol=NSE%3AJNKINDIA" TargetMode="External"/><Relationship Id="rId3335" Type="http://schemas.openxmlformats.org/officeDocument/2006/relationships/hyperlink" Target="https://in.tradingview.com/chart/Cgv3Jm6J/?symbol=NSE%3ARITES" TargetMode="External"/><Relationship Id="rId4666" Type="http://schemas.openxmlformats.org/officeDocument/2006/relationships/hyperlink" Target="https://in.tradingview.com/chart/bXJLby4L/?symbol=NSE%3AVOLTAMP" TargetMode="External"/><Relationship Id="rId2004" Type="http://schemas.openxmlformats.org/officeDocument/2006/relationships/hyperlink" Target="https://in.tradingview.com/chart/bXJLby4L/?symbol=NSE%3AIRFC" TargetMode="External"/><Relationship Id="rId3334" Type="http://schemas.openxmlformats.org/officeDocument/2006/relationships/hyperlink" Target="https://in.tradingview.com/chart/bXJLby4L/?symbol=NSE%3AMOBIKWIK" TargetMode="External"/><Relationship Id="rId4665" Type="http://schemas.openxmlformats.org/officeDocument/2006/relationships/hyperlink" Target="https://in.tradingview.com/chart/bXJLby4L/?symbol=NSE%3AVMSTMT" TargetMode="External"/><Relationship Id="rId3326" Type="http://schemas.openxmlformats.org/officeDocument/2006/relationships/hyperlink" Target="https://in.tradingview.com/chart/bXJLby4L/?symbol=NSE%3AOMAXAUTO" TargetMode="External"/><Relationship Id="rId4657" Type="http://schemas.openxmlformats.org/officeDocument/2006/relationships/hyperlink" Target="https://in.tradingview.com/chart/bXJLby4L/?symbol=NSE%3AVISASTEEL" TargetMode="External"/><Relationship Id="rId3325" Type="http://schemas.openxmlformats.org/officeDocument/2006/relationships/hyperlink" Target="https://in.tradingview.com/chart/Cgv3Jm6J/?symbol=NSE%3ARHL" TargetMode="External"/><Relationship Id="rId4656" Type="http://schemas.openxmlformats.org/officeDocument/2006/relationships/hyperlink" Target="https://in.tradingview.com/chart/bXJLby4L/?symbol=NSE%3AVIRINCHI" TargetMode="External"/><Relationship Id="rId3328" Type="http://schemas.openxmlformats.org/officeDocument/2006/relationships/hyperlink" Target="https://in.tradingview.com/chart/bXJLby4L/?symbol=NSE%3AOMAXE" TargetMode="External"/><Relationship Id="rId4659" Type="http://schemas.openxmlformats.org/officeDocument/2006/relationships/hyperlink" Target="https://in.tradingview.com/chart/bXJLby4L/?symbol=NSE%3AVMM" TargetMode="External"/><Relationship Id="rId3327" Type="http://schemas.openxmlformats.org/officeDocument/2006/relationships/hyperlink" Target="https://in.tradingview.com/chart/Cgv3Jm6J/?symbol=NSE%3ARICOAUTO" TargetMode="External"/><Relationship Id="rId4658" Type="http://schemas.openxmlformats.org/officeDocument/2006/relationships/hyperlink" Target="https://in.tradingview.com/chart/bXJLby4L/?symbol=NSE%3AVISAKAIND" TargetMode="External"/><Relationship Id="rId3329" Type="http://schemas.openxmlformats.org/officeDocument/2006/relationships/hyperlink" Target="https://in.tradingview.com/chart/Cgv3Jm6J/?symbol=NSE%3ARIIL" TargetMode="External"/><Relationship Id="rId3320" Type="http://schemas.openxmlformats.org/officeDocument/2006/relationships/hyperlink" Target="https://in.tradingview.com/chart/bXJLby4L/?symbol=NSE%3AOLECTRA" TargetMode="External"/><Relationship Id="rId4651" Type="http://schemas.openxmlformats.org/officeDocument/2006/relationships/hyperlink" Target="https://in.tradingview.com/chart/bXJLby4L/?symbol=NSE%3AVINCOFE" TargetMode="External"/><Relationship Id="rId4650" Type="http://schemas.openxmlformats.org/officeDocument/2006/relationships/hyperlink" Target="https://in.tradingview.com/chart/bXJLby4L/?symbol=NSE%3AVINEETLAB" TargetMode="External"/><Relationship Id="rId3322" Type="http://schemas.openxmlformats.org/officeDocument/2006/relationships/hyperlink" Target="https://in.tradingview.com/chart/bXJLby4L/?symbol=NSE%3AOMFREIGHT" TargetMode="External"/><Relationship Id="rId4653" Type="http://schemas.openxmlformats.org/officeDocument/2006/relationships/hyperlink" Target="https://in.tradingview.com/chart/bXJLby4L/?symbol=NSE%3AVIPCLOTHNG" TargetMode="External"/><Relationship Id="rId3321" Type="http://schemas.openxmlformats.org/officeDocument/2006/relationships/hyperlink" Target="https://in.tradingview.com/chart/Cgv3Jm6J/?symbol=NSE%3ARHFL" TargetMode="External"/><Relationship Id="rId4652" Type="http://schemas.openxmlformats.org/officeDocument/2006/relationships/hyperlink" Target="https://in.tradingview.com/chart/bXJLby4L/?symbol=NSE%3AVINYLINDIA" TargetMode="External"/><Relationship Id="rId3324" Type="http://schemas.openxmlformats.org/officeDocument/2006/relationships/hyperlink" Target="https://in.tradingview.com/chart/bXJLby4L/?symbol=NSE%3AOMINFRAL" TargetMode="External"/><Relationship Id="rId4655" Type="http://schemas.openxmlformats.org/officeDocument/2006/relationships/hyperlink" Target="https://in.tradingview.com/chart/bXJLby4L/?symbol=NSE%3AVIPULLTD" TargetMode="External"/><Relationship Id="rId3323" Type="http://schemas.openxmlformats.org/officeDocument/2006/relationships/hyperlink" Target="https://in.tradingview.com/chart/Cgv3Jm6J/?symbol=NSE%3ARHIM" TargetMode="External"/><Relationship Id="rId4654" Type="http://schemas.openxmlformats.org/officeDocument/2006/relationships/hyperlink" Target="https://in.tradingview.com/chart/bXJLby4L/?symbol=NSE%3AVIPIND" TargetMode="External"/><Relationship Id="rId2090" Type="http://schemas.openxmlformats.org/officeDocument/2006/relationships/hyperlink" Target="https://in.tradingview.com/chart/bXJLby4L/?symbol=NSE%3AISFT" TargetMode="External"/><Relationship Id="rId2091" Type="http://schemas.openxmlformats.org/officeDocument/2006/relationships/hyperlink" Target="https://in.tradingview.com/chart/Cgv3Jm6J/?symbol=NSE%3AKEC" TargetMode="External"/><Relationship Id="rId2092" Type="http://schemas.openxmlformats.org/officeDocument/2006/relationships/hyperlink" Target="https://in.tradingview.com/chart/bXJLby4L/?symbol=NSE%3AIKS" TargetMode="External"/><Relationship Id="rId2093" Type="http://schemas.openxmlformats.org/officeDocument/2006/relationships/hyperlink" Target="https://in.tradingview.com/chart/Cgv3Jm6J/?symbol=NSE%3AKECL" TargetMode="External"/><Relationship Id="rId2094" Type="http://schemas.openxmlformats.org/officeDocument/2006/relationships/hyperlink" Target="https://in.tradingview.com/chart/bXJLby4L/?symbol=NSE%3AIVZINGOLD" TargetMode="External"/><Relationship Id="rId2095" Type="http://schemas.openxmlformats.org/officeDocument/2006/relationships/hyperlink" Target="https://in.tradingview.com/chart/Cgv3Jm6J/?symbol=NSE%3AKEEPLEARN" TargetMode="External"/><Relationship Id="rId2096" Type="http://schemas.openxmlformats.org/officeDocument/2006/relationships/hyperlink" Target="https://in.tradingview.com/chart/bXJLby4L/?symbol=NSE%3AIVZINNIFTY" TargetMode="External"/><Relationship Id="rId2097" Type="http://schemas.openxmlformats.org/officeDocument/2006/relationships/hyperlink" Target="https://in.tradingview.com/chart/Cgv3Jm6J/?symbol=NSE%3AKEI" TargetMode="External"/><Relationship Id="rId2098" Type="http://schemas.openxmlformats.org/officeDocument/2006/relationships/hyperlink" Target="https://in.tradingview.com/chart/bXJLby4L/?symbol=NSE%3AIOLCP" TargetMode="External"/><Relationship Id="rId2099" Type="http://schemas.openxmlformats.org/officeDocument/2006/relationships/hyperlink" Target="https://in.tradingview.com/chart/Cgv3Jm6J/?symbol=NSE%3AKELLTONTEC" TargetMode="External"/><Relationship Id="rId3391" Type="http://schemas.openxmlformats.org/officeDocument/2006/relationships/hyperlink" Target="https://in.tradingview.com/chart/Cgv3Jm6J/?symbol=NSE%3ARTNPOWER" TargetMode="External"/><Relationship Id="rId2060" Type="http://schemas.openxmlformats.org/officeDocument/2006/relationships/hyperlink" Target="https://in.tradingview.com/chart/bXJLby4L/?symbol=NSE%3AINFY" TargetMode="External"/><Relationship Id="rId3390" Type="http://schemas.openxmlformats.org/officeDocument/2006/relationships/hyperlink" Target="https://in.tradingview.com/chart/bXJLby4L/?symbol=NSE%3AOSWALPUMPS" TargetMode="External"/><Relationship Id="rId2061" Type="http://schemas.openxmlformats.org/officeDocument/2006/relationships/hyperlink" Target="https://in.tradingview.com/chart/Cgv3Jm6J/?symbol=NSE%3AKAMATHOTEL" TargetMode="External"/><Relationship Id="rId3393" Type="http://schemas.openxmlformats.org/officeDocument/2006/relationships/hyperlink" Target="https://in.tradingview.com/chart/Cgv3Jm6J/?symbol=NSE%3ARUBFILA" TargetMode="External"/><Relationship Id="rId2062" Type="http://schemas.openxmlformats.org/officeDocument/2006/relationships/hyperlink" Target="https://in.tradingview.com/chart/bXJLby4L/?symbol=NSE%3AINGERRAND" TargetMode="External"/><Relationship Id="rId3392" Type="http://schemas.openxmlformats.org/officeDocument/2006/relationships/hyperlink" Target="https://in.tradingview.com/chart/bXJLby4L/?symbol=NSE%3APNGJL" TargetMode="External"/><Relationship Id="rId2063" Type="http://schemas.openxmlformats.org/officeDocument/2006/relationships/hyperlink" Target="https://in.tradingview.com/chart/Cgv3Jm6J/?symbol=NSE%3AKAMDHENU" TargetMode="External"/><Relationship Id="rId3395" Type="http://schemas.openxmlformats.org/officeDocument/2006/relationships/hyperlink" Target="https://in.tradingview.com/chart/Cgv3Jm6J/?symbol=NSE%3ARUBYMILLS" TargetMode="External"/><Relationship Id="rId2064" Type="http://schemas.openxmlformats.org/officeDocument/2006/relationships/hyperlink" Target="https://in.tradingview.com/chart/bXJLby4L/?symbol=NSE%3AINNOVACAP" TargetMode="External"/><Relationship Id="rId3394" Type="http://schemas.openxmlformats.org/officeDocument/2006/relationships/hyperlink" Target="https://in.tradingview.com/chart/bXJLby4L/?symbol=NSE%3APACEDIGITK" TargetMode="External"/><Relationship Id="rId2065" Type="http://schemas.openxmlformats.org/officeDocument/2006/relationships/hyperlink" Target="https://in.tradingview.com/chart/Cgv3Jm6J/?symbol=NSE%3AKANANIIND" TargetMode="External"/><Relationship Id="rId3397" Type="http://schemas.openxmlformats.org/officeDocument/2006/relationships/hyperlink" Target="https://in.tradingview.com/chart/Cgv3Jm6J/?symbol=NSE%3ARUCHINFRA" TargetMode="External"/><Relationship Id="rId2066" Type="http://schemas.openxmlformats.org/officeDocument/2006/relationships/hyperlink" Target="https://in.tradingview.com/chart/bXJLby4L/?symbol=NSE%3AINNOVANA" TargetMode="External"/><Relationship Id="rId3396" Type="http://schemas.openxmlformats.org/officeDocument/2006/relationships/hyperlink" Target="https://in.tradingview.com/chart/bXJLby4L/?symbol=NSE%3APAGEIND" TargetMode="External"/><Relationship Id="rId2067" Type="http://schemas.openxmlformats.org/officeDocument/2006/relationships/hyperlink" Target="https://in.tradingview.com/chart/Cgv3Jm6J/?symbol=NSE%3AKANORICHEM" TargetMode="External"/><Relationship Id="rId3399" Type="http://schemas.openxmlformats.org/officeDocument/2006/relationships/hyperlink" Target="https://in.tradingview.com/chart/Cgv3Jm6J/?symbol=NSE%3ARUCHIRA" TargetMode="External"/><Relationship Id="rId2068" Type="http://schemas.openxmlformats.org/officeDocument/2006/relationships/hyperlink" Target="https://in.tradingview.com/chart/bXJLby4L/?symbol=NSE%3AINOXGREEN" TargetMode="External"/><Relationship Id="rId3398" Type="http://schemas.openxmlformats.org/officeDocument/2006/relationships/hyperlink" Target="https://in.tradingview.com/chart/bXJLby4L/?symbol=NSE%3APAISALO" TargetMode="External"/><Relationship Id="rId2069" Type="http://schemas.openxmlformats.org/officeDocument/2006/relationships/hyperlink" Target="https://in.tradingview.com/chart/Cgv3Jm6J/?symbol=NSE%3AKANPRPLA" TargetMode="External"/><Relationship Id="rId3380" Type="http://schemas.openxmlformats.org/officeDocument/2006/relationships/hyperlink" Target="https://in.tradingview.com/chart/bXJLby4L/?symbol=NSE%3AORKLAINDIA" TargetMode="External"/><Relationship Id="rId2050" Type="http://schemas.openxmlformats.org/officeDocument/2006/relationships/hyperlink" Target="https://in.tradingview.com/chart/bXJLby4L/?symbol=NSE%3AIITL" TargetMode="External"/><Relationship Id="rId3382" Type="http://schemas.openxmlformats.org/officeDocument/2006/relationships/hyperlink" Target="https://in.tradingview.com/chart/bXJLby4L/?symbol=NSE%3AORTINGLOBE" TargetMode="External"/><Relationship Id="rId2051" Type="http://schemas.openxmlformats.org/officeDocument/2006/relationships/hyperlink" Target="https://in.tradingview.com/chart/Cgv3Jm6J/?symbol=NSE%3AKABRAEXTRU" TargetMode="External"/><Relationship Id="rId3381" Type="http://schemas.openxmlformats.org/officeDocument/2006/relationships/hyperlink" Target="https://in.tradingview.com/chart/Cgv3Jm6J/?symbol=NSE%3ARRKABEL" TargetMode="External"/><Relationship Id="rId2052" Type="http://schemas.openxmlformats.org/officeDocument/2006/relationships/hyperlink" Target="https://in.tradingview.com/chart/bXJLby4L/?symbol=NSE%3AINFIBEAM" TargetMode="External"/><Relationship Id="rId3384" Type="http://schemas.openxmlformats.org/officeDocument/2006/relationships/hyperlink" Target="https://in.tradingview.com/chart/bXJLby4L/?symbol=NSE%3AOSIAHYPER" TargetMode="External"/><Relationship Id="rId2053" Type="http://schemas.openxmlformats.org/officeDocument/2006/relationships/hyperlink" Target="https://in.tradingview.com/chart/Cgv3Jm6J/?symbol=NSE%3AKAJARIACER" TargetMode="External"/><Relationship Id="rId3383" Type="http://schemas.openxmlformats.org/officeDocument/2006/relationships/hyperlink" Target="https://in.tradingview.com/chart/Cgv3Jm6J/?symbol=NSE%3ARSSOFTWARE" TargetMode="External"/><Relationship Id="rId2054" Type="http://schemas.openxmlformats.org/officeDocument/2006/relationships/hyperlink" Target="https://in.tradingview.com/chart/bXJLby4L/?symbol=NSE%3ANAUKRI" TargetMode="External"/><Relationship Id="rId3386" Type="http://schemas.openxmlformats.org/officeDocument/2006/relationships/hyperlink" Target="https://in.tradingview.com/chart/bXJLby4L/?symbol=NSE%3AOSWALAGRO" TargetMode="External"/><Relationship Id="rId2055" Type="http://schemas.openxmlformats.org/officeDocument/2006/relationships/hyperlink" Target="https://in.tradingview.com/chart/Cgv3Jm6J/?symbol=NSE%3AKAKATCEM" TargetMode="External"/><Relationship Id="rId3385" Type="http://schemas.openxmlformats.org/officeDocument/2006/relationships/hyperlink" Target="https://in.tradingview.com/chart/Cgv3Jm6J/?symbol=NSE%3ARSWM" TargetMode="External"/><Relationship Id="rId2056" Type="http://schemas.openxmlformats.org/officeDocument/2006/relationships/hyperlink" Target="https://in.tradingview.com/chart/bXJLby4L/?symbol=NSE%3AINFOBEAN" TargetMode="External"/><Relationship Id="rId3388" Type="http://schemas.openxmlformats.org/officeDocument/2006/relationships/hyperlink" Target="https://in.tradingview.com/chart/bXJLby4L/?symbol=NSE%3AOSWALGREEN" TargetMode="External"/><Relationship Id="rId2057" Type="http://schemas.openxmlformats.org/officeDocument/2006/relationships/hyperlink" Target="https://in.tradingview.com/chart/Cgv3Jm6J/?symbol=NSE%3AKALAMANDIR" TargetMode="External"/><Relationship Id="rId3387" Type="http://schemas.openxmlformats.org/officeDocument/2006/relationships/hyperlink" Target="https://in.tradingview.com/chart/Cgv3Jm6J/?symbol=NSE%3ARSYSTEMS" TargetMode="External"/><Relationship Id="rId2058" Type="http://schemas.openxmlformats.org/officeDocument/2006/relationships/hyperlink" Target="https://in.tradingview.com/chart/bXJLby4L/?symbol=NSE%3AINFOMEDIA" TargetMode="External"/><Relationship Id="rId2059" Type="http://schemas.openxmlformats.org/officeDocument/2006/relationships/hyperlink" Target="https://in.tradingview.com/chart/Cgv3Jm6J/?symbol=NSE%3AKALYANKJIL" TargetMode="External"/><Relationship Id="rId3389" Type="http://schemas.openxmlformats.org/officeDocument/2006/relationships/hyperlink" Target="https://in.tradingview.com/chart/Cgv3Jm6J/?symbol=NSE%3ARTNINDIA" TargetMode="External"/><Relationship Id="rId2080" Type="http://schemas.openxmlformats.org/officeDocument/2006/relationships/hyperlink" Target="https://in.tradingview.com/chart/bXJLby4L/?symbol=NSE%3AINTENTECH" TargetMode="External"/><Relationship Id="rId2081" Type="http://schemas.openxmlformats.org/officeDocument/2006/relationships/hyperlink" Target="https://in.tradingview.com/chart/Cgv3Jm6J/?symbol=NSE%3AKAYA" TargetMode="External"/><Relationship Id="rId2082" Type="http://schemas.openxmlformats.org/officeDocument/2006/relationships/hyperlink" Target="https://in.tradingview.com/chart/bXJLby4L/?symbol=NSE%3AINTERARCH" TargetMode="External"/><Relationship Id="rId2083" Type="http://schemas.openxmlformats.org/officeDocument/2006/relationships/hyperlink" Target="https://in.tradingview.com/chart/Cgv3Jm6J/?symbol=NSE%3AKAYNES" TargetMode="External"/><Relationship Id="rId2084" Type="http://schemas.openxmlformats.org/officeDocument/2006/relationships/hyperlink" Target="https://in.tradingview.com/chart/bXJLby4L/?symbol=NSE%3AINDIGO" TargetMode="External"/><Relationship Id="rId2085" Type="http://schemas.openxmlformats.org/officeDocument/2006/relationships/hyperlink" Target="https://in.tradingview.com/chart/Cgv3Jm6J/?symbol=NSE%3AKCP" TargetMode="External"/><Relationship Id="rId2086" Type="http://schemas.openxmlformats.org/officeDocument/2006/relationships/hyperlink" Target="https://in.tradingview.com/chart/bXJLby4L/?symbol=NSE%3AINTLCONV" TargetMode="External"/><Relationship Id="rId2087" Type="http://schemas.openxmlformats.org/officeDocument/2006/relationships/hyperlink" Target="https://in.tradingview.com/chart/Cgv3Jm6J/?symbol=NSE%3AKCPSUGIND" TargetMode="External"/><Relationship Id="rId2088" Type="http://schemas.openxmlformats.org/officeDocument/2006/relationships/hyperlink" Target="https://in.tradingview.com/chart/bXJLby4L/?symbol=NSE%3AIGIL" TargetMode="External"/><Relationship Id="rId2089" Type="http://schemas.openxmlformats.org/officeDocument/2006/relationships/hyperlink" Target="https://in.tradingview.com/chart/Cgv3Jm6J/?symbol=NSE%3AKDDL" TargetMode="External"/><Relationship Id="rId2070" Type="http://schemas.openxmlformats.org/officeDocument/2006/relationships/hyperlink" Target="https://in.tradingview.com/chart/bXJLby4L/?symbol=NSE%3AINOXINDIA" TargetMode="External"/><Relationship Id="rId2071" Type="http://schemas.openxmlformats.org/officeDocument/2006/relationships/hyperlink" Target="https://in.tradingview.com/chart/Cgv3Jm6J/?symbol=NSE%3AKANSAINER" TargetMode="External"/><Relationship Id="rId2072" Type="http://schemas.openxmlformats.org/officeDocument/2006/relationships/hyperlink" Target="https://in.tradingview.com/chart/bXJLby4L/?symbol=NSE%3AINOXWIND" TargetMode="External"/><Relationship Id="rId2073" Type="http://schemas.openxmlformats.org/officeDocument/2006/relationships/hyperlink" Target="https://in.tradingview.com/chart/Cgv3Jm6J/?symbol=NSE%3AKAPSTON" TargetMode="External"/><Relationship Id="rId2074" Type="http://schemas.openxmlformats.org/officeDocument/2006/relationships/hyperlink" Target="https://in.tradingview.com/chart/bXJLby4L/?symbol=NSE%3AINSECTICID" TargetMode="External"/><Relationship Id="rId2075" Type="http://schemas.openxmlformats.org/officeDocument/2006/relationships/hyperlink" Target="https://in.tradingview.com/chart/Cgv3Jm6J/?symbol=NSE%3AKARMAENG" TargetMode="External"/><Relationship Id="rId2076" Type="http://schemas.openxmlformats.org/officeDocument/2006/relationships/hyperlink" Target="https://in.tradingview.com/chart/bXJLby4L/?symbol=NSE%3AINSPIRISYS" TargetMode="External"/><Relationship Id="rId2077" Type="http://schemas.openxmlformats.org/officeDocument/2006/relationships/hyperlink" Target="https://in.tradingview.com/chart/Cgv3Jm6J/?symbol=NSE%3AKARURVYSYA" TargetMode="External"/><Relationship Id="rId2078" Type="http://schemas.openxmlformats.org/officeDocument/2006/relationships/hyperlink" Target="https://in.tradingview.com/chart/bXJLby4L/?symbol=NSE%3AINTELLECT" TargetMode="External"/><Relationship Id="rId2079" Type="http://schemas.openxmlformats.org/officeDocument/2006/relationships/hyperlink" Target="https://in.tradingview.com/chart/Cgv3Jm6J/?symbol=NSE%3AKAUSHALYA" TargetMode="External"/><Relationship Id="rId2940" Type="http://schemas.openxmlformats.org/officeDocument/2006/relationships/hyperlink" Target="https://in.tradingview.com/chart/bXJLby4L/?symbol=NSE%3ARADIOCITY" TargetMode="External"/><Relationship Id="rId1610" Type="http://schemas.openxmlformats.org/officeDocument/2006/relationships/hyperlink" Target="https://in.tradingview.com/chart/bXJLby4L/?symbol=NSE%3AGROWWRLTY" TargetMode="External"/><Relationship Id="rId2941" Type="http://schemas.openxmlformats.org/officeDocument/2006/relationships/hyperlink" Target="https://in.tradingview.com/chart/Cgv3Jm6J/?symbol=NSE%3AORIENTCEM" TargetMode="External"/><Relationship Id="rId1611" Type="http://schemas.openxmlformats.org/officeDocument/2006/relationships/hyperlink" Target="https://in.tradingview.com/chart/Cgv3Jm6J/?symbol=NSE%3AHEMIPROP" TargetMode="External"/><Relationship Id="rId2942" Type="http://schemas.openxmlformats.org/officeDocument/2006/relationships/hyperlink" Target="https://in.tradingview.com/chart/bXJLby4L/?symbol=NSE%3AMUTHOOTCAP" TargetMode="External"/><Relationship Id="rId1612" Type="http://schemas.openxmlformats.org/officeDocument/2006/relationships/hyperlink" Target="https://in.tradingview.com/chart/bXJLby4L/?symbol=NSE%3AGROWWSC250" TargetMode="External"/><Relationship Id="rId2943" Type="http://schemas.openxmlformats.org/officeDocument/2006/relationships/hyperlink" Target="https://in.tradingview.com/chart/Cgv3Jm6J/?symbol=NSE%3AORIENTCER" TargetMode="External"/><Relationship Id="rId1613" Type="http://schemas.openxmlformats.org/officeDocument/2006/relationships/hyperlink" Target="https://in.tradingview.com/chart/Cgv3Jm6J/?symbol=NSE%3AHERANBA" TargetMode="External"/><Relationship Id="rId2944" Type="http://schemas.openxmlformats.org/officeDocument/2006/relationships/hyperlink" Target="https://in.tradingview.com/chart/bXJLby4L/?symbol=NSE%3AMUTHOOTFIN" TargetMode="External"/><Relationship Id="rId1614" Type="http://schemas.openxmlformats.org/officeDocument/2006/relationships/hyperlink" Target="https://in.tradingview.com/chart/bXJLby4L/?symbol=NSE%3AGROWWNIFTY" TargetMode="External"/><Relationship Id="rId2945" Type="http://schemas.openxmlformats.org/officeDocument/2006/relationships/hyperlink" Target="https://in.tradingview.com/chart/Cgv3Jm6J/?symbol=NSE%3AORIENTELEC" TargetMode="External"/><Relationship Id="rId1615" Type="http://schemas.openxmlformats.org/officeDocument/2006/relationships/hyperlink" Target="https://in.tradingview.com/chart/Cgv3Jm6J/?symbol=NSE%3AHERCULES" TargetMode="External"/><Relationship Id="rId2946" Type="http://schemas.openxmlformats.org/officeDocument/2006/relationships/hyperlink" Target="https://in.tradingview.com/chart/bXJLby4L/?symbol=NSE%3AMUTHOOTMF" TargetMode="External"/><Relationship Id="rId1616" Type="http://schemas.openxmlformats.org/officeDocument/2006/relationships/hyperlink" Target="https://in.tradingview.com/chart/bXJLby4L/?symbol=NSE%3AGROWWSLVR" TargetMode="External"/><Relationship Id="rId2947" Type="http://schemas.openxmlformats.org/officeDocument/2006/relationships/hyperlink" Target="https://in.tradingview.com/chart/Cgv3Jm6J/?symbol=NSE%3AORIENTHOT" TargetMode="External"/><Relationship Id="rId907" Type="http://schemas.openxmlformats.org/officeDocument/2006/relationships/hyperlink" Target="https://in.tradingview.com/chart/Cgv3Jm6J/?symbol=NSE%3ADCBBANK" TargetMode="External"/><Relationship Id="rId1617" Type="http://schemas.openxmlformats.org/officeDocument/2006/relationships/hyperlink" Target="https://in.tradingview.com/chart/Cgv3Jm6J/?symbol=NSE%3AHERITGFOOD" TargetMode="External"/><Relationship Id="rId2948" Type="http://schemas.openxmlformats.org/officeDocument/2006/relationships/hyperlink" Target="https://in.tradingview.com/chart/bXJLby4L/?symbol=NSE%3ANRAIL" TargetMode="External"/><Relationship Id="rId906" Type="http://schemas.openxmlformats.org/officeDocument/2006/relationships/hyperlink" Target="https://in.tradingview.com/chart/bXJLby4L/?symbol=NSE%3ACOALINDIA" TargetMode="External"/><Relationship Id="rId1618" Type="http://schemas.openxmlformats.org/officeDocument/2006/relationships/hyperlink" Target="https://in.tradingview.com/chart/bXJLby4L/?symbol=NSE%3AGRPLTD" TargetMode="External"/><Relationship Id="rId2949" Type="http://schemas.openxmlformats.org/officeDocument/2006/relationships/hyperlink" Target="https://in.tradingview.com/chart/Cgv3Jm6J/?symbol=NSE%3AORIENTLTD" TargetMode="External"/><Relationship Id="rId905" Type="http://schemas.openxmlformats.org/officeDocument/2006/relationships/hyperlink" Target="https://in.tradingview.com/chart/Cgv3Jm6J/?symbol=NSE%3ADCAL" TargetMode="External"/><Relationship Id="rId1619" Type="http://schemas.openxmlformats.org/officeDocument/2006/relationships/hyperlink" Target="https://in.tradingview.com/chart/Cgv3Jm6J/?symbol=NSE%3AHEROMOTOCO" TargetMode="External"/><Relationship Id="rId904" Type="http://schemas.openxmlformats.org/officeDocument/2006/relationships/hyperlink" Target="https://in.tradingview.com/chart/bXJLby4L/?symbol=NSE%3ACNXSMALLCAP" TargetMode="External"/><Relationship Id="rId909" Type="http://schemas.openxmlformats.org/officeDocument/2006/relationships/hyperlink" Target="https://in.tradingview.com/chart/Cgv3Jm6J/?symbol=NSE%3ADCI" TargetMode="External"/><Relationship Id="rId908" Type="http://schemas.openxmlformats.org/officeDocument/2006/relationships/hyperlink" Target="https://in.tradingview.com/chart/bXJLby4L/?symbol=NSE%3ACOASTCORP" TargetMode="External"/><Relationship Id="rId903" Type="http://schemas.openxmlformats.org/officeDocument/2006/relationships/hyperlink" Target="https://in.tradingview.com/chart/Cgv3Jm6J/?symbol=NSE%3ADBSTOCKBRO" TargetMode="External"/><Relationship Id="rId902" Type="http://schemas.openxmlformats.org/officeDocument/2006/relationships/hyperlink" Target="https://in.tradingview.com/chart/bXJLby4L/?symbol=NSE%3ACNXREALTY" TargetMode="External"/><Relationship Id="rId901" Type="http://schemas.openxmlformats.org/officeDocument/2006/relationships/hyperlink" Target="https://in.tradingview.com/chart/Cgv3Jm6J/?symbol=NSE%3ADBREALTY" TargetMode="External"/><Relationship Id="rId900" Type="http://schemas.openxmlformats.org/officeDocument/2006/relationships/hyperlink" Target="https://in.tradingview.com/chart/bXJLby4L/?symbol=NSE%3ACNXPSE" TargetMode="External"/><Relationship Id="rId2930" Type="http://schemas.openxmlformats.org/officeDocument/2006/relationships/hyperlink" Target="https://in.tradingview.com/chart/bXJLby4L/?symbol=NSE%3AMUKTAARTS" TargetMode="External"/><Relationship Id="rId1600" Type="http://schemas.openxmlformats.org/officeDocument/2006/relationships/hyperlink" Target="https://in.tradingview.com/chart/bXJLby4L/?symbol=NSE%3AGROWWDEFNC" TargetMode="External"/><Relationship Id="rId2931" Type="http://schemas.openxmlformats.org/officeDocument/2006/relationships/hyperlink" Target="https://in.tradingview.com/chart/Cgv3Jm6J/?symbol=NSE%3AORCHASP" TargetMode="External"/><Relationship Id="rId1601" Type="http://schemas.openxmlformats.org/officeDocument/2006/relationships/hyperlink" Target="https://in.tradingview.com/chart/Cgv3Jm6J/?symbol=NSE%3AHEALTHIETF" TargetMode="External"/><Relationship Id="rId2932" Type="http://schemas.openxmlformats.org/officeDocument/2006/relationships/hyperlink" Target="https://in.tradingview.com/chart/bXJLby4L/?symbol=NSE%3AMCX" TargetMode="External"/><Relationship Id="rId1602" Type="http://schemas.openxmlformats.org/officeDocument/2006/relationships/hyperlink" Target="https://in.tradingview.com/chart/bXJLby4L/?symbol=NSE%3AGROWWNET" TargetMode="External"/><Relationship Id="rId2933" Type="http://schemas.openxmlformats.org/officeDocument/2006/relationships/hyperlink" Target="https://in.tradingview.com/chart/Cgv3Jm6J/?symbol=NSE%3AORCHPHARMA" TargetMode="External"/><Relationship Id="rId1603" Type="http://schemas.openxmlformats.org/officeDocument/2006/relationships/hyperlink" Target="https://in.tradingview.com/chart/Cgv3Jm6J/?symbol=NSE%3AHEALTHY" TargetMode="External"/><Relationship Id="rId2934" Type="http://schemas.openxmlformats.org/officeDocument/2006/relationships/hyperlink" Target="https://in.tradingview.com/chart/bXJLby4L/?symbol=NSE%3AMUNJALAU" TargetMode="External"/><Relationship Id="rId1604" Type="http://schemas.openxmlformats.org/officeDocument/2006/relationships/hyperlink" Target="https://in.tradingview.com/chart/bXJLby4L/?symbol=NSE%3AGROWWRAIL" TargetMode="External"/><Relationship Id="rId2935" Type="http://schemas.openxmlformats.org/officeDocument/2006/relationships/hyperlink" Target="https://in.tradingview.com/chart/Cgv3Jm6J/?symbol=NSE%3AORICONENT" TargetMode="External"/><Relationship Id="rId1605" Type="http://schemas.openxmlformats.org/officeDocument/2006/relationships/hyperlink" Target="https://in.tradingview.com/chart/Cgv3Jm6J/?symbol=NSE%3AHECPROJECT" TargetMode="External"/><Relationship Id="rId2936" Type="http://schemas.openxmlformats.org/officeDocument/2006/relationships/hyperlink" Target="https://in.tradingview.com/chart/bXJLby4L/?symbol=NSE%3AMUNJALSHOW" TargetMode="External"/><Relationship Id="rId1606" Type="http://schemas.openxmlformats.org/officeDocument/2006/relationships/hyperlink" Target="https://in.tradingview.com/chart/bXJLby4L/?symbol=NSE%3AGROWWMC150" TargetMode="External"/><Relationship Id="rId2937" Type="http://schemas.openxmlformats.org/officeDocument/2006/relationships/hyperlink" Target="https://in.tradingview.com/chart/Cgv3Jm6J/?symbol=NSE%3AORIENTALTL" TargetMode="External"/><Relationship Id="rId1607" Type="http://schemas.openxmlformats.org/officeDocument/2006/relationships/hyperlink" Target="https://in.tradingview.com/chart/Cgv3Jm6J/?symbol=NSE%3AHEG" TargetMode="External"/><Relationship Id="rId2938" Type="http://schemas.openxmlformats.org/officeDocument/2006/relationships/hyperlink" Target="https://in.tradingview.com/chart/bXJLby4L/?symbol=NSE%3AMURUDCERA" TargetMode="External"/><Relationship Id="rId1608" Type="http://schemas.openxmlformats.org/officeDocument/2006/relationships/hyperlink" Target="https://in.tradingview.com/chart/bXJLby4L/?symbol=NSE%3AGROWWNXT50" TargetMode="External"/><Relationship Id="rId2939" Type="http://schemas.openxmlformats.org/officeDocument/2006/relationships/hyperlink" Target="https://in.tradingview.com/chart/Cgv3Jm6J/?symbol=NSE%3AORIENTBELL" TargetMode="External"/><Relationship Id="rId1609" Type="http://schemas.openxmlformats.org/officeDocument/2006/relationships/hyperlink" Target="https://in.tradingview.com/chart/Cgv3Jm6J/?symbol=NSE%3AHEIDELBERG" TargetMode="External"/><Relationship Id="rId1631" Type="http://schemas.openxmlformats.org/officeDocument/2006/relationships/hyperlink" Target="https://in.tradingview.com/chart/Cgv3Jm6J/?symbol=NSE%3AHGINFRA" TargetMode="External"/><Relationship Id="rId2962" Type="http://schemas.openxmlformats.org/officeDocument/2006/relationships/hyperlink" Target="https://in.tradingview.com/chart/bXJLby4L/?symbol=NSE%3ANAHARINDUS" TargetMode="External"/><Relationship Id="rId1632" Type="http://schemas.openxmlformats.org/officeDocument/2006/relationships/hyperlink" Target="https://in.tradingview.com/chart/bXJLby4L/?symbol=NSE%3AGUJAPOLLO" TargetMode="External"/><Relationship Id="rId2963" Type="http://schemas.openxmlformats.org/officeDocument/2006/relationships/hyperlink" Target="https://in.tradingview.com/chart/Cgv3Jm6J/?symbol=NSE%3AOSWALGREEN" TargetMode="External"/><Relationship Id="rId1633" Type="http://schemas.openxmlformats.org/officeDocument/2006/relationships/hyperlink" Target="https://in.tradingview.com/chart/Cgv3Jm6J/?symbol=NSE%3AHGS" TargetMode="External"/><Relationship Id="rId2964" Type="http://schemas.openxmlformats.org/officeDocument/2006/relationships/hyperlink" Target="https://in.tradingview.com/chart/bXJLby4L/?symbol=NSE%3ANAHARPOLY" TargetMode="External"/><Relationship Id="rId1634" Type="http://schemas.openxmlformats.org/officeDocument/2006/relationships/hyperlink" Target="https://in.tradingview.com/chart/bXJLby4L/?symbol=NSE%3AFLUOROCHEM" TargetMode="External"/><Relationship Id="rId2965" Type="http://schemas.openxmlformats.org/officeDocument/2006/relationships/hyperlink" Target="https://in.tradingview.com/chart/Cgv3Jm6J/?symbol=NSE%3AOSWALSEEDS" TargetMode="External"/><Relationship Id="rId1635" Type="http://schemas.openxmlformats.org/officeDocument/2006/relationships/hyperlink" Target="https://in.tradingview.com/chart/Cgv3Jm6J/?symbol=NSE%3AHIKAL" TargetMode="External"/><Relationship Id="rId2966" Type="http://schemas.openxmlformats.org/officeDocument/2006/relationships/hyperlink" Target="https://in.tradingview.com/chart/bXJLby4L/?symbol=NSE%3ANAHARSPING" TargetMode="External"/><Relationship Id="rId1636" Type="http://schemas.openxmlformats.org/officeDocument/2006/relationships/hyperlink" Target="https://in.tradingview.com/chart/bXJLby4L/?symbol=NSE%3AGUJGASLTD" TargetMode="External"/><Relationship Id="rId2967" Type="http://schemas.openxmlformats.org/officeDocument/2006/relationships/hyperlink" Target="https://in.tradingview.com/chart/Cgv3Jm6J/?symbol=NSE%3APAGEIND" TargetMode="External"/><Relationship Id="rId1637" Type="http://schemas.openxmlformats.org/officeDocument/2006/relationships/hyperlink" Target="https://in.tradingview.com/chart/Cgv3Jm6J/?symbol=NSE%3AHILTON" TargetMode="External"/><Relationship Id="rId2968" Type="http://schemas.openxmlformats.org/officeDocument/2006/relationships/hyperlink" Target="https://in.tradingview.com/chart/bXJLby4L/?symbol=NSE%3ANGIL" TargetMode="External"/><Relationship Id="rId1638" Type="http://schemas.openxmlformats.org/officeDocument/2006/relationships/hyperlink" Target="https://in.tradingview.com/chart/bXJLby4L/?symbol=NSE%3AGIPCL" TargetMode="External"/><Relationship Id="rId2969" Type="http://schemas.openxmlformats.org/officeDocument/2006/relationships/hyperlink" Target="https://in.tradingview.com/chart/Cgv3Jm6J/?symbol=NSE%3APAISALO" TargetMode="External"/><Relationship Id="rId929" Type="http://schemas.openxmlformats.org/officeDocument/2006/relationships/hyperlink" Target="https://in.tradingview.com/chart/Cgv3Jm6J/?symbol=NSE%3ADEEDEV" TargetMode="External"/><Relationship Id="rId1639" Type="http://schemas.openxmlformats.org/officeDocument/2006/relationships/hyperlink" Target="https://in.tradingview.com/chart/Cgv3Jm6J/?symbol=NSE%3AHIMATSEIDE" TargetMode="External"/><Relationship Id="rId928" Type="http://schemas.openxmlformats.org/officeDocument/2006/relationships/hyperlink" Target="https://in.tradingview.com/chart/bXJLby4L/?symbol=NSE%3ACEWATER" TargetMode="External"/><Relationship Id="rId927" Type="http://schemas.openxmlformats.org/officeDocument/2006/relationships/hyperlink" Target="https://in.tradingview.com/chart/Cgv3Jm6J/?symbol=NSE%3ADECCANCE" TargetMode="External"/><Relationship Id="rId926" Type="http://schemas.openxmlformats.org/officeDocument/2006/relationships/hyperlink" Target="https://in.tradingview.com/chart/bXJLby4L/?symbol=NSE%3ACONCORDBIO" TargetMode="External"/><Relationship Id="rId921" Type="http://schemas.openxmlformats.org/officeDocument/2006/relationships/hyperlink" Target="https://in.tradingview.com/chart/Cgv3Jm6J/?symbol=NSE%3ADCW" TargetMode="External"/><Relationship Id="rId920" Type="http://schemas.openxmlformats.org/officeDocument/2006/relationships/hyperlink" Target="https://in.tradingview.com/chart/bXJLby4L/?symbol=NSE%3ACOMSYN" TargetMode="External"/><Relationship Id="rId925" Type="http://schemas.openxmlformats.org/officeDocument/2006/relationships/hyperlink" Target="https://in.tradingview.com/chart/Cgv3Jm6J/?symbol=NSE%3ADDEVPLSTIK" TargetMode="External"/><Relationship Id="rId924" Type="http://schemas.openxmlformats.org/officeDocument/2006/relationships/hyperlink" Target="https://in.tradingview.com/chart/bXJLby4L/?symbol=NSE%3ACAMS" TargetMode="External"/><Relationship Id="rId923" Type="http://schemas.openxmlformats.org/officeDocument/2006/relationships/hyperlink" Target="https://in.tradingview.com/chart/Cgv3Jm6J/?symbol=NSE%3ADCXINDIA" TargetMode="External"/><Relationship Id="rId922" Type="http://schemas.openxmlformats.org/officeDocument/2006/relationships/hyperlink" Target="https://in.tradingview.com/chart/bXJLby4L/?symbol=NSE%3ACOMPUSOFT" TargetMode="External"/><Relationship Id="rId2960" Type="http://schemas.openxmlformats.org/officeDocument/2006/relationships/hyperlink" Target="https://in.tradingview.com/chart/bXJLby4L/?symbol=NSE%3ANAHARCAP" TargetMode="External"/><Relationship Id="rId1630" Type="http://schemas.openxmlformats.org/officeDocument/2006/relationships/hyperlink" Target="https://in.tradingview.com/chart/bXJLby4L/?symbol=NSE%3AGAEL" TargetMode="External"/><Relationship Id="rId2961" Type="http://schemas.openxmlformats.org/officeDocument/2006/relationships/hyperlink" Target="https://in.tradingview.com/chart/Cgv3Jm6J/?symbol=NSE%3AOSWALAGRO" TargetMode="External"/><Relationship Id="rId1620" Type="http://schemas.openxmlformats.org/officeDocument/2006/relationships/hyperlink" Target="https://in.tradingview.com/chart/bXJLby4L/?symbol=NSE%3AGSS" TargetMode="External"/><Relationship Id="rId2951" Type="http://schemas.openxmlformats.org/officeDocument/2006/relationships/hyperlink" Target="https://in.tradingview.com/chart/Cgv3Jm6J/?symbol=NSE%3AORIENTPPR" TargetMode="External"/><Relationship Id="rId1621" Type="http://schemas.openxmlformats.org/officeDocument/2006/relationships/hyperlink" Target="https://in.tradingview.com/chart/Cgv3Jm6J/?symbol=NSE%3AHESTERBIO" TargetMode="External"/><Relationship Id="rId2952" Type="http://schemas.openxmlformats.org/officeDocument/2006/relationships/hyperlink" Target="https://in.tradingview.com/chart/bXJLby4L/?symbol=NSE%3ANACLIND" TargetMode="External"/><Relationship Id="rId1622" Type="http://schemas.openxmlformats.org/officeDocument/2006/relationships/hyperlink" Target="https://in.tradingview.com/chart/bXJLby4L/?symbol=NSE%3AGTL" TargetMode="External"/><Relationship Id="rId2953" Type="http://schemas.openxmlformats.org/officeDocument/2006/relationships/hyperlink" Target="https://in.tradingview.com/chart/Cgv3Jm6J/?symbol=NSE%3AORIENTTECH" TargetMode="External"/><Relationship Id="rId1623" Type="http://schemas.openxmlformats.org/officeDocument/2006/relationships/hyperlink" Target="https://in.tradingview.com/chart/Cgv3Jm6J/?symbol=NSE%3AHEUBACHIND" TargetMode="External"/><Relationship Id="rId2954" Type="http://schemas.openxmlformats.org/officeDocument/2006/relationships/hyperlink" Target="https://in.tradingview.com/chart/bXJLby4L/?symbol=NSE%3ANDGL" TargetMode="External"/><Relationship Id="rId1624" Type="http://schemas.openxmlformats.org/officeDocument/2006/relationships/hyperlink" Target="https://in.tradingview.com/chart/bXJLby4L/?symbol=NSE%3AGTPL" TargetMode="External"/><Relationship Id="rId2955" Type="http://schemas.openxmlformats.org/officeDocument/2006/relationships/hyperlink" Target="https://in.tradingview.com/chart/Cgv3Jm6J/?symbol=NSE%3AORISSAMINE" TargetMode="External"/><Relationship Id="rId1625" Type="http://schemas.openxmlformats.org/officeDocument/2006/relationships/hyperlink" Target="https://in.tradingview.com/chart/Cgv3Jm6J/?symbol=NSE%3AHEXATRADEX" TargetMode="External"/><Relationship Id="rId2956" Type="http://schemas.openxmlformats.org/officeDocument/2006/relationships/hyperlink" Target="https://in.tradingview.com/chart/bXJLby4L/?symbol=NSE%3ANAGREEKCAP" TargetMode="External"/><Relationship Id="rId1626" Type="http://schemas.openxmlformats.org/officeDocument/2006/relationships/hyperlink" Target="https://in.tradingview.com/chart/bXJLby4L/?symbol=NSE%3AGUFICBIO" TargetMode="External"/><Relationship Id="rId2957" Type="http://schemas.openxmlformats.org/officeDocument/2006/relationships/hyperlink" Target="https://in.tradingview.com/chart/Cgv3Jm6J/?symbol=NSE%3AORTINGLOBE" TargetMode="External"/><Relationship Id="rId1627" Type="http://schemas.openxmlformats.org/officeDocument/2006/relationships/hyperlink" Target="https://in.tradingview.com/chart/Cgv3Jm6J/?symbol=NSE%3AHEXT" TargetMode="External"/><Relationship Id="rId2958" Type="http://schemas.openxmlformats.org/officeDocument/2006/relationships/hyperlink" Target="https://in.tradingview.com/chart/bXJLby4L/?symbol=NSE%3ANAGREEKEXP" TargetMode="External"/><Relationship Id="rId918" Type="http://schemas.openxmlformats.org/officeDocument/2006/relationships/hyperlink" Target="https://in.tradingview.com/chart/bXJLby4L/?symbol=NSE%3ACOLPAL" TargetMode="External"/><Relationship Id="rId1628" Type="http://schemas.openxmlformats.org/officeDocument/2006/relationships/hyperlink" Target="https://in.tradingview.com/chart/bXJLby4L/?symbol=NSE%3AGUJALKALI" TargetMode="External"/><Relationship Id="rId2959" Type="http://schemas.openxmlformats.org/officeDocument/2006/relationships/hyperlink" Target="https://in.tradingview.com/chart/Cgv3Jm6J/?symbol=NSE%3AOSIAHYPER" TargetMode="External"/><Relationship Id="rId917" Type="http://schemas.openxmlformats.org/officeDocument/2006/relationships/hyperlink" Target="https://in.tradingview.com/chart/Cgv3Jm6J/?symbol=NSE%3ADCMSHRIRAM" TargetMode="External"/><Relationship Id="rId1629" Type="http://schemas.openxmlformats.org/officeDocument/2006/relationships/hyperlink" Target="https://in.tradingview.com/chart/Cgv3Jm6J/?symbol=NSE%3AHFCL" TargetMode="External"/><Relationship Id="rId916" Type="http://schemas.openxmlformats.org/officeDocument/2006/relationships/hyperlink" Target="https://in.tradingview.com/chart/bXJLby4L/?symbol=NSE%3ACOHANCE" TargetMode="External"/><Relationship Id="rId915" Type="http://schemas.openxmlformats.org/officeDocument/2006/relationships/hyperlink" Target="https://in.tradingview.com/chart/Cgv3Jm6J/?symbol=NSE%3ADCMNVL" TargetMode="External"/><Relationship Id="rId919" Type="http://schemas.openxmlformats.org/officeDocument/2006/relationships/hyperlink" Target="https://in.tradingview.com/chart/Cgv3Jm6J/?symbol=NSE%3ADCMSRIND" TargetMode="External"/><Relationship Id="rId910" Type="http://schemas.openxmlformats.org/officeDocument/2006/relationships/hyperlink" Target="https://in.tradingview.com/chart/bXJLby4L/?symbol=NSE%3ACOCHINSHIP" TargetMode="External"/><Relationship Id="rId914" Type="http://schemas.openxmlformats.org/officeDocument/2006/relationships/hyperlink" Target="https://in.tradingview.com/chart/bXJLby4L/?symbol=NSE%3ACOFORGE" TargetMode="External"/><Relationship Id="rId913" Type="http://schemas.openxmlformats.org/officeDocument/2006/relationships/hyperlink" Target="https://in.tradingview.com/chart/Cgv3Jm6J/?symbol=NSE%3ADCMFINSERV" TargetMode="External"/><Relationship Id="rId912" Type="http://schemas.openxmlformats.org/officeDocument/2006/relationships/hyperlink" Target="https://in.tradingview.com/chart/bXJLby4L/?symbol=NSE%3ACOFFEEDAY" TargetMode="External"/><Relationship Id="rId911" Type="http://schemas.openxmlformats.org/officeDocument/2006/relationships/hyperlink" Target="https://in.tradingview.com/chart/Cgv3Jm6J/?symbol=NSE%3ADCM" TargetMode="External"/><Relationship Id="rId2950" Type="http://schemas.openxmlformats.org/officeDocument/2006/relationships/hyperlink" Target="https://in.tradingview.com/chart/bXJLby4L/?symbol=NSE%3ANBIFIN" TargetMode="External"/><Relationship Id="rId2900" Type="http://schemas.openxmlformats.org/officeDocument/2006/relationships/hyperlink" Target="https://in.tradingview.com/chart/bXJLby4L/?symbol=NSE%3AMOHEALTH" TargetMode="External"/><Relationship Id="rId2901" Type="http://schemas.openxmlformats.org/officeDocument/2006/relationships/hyperlink" Target="https://in.tradingview.com/chart/Cgv3Jm6J/?symbol=NSE%3AOILIETF" TargetMode="External"/><Relationship Id="rId2902" Type="http://schemas.openxmlformats.org/officeDocument/2006/relationships/hyperlink" Target="https://in.tradingview.com/chart/bXJLby4L/?symbol=NSE%3AMOLOWVOL" TargetMode="External"/><Relationship Id="rId2903" Type="http://schemas.openxmlformats.org/officeDocument/2006/relationships/hyperlink" Target="https://in.tradingview.com/chart/Cgv3Jm6J/?symbol=NSE%3AOLAELEC" TargetMode="External"/><Relationship Id="rId2904" Type="http://schemas.openxmlformats.org/officeDocument/2006/relationships/hyperlink" Target="https://in.tradingview.com/chart/bXJLby4L/?symbol=NSE%3AMOQUALITY" TargetMode="External"/><Relationship Id="rId2905" Type="http://schemas.openxmlformats.org/officeDocument/2006/relationships/hyperlink" Target="https://in.tradingview.com/chart/Cgv3Jm6J/?symbol=NSE%3AOLECTRA" TargetMode="External"/><Relationship Id="rId2906" Type="http://schemas.openxmlformats.org/officeDocument/2006/relationships/hyperlink" Target="https://in.tradingview.com/chart/bXJLby4L/?symbol=NSE%3AMOSILVER" TargetMode="External"/><Relationship Id="rId2907" Type="http://schemas.openxmlformats.org/officeDocument/2006/relationships/hyperlink" Target="https://in.tradingview.com/chart/Cgv3Jm6J/?symbol=NSE%3AOMAXAUTO" TargetMode="External"/><Relationship Id="rId2908" Type="http://schemas.openxmlformats.org/officeDocument/2006/relationships/hyperlink" Target="https://in.tradingview.com/chart/bXJLby4L/?symbol=NSE%3AMOTISONS" TargetMode="External"/><Relationship Id="rId2909" Type="http://schemas.openxmlformats.org/officeDocument/2006/relationships/hyperlink" Target="https://in.tradingview.com/chart/Cgv3Jm6J/?symbol=NSE%3AOMAXE" TargetMode="External"/><Relationship Id="rId2920" Type="http://schemas.openxmlformats.org/officeDocument/2006/relationships/hyperlink" Target="https://in.tradingview.com/chart/bXJLby4L/?symbol=NSE%3AMSTCLTD" TargetMode="External"/><Relationship Id="rId2921" Type="http://schemas.openxmlformats.org/officeDocument/2006/relationships/hyperlink" Target="https://in.tradingview.com/chart/Cgv3Jm6J/?symbol=NSE%3AONGC" TargetMode="External"/><Relationship Id="rId2922" Type="http://schemas.openxmlformats.org/officeDocument/2006/relationships/hyperlink" Target="https://in.tradingview.com/chart/bXJLby4L/?symbol=NSE%3AMTARTECH" TargetMode="External"/><Relationship Id="rId2923" Type="http://schemas.openxmlformats.org/officeDocument/2006/relationships/hyperlink" Target="https://in.tradingview.com/chart/Cgv3Jm6J/?symbol=NSE%3AONMOBILE" TargetMode="External"/><Relationship Id="rId2924" Type="http://schemas.openxmlformats.org/officeDocument/2006/relationships/hyperlink" Target="https://in.tradingview.com/chart/bXJLby4L/?symbol=NSE%3AMUFIN" TargetMode="External"/><Relationship Id="rId2925" Type="http://schemas.openxmlformats.org/officeDocument/2006/relationships/hyperlink" Target="https://in.tradingview.com/chart/Cgv3Jm6J/?symbol=NSE%3AONWARDTEC" TargetMode="External"/><Relationship Id="rId2926" Type="http://schemas.openxmlformats.org/officeDocument/2006/relationships/hyperlink" Target="https://in.tradingview.com/chart/bXJLby4L/?symbol=NSE%3AMUKANDLTD" TargetMode="External"/><Relationship Id="rId2927" Type="http://schemas.openxmlformats.org/officeDocument/2006/relationships/hyperlink" Target="https://in.tradingview.com/chart/Cgv3Jm6J/?symbol=NSE%3AOPTIEMUS" TargetMode="External"/><Relationship Id="rId2928" Type="http://schemas.openxmlformats.org/officeDocument/2006/relationships/hyperlink" Target="https://in.tradingview.com/chart/bXJLby4L/?symbol=NSE%3AMUKKA" TargetMode="External"/><Relationship Id="rId2929" Type="http://schemas.openxmlformats.org/officeDocument/2006/relationships/hyperlink" Target="https://in.tradingview.com/chart/Cgv3Jm6J/?symbol=NSE%3AORBTEXP" TargetMode="External"/><Relationship Id="rId2910" Type="http://schemas.openxmlformats.org/officeDocument/2006/relationships/hyperlink" Target="https://in.tradingview.com/chart/bXJLby4L/?symbol=NSE%3AMPHASIS" TargetMode="External"/><Relationship Id="rId2911" Type="http://schemas.openxmlformats.org/officeDocument/2006/relationships/hyperlink" Target="https://in.tradingview.com/chart/Cgv3Jm6J/?symbol=NSE%3AOMINFRAL" TargetMode="External"/><Relationship Id="rId2912" Type="http://schemas.openxmlformats.org/officeDocument/2006/relationships/hyperlink" Target="https://in.tradingview.com/chart/bXJLby4L/?symbol=NSE%3AMPSLTD" TargetMode="External"/><Relationship Id="rId2913" Type="http://schemas.openxmlformats.org/officeDocument/2006/relationships/hyperlink" Target="https://in.tradingview.com/chart/Cgv3Jm6J/?symbol=NSE%3AOMKARCHEM" TargetMode="External"/><Relationship Id="rId2914" Type="http://schemas.openxmlformats.org/officeDocument/2006/relationships/hyperlink" Target="https://in.tradingview.com/chart/bXJLby4L/?symbol=NSE%3AMRF" TargetMode="External"/><Relationship Id="rId2915" Type="http://schemas.openxmlformats.org/officeDocument/2006/relationships/hyperlink" Target="https://in.tradingview.com/chart/Cgv3Jm6J/?symbol=NSE%3AONELIFECAP" TargetMode="External"/><Relationship Id="rId2916" Type="http://schemas.openxmlformats.org/officeDocument/2006/relationships/hyperlink" Target="https://in.tradingview.com/chart/bXJLby4L/?symbol=NSE%3ABECTORFOOD" TargetMode="External"/><Relationship Id="rId2917" Type="http://schemas.openxmlformats.org/officeDocument/2006/relationships/hyperlink" Target="https://in.tradingview.com/chart/Cgv3Jm6J/?symbol=NSE%3AONEPOINT" TargetMode="External"/><Relationship Id="rId2918" Type="http://schemas.openxmlformats.org/officeDocument/2006/relationships/hyperlink" Target="https://in.tradingview.com/chart/bXJLby4L/?symbol=NSE%3AMSPL" TargetMode="External"/><Relationship Id="rId2919" Type="http://schemas.openxmlformats.org/officeDocument/2006/relationships/hyperlink" Target="https://in.tradingview.com/chart/Cgv3Jm6J/?symbol=NSE%3AONESOURCE" TargetMode="External"/><Relationship Id="rId1697" Type="http://schemas.openxmlformats.org/officeDocument/2006/relationships/hyperlink" Target="https://in.tradingview.com/chart/Cgv3Jm6J/?symbol=NSE%3AHSCL" TargetMode="External"/><Relationship Id="rId4723" Type="http://schemas.openxmlformats.org/officeDocument/2006/relationships/hyperlink" Target="https://in.tradingview.com/chart/bXJLby4L/?symbol=NSE%3ASML100CASE" TargetMode="External"/><Relationship Id="rId1698" Type="http://schemas.openxmlformats.org/officeDocument/2006/relationships/hyperlink" Target="https://in.tradingview.com/chart/bXJLby4L/?symbol=NSE%3AHDFCGOLD" TargetMode="External"/><Relationship Id="rId4722" Type="http://schemas.openxmlformats.org/officeDocument/2006/relationships/hyperlink" Target="https://in.tradingview.com/chart/bXJLby4L/?symbol=NSE%3AMID150CASE" TargetMode="External"/><Relationship Id="rId1699" Type="http://schemas.openxmlformats.org/officeDocument/2006/relationships/hyperlink" Target="https://in.tradingview.com/chart/Cgv3Jm6J/?symbol=NSE%3AHTMEDIA" TargetMode="External"/><Relationship Id="rId4725" Type="http://schemas.openxmlformats.org/officeDocument/2006/relationships/hyperlink" Target="https://in.tradingview.com/chart/bXJLby4L/?symbol=NSE%3AZFCVINDIA" TargetMode="External"/><Relationship Id="rId4724" Type="http://schemas.openxmlformats.org/officeDocument/2006/relationships/hyperlink" Target="https://in.tradingview.com/chart/bXJLby4L/?symbol=NSE%3ASILVERCASE" TargetMode="External"/><Relationship Id="rId4727" Type="http://schemas.openxmlformats.org/officeDocument/2006/relationships/hyperlink" Target="https://in.tradingview.com/chart/bXJLby4L/?symbol=NSE%3ABLACKBUCK" TargetMode="External"/><Relationship Id="rId4726" Type="http://schemas.openxmlformats.org/officeDocument/2006/relationships/hyperlink" Target="https://in.tradingview.com/chart/bXJLby4L/?symbol=NSE%3AZIMLAB" TargetMode="External"/><Relationship Id="rId4729" Type="http://schemas.openxmlformats.org/officeDocument/2006/relationships/hyperlink" Target="https://in.tradingview.com/chart/bXJLby4L/?symbol=NSE%3AZODIAC" TargetMode="External"/><Relationship Id="rId4728" Type="http://schemas.openxmlformats.org/officeDocument/2006/relationships/hyperlink" Target="https://in.tradingview.com/chart/bXJLby4L/?symbol=NSE%3AZODIACLOTH" TargetMode="External"/><Relationship Id="rId866" Type="http://schemas.openxmlformats.org/officeDocument/2006/relationships/hyperlink" Target="https://in.tradingview.com/chart/bXJLby4L/?symbol=NSE%3ACHOLAHLDNG" TargetMode="External"/><Relationship Id="rId865" Type="http://schemas.openxmlformats.org/officeDocument/2006/relationships/hyperlink" Target="https://in.tradingview.com/chart/Cgv3Jm6J/?symbol=NSE%3ACUMMINSIND" TargetMode="External"/><Relationship Id="rId864" Type="http://schemas.openxmlformats.org/officeDocument/2006/relationships/hyperlink" Target="https://in.tradingview.com/chart/bXJLby4L/?symbol=NSE%3ACHOICEIN" TargetMode="External"/><Relationship Id="rId863" Type="http://schemas.openxmlformats.org/officeDocument/2006/relationships/hyperlink" Target="https://in.tradingview.com/chart/Cgv3Jm6J/?symbol=NSE%3ACUBEXTUB" TargetMode="External"/><Relationship Id="rId869" Type="http://schemas.openxmlformats.org/officeDocument/2006/relationships/hyperlink" Target="https://in.tradingview.com/chart/Cgv3Jm6J/?symbol=NSE%3ACYBERMEDIA" TargetMode="External"/><Relationship Id="rId868" Type="http://schemas.openxmlformats.org/officeDocument/2006/relationships/hyperlink" Target="https://in.tradingview.com/chart/bXJLby4L/?symbol=NSE%3ACHOLAFIN" TargetMode="External"/><Relationship Id="rId867" Type="http://schemas.openxmlformats.org/officeDocument/2006/relationships/hyperlink" Target="https://in.tradingview.com/chart/Cgv3Jm6J/?symbol=NSE%3ACUPID" TargetMode="External"/><Relationship Id="rId1690" Type="http://schemas.openxmlformats.org/officeDocument/2006/relationships/hyperlink" Target="https://in.tradingview.com/chart/bXJLby4L/?symbol=NSE%3AHCLTECH" TargetMode="External"/><Relationship Id="rId1691" Type="http://schemas.openxmlformats.org/officeDocument/2006/relationships/hyperlink" Target="https://in.tradingview.com/chart/Cgv3Jm6J/?symbol=NSE%3AHPAL" TargetMode="External"/><Relationship Id="rId1692" Type="http://schemas.openxmlformats.org/officeDocument/2006/relationships/hyperlink" Target="https://in.tradingview.com/chart/bXJLby4L/?symbol=NSE%3AHDBFS" TargetMode="External"/><Relationship Id="rId862" Type="http://schemas.openxmlformats.org/officeDocument/2006/relationships/hyperlink" Target="https://in.tradingview.com/chart/bXJLby4L/?symbol=NSE%3ACHOICEGOLD" TargetMode="External"/><Relationship Id="rId1693" Type="http://schemas.openxmlformats.org/officeDocument/2006/relationships/hyperlink" Target="https://in.tradingview.com/chart/Cgv3Jm6J/?symbol=NSE%3AHPIL" TargetMode="External"/><Relationship Id="rId861" Type="http://schemas.openxmlformats.org/officeDocument/2006/relationships/hyperlink" Target="https://in.tradingview.com/chart/Cgv3Jm6J/?symbol=NSE%3ACUB" TargetMode="External"/><Relationship Id="rId1694" Type="http://schemas.openxmlformats.org/officeDocument/2006/relationships/hyperlink" Target="https://in.tradingview.com/chart/bXJLby4L/?symbol=NSE%3AHDFCAMC" TargetMode="External"/><Relationship Id="rId860" Type="http://schemas.openxmlformats.org/officeDocument/2006/relationships/hyperlink" Target="https://in.tradingview.com/chart/bXJLby4L/?symbol=NSE%3ACHEVIOT" TargetMode="External"/><Relationship Id="rId1695" Type="http://schemas.openxmlformats.org/officeDocument/2006/relationships/hyperlink" Target="https://in.tradingview.com/chart/Cgv3Jm6J/?symbol=NSE%3AHPL" TargetMode="External"/><Relationship Id="rId4721" Type="http://schemas.openxmlformats.org/officeDocument/2006/relationships/hyperlink" Target="https://in.tradingview.com/chart/bXJLby4L/?symbol=NSE%3ALTGILTCASE" TargetMode="External"/><Relationship Id="rId1696" Type="http://schemas.openxmlformats.org/officeDocument/2006/relationships/hyperlink" Target="https://in.tradingview.com/chart/bXJLby4L/?symbol=NSE%3AHDFCBANK" TargetMode="External"/><Relationship Id="rId4720" Type="http://schemas.openxmlformats.org/officeDocument/2006/relationships/hyperlink" Target="https://in.tradingview.com/chart/bXJLby4L/?symbol=NSE%3ANIFTYCASE" TargetMode="External"/><Relationship Id="rId1686" Type="http://schemas.openxmlformats.org/officeDocument/2006/relationships/hyperlink" Target="https://in.tradingview.com/chart/bXJLby4L/?symbol=NSE%3AHBLENGINE" TargetMode="External"/><Relationship Id="rId4712" Type="http://schemas.openxmlformats.org/officeDocument/2006/relationships/hyperlink" Target="https://in.tradingview.com/chart/bXJLby4L/?symbol=NSE%3AZEEMEDIA" TargetMode="External"/><Relationship Id="rId1687" Type="http://schemas.openxmlformats.org/officeDocument/2006/relationships/hyperlink" Target="https://in.tradingview.com/chart/Cgv3Jm6J/?symbol=NSE%3AHONAUT" TargetMode="External"/><Relationship Id="rId4711" Type="http://schemas.openxmlformats.org/officeDocument/2006/relationships/hyperlink" Target="https://in.tradingview.com/chart/bXJLby4L/?symbol=NSE%3AZEELEARN" TargetMode="External"/><Relationship Id="rId1688" Type="http://schemas.openxmlformats.org/officeDocument/2006/relationships/hyperlink" Target="https://in.tradingview.com/chart/bXJLby4L/?symbol=NSE%3AHCL-INSYS" TargetMode="External"/><Relationship Id="rId4714" Type="http://schemas.openxmlformats.org/officeDocument/2006/relationships/hyperlink" Target="https://in.tradingview.com/chart/bXJLby4L/?symbol=NSE%3AZENITHEXPO" TargetMode="External"/><Relationship Id="rId1689" Type="http://schemas.openxmlformats.org/officeDocument/2006/relationships/hyperlink" Target="https://in.tradingview.com/chart/Cgv3Jm6J/?symbol=NSE%3AHONDAPOWER" TargetMode="External"/><Relationship Id="rId4713" Type="http://schemas.openxmlformats.org/officeDocument/2006/relationships/hyperlink" Target="https://in.tradingview.com/chart/bXJLby4L/?symbol=NSE%3AZENTEC" TargetMode="External"/><Relationship Id="rId4716" Type="http://schemas.openxmlformats.org/officeDocument/2006/relationships/hyperlink" Target="https://in.tradingview.com/chart/bXJLby4L/?symbol=NSE%3AZENSARTECH" TargetMode="External"/><Relationship Id="rId4715" Type="http://schemas.openxmlformats.org/officeDocument/2006/relationships/hyperlink" Target="https://in.tradingview.com/chart/bXJLby4L/?symbol=NSE%3AZENITHSTL" TargetMode="External"/><Relationship Id="rId4718" Type="http://schemas.openxmlformats.org/officeDocument/2006/relationships/hyperlink" Target="https://in.tradingview.com/chart/bXJLby4L/?symbol=NSE%3ATOP100CASE" TargetMode="External"/><Relationship Id="rId4717" Type="http://schemas.openxmlformats.org/officeDocument/2006/relationships/hyperlink" Target="https://in.tradingview.com/chart/bXJLby4L/?symbol=NSE%3AGOLDCASE" TargetMode="External"/><Relationship Id="rId4719" Type="http://schemas.openxmlformats.org/officeDocument/2006/relationships/hyperlink" Target="https://in.tradingview.com/chart/bXJLby4L/?symbol=NSE%3ALIQUIDCASE" TargetMode="External"/><Relationship Id="rId855" Type="http://schemas.openxmlformats.org/officeDocument/2006/relationships/hyperlink" Target="https://in.tradingview.com/chart/Cgv3Jm6J/?symbol=NSE%3ACSBBANK" TargetMode="External"/><Relationship Id="rId854" Type="http://schemas.openxmlformats.org/officeDocument/2006/relationships/hyperlink" Target="https://in.tradingview.com/chart/bXJLby4L/?symbol=NSE%3ACHEMFAB" TargetMode="External"/><Relationship Id="rId853" Type="http://schemas.openxmlformats.org/officeDocument/2006/relationships/hyperlink" Target="https://in.tradingview.com/chart/Cgv3Jm6J/?symbol=NSE%3ACROWN" TargetMode="External"/><Relationship Id="rId852" Type="http://schemas.openxmlformats.org/officeDocument/2006/relationships/hyperlink" Target="https://in.tradingview.com/chart/bXJLby4L/?symbol=NSE%3ACHEMCON" TargetMode="External"/><Relationship Id="rId859" Type="http://schemas.openxmlformats.org/officeDocument/2006/relationships/hyperlink" Target="https://in.tradingview.com/chart/Cgv3Jm6J/?symbol=NSE%3ACTE" TargetMode="External"/><Relationship Id="rId858" Type="http://schemas.openxmlformats.org/officeDocument/2006/relationships/hyperlink" Target="https://in.tradingview.com/chart/bXJLby4L/?symbol=NSE%3ACHENNPETRO" TargetMode="External"/><Relationship Id="rId857" Type="http://schemas.openxmlformats.org/officeDocument/2006/relationships/hyperlink" Target="https://in.tradingview.com/chart/Cgv3Jm6J/?symbol=NSE%3ACSLFINANCE" TargetMode="External"/><Relationship Id="rId856" Type="http://schemas.openxmlformats.org/officeDocument/2006/relationships/hyperlink" Target="https://in.tradingview.com/chart/bXJLby4L/?symbol=NSE%3ACHEMPLASTS" TargetMode="External"/><Relationship Id="rId1680" Type="http://schemas.openxmlformats.org/officeDocument/2006/relationships/hyperlink" Target="https://in.tradingview.com/chart/bXJLby4L/?symbol=NSE%3AHATSUN" TargetMode="External"/><Relationship Id="rId1681" Type="http://schemas.openxmlformats.org/officeDocument/2006/relationships/hyperlink" Target="https://in.tradingview.com/chart/Cgv3Jm6J/?symbol=NSE%3AHNGSNGBEES" TargetMode="External"/><Relationship Id="rId851" Type="http://schemas.openxmlformats.org/officeDocument/2006/relationships/hyperlink" Target="https://in.tradingview.com/chart/Cgv3Jm6J/?symbol=NSE%3ACROMPTON" TargetMode="External"/><Relationship Id="rId1682" Type="http://schemas.openxmlformats.org/officeDocument/2006/relationships/hyperlink" Target="https://in.tradingview.com/chart/bXJLby4L/?symbol=NSE%3AHAVELLS" TargetMode="External"/><Relationship Id="rId850" Type="http://schemas.openxmlformats.org/officeDocument/2006/relationships/hyperlink" Target="https://in.tradingview.com/chart/bXJLby4L/?symbol=NSE%3ACHEMBOND" TargetMode="External"/><Relationship Id="rId1683" Type="http://schemas.openxmlformats.org/officeDocument/2006/relationships/hyperlink" Target="https://in.tradingview.com/chart/Cgv3Jm6J/?symbol=NSE%3AHOMEFIRST" TargetMode="External"/><Relationship Id="rId1684" Type="http://schemas.openxmlformats.org/officeDocument/2006/relationships/hyperlink" Target="https://in.tradingview.com/chart/bXJLby4L/?symbol=NSE%3AHBSL" TargetMode="External"/><Relationship Id="rId4710" Type="http://schemas.openxmlformats.org/officeDocument/2006/relationships/hyperlink" Target="https://in.tradingview.com/chart/bXJLby4L/?symbol=NSE%3AZEEL" TargetMode="External"/><Relationship Id="rId1685" Type="http://schemas.openxmlformats.org/officeDocument/2006/relationships/hyperlink" Target="https://in.tradingview.com/chart/Cgv3Jm6J/?symbol=NSE%3AHONASA" TargetMode="External"/><Relationship Id="rId3414" Type="http://schemas.openxmlformats.org/officeDocument/2006/relationships/hyperlink" Target="https://in.tradingview.com/chart/bXJLby4L/?symbol=NSE%3APAR" TargetMode="External"/><Relationship Id="rId3413" Type="http://schemas.openxmlformats.org/officeDocument/2006/relationships/hyperlink" Target="https://in.tradingview.com/chart/Cgv3Jm6J/?symbol=NSE%3AS_SPOWER" TargetMode="External"/><Relationship Id="rId3416" Type="http://schemas.openxmlformats.org/officeDocument/2006/relationships/hyperlink" Target="https://in.tradingview.com/chart/bXJLby4L/?symbol=NSE%3APARADEEP" TargetMode="External"/><Relationship Id="rId3415" Type="http://schemas.openxmlformats.org/officeDocument/2006/relationships/hyperlink" Target="https://in.tradingview.com/chart/Cgv3Jm6J/?symbol=NSE%3ASADBHIN" TargetMode="External"/><Relationship Id="rId3418" Type="http://schemas.openxmlformats.org/officeDocument/2006/relationships/hyperlink" Target="https://in.tradingview.com/chart/bXJLby4L/?symbol=NSE%3APARAGMILK" TargetMode="External"/><Relationship Id="rId3417" Type="http://schemas.openxmlformats.org/officeDocument/2006/relationships/hyperlink" Target="https://in.tradingview.com/chart/Cgv3Jm6J/?symbol=NSE%3ASADHNANIQ" TargetMode="External"/><Relationship Id="rId3419" Type="http://schemas.openxmlformats.org/officeDocument/2006/relationships/hyperlink" Target="https://in.tradingview.com/chart/Cgv3Jm6J/?symbol=NSE%3ASAFARI" TargetMode="External"/><Relationship Id="rId888" Type="http://schemas.openxmlformats.org/officeDocument/2006/relationships/hyperlink" Target="https://in.tradingview.com/chart/bXJLby4L/?symbol=NSE%3ACNXENERGY" TargetMode="External"/><Relationship Id="rId887" Type="http://schemas.openxmlformats.org/officeDocument/2006/relationships/hyperlink" Target="https://in.tradingview.com/chart/Cgv3Jm6J/?symbol=NSE%3ADANGEE" TargetMode="External"/><Relationship Id="rId886" Type="http://schemas.openxmlformats.org/officeDocument/2006/relationships/hyperlink" Target="https://in.tradingview.com/chart/bXJLby4L/?symbol=NSE%3ACMSINFO" TargetMode="External"/><Relationship Id="rId885" Type="http://schemas.openxmlformats.org/officeDocument/2006/relationships/hyperlink" Target="https://in.tradingview.com/chart/Cgv3Jm6J/?symbol=NSE%3ADAMODARIND" TargetMode="External"/><Relationship Id="rId889" Type="http://schemas.openxmlformats.org/officeDocument/2006/relationships/hyperlink" Target="https://in.tradingview.com/chart/Cgv3Jm6J/?symbol=NSE%3ADATAMATICS" TargetMode="External"/><Relationship Id="rId880" Type="http://schemas.openxmlformats.org/officeDocument/2006/relationships/hyperlink" Target="https://in.tradingview.com/chart/bXJLby4L/?symbol=NSE%3ACUB" TargetMode="External"/><Relationship Id="rId884" Type="http://schemas.openxmlformats.org/officeDocument/2006/relationships/hyperlink" Target="https://in.tradingview.com/chart/bXJLby4L/?symbol=NSE%3ACLEAN" TargetMode="External"/><Relationship Id="rId3410" Type="http://schemas.openxmlformats.org/officeDocument/2006/relationships/hyperlink" Target="https://in.tradingview.com/chart/bXJLby4L/?symbol=NSE%3APANAMAPET" TargetMode="External"/><Relationship Id="rId883" Type="http://schemas.openxmlformats.org/officeDocument/2006/relationships/hyperlink" Target="https://in.tradingview.com/chart/Cgv3Jm6J/?symbol=NSE%3ADAMCAPITAL" TargetMode="External"/><Relationship Id="rId882" Type="http://schemas.openxmlformats.org/officeDocument/2006/relationships/hyperlink" Target="https://in.tradingview.com/chart/bXJLby4L/?symbol=NSE%3ACLEDUCATE" TargetMode="External"/><Relationship Id="rId3412" Type="http://schemas.openxmlformats.org/officeDocument/2006/relationships/hyperlink" Target="https://in.tradingview.com/chart/bXJLby4L/?symbol=NSE%3APANSARI" TargetMode="External"/><Relationship Id="rId881" Type="http://schemas.openxmlformats.org/officeDocument/2006/relationships/hyperlink" Target="https://in.tradingview.com/chart/Cgv3Jm6J/?symbol=NSE%3ADALMIASUG" TargetMode="External"/><Relationship Id="rId3411" Type="http://schemas.openxmlformats.org/officeDocument/2006/relationships/hyperlink" Target="https://in.tradingview.com/chart/Cgv3Jm6J/?symbol=NSE%3ARVTH" TargetMode="External"/><Relationship Id="rId3403" Type="http://schemas.openxmlformats.org/officeDocument/2006/relationships/hyperlink" Target="https://in.tradingview.com/chart/Cgv3Jm6J/?symbol=NSE%3ARUSHIL" TargetMode="External"/><Relationship Id="rId4734" Type="http://schemas.openxmlformats.org/officeDocument/2006/relationships/hyperlink" Target="https://in.tradingview.com/chart/bXJLby4L/?symbol=NSE%3AZYDUSWELL" TargetMode="External"/><Relationship Id="rId3402" Type="http://schemas.openxmlformats.org/officeDocument/2006/relationships/hyperlink" Target="https://in.tradingview.com/chart/bXJLby4L/?symbol=NSE%3APALASHSECU" TargetMode="External"/><Relationship Id="rId4733" Type="http://schemas.openxmlformats.org/officeDocument/2006/relationships/hyperlink" Target="https://in.tradingview.com/chart/bXJLby4L/?symbol=NSE%3AZYDUSLIFE" TargetMode="External"/><Relationship Id="rId3405" Type="http://schemas.openxmlformats.org/officeDocument/2006/relationships/hyperlink" Target="https://in.tradingview.com/chart/Cgv3Jm6J/?symbol=NSE%3ARUSTOMJEE" TargetMode="External"/><Relationship Id="rId3404" Type="http://schemas.openxmlformats.org/officeDocument/2006/relationships/hyperlink" Target="https://in.tradingview.com/chart/bXJLby4L/?symbol=NSE%3APALREDTEC" TargetMode="External"/><Relationship Id="rId4735" Type="http://schemas.openxmlformats.org/officeDocument/2006/relationships/drawing" Target="../drawings/drawing1.xml"/><Relationship Id="rId3407" Type="http://schemas.openxmlformats.org/officeDocument/2006/relationships/hyperlink" Target="https://in.tradingview.com/chart/Cgv3Jm6J/?symbol=NSE%3ARVHL" TargetMode="External"/><Relationship Id="rId3406" Type="http://schemas.openxmlformats.org/officeDocument/2006/relationships/hyperlink" Target="https://in.tradingview.com/chart/bXJLby4L/?symbol=NSE%3APANACEABIO" TargetMode="External"/><Relationship Id="rId3409" Type="http://schemas.openxmlformats.org/officeDocument/2006/relationships/hyperlink" Target="https://in.tradingview.com/chart/Cgv3Jm6J/?symbol=NSE%3ARVNL" TargetMode="External"/><Relationship Id="rId3408" Type="http://schemas.openxmlformats.org/officeDocument/2006/relationships/hyperlink" Target="https://in.tradingview.com/chart/bXJLby4L/?symbol=NSE%3APANACHE" TargetMode="External"/><Relationship Id="rId877" Type="http://schemas.openxmlformats.org/officeDocument/2006/relationships/hyperlink" Target="https://in.tradingview.com/chart/Cgv3Jm6J/?symbol=NSE%3ADABUR" TargetMode="External"/><Relationship Id="rId876" Type="http://schemas.openxmlformats.org/officeDocument/2006/relationships/hyperlink" Target="https://in.tradingview.com/chart/bXJLby4L/?symbol=NSE%3ACINEVISTA" TargetMode="External"/><Relationship Id="rId875" Type="http://schemas.openxmlformats.org/officeDocument/2006/relationships/hyperlink" Target="https://in.tradingview.com/chart/Cgv3Jm6J/?symbol=NSE%3ACYIENTDLM" TargetMode="External"/><Relationship Id="rId874" Type="http://schemas.openxmlformats.org/officeDocument/2006/relationships/hyperlink" Target="https://in.tradingview.com/chart/bXJLby4L/?symbol=NSE%3ACINELINE" TargetMode="External"/><Relationship Id="rId879" Type="http://schemas.openxmlformats.org/officeDocument/2006/relationships/hyperlink" Target="https://in.tradingview.com/chart/Cgv3Jm6J/?symbol=NSE%3ADALBHARAT" TargetMode="External"/><Relationship Id="rId878" Type="http://schemas.openxmlformats.org/officeDocument/2006/relationships/hyperlink" Target="https://in.tradingview.com/chart/bXJLby4L/?symbol=NSE%3ACIPLA" TargetMode="External"/><Relationship Id="rId873" Type="http://schemas.openxmlformats.org/officeDocument/2006/relationships/hyperlink" Target="https://in.tradingview.com/chart/Cgv3Jm6J/?symbol=NSE%3ACYIENT" TargetMode="External"/><Relationship Id="rId4730" Type="http://schemas.openxmlformats.org/officeDocument/2006/relationships/hyperlink" Target="https://in.tradingview.com/chart/bXJLby4L/?symbol=NSE%3AZOTA" TargetMode="External"/><Relationship Id="rId872" Type="http://schemas.openxmlformats.org/officeDocument/2006/relationships/hyperlink" Target="https://in.tradingview.com/chart/bXJLby4L/?symbol=NSE%3ACIGNITITEC" TargetMode="External"/><Relationship Id="rId871" Type="http://schemas.openxmlformats.org/officeDocument/2006/relationships/hyperlink" Target="https://in.tradingview.com/chart/Cgv3Jm6J/?symbol=NSE%3ACYBERTECH" TargetMode="External"/><Relationship Id="rId3401" Type="http://schemas.openxmlformats.org/officeDocument/2006/relationships/hyperlink" Target="https://in.tradingview.com/chart/Cgv3Jm6J/?symbol=NSE%3ARUPA" TargetMode="External"/><Relationship Id="rId4732" Type="http://schemas.openxmlformats.org/officeDocument/2006/relationships/hyperlink" Target="https://in.tradingview.com/chart/bXJLby4L/?symbol=NSE%3AZUARIIND" TargetMode="External"/><Relationship Id="rId870" Type="http://schemas.openxmlformats.org/officeDocument/2006/relationships/hyperlink" Target="https://in.tradingview.com/chart/bXJLby4L/?symbol=NSE%3ACIEINDIA" TargetMode="External"/><Relationship Id="rId3400" Type="http://schemas.openxmlformats.org/officeDocument/2006/relationships/hyperlink" Target="https://in.tradingview.com/chart/bXJLby4L/?symbol=NSE%3APAKKA" TargetMode="External"/><Relationship Id="rId4731" Type="http://schemas.openxmlformats.org/officeDocument/2006/relationships/hyperlink" Target="https://in.tradingview.com/chart/bXJLby4L/?symbol=NSE%3AZUARI" TargetMode="External"/><Relationship Id="rId1653" Type="http://schemas.openxmlformats.org/officeDocument/2006/relationships/hyperlink" Target="https://in.tradingview.com/chart/Cgv3Jm6J/?symbol=NSE%3AHINDUNILVR" TargetMode="External"/><Relationship Id="rId2984" Type="http://schemas.openxmlformats.org/officeDocument/2006/relationships/hyperlink" Target="https://in.tradingview.com/chart/bXJLby4L/?symbol=NSE%3ANFL" TargetMode="External"/><Relationship Id="rId1654" Type="http://schemas.openxmlformats.org/officeDocument/2006/relationships/hyperlink" Target="https://in.tradingview.com/chart/bXJLby4L/?symbol=NSE%3AGULFOILLUB" TargetMode="External"/><Relationship Id="rId2985" Type="http://schemas.openxmlformats.org/officeDocument/2006/relationships/hyperlink" Target="https://in.tradingview.com/chart/Cgv3Jm6J/?symbol=NSE%3APARACABLES" TargetMode="External"/><Relationship Id="rId1655" Type="http://schemas.openxmlformats.org/officeDocument/2006/relationships/hyperlink" Target="https://in.tradingview.com/chart/Cgv3Jm6J/?symbol=NSE%3AHINDWAREAP" TargetMode="External"/><Relationship Id="rId2986" Type="http://schemas.openxmlformats.org/officeDocument/2006/relationships/hyperlink" Target="https://in.tradingview.com/chart/bXJLby4L/?symbol=NSE%3ANATCAPSUQ" TargetMode="External"/><Relationship Id="rId1656" Type="http://schemas.openxmlformats.org/officeDocument/2006/relationships/hyperlink" Target="https://in.tradingview.com/chart/bXJLby4L/?symbol=NSE%3AGULPOLY" TargetMode="External"/><Relationship Id="rId2987" Type="http://schemas.openxmlformats.org/officeDocument/2006/relationships/hyperlink" Target="https://in.tradingview.com/chart/Cgv3Jm6J/?symbol=NSE%3APARADEEP" TargetMode="External"/><Relationship Id="rId1657" Type="http://schemas.openxmlformats.org/officeDocument/2006/relationships/hyperlink" Target="https://in.tradingview.com/chart/Cgv3Jm6J/?symbol=NSE%3AHINDZINC" TargetMode="External"/><Relationship Id="rId2988" Type="http://schemas.openxmlformats.org/officeDocument/2006/relationships/hyperlink" Target="https://in.tradingview.com/chart/bXJLby4L/?symbol=NSE%3ANAVA" TargetMode="External"/><Relationship Id="rId1658" Type="http://schemas.openxmlformats.org/officeDocument/2006/relationships/hyperlink" Target="https://in.tradingview.com/chart/bXJLby4L/?symbol=NSE%3AGVPTECH" TargetMode="External"/><Relationship Id="rId2989" Type="http://schemas.openxmlformats.org/officeDocument/2006/relationships/hyperlink" Target="https://in.tradingview.com/chart/Cgv3Jm6J/?symbol=NSE%3APARAGMILK" TargetMode="External"/><Relationship Id="rId1659" Type="http://schemas.openxmlformats.org/officeDocument/2006/relationships/hyperlink" Target="https://in.tradingview.com/chart/Cgv3Jm6J/?symbol=NSE%3AHIRECT" TargetMode="External"/><Relationship Id="rId829" Type="http://schemas.openxmlformats.org/officeDocument/2006/relationships/hyperlink" Target="https://in.tradingview.com/chart/Cgv3Jm6J/?symbol=NSE%3ACORDSCABLE" TargetMode="External"/><Relationship Id="rId828" Type="http://schemas.openxmlformats.org/officeDocument/2006/relationships/hyperlink" Target="https://in.tradingview.com/chart/bXJLby4L/?symbol=NSE%3ACENTENKA" TargetMode="External"/><Relationship Id="rId827" Type="http://schemas.openxmlformats.org/officeDocument/2006/relationships/hyperlink" Target="https://in.tradingview.com/chart/Cgv3Jm6J/?symbol=NSE%3ACORALFINAC" TargetMode="External"/><Relationship Id="rId822" Type="http://schemas.openxmlformats.org/officeDocument/2006/relationships/hyperlink" Target="https://in.tradingview.com/chart/bXJLby4L/?symbol=NSE%3ACDSL" TargetMode="External"/><Relationship Id="rId821" Type="http://schemas.openxmlformats.org/officeDocument/2006/relationships/hyperlink" Target="https://in.tradingview.com/chart/Cgv3Jm6J/?symbol=NSE%3ACONSUMER" TargetMode="External"/><Relationship Id="rId820" Type="http://schemas.openxmlformats.org/officeDocument/2006/relationships/hyperlink" Target="https://in.tradingview.com/chart/bXJLby4L/?symbol=NSE%3ACENTRALBK" TargetMode="External"/><Relationship Id="rId826" Type="http://schemas.openxmlformats.org/officeDocument/2006/relationships/hyperlink" Target="https://in.tradingview.com/chart/bXJLby4L/?symbol=NSE%3ACENTUM" TargetMode="External"/><Relationship Id="rId825" Type="http://schemas.openxmlformats.org/officeDocument/2006/relationships/hyperlink" Target="https://in.tradingview.com/chart/Cgv3Jm6J/?symbol=NSE%3ACONTROLPR" TargetMode="External"/><Relationship Id="rId824" Type="http://schemas.openxmlformats.org/officeDocument/2006/relationships/hyperlink" Target="https://in.tradingview.com/chart/bXJLby4L/?symbol=NSE%3ACENTRUM" TargetMode="External"/><Relationship Id="rId823" Type="http://schemas.openxmlformats.org/officeDocument/2006/relationships/hyperlink" Target="https://in.tradingview.com/chart/Cgv3Jm6J/?symbol=NSE%3ACONSUMIETF" TargetMode="External"/><Relationship Id="rId2980" Type="http://schemas.openxmlformats.org/officeDocument/2006/relationships/hyperlink" Target="https://in.tradingview.com/chart/bXJLby4L/?symbol=NSE%3ANATHBIOGEN" TargetMode="External"/><Relationship Id="rId1650" Type="http://schemas.openxmlformats.org/officeDocument/2006/relationships/hyperlink" Target="https://in.tradingview.com/chart/bXJLby4L/?symbol=NSE%3AGSPL" TargetMode="External"/><Relationship Id="rId2981" Type="http://schemas.openxmlformats.org/officeDocument/2006/relationships/hyperlink" Target="https://in.tradingview.com/chart/Cgv3Jm6J/?symbol=NSE%3APANAMAPET" TargetMode="External"/><Relationship Id="rId1651" Type="http://schemas.openxmlformats.org/officeDocument/2006/relationships/hyperlink" Target="https://in.tradingview.com/chart/Cgv3Jm6J/?symbol=NSE%3AHINDPETRO" TargetMode="External"/><Relationship Id="rId2982" Type="http://schemas.openxmlformats.org/officeDocument/2006/relationships/hyperlink" Target="https://in.tradingview.com/chart/bXJLby4L/?symbol=NSE%3ANATIONALUM" TargetMode="External"/><Relationship Id="rId1652" Type="http://schemas.openxmlformats.org/officeDocument/2006/relationships/hyperlink" Target="https://in.tradingview.com/chart/bXJLby4L/?symbol=NSE%3AGUJTHEM" TargetMode="External"/><Relationship Id="rId2983" Type="http://schemas.openxmlformats.org/officeDocument/2006/relationships/hyperlink" Target="https://in.tradingview.com/chart/Cgv3Jm6J/?symbol=NSE%3APAR" TargetMode="External"/><Relationship Id="rId1642" Type="http://schemas.openxmlformats.org/officeDocument/2006/relationships/hyperlink" Target="https://in.tradingview.com/chart/bXJLby4L/?symbol=NSE%3AGNFC" TargetMode="External"/><Relationship Id="rId2973" Type="http://schemas.openxmlformats.org/officeDocument/2006/relationships/hyperlink" Target="https://in.tradingview.com/chart/Cgv3Jm6J/?symbol=NSE%3APALASHSECU" TargetMode="External"/><Relationship Id="rId1643" Type="http://schemas.openxmlformats.org/officeDocument/2006/relationships/hyperlink" Target="https://in.tradingview.com/chart/Cgv3Jm6J/?symbol=NSE%3AHINDCOMPOS" TargetMode="External"/><Relationship Id="rId2974" Type="http://schemas.openxmlformats.org/officeDocument/2006/relationships/hyperlink" Target="https://in.tradingview.com/chart/bXJLby4L/?symbol=NSE%3ANH" TargetMode="External"/><Relationship Id="rId1644" Type="http://schemas.openxmlformats.org/officeDocument/2006/relationships/hyperlink" Target="https://in.tradingview.com/chart/bXJLby4L/?symbol=NSE%3AGPPL" TargetMode="External"/><Relationship Id="rId2975" Type="http://schemas.openxmlformats.org/officeDocument/2006/relationships/hyperlink" Target="https://in.tradingview.com/chart/Cgv3Jm6J/?symbol=NSE%3APALREDTEC" TargetMode="External"/><Relationship Id="rId1645" Type="http://schemas.openxmlformats.org/officeDocument/2006/relationships/hyperlink" Target="https://in.tradingview.com/chart/Cgv3Jm6J/?symbol=NSE%3AHINDCON" TargetMode="External"/><Relationship Id="rId2976" Type="http://schemas.openxmlformats.org/officeDocument/2006/relationships/hyperlink" Target="https://in.tradingview.com/chart/bXJLby4L/?symbol=NSE%3ANARMADA" TargetMode="External"/><Relationship Id="rId1646" Type="http://schemas.openxmlformats.org/officeDocument/2006/relationships/hyperlink" Target="https://in.tradingview.com/chart/bXJLby4L/?symbol=NSE%3AGUJRAFFIA" TargetMode="External"/><Relationship Id="rId2977" Type="http://schemas.openxmlformats.org/officeDocument/2006/relationships/hyperlink" Target="https://in.tradingview.com/chart/Cgv3Jm6J/?symbol=NSE%3APANACEABIO" TargetMode="External"/><Relationship Id="rId1647" Type="http://schemas.openxmlformats.org/officeDocument/2006/relationships/hyperlink" Target="https://in.tradingview.com/chart/Cgv3Jm6J/?symbol=NSE%3AHINDCOPPER" TargetMode="External"/><Relationship Id="rId2978" Type="http://schemas.openxmlformats.org/officeDocument/2006/relationships/hyperlink" Target="https://in.tradingview.com/chart/bXJLby4L/?symbol=NSE%3ANATCOPHARM" TargetMode="External"/><Relationship Id="rId1648" Type="http://schemas.openxmlformats.org/officeDocument/2006/relationships/hyperlink" Target="https://in.tradingview.com/chart/bXJLby4L/?symbol=NSE%3AGSFC" TargetMode="External"/><Relationship Id="rId2979" Type="http://schemas.openxmlformats.org/officeDocument/2006/relationships/hyperlink" Target="https://in.tradingview.com/chart/Cgv3Jm6J/?symbol=NSE%3APANACHE" TargetMode="External"/><Relationship Id="rId1649" Type="http://schemas.openxmlformats.org/officeDocument/2006/relationships/hyperlink" Target="https://in.tradingview.com/chart/Cgv3Jm6J/?symbol=NSE%3AHINDOILEXP" TargetMode="External"/><Relationship Id="rId819" Type="http://schemas.openxmlformats.org/officeDocument/2006/relationships/hyperlink" Target="https://in.tradingview.com/chart/Cgv3Jm6J/?symbol=NSE%3ACONSUMBEES" TargetMode="External"/><Relationship Id="rId818" Type="http://schemas.openxmlformats.org/officeDocument/2006/relationships/hyperlink" Target="https://in.tradingview.com/chart/bXJLby4L/?symbol=NSE%3ACEMPRO" TargetMode="External"/><Relationship Id="rId817" Type="http://schemas.openxmlformats.org/officeDocument/2006/relationships/hyperlink" Target="https://in.tradingview.com/chart/Cgv3Jm6J/?symbol=NSE%3ACONSOFINVT" TargetMode="External"/><Relationship Id="rId816" Type="http://schemas.openxmlformats.org/officeDocument/2006/relationships/hyperlink" Target="https://in.tradingview.com/chart/bXJLby4L/?symbol=NSE%3ACELLO" TargetMode="External"/><Relationship Id="rId811" Type="http://schemas.openxmlformats.org/officeDocument/2006/relationships/hyperlink" Target="https://in.tradingview.com/chart/Cgv3Jm6J/?symbol=NSE%3ACONCORDBIO" TargetMode="External"/><Relationship Id="rId810" Type="http://schemas.openxmlformats.org/officeDocument/2006/relationships/hyperlink" Target="https://in.tradingview.com/chart/bXJLby4L/?symbol=NSE%3ACEATLTD" TargetMode="External"/><Relationship Id="rId815" Type="http://schemas.openxmlformats.org/officeDocument/2006/relationships/hyperlink" Target="https://in.tradingview.com/chart/Cgv3Jm6J/?symbol=NSE%3ACONS" TargetMode="External"/><Relationship Id="rId814" Type="http://schemas.openxmlformats.org/officeDocument/2006/relationships/hyperlink" Target="https://in.tradingview.com/chart/bXJLby4L/?symbol=NSE%3ACELEBRITY" TargetMode="External"/><Relationship Id="rId813" Type="http://schemas.openxmlformats.org/officeDocument/2006/relationships/hyperlink" Target="https://in.tradingview.com/chart/Cgv3Jm6J/?symbol=NSE%3ACONFIPET" TargetMode="External"/><Relationship Id="rId812" Type="http://schemas.openxmlformats.org/officeDocument/2006/relationships/hyperlink" Target="https://in.tradingview.com/chart/bXJLby4L/?symbol=NSE%3ACEIGALL" TargetMode="External"/><Relationship Id="rId2970" Type="http://schemas.openxmlformats.org/officeDocument/2006/relationships/hyperlink" Target="https://in.tradingview.com/chart/bXJLby4L/?symbol=NSE%3ANSIL" TargetMode="External"/><Relationship Id="rId1640" Type="http://schemas.openxmlformats.org/officeDocument/2006/relationships/hyperlink" Target="https://in.tradingview.com/chart/bXJLby4L/?symbol=NSE%3AGMDCLTD" TargetMode="External"/><Relationship Id="rId2971" Type="http://schemas.openxmlformats.org/officeDocument/2006/relationships/hyperlink" Target="https://in.tradingview.com/chart/Cgv3Jm6J/?symbol=NSE%3APAKKA" TargetMode="External"/><Relationship Id="rId1641" Type="http://schemas.openxmlformats.org/officeDocument/2006/relationships/hyperlink" Target="https://in.tradingview.com/chart/Cgv3Jm6J/?symbol=NSE%3AHINDALCO" TargetMode="External"/><Relationship Id="rId2972" Type="http://schemas.openxmlformats.org/officeDocument/2006/relationships/hyperlink" Target="https://in.tradingview.com/chart/bXJLby4L/?symbol=NSE%3AJAIPURKURT" TargetMode="External"/><Relationship Id="rId1675" Type="http://schemas.openxmlformats.org/officeDocument/2006/relationships/hyperlink" Target="https://in.tradingview.com/chart/Cgv3Jm6J/?symbol=NSE%3AHMT" TargetMode="External"/><Relationship Id="rId4701" Type="http://schemas.openxmlformats.org/officeDocument/2006/relationships/hyperlink" Target="https://in.tradingview.com/chart/bXJLby4L/?symbol=NSE%3AXELPMOC" TargetMode="External"/><Relationship Id="rId1676" Type="http://schemas.openxmlformats.org/officeDocument/2006/relationships/hyperlink" Target="https://in.tradingview.com/chart/bXJLby4L/?symbol=NSE%3AHARSHA" TargetMode="External"/><Relationship Id="rId4700" Type="http://schemas.openxmlformats.org/officeDocument/2006/relationships/hyperlink" Target="https://in.tradingview.com/chart/bXJLby4L/?symbol=NSE%3AXCHANGING" TargetMode="External"/><Relationship Id="rId1677" Type="http://schemas.openxmlformats.org/officeDocument/2006/relationships/hyperlink" Target="https://in.tradingview.com/chart/Cgv3Jm6J/?symbol=NSE%3AHMVL" TargetMode="External"/><Relationship Id="rId4703" Type="http://schemas.openxmlformats.org/officeDocument/2006/relationships/hyperlink" Target="https://in.tradingview.com/chart/bXJLby4L/?symbol=NSE%3AXTGLOBAL" TargetMode="External"/><Relationship Id="rId1678" Type="http://schemas.openxmlformats.org/officeDocument/2006/relationships/hyperlink" Target="https://in.tradingview.com/chart/bXJLby4L/?symbol=NSE%3AHATHWAY" TargetMode="External"/><Relationship Id="rId4702" Type="http://schemas.openxmlformats.org/officeDocument/2006/relationships/hyperlink" Target="https://in.tradingview.com/chart/bXJLby4L/?symbol=NSE%3AXPROINDIA" TargetMode="External"/><Relationship Id="rId1679" Type="http://schemas.openxmlformats.org/officeDocument/2006/relationships/hyperlink" Target="https://in.tradingview.com/chart/Cgv3Jm6J/?symbol=NSE%3AHNDFDS" TargetMode="External"/><Relationship Id="rId4705" Type="http://schemas.openxmlformats.org/officeDocument/2006/relationships/hyperlink" Target="https://in.tradingview.com/chart/bXJLby4L/?symbol=NSE%3AYATHARTH" TargetMode="External"/><Relationship Id="rId4704" Type="http://schemas.openxmlformats.org/officeDocument/2006/relationships/hyperlink" Target="https://in.tradingview.com/chart/bXJLby4L/?symbol=NSE%3AYASHO" TargetMode="External"/><Relationship Id="rId4707" Type="http://schemas.openxmlformats.org/officeDocument/2006/relationships/hyperlink" Target="https://in.tradingview.com/chart/bXJLby4L/?symbol=NSE%3AYESBANK" TargetMode="External"/><Relationship Id="rId4706" Type="http://schemas.openxmlformats.org/officeDocument/2006/relationships/hyperlink" Target="https://in.tradingview.com/chart/bXJLby4L/?symbol=NSE%3AYATRA" TargetMode="External"/><Relationship Id="rId4709" Type="http://schemas.openxmlformats.org/officeDocument/2006/relationships/hyperlink" Target="https://in.tradingview.com/chart/bXJLby4L/?symbol=NSE%3AZAGGLE" TargetMode="External"/><Relationship Id="rId4708" Type="http://schemas.openxmlformats.org/officeDocument/2006/relationships/hyperlink" Target="https://in.tradingview.com/chart/bXJLby4L/?symbol=NSE%3AYUKEN" TargetMode="External"/><Relationship Id="rId849" Type="http://schemas.openxmlformats.org/officeDocument/2006/relationships/hyperlink" Target="https://in.tradingview.com/chart/Cgv3Jm6J/?symbol=NSE%3ACRISIL" TargetMode="External"/><Relationship Id="rId844" Type="http://schemas.openxmlformats.org/officeDocument/2006/relationships/hyperlink" Target="https://in.tradingview.com/chart/bXJLby4L/?symbol=NSE%3ACLSEL" TargetMode="External"/><Relationship Id="rId843" Type="http://schemas.openxmlformats.org/officeDocument/2006/relationships/hyperlink" Target="https://in.tradingview.com/chart/Cgv3Jm6J/?symbol=NSE%3ACREATIVEYE" TargetMode="External"/><Relationship Id="rId842" Type="http://schemas.openxmlformats.org/officeDocument/2006/relationships/hyperlink" Target="https://in.tradingview.com/chart/bXJLby4L/?symbol=NSE%3ACHALET" TargetMode="External"/><Relationship Id="rId841" Type="http://schemas.openxmlformats.org/officeDocument/2006/relationships/hyperlink" Target="https://in.tradingview.com/chart/Cgv3Jm6J/?symbol=NSE%3ACREATIVE" TargetMode="External"/><Relationship Id="rId848" Type="http://schemas.openxmlformats.org/officeDocument/2006/relationships/hyperlink" Target="https://in.tradingview.com/chart/bXJLby4L/?symbol=NSE%3ACHEMBONDCH" TargetMode="External"/><Relationship Id="rId847" Type="http://schemas.openxmlformats.org/officeDocument/2006/relationships/hyperlink" Target="https://in.tradingview.com/chart/Cgv3Jm6J/?symbol=NSE%3ACREST" TargetMode="External"/><Relationship Id="rId846" Type="http://schemas.openxmlformats.org/officeDocument/2006/relationships/hyperlink" Target="https://in.tradingview.com/chart/bXJLby4L/?symbol=NSE%3ACHAMBLFERT" TargetMode="External"/><Relationship Id="rId845" Type="http://schemas.openxmlformats.org/officeDocument/2006/relationships/hyperlink" Target="https://in.tradingview.com/chart/Cgv3Jm6J/?symbol=NSE%3ACREDITACC" TargetMode="External"/><Relationship Id="rId1670" Type="http://schemas.openxmlformats.org/officeDocument/2006/relationships/hyperlink" Target="https://in.tradingview.com/chart/bXJLby4L/?symbol=NSE%3AHARDWYN" TargetMode="External"/><Relationship Id="rId840" Type="http://schemas.openxmlformats.org/officeDocument/2006/relationships/hyperlink" Target="https://in.tradingview.com/chart/bXJLby4L/?symbol=NSE%3ACGPOWER" TargetMode="External"/><Relationship Id="rId1671" Type="http://schemas.openxmlformats.org/officeDocument/2006/relationships/hyperlink" Target="https://in.tradingview.com/chart/Cgv3Jm6J/?symbol=NSE%3AHLVLTD" TargetMode="External"/><Relationship Id="rId1672" Type="http://schemas.openxmlformats.org/officeDocument/2006/relationships/hyperlink" Target="https://in.tradingview.com/chart/bXJLby4L/?symbol=NSE%3AHARIOMPIPE" TargetMode="External"/><Relationship Id="rId1673" Type="http://schemas.openxmlformats.org/officeDocument/2006/relationships/hyperlink" Target="https://in.tradingview.com/chart/Cgv3Jm6J/?symbol=NSE%3AHMAAGRO" TargetMode="External"/><Relationship Id="rId1674" Type="http://schemas.openxmlformats.org/officeDocument/2006/relationships/hyperlink" Target="https://in.tradingview.com/chart/bXJLby4L/?symbol=NSE%3AHARRMALAYA" TargetMode="External"/><Relationship Id="rId1664" Type="http://schemas.openxmlformats.org/officeDocument/2006/relationships/hyperlink" Target="https://in.tradingview.com/chart/bXJLby4L/?symbol=NSE%3AHGM" TargetMode="External"/><Relationship Id="rId2995" Type="http://schemas.openxmlformats.org/officeDocument/2006/relationships/hyperlink" Target="https://in.tradingview.com/chart/Cgv3Jm6J/?symbol=NSE%3APARKHOTELS" TargetMode="External"/><Relationship Id="rId1665" Type="http://schemas.openxmlformats.org/officeDocument/2006/relationships/hyperlink" Target="https://in.tradingview.com/chart/Cgv3Jm6J/?symbol=NSE%3AHITECHCORP" TargetMode="External"/><Relationship Id="rId2996" Type="http://schemas.openxmlformats.org/officeDocument/2006/relationships/hyperlink" Target="https://in.tradingview.com/chart/bXJLby4L/?symbol=NSE%3ANAZARA" TargetMode="External"/><Relationship Id="rId1666" Type="http://schemas.openxmlformats.org/officeDocument/2006/relationships/hyperlink" Target="https://in.tradingview.com/chart/bXJLby4L/?symbol=NSE%3AHAPPSTMNDS" TargetMode="External"/><Relationship Id="rId2997" Type="http://schemas.openxmlformats.org/officeDocument/2006/relationships/hyperlink" Target="https://in.tradingview.com/chart/Cgv3Jm6J/?symbol=NSE%3APARSVNATH" TargetMode="External"/><Relationship Id="rId1667" Type="http://schemas.openxmlformats.org/officeDocument/2006/relationships/hyperlink" Target="https://in.tradingview.com/chart/Cgv3Jm6J/?symbol=NSE%3AHITECHGEAR" TargetMode="External"/><Relationship Id="rId2998" Type="http://schemas.openxmlformats.org/officeDocument/2006/relationships/hyperlink" Target="https://in.tradingview.com/chart/bXJLby4L/?symbol=NSE%3ANBCC" TargetMode="External"/><Relationship Id="rId1668" Type="http://schemas.openxmlformats.org/officeDocument/2006/relationships/hyperlink" Target="https://in.tradingview.com/chart/bXJLby4L/?symbol=NSE%3AHAPPYFORGE" TargetMode="External"/><Relationship Id="rId2999" Type="http://schemas.openxmlformats.org/officeDocument/2006/relationships/hyperlink" Target="https://in.tradingview.com/chart/Cgv3Jm6J/?symbol=NSE%3APASUPTAC" TargetMode="External"/><Relationship Id="rId1669" Type="http://schemas.openxmlformats.org/officeDocument/2006/relationships/hyperlink" Target="https://in.tradingview.com/chart/Cgv3Jm6J/?symbol=NSE%3AHLEGLAS" TargetMode="External"/><Relationship Id="rId839" Type="http://schemas.openxmlformats.org/officeDocument/2006/relationships/hyperlink" Target="https://in.tradingview.com/chart/Cgv3Jm6J/?symbol=NSE%3ACRAFTSMAN" TargetMode="External"/><Relationship Id="rId838" Type="http://schemas.openxmlformats.org/officeDocument/2006/relationships/hyperlink" Target="https://in.tradingview.com/chart/bXJLby4L/?symbol=NSE%3ACESC" TargetMode="External"/><Relationship Id="rId833" Type="http://schemas.openxmlformats.org/officeDocument/2006/relationships/hyperlink" Target="https://in.tradingview.com/chart/Cgv3Jm6J/?symbol=NSE%3ACOSMOFIRST" TargetMode="External"/><Relationship Id="rId832" Type="http://schemas.openxmlformats.org/officeDocument/2006/relationships/hyperlink" Target="https://in.tradingview.com/chart/bXJLby4L/?symbol=NSE%3ACENTURYPLY" TargetMode="External"/><Relationship Id="rId831" Type="http://schemas.openxmlformats.org/officeDocument/2006/relationships/hyperlink" Target="https://in.tradingview.com/chart/Cgv3Jm6J/?symbol=NSE%3ACOROMANDEL" TargetMode="External"/><Relationship Id="rId830" Type="http://schemas.openxmlformats.org/officeDocument/2006/relationships/hyperlink" Target="https://in.tradingview.com/chart/bXJLby4L/?symbol=NSE%3ACENTEXT" TargetMode="External"/><Relationship Id="rId837" Type="http://schemas.openxmlformats.org/officeDocument/2006/relationships/hyperlink" Target="https://in.tradingview.com/chart/Cgv3Jm6J/?symbol=NSE%3ACPSEETF" TargetMode="External"/><Relationship Id="rId836" Type="http://schemas.openxmlformats.org/officeDocument/2006/relationships/hyperlink" Target="https://in.tradingview.com/chart/bXJLby4L/?symbol=NSE%3ACEREBRAINT" TargetMode="External"/><Relationship Id="rId835" Type="http://schemas.openxmlformats.org/officeDocument/2006/relationships/hyperlink" Target="https://in.tradingview.com/chart/Cgv3Jm6J/?symbol=NSE%3ACOUNCODOS" TargetMode="External"/><Relationship Id="rId834" Type="http://schemas.openxmlformats.org/officeDocument/2006/relationships/hyperlink" Target="https://in.tradingview.com/chart/bXJLby4L/?symbol=NSE%3ACERA" TargetMode="External"/><Relationship Id="rId2990" Type="http://schemas.openxmlformats.org/officeDocument/2006/relationships/hyperlink" Target="https://in.tradingview.com/chart/bXJLby4L/?symbol=NSE%3ANAVINFLUOR" TargetMode="External"/><Relationship Id="rId1660" Type="http://schemas.openxmlformats.org/officeDocument/2006/relationships/hyperlink" Target="https://in.tradingview.com/chart/bXJLby4L/?symbol=NSE%3AHGINFRA" TargetMode="External"/><Relationship Id="rId2991" Type="http://schemas.openxmlformats.org/officeDocument/2006/relationships/hyperlink" Target="https://in.tradingview.com/chart/Cgv3Jm6J/?symbol=NSE%3APARAS" TargetMode="External"/><Relationship Id="rId1661" Type="http://schemas.openxmlformats.org/officeDocument/2006/relationships/hyperlink" Target="https://in.tradingview.com/chart/Cgv3Jm6J/?symbol=NSE%3AHISARMETAL" TargetMode="External"/><Relationship Id="rId2992" Type="http://schemas.openxmlformats.org/officeDocument/2006/relationships/hyperlink" Target="https://in.tradingview.com/chart/bXJLby4L/?symbol=NSE%3ANAVKARCORP" TargetMode="External"/><Relationship Id="rId1662" Type="http://schemas.openxmlformats.org/officeDocument/2006/relationships/hyperlink" Target="https://in.tradingview.com/chart/bXJLby4L/?symbol=NSE%3AHALEOSLABS" TargetMode="External"/><Relationship Id="rId2993" Type="http://schemas.openxmlformats.org/officeDocument/2006/relationships/hyperlink" Target="https://in.tradingview.com/chart/Cgv3Jm6J/?symbol=NSE%3APARASPETRO" TargetMode="External"/><Relationship Id="rId1663" Type="http://schemas.openxmlformats.org/officeDocument/2006/relationships/hyperlink" Target="https://in.tradingview.com/chart/Cgv3Jm6J/?symbol=NSE%3AHITECH" TargetMode="External"/><Relationship Id="rId2994" Type="http://schemas.openxmlformats.org/officeDocument/2006/relationships/hyperlink" Target="https://in.tradingview.com/chart/bXJLby4L/?symbol=NSE%3ANAVNETEDUL" TargetMode="External"/><Relationship Id="rId2148" Type="http://schemas.openxmlformats.org/officeDocument/2006/relationships/hyperlink" Target="https://in.tradingview.com/chart/bXJLby4L/?symbol=NSE%3AJPPOWER" TargetMode="External"/><Relationship Id="rId2149" Type="http://schemas.openxmlformats.org/officeDocument/2006/relationships/hyperlink" Target="https://in.tradingview.com/chart/Cgv3Jm6J/?symbol=NSE%3AKOLTEPATIL" TargetMode="External"/><Relationship Id="rId3479" Type="http://schemas.openxmlformats.org/officeDocument/2006/relationships/hyperlink" Target="https://in.tradingview.com/chart/Cgv3Jm6J/?symbol=NSE%3ASANWARIA" TargetMode="External"/><Relationship Id="rId3470" Type="http://schemas.openxmlformats.org/officeDocument/2006/relationships/hyperlink" Target="https://in.tradingview.com/chart/bXJLby4L/?symbol=NSE%3APIDILITIND" TargetMode="External"/><Relationship Id="rId2140" Type="http://schemas.openxmlformats.org/officeDocument/2006/relationships/hyperlink" Target="https://in.tradingview.com/chart/bXJLby4L/?symbol=NSE%3AJAICORPLTD" TargetMode="External"/><Relationship Id="rId3472" Type="http://schemas.openxmlformats.org/officeDocument/2006/relationships/hyperlink" Target="https://in.tradingview.com/chart/bXJLby4L/?symbol=NSE%3APILITA" TargetMode="External"/><Relationship Id="rId2141" Type="http://schemas.openxmlformats.org/officeDocument/2006/relationships/hyperlink" Target="https://in.tradingview.com/chart/Cgv3Jm6J/?symbol=NSE%3AKMSUGAR" TargetMode="External"/><Relationship Id="rId3471" Type="http://schemas.openxmlformats.org/officeDocument/2006/relationships/hyperlink" Target="https://in.tradingview.com/chart/Cgv3Jm6J/?symbol=NSE%3ASANOFI" TargetMode="External"/><Relationship Id="rId2142" Type="http://schemas.openxmlformats.org/officeDocument/2006/relationships/hyperlink" Target="https://in.tradingview.com/chart/bXJLby4L/?symbol=NSE%3AJISLJALEQS" TargetMode="External"/><Relationship Id="rId3474" Type="http://schemas.openxmlformats.org/officeDocument/2006/relationships/hyperlink" Target="https://in.tradingview.com/chart/bXJLby4L/?symbol=NSE%3APILANIINVS" TargetMode="External"/><Relationship Id="rId2143" Type="http://schemas.openxmlformats.org/officeDocument/2006/relationships/hyperlink" Target="https://in.tradingview.com/chart/Cgv3Jm6J/?symbol=NSE%3AKNRCON" TargetMode="External"/><Relationship Id="rId3473" Type="http://schemas.openxmlformats.org/officeDocument/2006/relationships/hyperlink" Target="https://in.tradingview.com/chart/Cgv3Jm6J/?symbol=NSE%3ASANOFICONR" TargetMode="External"/><Relationship Id="rId2144" Type="http://schemas.openxmlformats.org/officeDocument/2006/relationships/hyperlink" Target="https://in.tradingview.com/chart/bXJLby4L/?symbol=NSE%3AJISLDVREQS" TargetMode="External"/><Relationship Id="rId3476" Type="http://schemas.openxmlformats.org/officeDocument/2006/relationships/hyperlink" Target="https://in.tradingview.com/chart/bXJLby4L/?symbol=NSE%3APINELABS" TargetMode="External"/><Relationship Id="rId2145" Type="http://schemas.openxmlformats.org/officeDocument/2006/relationships/hyperlink" Target="https://in.tradingview.com/chart/Cgv3Jm6J/?symbol=NSE%3AKOHINOOR" TargetMode="External"/><Relationship Id="rId3475" Type="http://schemas.openxmlformats.org/officeDocument/2006/relationships/hyperlink" Target="https://in.tradingview.com/chart/Cgv3Jm6J/?symbol=NSE%3ASANSERA" TargetMode="External"/><Relationship Id="rId2146" Type="http://schemas.openxmlformats.org/officeDocument/2006/relationships/hyperlink" Target="https://in.tradingview.com/chart/bXJLby4L/?symbol=NSE%3AJAINREC" TargetMode="External"/><Relationship Id="rId3478" Type="http://schemas.openxmlformats.org/officeDocument/2006/relationships/hyperlink" Target="https://in.tradingview.com/chart/bXJLby4L/?symbol=NSE%3APIONEEREMB" TargetMode="External"/><Relationship Id="rId2147" Type="http://schemas.openxmlformats.org/officeDocument/2006/relationships/hyperlink" Target="https://in.tradingview.com/chart/Cgv3Jm6J/?symbol=NSE%3AKOKUYOCMLN" TargetMode="External"/><Relationship Id="rId3477" Type="http://schemas.openxmlformats.org/officeDocument/2006/relationships/hyperlink" Target="https://in.tradingview.com/chart/Cgv3Jm6J/?symbol=NSE%3ASANSTAR" TargetMode="External"/><Relationship Id="rId2137" Type="http://schemas.openxmlformats.org/officeDocument/2006/relationships/hyperlink" Target="https://in.tradingview.com/chart/Cgv3Jm6J/?symbol=NSE%3AKKCL" TargetMode="External"/><Relationship Id="rId3469" Type="http://schemas.openxmlformats.org/officeDocument/2006/relationships/hyperlink" Target="https://in.tradingview.com/chart/Cgv3Jm6J/?symbol=NSE%3ASANGINITA" TargetMode="External"/><Relationship Id="rId2138" Type="http://schemas.openxmlformats.org/officeDocument/2006/relationships/hyperlink" Target="https://in.tradingview.com/chart/bXJLby4L/?symbol=NSE%3AJAIBALAJI" TargetMode="External"/><Relationship Id="rId3468" Type="http://schemas.openxmlformats.org/officeDocument/2006/relationships/hyperlink" Target="https://in.tradingview.com/chart/bXJLby4L/?symbol=NSE%3APICCADIL" TargetMode="External"/><Relationship Id="rId2139" Type="http://schemas.openxmlformats.org/officeDocument/2006/relationships/hyperlink" Target="https://in.tradingview.com/chart/Cgv3Jm6J/?symbol=NSE%3AKMEW" TargetMode="External"/><Relationship Id="rId3461" Type="http://schemas.openxmlformats.org/officeDocument/2006/relationships/hyperlink" Target="https://in.tradingview.com/chart/Cgv3Jm6J/?symbol=NSE%3ASANDUMA" TargetMode="External"/><Relationship Id="rId2130" Type="http://schemas.openxmlformats.org/officeDocument/2006/relationships/hyperlink" Target="https://in.tradingview.com/chart/bXJLby4L/?symbol=NSE%3AJGCHEM" TargetMode="External"/><Relationship Id="rId3460" Type="http://schemas.openxmlformats.org/officeDocument/2006/relationships/hyperlink" Target="https://in.tradingview.com/chart/bXJLby4L/?symbol=NSE%3APFIZER" TargetMode="External"/><Relationship Id="rId2131" Type="http://schemas.openxmlformats.org/officeDocument/2006/relationships/hyperlink" Target="https://in.tradingview.com/chart/Cgv3Jm6J/?symbol=NSE%3AKIRLOSENG" TargetMode="External"/><Relationship Id="rId3463" Type="http://schemas.openxmlformats.org/officeDocument/2006/relationships/hyperlink" Target="https://in.tradingview.com/chart/Cgv3Jm6J/?symbol=NSE%3ASANGAMIND" TargetMode="External"/><Relationship Id="rId2132" Type="http://schemas.openxmlformats.org/officeDocument/2006/relationships/hyperlink" Target="https://in.tradingview.com/chart/bXJLby4L/?symbol=NSE%3AJKIL" TargetMode="External"/><Relationship Id="rId3462" Type="http://schemas.openxmlformats.org/officeDocument/2006/relationships/hyperlink" Target="https://in.tradingview.com/chart/bXJLby4L/?symbol=NSE%3APGEL" TargetMode="External"/><Relationship Id="rId2133" Type="http://schemas.openxmlformats.org/officeDocument/2006/relationships/hyperlink" Target="https://in.tradingview.com/chart/Cgv3Jm6J/?symbol=NSE%3AKIRLOSIND" TargetMode="External"/><Relationship Id="rId3465" Type="http://schemas.openxmlformats.org/officeDocument/2006/relationships/hyperlink" Target="https://in.tradingview.com/chart/Cgv3Jm6J/?symbol=NSE%3ASANGHIIND" TargetMode="External"/><Relationship Id="rId2134" Type="http://schemas.openxmlformats.org/officeDocument/2006/relationships/hyperlink" Target="https://in.tradingview.com/chart/bXJLby4L/?symbol=NSE%3AJAGRAN" TargetMode="External"/><Relationship Id="rId3464" Type="http://schemas.openxmlformats.org/officeDocument/2006/relationships/hyperlink" Target="https://in.tradingview.com/chart/bXJLby4L/?symbol=NSE%3APWL" TargetMode="External"/><Relationship Id="rId2135" Type="http://schemas.openxmlformats.org/officeDocument/2006/relationships/hyperlink" Target="https://in.tradingview.com/chart/Cgv3Jm6J/?symbol=NSE%3AKITEX" TargetMode="External"/><Relationship Id="rId3467" Type="http://schemas.openxmlformats.org/officeDocument/2006/relationships/hyperlink" Target="https://in.tradingview.com/chart/Cgv3Jm6J/?symbol=NSE%3ASANGHVIMOV" TargetMode="External"/><Relationship Id="rId2136" Type="http://schemas.openxmlformats.org/officeDocument/2006/relationships/hyperlink" Target="https://in.tradingview.com/chart/bXJLby4L/?symbol=NSE%3AJAGSNPHARM" TargetMode="External"/><Relationship Id="rId3466" Type="http://schemas.openxmlformats.org/officeDocument/2006/relationships/hyperlink" Target="https://in.tradingview.com/chart/bXJLby4L/?symbol=NSE%3APIIND" TargetMode="External"/><Relationship Id="rId3490" Type="http://schemas.openxmlformats.org/officeDocument/2006/relationships/hyperlink" Target="https://in.tradingview.com/chart/bXJLby4L/?symbol=NSE%3APLATIND" TargetMode="External"/><Relationship Id="rId2160" Type="http://schemas.openxmlformats.org/officeDocument/2006/relationships/hyperlink" Target="https://in.tradingview.com/chart/bXJLby4L/?symbol=NSE%3AJAYAGROGN" TargetMode="External"/><Relationship Id="rId3492" Type="http://schemas.openxmlformats.org/officeDocument/2006/relationships/hyperlink" Target="https://in.tradingview.com/chart/bXJLby4L/?symbol=NSE%3APLAZACABLE" TargetMode="External"/><Relationship Id="rId2161" Type="http://schemas.openxmlformats.org/officeDocument/2006/relationships/hyperlink" Target="https://in.tradingview.com/chart/Cgv3Jm6J/?symbol=NSE%3AKPEL" TargetMode="External"/><Relationship Id="rId3491" Type="http://schemas.openxmlformats.org/officeDocument/2006/relationships/hyperlink" Target="https://in.tradingview.com/chart/Cgv3Jm6J/?symbol=NSE%3ASASKEN" TargetMode="External"/><Relationship Id="rId2162" Type="http://schemas.openxmlformats.org/officeDocument/2006/relationships/hyperlink" Target="https://in.tradingview.com/chart/bXJLby4L/?symbol=NSE%3AJAYNECOIND" TargetMode="External"/><Relationship Id="rId3494" Type="http://schemas.openxmlformats.org/officeDocument/2006/relationships/hyperlink" Target="https://in.tradingview.com/chart/bXJLby4L/?symbol=NSE%3APNBGILTS" TargetMode="External"/><Relationship Id="rId2163" Type="http://schemas.openxmlformats.org/officeDocument/2006/relationships/hyperlink" Target="https://in.tradingview.com/chart/Cgv3Jm6J/?symbol=NSE%3AKPIGREEN" TargetMode="External"/><Relationship Id="rId3493" Type="http://schemas.openxmlformats.org/officeDocument/2006/relationships/hyperlink" Target="https://in.tradingview.com/chart/Cgv3Jm6J/?symbol=NSE%3ASASTASUNDR" TargetMode="External"/><Relationship Id="rId2164" Type="http://schemas.openxmlformats.org/officeDocument/2006/relationships/hyperlink" Target="https://in.tradingview.com/chart/bXJLby4L/?symbol=NSE%3AJAYSREETEA" TargetMode="External"/><Relationship Id="rId3496" Type="http://schemas.openxmlformats.org/officeDocument/2006/relationships/hyperlink" Target="https://in.tradingview.com/chart/bXJLby4L/?symbol=NSE%3APNBHOUSING" TargetMode="External"/><Relationship Id="rId2165" Type="http://schemas.openxmlformats.org/officeDocument/2006/relationships/hyperlink" Target="https://in.tradingview.com/chart/Cgv3Jm6J/?symbol=NSE%3AKPIL" TargetMode="External"/><Relationship Id="rId3495" Type="http://schemas.openxmlformats.org/officeDocument/2006/relationships/hyperlink" Target="https://in.tradingview.com/chart/Cgv3Jm6J/?symbol=NSE%3ASATIA" TargetMode="External"/><Relationship Id="rId2166" Type="http://schemas.openxmlformats.org/officeDocument/2006/relationships/hyperlink" Target="https://in.tradingview.com/chart/bXJLby4L/?symbol=NSE%3AJBCHEPHARM" TargetMode="External"/><Relationship Id="rId3498" Type="http://schemas.openxmlformats.org/officeDocument/2006/relationships/hyperlink" Target="https://in.tradingview.com/chart/bXJLby4L/?symbol=NSE%3APNCINFRA" TargetMode="External"/><Relationship Id="rId2167" Type="http://schemas.openxmlformats.org/officeDocument/2006/relationships/hyperlink" Target="https://in.tradingview.com/chart/Cgv3Jm6J/?symbol=NSE%3AKPITTECH" TargetMode="External"/><Relationship Id="rId3497" Type="http://schemas.openxmlformats.org/officeDocument/2006/relationships/hyperlink" Target="https://in.tradingview.com/chart/Cgv3Jm6J/?symbol=NSE%3ASATIN" TargetMode="External"/><Relationship Id="rId2168" Type="http://schemas.openxmlformats.org/officeDocument/2006/relationships/hyperlink" Target="https://in.tradingview.com/chart/bXJLby4L/?symbol=NSE%3AJBMA" TargetMode="External"/><Relationship Id="rId2169" Type="http://schemas.openxmlformats.org/officeDocument/2006/relationships/hyperlink" Target="https://in.tradingview.com/chart/Cgv3Jm6J/?symbol=NSE%3AKPRMILL" TargetMode="External"/><Relationship Id="rId3499" Type="http://schemas.openxmlformats.org/officeDocument/2006/relationships/hyperlink" Target="https://in.tradingview.com/chart/Cgv3Jm6J/?symbol=NSE%3ASAURASHCEM" TargetMode="External"/><Relationship Id="rId2159" Type="http://schemas.openxmlformats.org/officeDocument/2006/relationships/hyperlink" Target="https://in.tradingview.com/chart/Cgv3Jm6J/?symbol=NSE%3AKOTHARIPRO" TargetMode="External"/><Relationship Id="rId3481" Type="http://schemas.openxmlformats.org/officeDocument/2006/relationships/hyperlink" Target="https://in.tradingview.com/chart/Cgv3Jm6J/?symbol=NSE%3ASAPPHIRE" TargetMode="External"/><Relationship Id="rId2150" Type="http://schemas.openxmlformats.org/officeDocument/2006/relationships/hyperlink" Target="https://in.tradingview.com/chart/bXJLby4L/?symbol=NSE%3AJAMNAAUTO" TargetMode="External"/><Relationship Id="rId3480" Type="http://schemas.openxmlformats.org/officeDocument/2006/relationships/hyperlink" Target="https://in.tradingview.com/chart/bXJLby4L/?symbol=NSE%3APPLPHARMA" TargetMode="External"/><Relationship Id="rId2151" Type="http://schemas.openxmlformats.org/officeDocument/2006/relationships/hyperlink" Target="https://in.tradingview.com/chart/Cgv3Jm6J/?symbol=NSE%3AKOPRAN" TargetMode="External"/><Relationship Id="rId3483" Type="http://schemas.openxmlformats.org/officeDocument/2006/relationships/hyperlink" Target="https://in.tradingview.com/chart/Cgv3Jm6J/?symbol=NSE%3ASARDAEN" TargetMode="External"/><Relationship Id="rId2152" Type="http://schemas.openxmlformats.org/officeDocument/2006/relationships/hyperlink" Target="https://in.tradingview.com/chart/bXJLby4L/?symbol=NSE%3AJSFB" TargetMode="External"/><Relationship Id="rId3482" Type="http://schemas.openxmlformats.org/officeDocument/2006/relationships/hyperlink" Target="https://in.tradingview.com/chart/bXJLby4L/?symbol=NSE%3APIRAMALFIN" TargetMode="External"/><Relationship Id="rId2153" Type="http://schemas.openxmlformats.org/officeDocument/2006/relationships/hyperlink" Target="https://in.tradingview.com/chart/Cgv3Jm6J/?symbol=NSE%3AKOTAKBANK" TargetMode="External"/><Relationship Id="rId3485" Type="http://schemas.openxmlformats.org/officeDocument/2006/relationships/hyperlink" Target="https://in.tradingview.com/chart/Cgv3Jm6J/?symbol=NSE%3ASAREGAMA" TargetMode="External"/><Relationship Id="rId2154" Type="http://schemas.openxmlformats.org/officeDocument/2006/relationships/hyperlink" Target="https://in.tradingview.com/chart/bXJLby4L/?symbol=NSE%3AJARO" TargetMode="External"/><Relationship Id="rId3484" Type="http://schemas.openxmlformats.org/officeDocument/2006/relationships/hyperlink" Target="https://in.tradingview.com/chart/bXJLby4L/?symbol=NSE%3APITTIENG" TargetMode="External"/><Relationship Id="rId2155" Type="http://schemas.openxmlformats.org/officeDocument/2006/relationships/hyperlink" Target="https://in.tradingview.com/chart/Cgv3Jm6J/?symbol=NSE%3AKOTARISUG" TargetMode="External"/><Relationship Id="rId3487" Type="http://schemas.openxmlformats.org/officeDocument/2006/relationships/hyperlink" Target="https://in.tradingview.com/chart/Cgv3Jm6J/?symbol=NSE%3ASARLAPOLY" TargetMode="External"/><Relationship Id="rId2156" Type="http://schemas.openxmlformats.org/officeDocument/2006/relationships/hyperlink" Target="https://in.tradingview.com/chart/bXJLby4L/?symbol=NSE%3AJASH" TargetMode="External"/><Relationship Id="rId3486" Type="http://schemas.openxmlformats.org/officeDocument/2006/relationships/hyperlink" Target="https://in.tradingview.com/chart/bXJLby4L/?symbol=NSE%3APIXTRANS" TargetMode="External"/><Relationship Id="rId2157" Type="http://schemas.openxmlformats.org/officeDocument/2006/relationships/hyperlink" Target="https://in.tradingview.com/chart/Cgv3Jm6J/?symbol=NSE%3AKOTHARIPET" TargetMode="External"/><Relationship Id="rId3489" Type="http://schemas.openxmlformats.org/officeDocument/2006/relationships/hyperlink" Target="https://in.tradingview.com/chart/Cgv3Jm6J/?symbol=NSE%3ASARVESHWAR" TargetMode="External"/><Relationship Id="rId2158" Type="http://schemas.openxmlformats.org/officeDocument/2006/relationships/hyperlink" Target="https://in.tradingview.com/chart/bXJLby4L/?symbol=NSE%3AJAYBARMARU" TargetMode="External"/><Relationship Id="rId3488" Type="http://schemas.openxmlformats.org/officeDocument/2006/relationships/hyperlink" Target="https://in.tradingview.com/chart/bXJLby4L/?symbol=NSE%3APLASTIBLEN" TargetMode="External"/><Relationship Id="rId2104" Type="http://schemas.openxmlformats.org/officeDocument/2006/relationships/hyperlink" Target="https://in.tradingview.com/chart/bXJLby4L/?symbol=NSE%3AIRB" TargetMode="External"/><Relationship Id="rId3436" Type="http://schemas.openxmlformats.org/officeDocument/2006/relationships/hyperlink" Target="https://in.tradingview.com/chart/bXJLby4L/?symbol=NSE%3APATELRMART" TargetMode="External"/><Relationship Id="rId2105" Type="http://schemas.openxmlformats.org/officeDocument/2006/relationships/hyperlink" Target="https://in.tradingview.com/chart/Cgv3Jm6J/?symbol=NSE%3AKEYFINSERV" TargetMode="External"/><Relationship Id="rId3435" Type="http://schemas.openxmlformats.org/officeDocument/2006/relationships/hyperlink" Target="https://in.tradingview.com/chart/Cgv3Jm6J/?symbol=NSE%3ASAKHTISUG" TargetMode="External"/><Relationship Id="rId2106" Type="http://schemas.openxmlformats.org/officeDocument/2006/relationships/hyperlink" Target="https://in.tradingview.com/chart/bXJLby4L/?symbol=NSE%3AIRCON" TargetMode="External"/><Relationship Id="rId3438" Type="http://schemas.openxmlformats.org/officeDocument/2006/relationships/hyperlink" Target="https://in.tradingview.com/chart/bXJLby4L/?symbol=NSE%3APAVNAIND" TargetMode="External"/><Relationship Id="rId2107" Type="http://schemas.openxmlformats.org/officeDocument/2006/relationships/hyperlink" Target="https://in.tradingview.com/chart/Cgv3Jm6J/?symbol=NSE%3AKFINTECH" TargetMode="External"/><Relationship Id="rId3437" Type="http://schemas.openxmlformats.org/officeDocument/2006/relationships/hyperlink" Target="https://in.tradingview.com/chart/Cgv3Jm6J/?symbol=NSE%3ASAKSOFT" TargetMode="External"/><Relationship Id="rId2108" Type="http://schemas.openxmlformats.org/officeDocument/2006/relationships/hyperlink" Target="https://in.tradingview.com/chart/bXJLby4L/?symbol=NSE%3AIRIS" TargetMode="External"/><Relationship Id="rId2109" Type="http://schemas.openxmlformats.org/officeDocument/2006/relationships/hyperlink" Target="https://in.tradingview.com/chart/Cgv3Jm6J/?symbol=NSE%3AKHADIM" TargetMode="External"/><Relationship Id="rId3439" Type="http://schemas.openxmlformats.org/officeDocument/2006/relationships/hyperlink" Target="https://in.tradingview.com/chart/Cgv3Jm6J/?symbol=NSE%3ASALASAR" TargetMode="External"/><Relationship Id="rId3430" Type="http://schemas.openxmlformats.org/officeDocument/2006/relationships/hyperlink" Target="https://in.tradingview.com/chart/bXJLby4L/?symbol=NSE%3APATANJALI" TargetMode="External"/><Relationship Id="rId2100" Type="http://schemas.openxmlformats.org/officeDocument/2006/relationships/hyperlink" Target="https://in.tradingview.com/chart/bXJLby4L/?symbol=NSE%3AIONEXCHANG" TargetMode="External"/><Relationship Id="rId3432" Type="http://schemas.openxmlformats.org/officeDocument/2006/relationships/hyperlink" Target="https://in.tradingview.com/chart/bXJLby4L/?symbol=NSE%3APATELENG" TargetMode="External"/><Relationship Id="rId2101" Type="http://schemas.openxmlformats.org/officeDocument/2006/relationships/hyperlink" Target="https://in.tradingview.com/chart/Cgv3Jm6J/?symbol=NSE%3AKERNEX" TargetMode="External"/><Relationship Id="rId3431" Type="http://schemas.openxmlformats.org/officeDocument/2006/relationships/hyperlink" Target="https://in.tradingview.com/chart/Cgv3Jm6J/?symbol=NSE%3ASAILIFE" TargetMode="External"/><Relationship Id="rId2102" Type="http://schemas.openxmlformats.org/officeDocument/2006/relationships/hyperlink" Target="https://in.tradingview.com/chart/bXJLby4L/?symbol=NSE%3AIPCALAB" TargetMode="External"/><Relationship Id="rId3434" Type="http://schemas.openxmlformats.org/officeDocument/2006/relationships/hyperlink" Target="https://in.tradingview.com/chart/bXJLby4L/?symbol=NSE%3APATINTLOG" TargetMode="External"/><Relationship Id="rId2103" Type="http://schemas.openxmlformats.org/officeDocument/2006/relationships/hyperlink" Target="https://in.tradingview.com/chart/Cgv3Jm6J/?symbol=NSE%3AKESORAMIND" TargetMode="External"/><Relationship Id="rId3433" Type="http://schemas.openxmlformats.org/officeDocument/2006/relationships/hyperlink" Target="https://in.tradingview.com/chart/Cgv3Jm6J/?symbol=NSE%3ASAKAR" TargetMode="External"/><Relationship Id="rId3425" Type="http://schemas.openxmlformats.org/officeDocument/2006/relationships/hyperlink" Target="https://in.tradingview.com/chart/Cgv3Jm6J/?symbol=NSE%3ASAGILITY" TargetMode="External"/><Relationship Id="rId3424" Type="http://schemas.openxmlformats.org/officeDocument/2006/relationships/hyperlink" Target="https://in.tradingview.com/chart/bXJLby4L/?symbol=NSE%3APARSVNATH" TargetMode="External"/><Relationship Id="rId3427" Type="http://schemas.openxmlformats.org/officeDocument/2006/relationships/hyperlink" Target="https://in.tradingview.com/chart/Cgv3Jm6J/?symbol=NSE%3ASAHYADRI" TargetMode="External"/><Relationship Id="rId3426" Type="http://schemas.openxmlformats.org/officeDocument/2006/relationships/hyperlink" Target="https://in.tradingview.com/chart/bXJLby4L/?symbol=NSE%3APASHUPATI" TargetMode="External"/><Relationship Id="rId3429" Type="http://schemas.openxmlformats.org/officeDocument/2006/relationships/hyperlink" Target="https://in.tradingview.com/chart/Cgv3Jm6J/?symbol=NSE%3ASAIL" TargetMode="External"/><Relationship Id="rId3428" Type="http://schemas.openxmlformats.org/officeDocument/2006/relationships/hyperlink" Target="https://in.tradingview.com/chart/bXJLby4L/?symbol=NSE%3APASUPTAC" TargetMode="External"/><Relationship Id="rId899" Type="http://schemas.openxmlformats.org/officeDocument/2006/relationships/hyperlink" Target="https://in.tradingview.com/chart/Cgv3Jm6J/?symbol=NSE%3ADBL" TargetMode="External"/><Relationship Id="rId898" Type="http://schemas.openxmlformats.org/officeDocument/2006/relationships/hyperlink" Target="https://in.tradingview.com/chart/bXJLby4L/?symbol=NSE%3ACNXPHARMA" TargetMode="External"/><Relationship Id="rId897" Type="http://schemas.openxmlformats.org/officeDocument/2006/relationships/hyperlink" Target="https://in.tradingview.com/chart/Cgv3Jm6J/?symbol=NSE%3ADBEIL" TargetMode="External"/><Relationship Id="rId896" Type="http://schemas.openxmlformats.org/officeDocument/2006/relationships/hyperlink" Target="https://in.tradingview.com/chart/bXJLby4L/?symbol=NSE%3ACNXNIFTYJUNIOR" TargetMode="External"/><Relationship Id="rId891" Type="http://schemas.openxmlformats.org/officeDocument/2006/relationships/hyperlink" Target="https://in.tradingview.com/chart/Cgv3Jm6J/?symbol=NSE%3ADATAPATTNS" TargetMode="External"/><Relationship Id="rId890" Type="http://schemas.openxmlformats.org/officeDocument/2006/relationships/hyperlink" Target="https://in.tradingview.com/chart/bXJLby4L/?symbol=NSE%3ACNXINFRA" TargetMode="External"/><Relationship Id="rId895" Type="http://schemas.openxmlformats.org/officeDocument/2006/relationships/hyperlink" Target="https://in.tradingview.com/chart/Cgv3Jm6J/?symbol=NSE%3ADBCORP" TargetMode="External"/><Relationship Id="rId3421" Type="http://schemas.openxmlformats.org/officeDocument/2006/relationships/hyperlink" Target="https://in.tradingview.com/chart/Cgv3Jm6J/?symbol=NSE%3ASAGARDEEP" TargetMode="External"/><Relationship Id="rId894" Type="http://schemas.openxmlformats.org/officeDocument/2006/relationships/hyperlink" Target="https://in.tradingview.com/chart/bXJLby4L/?symbol=NSE%3ACNXMNC" TargetMode="External"/><Relationship Id="rId3420" Type="http://schemas.openxmlformats.org/officeDocument/2006/relationships/hyperlink" Target="https://in.tradingview.com/chart/bXJLby4L/?symbol=NSE%3APARACABLES" TargetMode="External"/><Relationship Id="rId893" Type="http://schemas.openxmlformats.org/officeDocument/2006/relationships/hyperlink" Target="https://in.tradingview.com/chart/Cgv3Jm6J/?symbol=NSE%3ADAVANGERE" TargetMode="External"/><Relationship Id="rId3423" Type="http://schemas.openxmlformats.org/officeDocument/2006/relationships/hyperlink" Target="https://in.tradingview.com/chart/Cgv3Jm6J/?symbol=NSE%3ASAGCEM" TargetMode="External"/><Relationship Id="rId892" Type="http://schemas.openxmlformats.org/officeDocument/2006/relationships/hyperlink" Target="https://in.tradingview.com/chart/bXJLby4L/?symbol=NSE%3ACNXMIDCAP" TargetMode="External"/><Relationship Id="rId3422" Type="http://schemas.openxmlformats.org/officeDocument/2006/relationships/hyperlink" Target="https://in.tradingview.com/chart/bXJLby4L/?symbol=NSE%3APARAS" TargetMode="External"/><Relationship Id="rId2126" Type="http://schemas.openxmlformats.org/officeDocument/2006/relationships/hyperlink" Target="https://in.tradingview.com/chart/bXJLby4L/?symbol=NSE%3AIVP" TargetMode="External"/><Relationship Id="rId3458" Type="http://schemas.openxmlformats.org/officeDocument/2006/relationships/hyperlink" Target="https://in.tradingview.com/chart/bXJLby4L/?symbol=NSE%3APETRONET" TargetMode="External"/><Relationship Id="rId2127" Type="http://schemas.openxmlformats.org/officeDocument/2006/relationships/hyperlink" Target="https://in.tradingview.com/chart/Cgv3Jm6J/?symbol=NSE%3AKIRIINDUS" TargetMode="External"/><Relationship Id="rId3457" Type="http://schemas.openxmlformats.org/officeDocument/2006/relationships/hyperlink" Target="https://in.tradingview.com/chart/Cgv3Jm6J/?symbol=NSE%3ASANDESH" TargetMode="External"/><Relationship Id="rId2128" Type="http://schemas.openxmlformats.org/officeDocument/2006/relationships/hyperlink" Target="https://in.tradingview.com/chart/bXJLby4L/?symbol=NSE%3AIZMO" TargetMode="External"/><Relationship Id="rId2129" Type="http://schemas.openxmlformats.org/officeDocument/2006/relationships/hyperlink" Target="https://in.tradingview.com/chart/Cgv3Jm6J/?symbol=NSE%3AKIRLOSBROS" TargetMode="External"/><Relationship Id="rId3459" Type="http://schemas.openxmlformats.org/officeDocument/2006/relationships/hyperlink" Target="https://in.tradingview.com/chart/Cgv3Jm6J/?symbol=NSE%3ASANDHAR" TargetMode="External"/><Relationship Id="rId3450" Type="http://schemas.openxmlformats.org/officeDocument/2006/relationships/hyperlink" Target="https://in.tradingview.com/chart/bXJLby4L/?symbol=NSE%3APEARLPOLY" TargetMode="External"/><Relationship Id="rId2120" Type="http://schemas.openxmlformats.org/officeDocument/2006/relationships/hyperlink" Target="https://in.tradingview.com/chart/bXJLby4L/?symbol=NSE%3AITC" TargetMode="External"/><Relationship Id="rId3452" Type="http://schemas.openxmlformats.org/officeDocument/2006/relationships/hyperlink" Target="https://in.tradingview.com/chart/bXJLby4L/?symbol=NSE%3APENINLAND" TargetMode="External"/><Relationship Id="rId2121" Type="http://schemas.openxmlformats.org/officeDocument/2006/relationships/hyperlink" Target="https://in.tradingview.com/chart/Cgv3Jm6J/?symbol=NSE%3AKIMS" TargetMode="External"/><Relationship Id="rId3451" Type="http://schemas.openxmlformats.org/officeDocument/2006/relationships/hyperlink" Target="https://in.tradingview.com/chart/Cgv3Jm6J/?symbol=NSE%3ASAMPANN" TargetMode="External"/><Relationship Id="rId2122" Type="http://schemas.openxmlformats.org/officeDocument/2006/relationships/hyperlink" Target="https://in.tradingview.com/chart/bXJLby4L/?symbol=NSE%3AITI" TargetMode="External"/><Relationship Id="rId3454" Type="http://schemas.openxmlformats.org/officeDocument/2006/relationships/hyperlink" Target="https://in.tradingview.com/chart/bXJLby4L/?symbol=NSE%3APENIND" TargetMode="External"/><Relationship Id="rId2123" Type="http://schemas.openxmlformats.org/officeDocument/2006/relationships/hyperlink" Target="https://in.tradingview.com/chart/Cgv3Jm6J/?symbol=NSE%3AKINGFA" TargetMode="External"/><Relationship Id="rId3453" Type="http://schemas.openxmlformats.org/officeDocument/2006/relationships/hyperlink" Target="https://in.tradingview.com/chart/Cgv3Jm6J/?symbol=NSE%3ASANATHAN" TargetMode="External"/><Relationship Id="rId2124" Type="http://schemas.openxmlformats.org/officeDocument/2006/relationships/hyperlink" Target="https://in.tradingview.com/chart/bXJLby4L/?symbol=NSE%3AIVALUE" TargetMode="External"/><Relationship Id="rId3456" Type="http://schemas.openxmlformats.org/officeDocument/2006/relationships/hyperlink" Target="https://in.tradingview.com/chart/bXJLby4L/?symbol=NSE%3APERSISTENT" TargetMode="External"/><Relationship Id="rId2125" Type="http://schemas.openxmlformats.org/officeDocument/2006/relationships/hyperlink" Target="https://in.tradingview.com/chart/Cgv3Jm6J/?symbol=NSE%3AKIOCL" TargetMode="External"/><Relationship Id="rId3455" Type="http://schemas.openxmlformats.org/officeDocument/2006/relationships/hyperlink" Target="https://in.tradingview.com/chart/Cgv3Jm6J/?symbol=NSE%3ASANCO" TargetMode="External"/><Relationship Id="rId2115" Type="http://schemas.openxmlformats.org/officeDocument/2006/relationships/hyperlink" Target="https://in.tradingview.com/chart/Cgv3Jm6J/?symbol=NSE%3AKHANDSE" TargetMode="External"/><Relationship Id="rId3447" Type="http://schemas.openxmlformats.org/officeDocument/2006/relationships/hyperlink" Target="https://in.tradingview.com/chart/Cgv3Jm6J/?symbol=NSE%3ASAMHI" TargetMode="External"/><Relationship Id="rId2116" Type="http://schemas.openxmlformats.org/officeDocument/2006/relationships/hyperlink" Target="https://in.tradingview.com/chart/bXJLby4L/?symbol=NSE%3AISHANCH" TargetMode="External"/><Relationship Id="rId3446" Type="http://schemas.openxmlformats.org/officeDocument/2006/relationships/hyperlink" Target="https://in.tradingview.com/chart/bXJLby4L/?symbol=NSE%3APDSL" TargetMode="External"/><Relationship Id="rId2117" Type="http://schemas.openxmlformats.org/officeDocument/2006/relationships/hyperlink" Target="https://in.tradingview.com/chart/Cgv3Jm6J/?symbol=NSE%3AKICL" TargetMode="External"/><Relationship Id="rId3449" Type="http://schemas.openxmlformats.org/officeDocument/2006/relationships/hyperlink" Target="https://in.tradingview.com/chart/Cgv3Jm6J/?symbol=NSE%3ASAMMAANCAP" TargetMode="External"/><Relationship Id="rId2118" Type="http://schemas.openxmlformats.org/officeDocument/2006/relationships/hyperlink" Target="https://in.tradingview.com/chart/bXJLby4L/?symbol=NSE%3AITCHOTELS" TargetMode="External"/><Relationship Id="rId3448" Type="http://schemas.openxmlformats.org/officeDocument/2006/relationships/hyperlink" Target="https://in.tradingview.com/chart/bXJLby4L/?symbol=NSE%3APGIL" TargetMode="External"/><Relationship Id="rId2119" Type="http://schemas.openxmlformats.org/officeDocument/2006/relationships/hyperlink" Target="https://in.tradingview.com/chart/Cgv3Jm6J/?symbol=NSE%3AKILITCH" TargetMode="External"/><Relationship Id="rId3441" Type="http://schemas.openxmlformats.org/officeDocument/2006/relationships/hyperlink" Target="https://in.tradingview.com/chart/Cgv3Jm6J/?symbol=NSE%3ASALONA" TargetMode="External"/><Relationship Id="rId2110" Type="http://schemas.openxmlformats.org/officeDocument/2006/relationships/hyperlink" Target="https://in.tradingview.com/chart/bXJLby4L/?symbol=NSE%3AIRISDOREME" TargetMode="External"/><Relationship Id="rId3440" Type="http://schemas.openxmlformats.org/officeDocument/2006/relationships/hyperlink" Target="https://in.tradingview.com/chart/bXJLby4L/?symbol=NSE%3APOLICYBZR" TargetMode="External"/><Relationship Id="rId2111" Type="http://schemas.openxmlformats.org/officeDocument/2006/relationships/hyperlink" Target="https://in.tradingview.com/chart/Cgv3Jm6J/?symbol=NSE%3AKHAICHEM" TargetMode="External"/><Relationship Id="rId3443" Type="http://schemas.openxmlformats.org/officeDocument/2006/relationships/hyperlink" Target="https://in.tradingview.com/chart/Cgv3Jm6J/?symbol=NSE%3ASALSTEEL" TargetMode="External"/><Relationship Id="rId2112" Type="http://schemas.openxmlformats.org/officeDocument/2006/relationships/hyperlink" Target="https://in.tradingview.com/chart/bXJLby4L/?symbol=NSE%3AIRMENERGY" TargetMode="External"/><Relationship Id="rId3442" Type="http://schemas.openxmlformats.org/officeDocument/2006/relationships/hyperlink" Target="https://in.tradingview.com/chart/bXJLby4L/?symbol=NSE%3APCJEWELLER" TargetMode="External"/><Relationship Id="rId2113" Type="http://schemas.openxmlformats.org/officeDocument/2006/relationships/hyperlink" Target="https://in.tradingview.com/chart/Cgv3Jm6J/?symbol=NSE%3AKHAITANLTD" TargetMode="External"/><Relationship Id="rId3445" Type="http://schemas.openxmlformats.org/officeDocument/2006/relationships/hyperlink" Target="https://in.tradingview.com/chart/Cgv3Jm6J/?symbol=NSE%3ASALZERELEC" TargetMode="External"/><Relationship Id="rId2114" Type="http://schemas.openxmlformats.org/officeDocument/2006/relationships/hyperlink" Target="https://in.tradingview.com/chart/bXJLby4L/?symbol=NSE%3AISGEC" TargetMode="External"/><Relationship Id="rId3444" Type="http://schemas.openxmlformats.org/officeDocument/2006/relationships/hyperlink" Target="https://in.tradingview.com/chart/bXJLby4L/?symbol=NSE%3APCBL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Cgv3Jm6J/?symbol=NSE%3ACIPLA" TargetMode="External"/><Relationship Id="rId391" Type="http://schemas.openxmlformats.org/officeDocument/2006/relationships/hyperlink" Target="https://in.tradingview.com/chart/Cgv3Jm6J/?symbol=NSE%3ACINEVISTA" TargetMode="External"/><Relationship Id="rId390" Type="http://schemas.openxmlformats.org/officeDocument/2006/relationships/hyperlink" Target="https://in.tradingview.com/chart/Cgv3Jm6J/?symbol=NSE%3ACINELINE" TargetMode="External"/><Relationship Id="rId2180" Type="http://schemas.openxmlformats.org/officeDocument/2006/relationships/hyperlink" Target="https://in.tradingview.com/chart/Cgv3Jm6J/?symbol=NSE%3AWAAREEENER" TargetMode="External"/><Relationship Id="rId2181" Type="http://schemas.openxmlformats.org/officeDocument/2006/relationships/hyperlink" Target="https://in.tradingview.com/chart/Cgv3Jm6J/?symbol=NSE%3AWABAG" TargetMode="External"/><Relationship Id="rId2182" Type="http://schemas.openxmlformats.org/officeDocument/2006/relationships/hyperlink" Target="https://in.tradingview.com/chart/Cgv3Jm6J/?symbol=NSE%3AWALCHANNAG" TargetMode="External"/><Relationship Id="rId2183" Type="http://schemas.openxmlformats.org/officeDocument/2006/relationships/hyperlink" Target="https://in.tradingview.com/chart/Cgv3Jm6J/?symbol=NSE%3AWANBURY" TargetMode="External"/><Relationship Id="rId385" Type="http://schemas.openxmlformats.org/officeDocument/2006/relationships/hyperlink" Target="https://in.tradingview.com/chart/Cgv3Jm6J/?symbol=NSE%3ACHOICEIN" TargetMode="External"/><Relationship Id="rId2184" Type="http://schemas.openxmlformats.org/officeDocument/2006/relationships/hyperlink" Target="https://in.tradingview.com/chart/Cgv3Jm6J/?symbol=NSE%3AWCIL" TargetMode="External"/><Relationship Id="rId384" Type="http://schemas.openxmlformats.org/officeDocument/2006/relationships/hyperlink" Target="https://in.tradingview.com/chart/Cgv3Jm6J/?symbol=NSE%3ACHEVIOT" TargetMode="External"/><Relationship Id="rId2185" Type="http://schemas.openxmlformats.org/officeDocument/2006/relationships/hyperlink" Target="https://in.tradingview.com/chart/Cgv3Jm6J/?symbol=NSE%3AWEALTH" TargetMode="External"/><Relationship Id="rId383" Type="http://schemas.openxmlformats.org/officeDocument/2006/relationships/hyperlink" Target="https://in.tradingview.com/chart/Cgv3Jm6J/?symbol=NSE%3ACHENNPETRO" TargetMode="External"/><Relationship Id="rId2186" Type="http://schemas.openxmlformats.org/officeDocument/2006/relationships/hyperlink" Target="https://in.tradingview.com/chart/Cgv3Jm6J/?symbol=NSE%3AWEBELSOLAR" TargetMode="External"/><Relationship Id="rId382" Type="http://schemas.openxmlformats.org/officeDocument/2006/relationships/hyperlink" Target="https://in.tradingview.com/chart/Cgv3Jm6J/?symbol=NSE%3ACHEMPLASTS" TargetMode="External"/><Relationship Id="rId2187" Type="http://schemas.openxmlformats.org/officeDocument/2006/relationships/hyperlink" Target="https://in.tradingview.com/chart/Cgv3Jm6J/?symbol=NSE%3AWEIZMANIND" TargetMode="External"/><Relationship Id="rId389" Type="http://schemas.openxmlformats.org/officeDocument/2006/relationships/hyperlink" Target="https://in.tradingview.com/chart/Cgv3Jm6J/?symbol=NSE%3ACIGNITITEC" TargetMode="External"/><Relationship Id="rId2188" Type="http://schemas.openxmlformats.org/officeDocument/2006/relationships/hyperlink" Target="https://in.tradingview.com/chart/Cgv3Jm6J/?symbol=NSE%3AWEL" TargetMode="External"/><Relationship Id="rId388" Type="http://schemas.openxmlformats.org/officeDocument/2006/relationships/hyperlink" Target="https://in.tradingview.com/chart/Cgv3Jm6J/?symbol=NSE%3ACIEINDIA" TargetMode="External"/><Relationship Id="rId2189" Type="http://schemas.openxmlformats.org/officeDocument/2006/relationships/hyperlink" Target="https://in.tradingview.com/chart/Cgv3Jm6J/?symbol=NSE%3AWELCORP" TargetMode="External"/><Relationship Id="rId387" Type="http://schemas.openxmlformats.org/officeDocument/2006/relationships/hyperlink" Target="https://in.tradingview.com/chart/Cgv3Jm6J/?symbol=NSE%3ACHOLAHLDNG" TargetMode="External"/><Relationship Id="rId386" Type="http://schemas.openxmlformats.org/officeDocument/2006/relationships/hyperlink" Target="https://in.tradingview.com/chart/Cgv3Jm6J/?symbol=NSE%3ACHOLAFIN" TargetMode="External"/><Relationship Id="rId381" Type="http://schemas.openxmlformats.org/officeDocument/2006/relationships/hyperlink" Target="https://in.tradingview.com/chart/Cgv3Jm6J/?symbol=NSE%3ACHEMFAB" TargetMode="External"/><Relationship Id="rId380" Type="http://schemas.openxmlformats.org/officeDocument/2006/relationships/hyperlink" Target="https://in.tradingview.com/chart/Cgv3Jm6J/?symbol=NSE%3ACHEMCON" TargetMode="External"/><Relationship Id="rId379" Type="http://schemas.openxmlformats.org/officeDocument/2006/relationships/hyperlink" Target="https://in.tradingview.com/chart/Cgv3Jm6J/?symbol=NSE%3ACHEMBOND" TargetMode="External"/><Relationship Id="rId2170" Type="http://schemas.openxmlformats.org/officeDocument/2006/relationships/hyperlink" Target="https://in.tradingview.com/chart/Cgv3Jm6J/?symbol=NSE%3AVOLTAMP" TargetMode="External"/><Relationship Id="rId2171" Type="http://schemas.openxmlformats.org/officeDocument/2006/relationships/hyperlink" Target="https://in.tradingview.com/chart/Cgv3Jm6J/?symbol=NSE%3AVOLTAS" TargetMode="External"/><Relationship Id="rId2172" Type="http://schemas.openxmlformats.org/officeDocument/2006/relationships/hyperlink" Target="https://in.tradingview.com/chart/Cgv3Jm6J/?symbol=NSE%3AVPRPL" TargetMode="External"/><Relationship Id="rId374" Type="http://schemas.openxmlformats.org/officeDocument/2006/relationships/hyperlink" Target="https://in.tradingview.com/chart/Cgv3Jm6J/?symbol=NSE%3ACEWATER" TargetMode="External"/><Relationship Id="rId2173" Type="http://schemas.openxmlformats.org/officeDocument/2006/relationships/hyperlink" Target="https://in.tradingview.com/chart/Cgv3Jm6J/?symbol=NSE%3AVRAJ" TargetMode="External"/><Relationship Id="rId373" Type="http://schemas.openxmlformats.org/officeDocument/2006/relationships/hyperlink" Target="https://in.tradingview.com/chart/Cgv3Jm6J/?symbol=NSE%3ACESC" TargetMode="External"/><Relationship Id="rId2174" Type="http://schemas.openxmlformats.org/officeDocument/2006/relationships/hyperlink" Target="https://in.tradingview.com/chart/Cgv3Jm6J/?symbol=NSE%3AVRLLOG" TargetMode="External"/><Relationship Id="rId372" Type="http://schemas.openxmlformats.org/officeDocument/2006/relationships/hyperlink" Target="https://in.tradingview.com/chart/Cgv3Jm6J/?symbol=NSE%3ACEREBRAINT" TargetMode="External"/><Relationship Id="rId2175" Type="http://schemas.openxmlformats.org/officeDocument/2006/relationships/hyperlink" Target="https://in.tradingview.com/chart/Cgv3Jm6J/?symbol=NSE%3AVSSL" TargetMode="External"/><Relationship Id="rId371" Type="http://schemas.openxmlformats.org/officeDocument/2006/relationships/hyperlink" Target="https://in.tradingview.com/chart/Cgv3Jm6J/?symbol=NSE%3ACERA" TargetMode="External"/><Relationship Id="rId2176" Type="http://schemas.openxmlformats.org/officeDocument/2006/relationships/hyperlink" Target="https://in.tradingview.com/chart/Cgv3Jm6J/?symbol=NSE%3AVSTIND" TargetMode="External"/><Relationship Id="rId378" Type="http://schemas.openxmlformats.org/officeDocument/2006/relationships/hyperlink" Target="https://in.tradingview.com/chart/Cgv3Jm6J/?symbol=NSE%3ACHAMBLFERT" TargetMode="External"/><Relationship Id="rId2177" Type="http://schemas.openxmlformats.org/officeDocument/2006/relationships/hyperlink" Target="https://in.tradingview.com/chart/Cgv3Jm6J/?symbol=NSE%3AVSTL" TargetMode="External"/><Relationship Id="rId377" Type="http://schemas.openxmlformats.org/officeDocument/2006/relationships/hyperlink" Target="https://in.tradingview.com/chart/Cgv3Jm6J/?symbol=NSE%3ACHALET" TargetMode="External"/><Relationship Id="rId2178" Type="http://schemas.openxmlformats.org/officeDocument/2006/relationships/hyperlink" Target="https://in.tradingview.com/chart/Cgv3Jm6J/?symbol=NSE%3AVSTTILLERS" TargetMode="External"/><Relationship Id="rId376" Type="http://schemas.openxmlformats.org/officeDocument/2006/relationships/hyperlink" Target="https://in.tradingview.com/chart/Cgv3Jm6J/?symbol=NSE%3ACGPOWER" TargetMode="External"/><Relationship Id="rId2179" Type="http://schemas.openxmlformats.org/officeDocument/2006/relationships/hyperlink" Target="https://in.tradingview.com/chart/Cgv3Jm6J/?symbol=NSE%3AVTL" TargetMode="External"/><Relationship Id="rId375" Type="http://schemas.openxmlformats.org/officeDocument/2006/relationships/hyperlink" Target="https://in.tradingview.com/chart/Cgv3Jm6J/?symbol=NSE%3ACGCL" TargetMode="External"/><Relationship Id="rId2190" Type="http://schemas.openxmlformats.org/officeDocument/2006/relationships/hyperlink" Target="https://in.tradingview.com/chart/Cgv3Jm6J/?symbol=NSE%3AWELENT" TargetMode="External"/><Relationship Id="rId2191" Type="http://schemas.openxmlformats.org/officeDocument/2006/relationships/hyperlink" Target="https://in.tradingview.com/chart/Cgv3Jm6J/?symbol=NSE%3AWELINV" TargetMode="External"/><Relationship Id="rId2192" Type="http://schemas.openxmlformats.org/officeDocument/2006/relationships/hyperlink" Target="https://in.tradingview.com/chart/Cgv3Jm6J/?symbol=NSE%3AWELSPUNLIV" TargetMode="External"/><Relationship Id="rId2193" Type="http://schemas.openxmlformats.org/officeDocument/2006/relationships/hyperlink" Target="https://in.tradingview.com/chart/Cgv3Jm6J/?symbol=NSE%3AWENDT" TargetMode="External"/><Relationship Id="rId2194" Type="http://schemas.openxmlformats.org/officeDocument/2006/relationships/hyperlink" Target="https://in.tradingview.com/chart/Cgv3Jm6J/?symbol=NSE%3AWESTLIFE" TargetMode="External"/><Relationship Id="rId396" Type="http://schemas.openxmlformats.org/officeDocument/2006/relationships/hyperlink" Target="https://in.tradingview.com/chart/Cgv3Jm6J/?symbol=NSE%3ACMSINFO" TargetMode="External"/><Relationship Id="rId2195" Type="http://schemas.openxmlformats.org/officeDocument/2006/relationships/hyperlink" Target="https://in.tradingview.com/chart/Cgv3Jm6J/?symbol=NSE%3AWEWIN" TargetMode="External"/><Relationship Id="rId395" Type="http://schemas.openxmlformats.org/officeDocument/2006/relationships/hyperlink" Target="https://in.tradingview.com/chart/Cgv3Jm6J/?symbol=NSE%3ACLSEL" TargetMode="External"/><Relationship Id="rId2196" Type="http://schemas.openxmlformats.org/officeDocument/2006/relationships/hyperlink" Target="https://in.tradingview.com/chart/Cgv3Jm6J/?symbol=NSE%3AWHEELS" TargetMode="External"/><Relationship Id="rId394" Type="http://schemas.openxmlformats.org/officeDocument/2006/relationships/hyperlink" Target="https://in.tradingview.com/chart/Cgv3Jm6J/?symbol=NSE%3ACLEDUCATE" TargetMode="External"/><Relationship Id="rId2197" Type="http://schemas.openxmlformats.org/officeDocument/2006/relationships/hyperlink" Target="https://in.tradingview.com/chart/Cgv3Jm6J/?symbol=NSE%3AWHIRLPOOL" TargetMode="External"/><Relationship Id="rId393" Type="http://schemas.openxmlformats.org/officeDocument/2006/relationships/hyperlink" Target="https://in.tradingview.com/chart/Cgv3Jm6J/?symbol=NSE%3ACLEAN" TargetMode="External"/><Relationship Id="rId2198" Type="http://schemas.openxmlformats.org/officeDocument/2006/relationships/hyperlink" Target="https://in.tradingview.com/chart/Cgv3Jm6J/?symbol=NSE%3AWILLAMAGOR" TargetMode="External"/><Relationship Id="rId2199" Type="http://schemas.openxmlformats.org/officeDocument/2006/relationships/hyperlink" Target="https://in.tradingview.com/chart/Cgv3Jm6J/?symbol=NSE%3AWINDLAS" TargetMode="External"/><Relationship Id="rId399" Type="http://schemas.openxmlformats.org/officeDocument/2006/relationships/hyperlink" Target="https://in.tradingview.com/chart/Cgv3Jm6J/?symbol=NSE%3ACOCHINSHIP" TargetMode="External"/><Relationship Id="rId398" Type="http://schemas.openxmlformats.org/officeDocument/2006/relationships/hyperlink" Target="https://in.tradingview.com/chart/Cgv3Jm6J/?symbol=NSE%3ACOASTCORP" TargetMode="External"/><Relationship Id="rId397" Type="http://schemas.openxmlformats.org/officeDocument/2006/relationships/hyperlink" Target="https://in.tradingview.com/chart/Cgv3Jm6J/?symbol=NSE%3ACOALINDIA" TargetMode="External"/><Relationship Id="rId1730" Type="http://schemas.openxmlformats.org/officeDocument/2006/relationships/hyperlink" Target="https://in.tradingview.com/chart/Cgv3Jm6J/?symbol=NSE%3ASANDHAR" TargetMode="External"/><Relationship Id="rId1731" Type="http://schemas.openxmlformats.org/officeDocument/2006/relationships/hyperlink" Target="https://in.tradingview.com/chart/Cgv3Jm6J/?symbol=NSE%3ASANDUMA" TargetMode="External"/><Relationship Id="rId1732" Type="http://schemas.openxmlformats.org/officeDocument/2006/relationships/hyperlink" Target="https://in.tradingview.com/chart/Cgv3Jm6J/?symbol=NSE%3ASANGAMIND" TargetMode="External"/><Relationship Id="rId1733" Type="http://schemas.openxmlformats.org/officeDocument/2006/relationships/hyperlink" Target="https://in.tradingview.com/chart/Cgv3Jm6J/?symbol=NSE%3ASANGHIIND" TargetMode="External"/><Relationship Id="rId1734" Type="http://schemas.openxmlformats.org/officeDocument/2006/relationships/hyperlink" Target="https://in.tradingview.com/chart/Cgv3Jm6J/?symbol=NSE%3ASANGHVIMOV" TargetMode="External"/><Relationship Id="rId1735" Type="http://schemas.openxmlformats.org/officeDocument/2006/relationships/hyperlink" Target="https://in.tradingview.com/chart/Cgv3Jm6J/?symbol=NSE%3ASANGINITA" TargetMode="External"/><Relationship Id="rId1736" Type="http://schemas.openxmlformats.org/officeDocument/2006/relationships/hyperlink" Target="https://in.tradingview.com/chart/Cgv3Jm6J/?symbol=NSE%3ASANOFI" TargetMode="External"/><Relationship Id="rId1737" Type="http://schemas.openxmlformats.org/officeDocument/2006/relationships/hyperlink" Target="https://in.tradingview.com/chart/Cgv3Jm6J/?symbol=NSE%3ASANOFICONR" TargetMode="External"/><Relationship Id="rId1738" Type="http://schemas.openxmlformats.org/officeDocument/2006/relationships/hyperlink" Target="https://in.tradingview.com/chart/Cgv3Jm6J/?symbol=NSE%3ASANSERA" TargetMode="External"/><Relationship Id="rId1739" Type="http://schemas.openxmlformats.org/officeDocument/2006/relationships/hyperlink" Target="https://in.tradingview.com/chart/Cgv3Jm6J/?symbol=NSE%3ASANSTAR" TargetMode="External"/><Relationship Id="rId1720" Type="http://schemas.openxmlformats.org/officeDocument/2006/relationships/hyperlink" Target="https://in.tradingview.com/chart/Cgv3Jm6J/?symbol=NSE%3ASALASAR" TargetMode="External"/><Relationship Id="rId1721" Type="http://schemas.openxmlformats.org/officeDocument/2006/relationships/hyperlink" Target="https://in.tradingview.com/chart/Cgv3Jm6J/?symbol=NSE%3ASALONA" TargetMode="External"/><Relationship Id="rId1722" Type="http://schemas.openxmlformats.org/officeDocument/2006/relationships/hyperlink" Target="https://in.tradingview.com/chart/Cgv3Jm6J/?symbol=NSE%3ASALSTEEL" TargetMode="External"/><Relationship Id="rId1723" Type="http://schemas.openxmlformats.org/officeDocument/2006/relationships/hyperlink" Target="https://in.tradingview.com/chart/Cgv3Jm6J/?symbol=NSE%3ASALZERELEC" TargetMode="External"/><Relationship Id="rId1724" Type="http://schemas.openxmlformats.org/officeDocument/2006/relationships/hyperlink" Target="https://in.tradingview.com/chart/Cgv3Jm6J/?symbol=NSE%3ASAMHI" TargetMode="External"/><Relationship Id="rId1725" Type="http://schemas.openxmlformats.org/officeDocument/2006/relationships/hyperlink" Target="https://in.tradingview.com/chart/Cgv3Jm6J/?symbol=NSE%3ASAMMAANCAP" TargetMode="External"/><Relationship Id="rId1726" Type="http://schemas.openxmlformats.org/officeDocument/2006/relationships/hyperlink" Target="https://in.tradingview.com/chart/Cgv3Jm6J/?symbol=NSE%3ASAMPANN" TargetMode="External"/><Relationship Id="rId1727" Type="http://schemas.openxmlformats.org/officeDocument/2006/relationships/hyperlink" Target="https://in.tradingview.com/chart/Cgv3Jm6J/?symbol=NSE%3ASANATHAN" TargetMode="External"/><Relationship Id="rId1728" Type="http://schemas.openxmlformats.org/officeDocument/2006/relationships/hyperlink" Target="https://in.tradingview.com/chart/Cgv3Jm6J/?symbol=NSE%3ASANCO" TargetMode="External"/><Relationship Id="rId1729" Type="http://schemas.openxmlformats.org/officeDocument/2006/relationships/hyperlink" Target="https://in.tradingview.com/chart/Cgv3Jm6J/?symbol=NSE%3ASANDESH" TargetMode="External"/><Relationship Id="rId1752" Type="http://schemas.openxmlformats.org/officeDocument/2006/relationships/hyperlink" Target="https://in.tradingview.com/chart/Cgv3Jm6J/?symbol=NSE%3ASBCL" TargetMode="External"/><Relationship Id="rId1753" Type="http://schemas.openxmlformats.org/officeDocument/2006/relationships/hyperlink" Target="https://in.tradingview.com/chart/Cgv3Jm6J/?symbol=NSE%3ASBFC" TargetMode="External"/><Relationship Id="rId1754" Type="http://schemas.openxmlformats.org/officeDocument/2006/relationships/hyperlink" Target="https://in.tradingview.com/chart/Cgv3Jm6J/?symbol=NSE%3ASBICARD" TargetMode="External"/><Relationship Id="rId1755" Type="http://schemas.openxmlformats.org/officeDocument/2006/relationships/hyperlink" Target="https://in.tradingview.com/chart/Cgv3Jm6J/?symbol=NSE%3ASBIETFCON" TargetMode="External"/><Relationship Id="rId1756" Type="http://schemas.openxmlformats.org/officeDocument/2006/relationships/hyperlink" Target="https://in.tradingview.com/chart/Cgv3Jm6J/?symbol=NSE%3ASBIETFIT" TargetMode="External"/><Relationship Id="rId1757" Type="http://schemas.openxmlformats.org/officeDocument/2006/relationships/hyperlink" Target="https://in.tradingview.com/chart/Cgv3Jm6J/?symbol=NSE%3ASBIETFPB" TargetMode="External"/><Relationship Id="rId1758" Type="http://schemas.openxmlformats.org/officeDocument/2006/relationships/hyperlink" Target="https://in.tradingview.com/chart/Cgv3Jm6J/?symbol=NSE%3ASBIETFQLTY" TargetMode="External"/><Relationship Id="rId1759" Type="http://schemas.openxmlformats.org/officeDocument/2006/relationships/hyperlink" Target="https://in.tradingview.com/chart/Cgv3Jm6J/?symbol=NSE%3ASBILIFE" TargetMode="External"/><Relationship Id="rId1750" Type="http://schemas.openxmlformats.org/officeDocument/2006/relationships/hyperlink" Target="https://in.tradingview.com/chart/Cgv3Jm6J/?symbol=NSE%3ASAURASHCEM" TargetMode="External"/><Relationship Id="rId1751" Type="http://schemas.openxmlformats.org/officeDocument/2006/relationships/hyperlink" Target="https://in.tradingview.com/chart/Cgv3Jm6J/?symbol=NSE%3ASBC" TargetMode="External"/><Relationship Id="rId1741" Type="http://schemas.openxmlformats.org/officeDocument/2006/relationships/hyperlink" Target="https://in.tradingview.com/chart/Cgv3Jm6J/?symbol=NSE%3ASAPPHIRE" TargetMode="External"/><Relationship Id="rId1742" Type="http://schemas.openxmlformats.org/officeDocument/2006/relationships/hyperlink" Target="https://in.tradingview.com/chart/Cgv3Jm6J/?symbol=NSE%3ASARDAEN" TargetMode="External"/><Relationship Id="rId1743" Type="http://schemas.openxmlformats.org/officeDocument/2006/relationships/hyperlink" Target="https://in.tradingview.com/chart/Cgv3Jm6J/?symbol=NSE%3ASAREGAMA" TargetMode="External"/><Relationship Id="rId1744" Type="http://schemas.openxmlformats.org/officeDocument/2006/relationships/hyperlink" Target="https://in.tradingview.com/chart/Cgv3Jm6J/?symbol=NSE%3ASARLAPOLY" TargetMode="External"/><Relationship Id="rId1745" Type="http://schemas.openxmlformats.org/officeDocument/2006/relationships/hyperlink" Target="https://in.tradingview.com/chart/Cgv3Jm6J/?symbol=NSE%3ASARVESHWAR" TargetMode="External"/><Relationship Id="rId1746" Type="http://schemas.openxmlformats.org/officeDocument/2006/relationships/hyperlink" Target="https://in.tradingview.com/chart/Cgv3Jm6J/?symbol=NSE%3ASASKEN" TargetMode="External"/><Relationship Id="rId1747" Type="http://schemas.openxmlformats.org/officeDocument/2006/relationships/hyperlink" Target="https://in.tradingview.com/chart/Cgv3Jm6J/?symbol=NSE%3ASASTASUNDR" TargetMode="External"/><Relationship Id="rId1748" Type="http://schemas.openxmlformats.org/officeDocument/2006/relationships/hyperlink" Target="https://in.tradingview.com/chart/Cgv3Jm6J/?symbol=NSE%3ASATIA" TargetMode="External"/><Relationship Id="rId1749" Type="http://schemas.openxmlformats.org/officeDocument/2006/relationships/hyperlink" Target="https://in.tradingview.com/chart/Cgv3Jm6J/?symbol=NSE%3ASATIN" TargetMode="External"/><Relationship Id="rId1740" Type="http://schemas.openxmlformats.org/officeDocument/2006/relationships/hyperlink" Target="https://in.tradingview.com/chart/Cgv3Jm6J/?symbol=NSE%3ASANWARIA" TargetMode="External"/><Relationship Id="rId1710" Type="http://schemas.openxmlformats.org/officeDocument/2006/relationships/hyperlink" Target="https://in.tradingview.com/chart/Cgv3Jm6J/?symbol=NSE%3ASAFARI" TargetMode="External"/><Relationship Id="rId1711" Type="http://schemas.openxmlformats.org/officeDocument/2006/relationships/hyperlink" Target="https://in.tradingview.com/chart/Cgv3Jm6J/?symbol=NSE%3ASAGARDEEP" TargetMode="External"/><Relationship Id="rId1712" Type="http://schemas.openxmlformats.org/officeDocument/2006/relationships/hyperlink" Target="https://in.tradingview.com/chart/Cgv3Jm6J/?symbol=NSE%3ASAGCEM" TargetMode="External"/><Relationship Id="rId1713" Type="http://schemas.openxmlformats.org/officeDocument/2006/relationships/hyperlink" Target="https://in.tradingview.com/chart/Cgv3Jm6J/?symbol=NSE%3ASAGILITY" TargetMode="External"/><Relationship Id="rId1714" Type="http://schemas.openxmlformats.org/officeDocument/2006/relationships/hyperlink" Target="https://in.tradingview.com/chart/Cgv3Jm6J/?symbol=NSE%3ASAHYADRI" TargetMode="External"/><Relationship Id="rId1715" Type="http://schemas.openxmlformats.org/officeDocument/2006/relationships/hyperlink" Target="https://in.tradingview.com/chart/Cgv3Jm6J/?symbol=NSE%3ASAIL" TargetMode="External"/><Relationship Id="rId1716" Type="http://schemas.openxmlformats.org/officeDocument/2006/relationships/hyperlink" Target="https://in.tradingview.com/chart/Cgv3Jm6J/?symbol=NSE%3ASAILIFE" TargetMode="External"/><Relationship Id="rId1717" Type="http://schemas.openxmlformats.org/officeDocument/2006/relationships/hyperlink" Target="https://in.tradingview.com/chart/Cgv3Jm6J/?symbol=NSE%3ASAKAR" TargetMode="External"/><Relationship Id="rId1718" Type="http://schemas.openxmlformats.org/officeDocument/2006/relationships/hyperlink" Target="https://in.tradingview.com/chart/Cgv3Jm6J/?symbol=NSE%3ASAKHTISUG" TargetMode="External"/><Relationship Id="rId1719" Type="http://schemas.openxmlformats.org/officeDocument/2006/relationships/hyperlink" Target="https://in.tradingview.com/chart/Cgv3Jm6J/?symbol=NSE%3ASAKSOFT" TargetMode="External"/><Relationship Id="rId1700" Type="http://schemas.openxmlformats.org/officeDocument/2006/relationships/hyperlink" Target="https://in.tradingview.com/chart/Cgv3Jm6J/?symbol=NSE%3ARUCHIRA" TargetMode="External"/><Relationship Id="rId1701" Type="http://schemas.openxmlformats.org/officeDocument/2006/relationships/hyperlink" Target="https://in.tradingview.com/chart/Cgv3Jm6J/?symbol=NSE%3ARUPA" TargetMode="External"/><Relationship Id="rId1702" Type="http://schemas.openxmlformats.org/officeDocument/2006/relationships/hyperlink" Target="https://in.tradingview.com/chart/Cgv3Jm6J/?symbol=NSE%3ARUSHIL" TargetMode="External"/><Relationship Id="rId1703" Type="http://schemas.openxmlformats.org/officeDocument/2006/relationships/hyperlink" Target="https://in.tradingview.com/chart/Cgv3Jm6J/?symbol=NSE%3ARUSTOMJEE" TargetMode="External"/><Relationship Id="rId1704" Type="http://schemas.openxmlformats.org/officeDocument/2006/relationships/hyperlink" Target="https://in.tradingview.com/chart/Cgv3Jm6J/?symbol=NSE%3ARVHL" TargetMode="External"/><Relationship Id="rId1705" Type="http://schemas.openxmlformats.org/officeDocument/2006/relationships/hyperlink" Target="https://in.tradingview.com/chart/Cgv3Jm6J/?symbol=NSE%3ARVNL" TargetMode="External"/><Relationship Id="rId1706" Type="http://schemas.openxmlformats.org/officeDocument/2006/relationships/hyperlink" Target="https://in.tradingview.com/chart/Cgv3Jm6J/?symbol=NSE%3ARVTH" TargetMode="External"/><Relationship Id="rId1707" Type="http://schemas.openxmlformats.org/officeDocument/2006/relationships/hyperlink" Target="https://in.tradingview.com/chart/Cgv3Jm6J/?symbol=NSE%3AS_SPOWER" TargetMode="External"/><Relationship Id="rId1708" Type="http://schemas.openxmlformats.org/officeDocument/2006/relationships/hyperlink" Target="https://in.tradingview.com/chart/Cgv3Jm6J/?symbol=NSE%3ASADBHIN" TargetMode="External"/><Relationship Id="rId1709" Type="http://schemas.openxmlformats.org/officeDocument/2006/relationships/hyperlink" Target="https://in.tradingview.com/chart/Cgv3Jm6J/?symbol=NSE%3ASADHNANIQ" TargetMode="External"/><Relationship Id="rId40" Type="http://schemas.openxmlformats.org/officeDocument/2006/relationships/hyperlink" Target="https://in.tradingview.com/chart/Cgv3Jm6J/?symbol=NSE%3AACE" TargetMode="External"/><Relationship Id="rId42" Type="http://schemas.openxmlformats.org/officeDocument/2006/relationships/hyperlink" Target="https://in.tradingview.com/chart/Cgv3Jm6J/?symbol=NSE%3AACI" TargetMode="External"/><Relationship Id="rId41" Type="http://schemas.openxmlformats.org/officeDocument/2006/relationships/hyperlink" Target="https://in.tradingview.com/chart/Cgv3Jm6J/?symbol=NSE%3AACEINTEG" TargetMode="External"/><Relationship Id="rId44" Type="http://schemas.openxmlformats.org/officeDocument/2006/relationships/hyperlink" Target="https://in.tradingview.com/chart/Cgv3Jm6J/?symbol=NSE%3AACLGATI" TargetMode="External"/><Relationship Id="rId43" Type="http://schemas.openxmlformats.org/officeDocument/2006/relationships/hyperlink" Target="https://in.tradingview.com/chart/Cgv3Jm6J/?symbol=NSE%3AACL" TargetMode="External"/><Relationship Id="rId46" Type="http://schemas.openxmlformats.org/officeDocument/2006/relationships/hyperlink" Target="https://in.tradingview.com/chart/Cgv3Jm6J/?symbol=NSE%3AADANIENSOL" TargetMode="External"/><Relationship Id="rId45" Type="http://schemas.openxmlformats.org/officeDocument/2006/relationships/hyperlink" Target="https://in.tradingview.com/chart/Cgv3Jm6J/?symbol=NSE%3AACMESOLAR" TargetMode="External"/><Relationship Id="rId48" Type="http://schemas.openxmlformats.org/officeDocument/2006/relationships/hyperlink" Target="https://in.tradingview.com/chart/Cgv3Jm6J/?symbol=NSE%3AADANIGREEN" TargetMode="External"/><Relationship Id="rId47" Type="http://schemas.openxmlformats.org/officeDocument/2006/relationships/hyperlink" Target="https://in.tradingview.com/chart/Cgv3Jm6J/?symbol=NSE%3AADANIENT" TargetMode="External"/><Relationship Id="rId49" Type="http://schemas.openxmlformats.org/officeDocument/2006/relationships/hyperlink" Target="https://in.tradingview.com/chart/Cgv3Jm6J/?symbol=NSE%3AADANIPORTS" TargetMode="External"/><Relationship Id="rId31" Type="http://schemas.openxmlformats.org/officeDocument/2006/relationships/hyperlink" Target="https://in.tradingview.com/chart/Cgv3Jm6J/?symbol=NSE%3AABREL" TargetMode="External"/><Relationship Id="rId30" Type="http://schemas.openxmlformats.org/officeDocument/2006/relationships/hyperlink" Target="https://in.tradingview.com/chart/Cgv3Jm6J/?symbol=NSE%3AABMINTLLTD" TargetMode="External"/><Relationship Id="rId33" Type="http://schemas.openxmlformats.org/officeDocument/2006/relationships/hyperlink" Target="https://in.tradingview.com/chart/Cgv3Jm6J/?symbol=NSE%3AABSLBANETF" TargetMode="External"/><Relationship Id="rId32" Type="http://schemas.openxmlformats.org/officeDocument/2006/relationships/hyperlink" Target="https://in.tradingview.com/chart/Cgv3Jm6J/?symbol=NSE%3AABSLAMC" TargetMode="External"/><Relationship Id="rId35" Type="http://schemas.openxmlformats.org/officeDocument/2006/relationships/hyperlink" Target="https://in.tradingview.com/chart/Cgv3Jm6J/?symbol=NSE%3AABSLNN50ET" TargetMode="External"/><Relationship Id="rId34" Type="http://schemas.openxmlformats.org/officeDocument/2006/relationships/hyperlink" Target="https://in.tradingview.com/chart/Cgv3Jm6J/?symbol=NSE%3AABSLLIQUID" TargetMode="External"/><Relationship Id="rId37" Type="http://schemas.openxmlformats.org/officeDocument/2006/relationships/hyperlink" Target="https://in.tradingview.com/chart/Cgv3Jm6J/?symbol=NSE%3AACC" TargetMode="External"/><Relationship Id="rId36" Type="http://schemas.openxmlformats.org/officeDocument/2006/relationships/hyperlink" Target="https://in.tradingview.com/chart/Cgv3Jm6J/?symbol=NSE%3AABSLPSE" TargetMode="External"/><Relationship Id="rId39" Type="http://schemas.openxmlformats.org/officeDocument/2006/relationships/hyperlink" Target="https://in.tradingview.com/chart/Cgv3Jm6J/?symbol=NSE%3AACCURACY" TargetMode="External"/><Relationship Id="rId38" Type="http://schemas.openxmlformats.org/officeDocument/2006/relationships/hyperlink" Target="https://in.tradingview.com/chart/Cgv3Jm6J/?symbol=NSE%3AACCELYA" TargetMode="External"/><Relationship Id="rId2203" Type="http://schemas.openxmlformats.org/officeDocument/2006/relationships/hyperlink" Target="https://in.tradingview.com/chart/Cgv3Jm6J/?symbol=NSE%3AWIPRO" TargetMode="External"/><Relationship Id="rId2204" Type="http://schemas.openxmlformats.org/officeDocument/2006/relationships/hyperlink" Target="https://in.tradingview.com/chart/Cgv3Jm6J/?symbol=NSE%3AWOCKPHARMA" TargetMode="External"/><Relationship Id="rId20" Type="http://schemas.openxmlformats.org/officeDocument/2006/relationships/hyperlink" Target="https://in.tradingview.com/chart/Cgv3Jm6J/?symbol=NSE%3AAARVEEDEN" TargetMode="External"/><Relationship Id="rId2205" Type="http://schemas.openxmlformats.org/officeDocument/2006/relationships/hyperlink" Target="https://in.tradingview.com/chart/Cgv3Jm6J/?symbol=NSE%3AWONDERLA" TargetMode="External"/><Relationship Id="rId2206" Type="http://schemas.openxmlformats.org/officeDocument/2006/relationships/hyperlink" Target="https://in.tradingview.com/chart/Cgv3Jm6J/?symbol=NSE%3AWSI" TargetMode="External"/><Relationship Id="rId22" Type="http://schemas.openxmlformats.org/officeDocument/2006/relationships/hyperlink" Target="https://in.tradingview.com/chart/Cgv3Jm6J/?symbol=NSE%3AAAVAS" TargetMode="External"/><Relationship Id="rId2207" Type="http://schemas.openxmlformats.org/officeDocument/2006/relationships/hyperlink" Target="https://in.tradingview.com/chart/Cgv3Jm6J/?symbol=NSE%3AWSTCSTPAPR" TargetMode="External"/><Relationship Id="rId21" Type="http://schemas.openxmlformats.org/officeDocument/2006/relationships/hyperlink" Target="https://in.tradingview.com/chart/Cgv3Jm6J/?symbol=NSE%3AAARVI" TargetMode="External"/><Relationship Id="rId2208" Type="http://schemas.openxmlformats.org/officeDocument/2006/relationships/hyperlink" Target="https://in.tradingview.com/chart/Cgv3Jm6J/?symbol=NSE%3AXCHANGING" TargetMode="External"/><Relationship Id="rId24" Type="http://schemas.openxmlformats.org/officeDocument/2006/relationships/hyperlink" Target="https://in.tradingview.com/chart/Cgv3Jm6J/?symbol=NSE%3AABB" TargetMode="External"/><Relationship Id="rId2209" Type="http://schemas.openxmlformats.org/officeDocument/2006/relationships/hyperlink" Target="https://in.tradingview.com/chart/Cgv3Jm6J/?symbol=NSE%3AXELPMOC" TargetMode="External"/><Relationship Id="rId23" Type="http://schemas.openxmlformats.org/officeDocument/2006/relationships/hyperlink" Target="https://in.tradingview.com/chart/Cgv3Jm6J/?symbol=NSE%3AABAN" TargetMode="External"/><Relationship Id="rId26" Type="http://schemas.openxmlformats.org/officeDocument/2006/relationships/hyperlink" Target="https://in.tradingview.com/chart/Cgv3Jm6J/?symbol=NSE%3AABCAPITAL" TargetMode="External"/><Relationship Id="rId25" Type="http://schemas.openxmlformats.org/officeDocument/2006/relationships/hyperlink" Target="https://in.tradingview.com/chart/Cgv3Jm6J/?symbol=NSE%3AABBOTINDIA" TargetMode="External"/><Relationship Id="rId28" Type="http://schemas.openxmlformats.org/officeDocument/2006/relationships/hyperlink" Target="https://in.tradingview.com/chart/Cgv3Jm6J/?symbol=NSE%3AABFRL" TargetMode="External"/><Relationship Id="rId27" Type="http://schemas.openxmlformats.org/officeDocument/2006/relationships/hyperlink" Target="https://in.tradingview.com/chart/Cgv3Jm6J/?symbol=NSE%3AABDL" TargetMode="External"/><Relationship Id="rId29" Type="http://schemas.openxmlformats.org/officeDocument/2006/relationships/hyperlink" Target="https://in.tradingview.com/chart/Cgv3Jm6J/?symbol=NSE%3AABINFRA" TargetMode="External"/><Relationship Id="rId2200" Type="http://schemas.openxmlformats.org/officeDocument/2006/relationships/hyperlink" Target="https://in.tradingview.com/chart/Cgv3Jm6J/?symbol=NSE%3AWINDMACHIN" TargetMode="External"/><Relationship Id="rId2201" Type="http://schemas.openxmlformats.org/officeDocument/2006/relationships/hyperlink" Target="https://in.tradingview.com/chart/Cgv3Jm6J/?symbol=NSE%3AWINSOME" TargetMode="External"/><Relationship Id="rId2202" Type="http://schemas.openxmlformats.org/officeDocument/2006/relationships/hyperlink" Target="https://in.tradingview.com/chart/Cgv3Jm6J/?symbol=NSE%3AWIPL" TargetMode="External"/><Relationship Id="rId11" Type="http://schemas.openxmlformats.org/officeDocument/2006/relationships/hyperlink" Target="https://in.tradingview.com/chart/Cgv3Jm6J/?symbol=NSE%3AAADHARHFC" TargetMode="External"/><Relationship Id="rId10" Type="http://schemas.openxmlformats.org/officeDocument/2006/relationships/hyperlink" Target="https://in.tradingview.com/chart/Cgv3Jm6J/?symbol=NSE%3AAAATECH" TargetMode="External"/><Relationship Id="rId13" Type="http://schemas.openxmlformats.org/officeDocument/2006/relationships/hyperlink" Target="https://in.tradingview.com/chart/Cgv3Jm6J/?symbol=NSE%3AAAREYDRUGS" TargetMode="External"/><Relationship Id="rId12" Type="http://schemas.openxmlformats.org/officeDocument/2006/relationships/hyperlink" Target="https://in.tradingview.com/chart/Cgv3Jm6J/?symbol=NSE%3AAAKASH" TargetMode="External"/><Relationship Id="rId15" Type="http://schemas.openxmlformats.org/officeDocument/2006/relationships/hyperlink" Target="https://in.tradingview.com/chart/Cgv3Jm6J/?symbol=NSE%3AAARTECH" TargetMode="External"/><Relationship Id="rId14" Type="http://schemas.openxmlformats.org/officeDocument/2006/relationships/hyperlink" Target="https://in.tradingview.com/chart/Cgv3Jm6J/?symbol=NSE%3AAARON" TargetMode="External"/><Relationship Id="rId17" Type="http://schemas.openxmlformats.org/officeDocument/2006/relationships/hyperlink" Target="https://in.tradingview.com/chart/Cgv3Jm6J/?symbol=NSE%3AAARTIIND" TargetMode="External"/><Relationship Id="rId16" Type="http://schemas.openxmlformats.org/officeDocument/2006/relationships/hyperlink" Target="https://in.tradingview.com/chart/Cgv3Jm6J/?symbol=NSE%3AAARTIDRUGS" TargetMode="External"/><Relationship Id="rId19" Type="http://schemas.openxmlformats.org/officeDocument/2006/relationships/hyperlink" Target="https://in.tradingview.com/chart/Cgv3Jm6J/?symbol=NSE%3AAARTISURF" TargetMode="External"/><Relationship Id="rId18" Type="http://schemas.openxmlformats.org/officeDocument/2006/relationships/hyperlink" Target="https://in.tradingview.com/chart/Cgv3Jm6J/?symbol=NSE%3AAARTIPHARM" TargetMode="External"/><Relationship Id="rId84" Type="http://schemas.openxmlformats.org/officeDocument/2006/relationships/hyperlink" Target="https://in.tradingview.com/chart/Cgv3Jm6J/?symbol=NSE%3AAKI" TargetMode="External"/><Relationship Id="rId1774" Type="http://schemas.openxmlformats.org/officeDocument/2006/relationships/hyperlink" Target="https://in.tradingview.com/chart/Cgv3Jm6J/?symbol=NSE%3ASEJALLTD" TargetMode="External"/><Relationship Id="rId83" Type="http://schemas.openxmlformats.org/officeDocument/2006/relationships/hyperlink" Target="https://in.tradingview.com/chart/Cgv3Jm6J/?symbol=NSE%3AAKG" TargetMode="External"/><Relationship Id="rId1775" Type="http://schemas.openxmlformats.org/officeDocument/2006/relationships/hyperlink" Target="https://in.tradingview.com/chart/Cgv3Jm6J/?symbol=NSE%3ASELMC" TargetMode="External"/><Relationship Id="rId86" Type="http://schemas.openxmlformats.org/officeDocument/2006/relationships/hyperlink" Target="https://in.tradingview.com/chart/Cgv3Jm6J/?symbol=NSE%3AAKSHARCHEM" TargetMode="External"/><Relationship Id="rId1776" Type="http://schemas.openxmlformats.org/officeDocument/2006/relationships/hyperlink" Target="https://in.tradingview.com/chart/Cgv3Jm6J/?symbol=NSE%3ASENCO" TargetMode="External"/><Relationship Id="rId85" Type="http://schemas.openxmlformats.org/officeDocument/2006/relationships/hyperlink" Target="https://in.tradingview.com/chart/Cgv3Jm6J/?symbol=NSE%3AAKSHAR" TargetMode="External"/><Relationship Id="rId1777" Type="http://schemas.openxmlformats.org/officeDocument/2006/relationships/hyperlink" Target="https://in.tradingview.com/chart/Cgv3Jm6J/?symbol=NSE%3ASENORES" TargetMode="External"/><Relationship Id="rId88" Type="http://schemas.openxmlformats.org/officeDocument/2006/relationships/hyperlink" Target="https://in.tradingview.com/chart/Cgv3Jm6J/?symbol=NSE%3AAKUMS" TargetMode="External"/><Relationship Id="rId1778" Type="http://schemas.openxmlformats.org/officeDocument/2006/relationships/hyperlink" Target="https://in.tradingview.com/chart/Cgv3Jm6J/?symbol=NSE%3ASENSEXADD" TargetMode="External"/><Relationship Id="rId87" Type="http://schemas.openxmlformats.org/officeDocument/2006/relationships/hyperlink" Target="https://in.tradingview.com/chart/Cgv3Jm6J/?symbol=NSE%3AAKSHOPTFBR" TargetMode="External"/><Relationship Id="rId1779" Type="http://schemas.openxmlformats.org/officeDocument/2006/relationships/hyperlink" Target="https://in.tradingview.com/chart/Cgv3Jm6J/?symbol=NSE%3ASENSEXETF" TargetMode="External"/><Relationship Id="rId89" Type="http://schemas.openxmlformats.org/officeDocument/2006/relationships/hyperlink" Target="https://in.tradingview.com/chart/Cgv3Jm6J/?symbol=NSE%3AAKZOINDIA" TargetMode="External"/><Relationship Id="rId80" Type="http://schemas.openxmlformats.org/officeDocument/2006/relationships/hyperlink" Target="https://in.tradingview.com/chart/Cgv3Jm6J/?symbol=NSE%3AAJMERA" TargetMode="External"/><Relationship Id="rId82" Type="http://schemas.openxmlformats.org/officeDocument/2006/relationships/hyperlink" Target="https://in.tradingview.com/chart/Cgv3Jm6J/?symbol=NSE%3AAKASH" TargetMode="External"/><Relationship Id="rId81" Type="http://schemas.openxmlformats.org/officeDocument/2006/relationships/hyperlink" Target="https://in.tradingview.com/chart/Cgv3Jm6J/?symbol=NSE%3AAJOONI" TargetMode="External"/><Relationship Id="rId1770" Type="http://schemas.openxmlformats.org/officeDocument/2006/relationships/hyperlink" Target="https://in.tradingview.com/chart/Cgv3Jm6J/?symbol=NSE%3ASDL26BEES" TargetMode="External"/><Relationship Id="rId1771" Type="http://schemas.openxmlformats.org/officeDocument/2006/relationships/hyperlink" Target="https://in.tradingview.com/chart/Cgv3Jm6J/?symbol=NSE%3ASEAMECLTD" TargetMode="External"/><Relationship Id="rId1772" Type="http://schemas.openxmlformats.org/officeDocument/2006/relationships/hyperlink" Target="https://in.tradingview.com/chart/Cgv3Jm6J/?symbol=NSE%3ASECMARK" TargetMode="External"/><Relationship Id="rId1773" Type="http://schemas.openxmlformats.org/officeDocument/2006/relationships/hyperlink" Target="https://in.tradingview.com/chart/Cgv3Jm6J/?symbol=NSE%3ASECURKLOUD" TargetMode="External"/><Relationship Id="rId73" Type="http://schemas.openxmlformats.org/officeDocument/2006/relationships/hyperlink" Target="https://in.tradingview.com/chart/Cgv3Jm6J/?symbol=NSE%3AAHLUCONT" TargetMode="External"/><Relationship Id="rId1763" Type="http://schemas.openxmlformats.org/officeDocument/2006/relationships/hyperlink" Target="https://in.tradingview.com/chart/Cgv3Jm6J/?symbol=NSE%3ASCHAEFFLER" TargetMode="External"/><Relationship Id="rId72" Type="http://schemas.openxmlformats.org/officeDocument/2006/relationships/hyperlink" Target="https://in.tradingview.com/chart/Cgv3Jm6J/?symbol=NSE%3AAHLEAST" TargetMode="External"/><Relationship Id="rId1764" Type="http://schemas.openxmlformats.org/officeDocument/2006/relationships/hyperlink" Target="https://in.tradingview.com/chart/Cgv3Jm6J/?symbol=NSE%3ASCHAND" TargetMode="External"/><Relationship Id="rId75" Type="http://schemas.openxmlformats.org/officeDocument/2006/relationships/hyperlink" Target="https://in.tradingview.com/chart/Cgv3Jm6J/?symbol=NSE%3AAIIL" TargetMode="External"/><Relationship Id="rId1765" Type="http://schemas.openxmlformats.org/officeDocument/2006/relationships/hyperlink" Target="https://in.tradingview.com/chart/Cgv3Jm6J/?symbol=NSE%3ASCHNEIDER" TargetMode="External"/><Relationship Id="rId74" Type="http://schemas.openxmlformats.org/officeDocument/2006/relationships/hyperlink" Target="https://in.tradingview.com/chart/Cgv3Jm6J/?symbol=NSE%3AAIAENG" TargetMode="External"/><Relationship Id="rId1766" Type="http://schemas.openxmlformats.org/officeDocument/2006/relationships/hyperlink" Target="https://in.tradingview.com/chart/Cgv3Jm6J/?symbol=NSE%3ASCI" TargetMode="External"/><Relationship Id="rId77" Type="http://schemas.openxmlformats.org/officeDocument/2006/relationships/hyperlink" Target="https://in.tradingview.com/chart/Cgv3Jm6J/?symbol=NSE%3AAIROLAM" TargetMode="External"/><Relationship Id="rId1767" Type="http://schemas.openxmlformats.org/officeDocument/2006/relationships/hyperlink" Target="https://in.tradingview.com/chart/Cgv3Jm6J/?symbol=NSE%3ASCILAL" TargetMode="External"/><Relationship Id="rId76" Type="http://schemas.openxmlformats.org/officeDocument/2006/relationships/hyperlink" Target="https://in.tradingview.com/chart/Cgv3Jm6J/?symbol=NSE%3AAIRAN" TargetMode="External"/><Relationship Id="rId1768" Type="http://schemas.openxmlformats.org/officeDocument/2006/relationships/hyperlink" Target="https://in.tradingview.com/chart/Cgv3Jm6J/?symbol=NSE%3ASCPL" TargetMode="External"/><Relationship Id="rId79" Type="http://schemas.openxmlformats.org/officeDocument/2006/relationships/hyperlink" Target="https://in.tradingview.com/chart/Cgv3Jm6J/?symbol=NSE%3AAJAXENGG" TargetMode="External"/><Relationship Id="rId1769" Type="http://schemas.openxmlformats.org/officeDocument/2006/relationships/hyperlink" Target="https://in.tradingview.com/chart/Cgv3Jm6J/?symbol=NSE%3ASDBL" TargetMode="External"/><Relationship Id="rId78" Type="http://schemas.openxmlformats.org/officeDocument/2006/relationships/hyperlink" Target="https://in.tradingview.com/chart/Cgv3Jm6J/?symbol=NSE%3AAJANTPHARM" TargetMode="External"/><Relationship Id="rId71" Type="http://schemas.openxmlformats.org/officeDocument/2006/relationships/hyperlink" Target="https://in.tradingview.com/chart/Cgv3Jm6J/?symbol=NSE%3AAHLADA" TargetMode="External"/><Relationship Id="rId70" Type="http://schemas.openxmlformats.org/officeDocument/2006/relationships/hyperlink" Target="https://in.tradingview.com/chart/Cgv3Jm6J/?symbol=NSE%3AAGSTRA" TargetMode="External"/><Relationship Id="rId1760" Type="http://schemas.openxmlformats.org/officeDocument/2006/relationships/hyperlink" Target="https://in.tradingview.com/chart/Cgv3Jm6J/?symbol=NSE%3ASBIN" TargetMode="External"/><Relationship Id="rId1761" Type="http://schemas.openxmlformats.org/officeDocument/2006/relationships/hyperlink" Target="https://in.tradingview.com/chart/Cgv3Jm6J/?symbol=NSE%3ASBINEQWETF" TargetMode="External"/><Relationship Id="rId1762" Type="http://schemas.openxmlformats.org/officeDocument/2006/relationships/hyperlink" Target="https://in.tradingview.com/chart/Cgv3Jm6J/?symbol=NSE%3ASBISILVER" TargetMode="External"/><Relationship Id="rId62" Type="http://schemas.openxmlformats.org/officeDocument/2006/relationships/hyperlink" Target="https://in.tradingview.com/chart/Cgv3Jm6J/?symbol=NSE%3AAFFORDABLE" TargetMode="External"/><Relationship Id="rId1796" Type="http://schemas.openxmlformats.org/officeDocument/2006/relationships/hyperlink" Target="https://in.tradingview.com/chart/Cgv3Jm6J/?symbol=NSE%3ASGLTL" TargetMode="External"/><Relationship Id="rId61" Type="http://schemas.openxmlformats.org/officeDocument/2006/relationships/hyperlink" Target="https://in.tradingview.com/chart/Cgv3Jm6J/?symbol=NSE%3AAFFLE" TargetMode="External"/><Relationship Id="rId1797" Type="http://schemas.openxmlformats.org/officeDocument/2006/relationships/hyperlink" Target="https://in.tradingview.com/chart/Cgv3Jm6J/?symbol=NSE%3ASHAH" TargetMode="External"/><Relationship Id="rId64" Type="http://schemas.openxmlformats.org/officeDocument/2006/relationships/hyperlink" Target="https://in.tradingview.com/chart/Cgv3Jm6J/?symbol=NSE%3AAGARIND" TargetMode="External"/><Relationship Id="rId1798" Type="http://schemas.openxmlformats.org/officeDocument/2006/relationships/hyperlink" Target="https://in.tradingview.com/chart/Cgv3Jm6J/?symbol=NSE%3ASHAHALLOYS" TargetMode="External"/><Relationship Id="rId63" Type="http://schemas.openxmlformats.org/officeDocument/2006/relationships/hyperlink" Target="https://in.tradingview.com/chart/Cgv3Jm6J/?symbol=NSE%3AAFIL" TargetMode="External"/><Relationship Id="rId1799" Type="http://schemas.openxmlformats.org/officeDocument/2006/relationships/hyperlink" Target="https://in.tradingview.com/chart/Cgv3Jm6J/?symbol=NSE%3ASHAILY" TargetMode="External"/><Relationship Id="rId66" Type="http://schemas.openxmlformats.org/officeDocument/2006/relationships/hyperlink" Target="https://in.tradingview.com/chart/Cgv3Jm6J/?symbol=NSE%3AAGI" TargetMode="External"/><Relationship Id="rId65" Type="http://schemas.openxmlformats.org/officeDocument/2006/relationships/hyperlink" Target="https://in.tradingview.com/chart/Cgv3Jm6J/?symbol=NSE%3AAGARWALEYE" TargetMode="External"/><Relationship Id="rId68" Type="http://schemas.openxmlformats.org/officeDocument/2006/relationships/hyperlink" Target="https://in.tradingview.com/chart/Cgv3Jm6J/?symbol=NSE%3AAGRITECH" TargetMode="External"/><Relationship Id="rId67" Type="http://schemas.openxmlformats.org/officeDocument/2006/relationships/hyperlink" Target="https://in.tradingview.com/chart/Cgv3Jm6J/?symbol=NSE%3AAGIIL" TargetMode="External"/><Relationship Id="rId60" Type="http://schemas.openxmlformats.org/officeDocument/2006/relationships/hyperlink" Target="https://in.tradingview.com/chart/Cgv3Jm6J/?symbol=NSE%3AAFCONS" TargetMode="External"/><Relationship Id="rId69" Type="http://schemas.openxmlformats.org/officeDocument/2006/relationships/hyperlink" Target="https://in.tradingview.com/chart/Cgv3Jm6J/?symbol=NSE%3AAGROPHOS" TargetMode="External"/><Relationship Id="rId1790" Type="http://schemas.openxmlformats.org/officeDocument/2006/relationships/hyperlink" Target="https://in.tradingview.com/chart/Cgv3Jm6J/?symbol=NSE%3ASETFNN50" TargetMode="External"/><Relationship Id="rId1791" Type="http://schemas.openxmlformats.org/officeDocument/2006/relationships/hyperlink" Target="https://in.tradingview.com/chart/Cgv3Jm6J/?symbol=NSE%3ASETUINFRA" TargetMode="External"/><Relationship Id="rId1792" Type="http://schemas.openxmlformats.org/officeDocument/2006/relationships/hyperlink" Target="https://in.tradingview.com/chart/Cgv3Jm6J/?symbol=NSE%3ASEYAIND" TargetMode="External"/><Relationship Id="rId1793" Type="http://schemas.openxmlformats.org/officeDocument/2006/relationships/hyperlink" Target="https://in.tradingview.com/chart/Cgv3Jm6J/?symbol=NSE%3ASFL" TargetMode="External"/><Relationship Id="rId1794" Type="http://schemas.openxmlformats.org/officeDocument/2006/relationships/hyperlink" Target="https://in.tradingview.com/chart/Cgv3Jm6J/?symbol=NSE%3ASGIL" TargetMode="External"/><Relationship Id="rId1795" Type="http://schemas.openxmlformats.org/officeDocument/2006/relationships/hyperlink" Target="https://in.tradingview.com/chart/Cgv3Jm6J/?symbol=NSE%3ASGL" TargetMode="External"/><Relationship Id="rId51" Type="http://schemas.openxmlformats.org/officeDocument/2006/relationships/hyperlink" Target="https://in.tradingview.com/chart/Cgv3Jm6J/?symbol=NSE%3AADFFOODS" TargetMode="External"/><Relationship Id="rId1785" Type="http://schemas.openxmlformats.org/officeDocument/2006/relationships/hyperlink" Target="https://in.tradingview.com/chart/Cgv3Jm6J/?symbol=NSE%3ASETCO" TargetMode="External"/><Relationship Id="rId50" Type="http://schemas.openxmlformats.org/officeDocument/2006/relationships/hyperlink" Target="https://in.tradingview.com/chart/Cgv3Jm6J/?symbol=NSE%3AADANIPOWER" TargetMode="External"/><Relationship Id="rId1786" Type="http://schemas.openxmlformats.org/officeDocument/2006/relationships/hyperlink" Target="https://in.tradingview.com/chart/Cgv3Jm6J/?symbol=NSE%3ASETF10GILT" TargetMode="External"/><Relationship Id="rId53" Type="http://schemas.openxmlformats.org/officeDocument/2006/relationships/hyperlink" Target="https://in.tradingview.com/chart/Cgv3Jm6J/?symbol=NSE%3AADROITINFO" TargetMode="External"/><Relationship Id="rId1787" Type="http://schemas.openxmlformats.org/officeDocument/2006/relationships/hyperlink" Target="https://in.tradingview.com/chart/Cgv3Jm6J/?symbol=NSE%3ASETFGOLD" TargetMode="External"/><Relationship Id="rId52" Type="http://schemas.openxmlformats.org/officeDocument/2006/relationships/hyperlink" Target="https://in.tradingview.com/chart/Cgv3Jm6J/?symbol=NSE%3AADL" TargetMode="External"/><Relationship Id="rId1788" Type="http://schemas.openxmlformats.org/officeDocument/2006/relationships/hyperlink" Target="https://in.tradingview.com/chart/Cgv3Jm6J/?symbol=NSE%3ASETFNIF50" TargetMode="External"/><Relationship Id="rId55" Type="http://schemas.openxmlformats.org/officeDocument/2006/relationships/hyperlink" Target="https://in.tradingview.com/chart/Cgv3Jm6J/?symbol=NSE%3AADVANIHOTR" TargetMode="External"/><Relationship Id="rId1789" Type="http://schemas.openxmlformats.org/officeDocument/2006/relationships/hyperlink" Target="https://in.tradingview.com/chart/Cgv3Jm6J/?symbol=NSE%3ASETFNIFBK" TargetMode="External"/><Relationship Id="rId54" Type="http://schemas.openxmlformats.org/officeDocument/2006/relationships/hyperlink" Target="https://in.tradingview.com/chart/Cgv3Jm6J/?symbol=NSE%3AADSL" TargetMode="External"/><Relationship Id="rId57" Type="http://schemas.openxmlformats.org/officeDocument/2006/relationships/hyperlink" Target="https://in.tradingview.com/chart/Cgv3Jm6J/?symbol=NSE%3AAEGISLOG" TargetMode="External"/><Relationship Id="rId56" Type="http://schemas.openxmlformats.org/officeDocument/2006/relationships/hyperlink" Target="https://in.tradingview.com/chart/Cgv3Jm6J/?symbol=NSE%3AADVENZYMES" TargetMode="External"/><Relationship Id="rId59" Type="http://schemas.openxmlformats.org/officeDocument/2006/relationships/hyperlink" Target="https://in.tradingview.com/chart/Cgv3Jm6J/?symbol=NSE%3AAETHER" TargetMode="External"/><Relationship Id="rId58" Type="http://schemas.openxmlformats.org/officeDocument/2006/relationships/hyperlink" Target="https://in.tradingview.com/chart/Cgv3Jm6J/?symbol=NSE%3AAEROFLEX" TargetMode="External"/><Relationship Id="rId1780" Type="http://schemas.openxmlformats.org/officeDocument/2006/relationships/hyperlink" Target="https://in.tradingview.com/chart/Cgv3Jm6J/?symbol=NSE%3ASENSEXIETF" TargetMode="External"/><Relationship Id="rId1781" Type="http://schemas.openxmlformats.org/officeDocument/2006/relationships/hyperlink" Target="https://in.tradingview.com/chart/Cgv3Jm6J/?symbol=NSE%3ASEPC" TargetMode="External"/><Relationship Id="rId1782" Type="http://schemas.openxmlformats.org/officeDocument/2006/relationships/hyperlink" Target="https://in.tradingview.com/chart/Cgv3Jm6J/?symbol=NSE%3ASEQUENT" TargetMode="External"/><Relationship Id="rId1783" Type="http://schemas.openxmlformats.org/officeDocument/2006/relationships/hyperlink" Target="https://in.tradingview.com/chart/Cgv3Jm6J/?symbol=NSE%3ASERVOTECH" TargetMode="External"/><Relationship Id="rId1784" Type="http://schemas.openxmlformats.org/officeDocument/2006/relationships/hyperlink" Target="https://in.tradingview.com/chart/Cgv3Jm6J/?symbol=NSE%3ASESHAPAPER" TargetMode="External"/><Relationship Id="rId349" Type="http://schemas.openxmlformats.org/officeDocument/2006/relationships/hyperlink" Target="https://in.tradingview.com/chart/Cgv3Jm6J/?symbol=NSE%3ACAPITALSFB" TargetMode="External"/><Relationship Id="rId348" Type="http://schemas.openxmlformats.org/officeDocument/2006/relationships/hyperlink" Target="https://in.tradingview.com/chart/Cgv3Jm6J/?symbol=NSE%3ACAPACITE" TargetMode="External"/><Relationship Id="rId347" Type="http://schemas.openxmlformats.org/officeDocument/2006/relationships/hyperlink" Target="https://in.tradingview.com/chart/Cgv3Jm6J/?symbol=NSE%3ACANTABIL" TargetMode="External"/><Relationship Id="rId346" Type="http://schemas.openxmlformats.org/officeDocument/2006/relationships/hyperlink" Target="https://in.tradingview.com/chart/Cgv3Jm6J/?symbol=NSE%3ACANFINHOME" TargetMode="External"/><Relationship Id="rId341" Type="http://schemas.openxmlformats.org/officeDocument/2006/relationships/hyperlink" Target="https://in.tradingview.com/chart/Cgv3Jm6J/?symbol=NSE%3ACALSOFT" TargetMode="External"/><Relationship Id="rId340" Type="http://schemas.openxmlformats.org/officeDocument/2006/relationships/hyperlink" Target="https://in.tradingview.com/chart/Cgv3Jm6J/?symbol=NSE%3ABYKE" TargetMode="External"/><Relationship Id="rId345" Type="http://schemas.openxmlformats.org/officeDocument/2006/relationships/hyperlink" Target="https://in.tradingview.com/chart/Cgv3Jm6J/?symbol=NSE%3ACANBK" TargetMode="External"/><Relationship Id="rId344" Type="http://schemas.openxmlformats.org/officeDocument/2006/relationships/hyperlink" Target="https://in.tradingview.com/chart/Cgv3Jm6J/?symbol=NSE%3ACAMS" TargetMode="External"/><Relationship Id="rId343" Type="http://schemas.openxmlformats.org/officeDocument/2006/relationships/hyperlink" Target="https://in.tradingview.com/chart/Cgv3Jm6J/?symbol=NSE%3ACAMPUS" TargetMode="External"/><Relationship Id="rId342" Type="http://schemas.openxmlformats.org/officeDocument/2006/relationships/hyperlink" Target="https://in.tradingview.com/chart/Cgv3Jm6J/?symbol=NSE%3ACAMLINFINE" TargetMode="External"/><Relationship Id="rId338" Type="http://schemas.openxmlformats.org/officeDocument/2006/relationships/hyperlink" Target="https://in.tradingview.com/chart/Cgv3Jm6J/?symbol=NSE%3ABUTTERFLY" TargetMode="External"/><Relationship Id="rId337" Type="http://schemas.openxmlformats.org/officeDocument/2006/relationships/hyperlink" Target="https://in.tradingview.com/chart/Cgv3Jm6J/?symbol=NSE%3ABTML" TargetMode="External"/><Relationship Id="rId336" Type="http://schemas.openxmlformats.org/officeDocument/2006/relationships/hyperlink" Target="https://in.tradingview.com/chart/Cgv3Jm6J/?symbol=NSE%3ABSOFT" TargetMode="External"/><Relationship Id="rId335" Type="http://schemas.openxmlformats.org/officeDocument/2006/relationships/hyperlink" Target="https://in.tradingview.com/chart/Cgv3Jm6J/?symbol=NSE%3ABSLSENETFG" TargetMode="External"/><Relationship Id="rId339" Type="http://schemas.openxmlformats.org/officeDocument/2006/relationships/hyperlink" Target="https://in.tradingview.com/chart/Cgv3Jm6J/?symbol=NSE%3ABVCL" TargetMode="External"/><Relationship Id="rId330" Type="http://schemas.openxmlformats.org/officeDocument/2006/relationships/hyperlink" Target="https://in.tradingview.com/chart/Cgv3Jm6J/?symbol=NSE%3ABSE500IETF" TargetMode="External"/><Relationship Id="rId334" Type="http://schemas.openxmlformats.org/officeDocument/2006/relationships/hyperlink" Target="https://in.tradingview.com/chart/Cgv3Jm6J/?symbol=NSE%3ABSLNIFTY" TargetMode="External"/><Relationship Id="rId333" Type="http://schemas.openxmlformats.org/officeDocument/2006/relationships/hyperlink" Target="https://in.tradingview.com/chart/Cgv3Jm6J/?symbol=NSE%3ABSLGOLDETF" TargetMode="External"/><Relationship Id="rId332" Type="http://schemas.openxmlformats.org/officeDocument/2006/relationships/hyperlink" Target="https://in.tradingview.com/chart/Cgv3Jm6J/?symbol=NSE%3ABSL" TargetMode="External"/><Relationship Id="rId331" Type="http://schemas.openxmlformats.org/officeDocument/2006/relationships/hyperlink" Target="https://in.tradingview.com/chart/Cgv3Jm6J/?symbol=NSE%3ABSHSL" TargetMode="External"/><Relationship Id="rId370" Type="http://schemas.openxmlformats.org/officeDocument/2006/relationships/hyperlink" Target="https://in.tradingview.com/chart/Cgv3Jm6J/?symbol=NSE%3ACENTURYPLY" TargetMode="External"/><Relationship Id="rId369" Type="http://schemas.openxmlformats.org/officeDocument/2006/relationships/hyperlink" Target="https://in.tradingview.com/chart/Cgv3Jm6J/?symbol=NSE%3ACENTUM" TargetMode="External"/><Relationship Id="rId368" Type="http://schemas.openxmlformats.org/officeDocument/2006/relationships/hyperlink" Target="https://in.tradingview.com/chart/Cgv3Jm6J/?symbol=NSE%3ACENTRUM" TargetMode="External"/><Relationship Id="rId363" Type="http://schemas.openxmlformats.org/officeDocument/2006/relationships/hyperlink" Target="https://in.tradingview.com/chart/Cgv3Jm6J/?symbol=NSE%3ACELEBRITY" TargetMode="External"/><Relationship Id="rId362" Type="http://schemas.openxmlformats.org/officeDocument/2006/relationships/hyperlink" Target="https://in.tradingview.com/chart/Cgv3Jm6J/?symbol=NSE%3ACEIGALL" TargetMode="External"/><Relationship Id="rId361" Type="http://schemas.openxmlformats.org/officeDocument/2006/relationships/hyperlink" Target="https://in.tradingview.com/chart/Cgv3Jm6J/?symbol=NSE%3ACEATLTD" TargetMode="External"/><Relationship Id="rId360" Type="http://schemas.openxmlformats.org/officeDocument/2006/relationships/hyperlink" Target="https://in.tradingview.com/chart/Cgv3Jm6J/?symbol=NSE%3ACDSL" TargetMode="External"/><Relationship Id="rId367" Type="http://schemas.openxmlformats.org/officeDocument/2006/relationships/hyperlink" Target="https://in.tradingview.com/chart/Cgv3Jm6J/?symbol=NSE%3ACENTRALBK" TargetMode="External"/><Relationship Id="rId366" Type="http://schemas.openxmlformats.org/officeDocument/2006/relationships/hyperlink" Target="https://in.tradingview.com/chart/Cgv3Jm6J/?symbol=NSE%3ACENTEXT" TargetMode="External"/><Relationship Id="rId365" Type="http://schemas.openxmlformats.org/officeDocument/2006/relationships/hyperlink" Target="https://in.tradingview.com/chart/Cgv3Jm6J/?symbol=NSE%3ACENTENKA" TargetMode="External"/><Relationship Id="rId364" Type="http://schemas.openxmlformats.org/officeDocument/2006/relationships/hyperlink" Target="https://in.tradingview.com/chart/Cgv3Jm6J/?symbol=NSE%3ACELLO" TargetMode="External"/><Relationship Id="rId95" Type="http://schemas.openxmlformats.org/officeDocument/2006/relationships/hyperlink" Target="https://in.tradingview.com/chart/Cgv3Jm6J/?symbol=NSE%3AALKALI" TargetMode="External"/><Relationship Id="rId94" Type="http://schemas.openxmlformats.org/officeDocument/2006/relationships/hyperlink" Target="https://in.tradingview.com/chart/Cgv3Jm6J/?symbol=NSE%3AALIVUS" TargetMode="External"/><Relationship Id="rId97" Type="http://schemas.openxmlformats.org/officeDocument/2006/relationships/hyperlink" Target="https://in.tradingview.com/chart/Cgv3Jm6J/?symbol=NSE%3AALKYLAMINE" TargetMode="External"/><Relationship Id="rId96" Type="http://schemas.openxmlformats.org/officeDocument/2006/relationships/hyperlink" Target="https://in.tradingview.com/chart/Cgv3Jm6J/?symbol=NSE%3AALKEM" TargetMode="External"/><Relationship Id="rId99" Type="http://schemas.openxmlformats.org/officeDocument/2006/relationships/hyperlink" Target="https://in.tradingview.com/chart/Cgv3Jm6J/?symbol=NSE%3AALLDIGI" TargetMode="External"/><Relationship Id="rId98" Type="http://schemas.openxmlformats.org/officeDocument/2006/relationships/hyperlink" Target="https://in.tradingview.com/chart/Cgv3Jm6J/?symbol=NSE%3AALLCARGO" TargetMode="External"/><Relationship Id="rId91" Type="http://schemas.openxmlformats.org/officeDocument/2006/relationships/hyperlink" Target="https://in.tradingview.com/chart/Cgv3Jm6J/?symbol=NSE%3AALBERTDAVD" TargetMode="External"/><Relationship Id="rId90" Type="http://schemas.openxmlformats.org/officeDocument/2006/relationships/hyperlink" Target="https://in.tradingview.com/chart/Cgv3Jm6J/?symbol=NSE%3AALANKIT" TargetMode="External"/><Relationship Id="rId93" Type="http://schemas.openxmlformats.org/officeDocument/2006/relationships/hyperlink" Target="https://in.tradingview.com/chart/Cgv3Jm6J/?symbol=NSE%3AALICON" TargetMode="External"/><Relationship Id="rId92" Type="http://schemas.openxmlformats.org/officeDocument/2006/relationships/hyperlink" Target="https://in.tradingview.com/chart/Cgv3Jm6J/?symbol=NSE%3AALEMBICLTD" TargetMode="External"/><Relationship Id="rId359" Type="http://schemas.openxmlformats.org/officeDocument/2006/relationships/hyperlink" Target="https://in.tradingview.com/chart/Cgv3Jm6J/?symbol=NSE%3ACCL" TargetMode="External"/><Relationship Id="rId358" Type="http://schemas.openxmlformats.org/officeDocument/2006/relationships/hyperlink" Target="https://in.tradingview.com/chart/Cgv3Jm6J/?symbol=NSE%3ACCHHL" TargetMode="External"/><Relationship Id="rId357" Type="http://schemas.openxmlformats.org/officeDocument/2006/relationships/hyperlink" Target="https://in.tradingview.com/chart/Cgv3Jm6J/?symbol=NSE%3ACASTROLIND" TargetMode="External"/><Relationship Id="rId352" Type="http://schemas.openxmlformats.org/officeDocument/2006/relationships/hyperlink" Target="https://in.tradingview.com/chart/Cgv3Jm6J/?symbol=NSE%3ACARBORUNIV" TargetMode="External"/><Relationship Id="rId351" Type="http://schemas.openxmlformats.org/officeDocument/2006/relationships/hyperlink" Target="https://in.tradingview.com/chart/Cgv3Jm6J/?symbol=NSE%3ACAPTRUST" TargetMode="External"/><Relationship Id="rId350" Type="http://schemas.openxmlformats.org/officeDocument/2006/relationships/hyperlink" Target="https://in.tradingview.com/chart/Cgv3Jm6J/?symbol=NSE%3ACAPLIPOINT" TargetMode="External"/><Relationship Id="rId356" Type="http://schemas.openxmlformats.org/officeDocument/2006/relationships/hyperlink" Target="https://in.tradingview.com/chart/Cgv3Jm6J/?symbol=NSE%3ACARYSIL" TargetMode="External"/><Relationship Id="rId355" Type="http://schemas.openxmlformats.org/officeDocument/2006/relationships/hyperlink" Target="https://in.tradingview.com/chart/Cgv3Jm6J/?symbol=NSE%3ACARTRADE" TargetMode="External"/><Relationship Id="rId354" Type="http://schemas.openxmlformats.org/officeDocument/2006/relationships/hyperlink" Target="https://in.tradingview.com/chart/Cgv3Jm6J/?symbol=NSE%3ACARRARO" TargetMode="External"/><Relationship Id="rId353" Type="http://schemas.openxmlformats.org/officeDocument/2006/relationships/hyperlink" Target="https://in.tradingview.com/chart/Cgv3Jm6J/?symbol=NSE%3ACARERATING" TargetMode="External"/><Relationship Id="rId2225" Type="http://schemas.openxmlformats.org/officeDocument/2006/relationships/hyperlink" Target="https://in.tradingview.com/chart/Cgv3Jm6J/?symbol=NSE%3AZENTEC" TargetMode="External"/><Relationship Id="rId2226" Type="http://schemas.openxmlformats.org/officeDocument/2006/relationships/hyperlink" Target="https://in.tradingview.com/chart/Cgv3Jm6J/?symbol=NSE%3AZFCVINDIA" TargetMode="External"/><Relationship Id="rId2227" Type="http://schemas.openxmlformats.org/officeDocument/2006/relationships/hyperlink" Target="https://in.tradingview.com/chart/Cgv3Jm6J/?symbol=NSE%3AZIMLAB" TargetMode="External"/><Relationship Id="rId2228" Type="http://schemas.openxmlformats.org/officeDocument/2006/relationships/hyperlink" Target="https://in.tradingview.com/chart/Cgv3Jm6J/?symbol=NSE%3AZODIAC" TargetMode="External"/><Relationship Id="rId2229" Type="http://schemas.openxmlformats.org/officeDocument/2006/relationships/hyperlink" Target="https://in.tradingview.com/chart/Cgv3Jm6J/?symbol=NSE%3AZODIACLOTH" TargetMode="External"/><Relationship Id="rId305" Type="http://schemas.openxmlformats.org/officeDocument/2006/relationships/hyperlink" Target="https://in.tradingview.com/chart/Cgv3Jm6J/?symbol=NSE%3ABIRLACORPN" TargetMode="External"/><Relationship Id="rId304" Type="http://schemas.openxmlformats.org/officeDocument/2006/relationships/hyperlink" Target="https://in.tradingview.com/chart/Cgv3Jm6J/?symbol=NSE%3ABIRLACABLE" TargetMode="External"/><Relationship Id="rId303" Type="http://schemas.openxmlformats.org/officeDocument/2006/relationships/hyperlink" Target="https://in.tradingview.com/chart/Cgv3Jm6J/?symbol=NSE%3ABIOFILCHEM" TargetMode="External"/><Relationship Id="rId302" Type="http://schemas.openxmlformats.org/officeDocument/2006/relationships/hyperlink" Target="https://in.tradingview.com/chart/Cgv3Jm6J/?symbol=NSE%3ABIOCON" TargetMode="External"/><Relationship Id="rId309" Type="http://schemas.openxmlformats.org/officeDocument/2006/relationships/hyperlink" Target="https://in.tradingview.com/chart/Cgv3Jm6J/?symbol=NSE%3ABLISSGVS" TargetMode="External"/><Relationship Id="rId308" Type="http://schemas.openxmlformats.org/officeDocument/2006/relationships/hyperlink" Target="https://in.tradingview.com/chart/Cgv3Jm6J/?symbol=NSE%3ABLBLIMITED" TargetMode="External"/><Relationship Id="rId307" Type="http://schemas.openxmlformats.org/officeDocument/2006/relationships/hyperlink" Target="https://in.tradingview.com/chart/Cgv3Jm6J/?symbol=NSE%3ABLAL" TargetMode="External"/><Relationship Id="rId306" Type="http://schemas.openxmlformats.org/officeDocument/2006/relationships/hyperlink" Target="https://in.tradingview.com/chart/Cgv3Jm6J/?symbol=NSE%3ABLACKBUCK" TargetMode="External"/><Relationship Id="rId2220" Type="http://schemas.openxmlformats.org/officeDocument/2006/relationships/hyperlink" Target="https://in.tradingview.com/chart/Cgv3Jm6J/?symbol=NSE%3AZEELEARN" TargetMode="External"/><Relationship Id="rId301" Type="http://schemas.openxmlformats.org/officeDocument/2006/relationships/hyperlink" Target="https://in.tradingview.com/chart/Cgv3Jm6J/?symbol=NSE%3ABIKAJI" TargetMode="External"/><Relationship Id="rId2221" Type="http://schemas.openxmlformats.org/officeDocument/2006/relationships/hyperlink" Target="https://in.tradingview.com/chart/Cgv3Jm6J/?symbol=NSE%3AZEEMEDIA" TargetMode="External"/><Relationship Id="rId300" Type="http://schemas.openxmlformats.org/officeDocument/2006/relationships/hyperlink" Target="https://in.tradingview.com/chart/Cgv3Jm6J/?symbol=NSE%3ABIGBLOC" TargetMode="External"/><Relationship Id="rId2222" Type="http://schemas.openxmlformats.org/officeDocument/2006/relationships/hyperlink" Target="https://in.tradingview.com/chart/Cgv3Jm6J/?symbol=NSE%3AZENITHEXPO" TargetMode="External"/><Relationship Id="rId2223" Type="http://schemas.openxmlformats.org/officeDocument/2006/relationships/hyperlink" Target="https://in.tradingview.com/chart/Cgv3Jm6J/?symbol=NSE%3AZENITHSTL" TargetMode="External"/><Relationship Id="rId2224" Type="http://schemas.openxmlformats.org/officeDocument/2006/relationships/hyperlink" Target="https://in.tradingview.com/chart/Cgv3Jm6J/?symbol=NSE%3AZENSARTECH" TargetMode="External"/><Relationship Id="rId2214" Type="http://schemas.openxmlformats.org/officeDocument/2006/relationships/hyperlink" Target="https://in.tradingview.com/chart/Cgv3Jm6J/?symbol=NSE%3AYATHARTH" TargetMode="External"/><Relationship Id="rId2215" Type="http://schemas.openxmlformats.org/officeDocument/2006/relationships/hyperlink" Target="https://in.tradingview.com/chart/Cgv3Jm6J/?symbol=NSE%3AYATRA" TargetMode="External"/><Relationship Id="rId2216" Type="http://schemas.openxmlformats.org/officeDocument/2006/relationships/hyperlink" Target="https://in.tradingview.com/chart/Cgv3Jm6J/?symbol=NSE%3AYESBANK" TargetMode="External"/><Relationship Id="rId2217" Type="http://schemas.openxmlformats.org/officeDocument/2006/relationships/hyperlink" Target="https://in.tradingview.com/chart/Cgv3Jm6J/?symbol=NSE%3AYUKEN" TargetMode="External"/><Relationship Id="rId2218" Type="http://schemas.openxmlformats.org/officeDocument/2006/relationships/hyperlink" Target="https://in.tradingview.com/chart/Cgv3Jm6J/?symbol=NSE%3AZAGGLE" TargetMode="External"/><Relationship Id="rId2219" Type="http://schemas.openxmlformats.org/officeDocument/2006/relationships/hyperlink" Target="https://in.tradingview.com/chart/Cgv3Jm6J/?symbol=NSE%3AZEEL" TargetMode="External"/><Relationship Id="rId2210" Type="http://schemas.openxmlformats.org/officeDocument/2006/relationships/hyperlink" Target="https://in.tradingview.com/chart/Cgv3Jm6J/?symbol=NSE%3AXPROINDIA" TargetMode="External"/><Relationship Id="rId2211" Type="http://schemas.openxmlformats.org/officeDocument/2006/relationships/hyperlink" Target="https://in.tradingview.com/chart/Cgv3Jm6J/?symbol=NSE%3AXTGLOBAL" TargetMode="External"/><Relationship Id="rId2212" Type="http://schemas.openxmlformats.org/officeDocument/2006/relationships/hyperlink" Target="https://in.tradingview.com/chart/Cgv3Jm6J/?symbol=NSE%3AYAARI" TargetMode="External"/><Relationship Id="rId2213" Type="http://schemas.openxmlformats.org/officeDocument/2006/relationships/hyperlink" Target="https://in.tradingview.com/chart/Cgv3Jm6J/?symbol=NSE%3AYASHO" TargetMode="External"/><Relationship Id="rId327" Type="http://schemas.openxmlformats.org/officeDocument/2006/relationships/hyperlink" Target="https://in.tradingview.com/chart/Cgv3Jm6J/?symbol=NSE%3ABRNL" TargetMode="External"/><Relationship Id="rId326" Type="http://schemas.openxmlformats.org/officeDocument/2006/relationships/hyperlink" Target="https://in.tradingview.com/chart/Cgv3Jm6J/?symbol=NSE%3ABRITANNIA" TargetMode="External"/><Relationship Id="rId325" Type="http://schemas.openxmlformats.org/officeDocument/2006/relationships/hyperlink" Target="https://in.tradingview.com/chart/Cgv3Jm6J/?symbol=NSE%3ABRIGADE" TargetMode="External"/><Relationship Id="rId324" Type="http://schemas.openxmlformats.org/officeDocument/2006/relationships/hyperlink" Target="https://in.tradingview.com/chart/Cgv3Jm6J/?symbol=NSE%3ABPL" TargetMode="External"/><Relationship Id="rId329" Type="http://schemas.openxmlformats.org/officeDocument/2006/relationships/hyperlink" Target="https://in.tradingview.com/chart/Cgv3Jm6J/?symbol=NSE%3ABSE" TargetMode="External"/><Relationship Id="rId328" Type="http://schemas.openxmlformats.org/officeDocument/2006/relationships/hyperlink" Target="https://in.tradingview.com/chart/Cgv3Jm6J/?symbol=NSE%3ABROOKS" TargetMode="External"/><Relationship Id="rId323" Type="http://schemas.openxmlformats.org/officeDocument/2006/relationships/hyperlink" Target="https://in.tradingview.com/chart/Cgv3Jm6J/?symbol=NSE%3ABPCL" TargetMode="External"/><Relationship Id="rId322" Type="http://schemas.openxmlformats.org/officeDocument/2006/relationships/hyperlink" Target="https://in.tradingview.com/chart/Cgv3Jm6J/?symbol=NSE%3ABOSCHLTD" TargetMode="External"/><Relationship Id="rId321" Type="http://schemas.openxmlformats.org/officeDocument/2006/relationships/hyperlink" Target="https://in.tradingview.com/chart/Cgv3Jm6J/?symbol=NSE%3ABOROSCI" TargetMode="External"/><Relationship Id="rId320" Type="http://schemas.openxmlformats.org/officeDocument/2006/relationships/hyperlink" Target="https://in.tradingview.com/chart/Cgv3Jm6J/?symbol=NSE%3ABORORENEW" TargetMode="External"/><Relationship Id="rId316" Type="http://schemas.openxmlformats.org/officeDocument/2006/relationships/hyperlink" Target="https://in.tradingview.com/chart/Cgv3Jm6J/?symbol=NSE%3ABLUESTARCO" TargetMode="External"/><Relationship Id="rId315" Type="http://schemas.openxmlformats.org/officeDocument/2006/relationships/hyperlink" Target="https://in.tradingview.com/chart/Cgv3Jm6J/?symbol=NSE%3ABLUEJET" TargetMode="External"/><Relationship Id="rId314" Type="http://schemas.openxmlformats.org/officeDocument/2006/relationships/hyperlink" Target="https://in.tradingview.com/chart/Cgv3Jm6J/?symbol=NSE%3ABLUEDART" TargetMode="External"/><Relationship Id="rId313" Type="http://schemas.openxmlformats.org/officeDocument/2006/relationships/hyperlink" Target="https://in.tradingview.com/chart/Cgv3Jm6J/?symbol=NSE%3ABLUECHIP" TargetMode="External"/><Relationship Id="rId319" Type="http://schemas.openxmlformats.org/officeDocument/2006/relationships/hyperlink" Target="https://in.tradingview.com/chart/Cgv3Jm6J/?symbol=NSE%3ABOROLTD" TargetMode="External"/><Relationship Id="rId318" Type="http://schemas.openxmlformats.org/officeDocument/2006/relationships/hyperlink" Target="https://in.tradingview.com/chart/Cgv3Jm6J/?symbol=NSE%3ABOMDYEING" TargetMode="External"/><Relationship Id="rId317" Type="http://schemas.openxmlformats.org/officeDocument/2006/relationships/hyperlink" Target="https://in.tradingview.com/chart/Cgv3Jm6J/?symbol=NSE%3ABODALCHEM" TargetMode="External"/><Relationship Id="rId2230" Type="http://schemas.openxmlformats.org/officeDocument/2006/relationships/hyperlink" Target="https://in.tradingview.com/chart/Cgv3Jm6J/?symbol=NSE%3AZOTA" TargetMode="External"/><Relationship Id="rId2231" Type="http://schemas.openxmlformats.org/officeDocument/2006/relationships/hyperlink" Target="https://in.tradingview.com/chart/Cgv3Jm6J/?symbol=NSE%3AZUARI" TargetMode="External"/><Relationship Id="rId312" Type="http://schemas.openxmlformats.org/officeDocument/2006/relationships/hyperlink" Target="https://in.tradingview.com/chart/Cgv3Jm6J/?symbol=NSE%3ABLSE" TargetMode="External"/><Relationship Id="rId2232" Type="http://schemas.openxmlformats.org/officeDocument/2006/relationships/hyperlink" Target="https://in.tradingview.com/chart/Cgv3Jm6J/?symbol=NSE%3AZUARIIND" TargetMode="External"/><Relationship Id="rId311" Type="http://schemas.openxmlformats.org/officeDocument/2006/relationships/hyperlink" Target="https://in.tradingview.com/chart/Cgv3Jm6J/?symbol=NSE%3ABLS" TargetMode="External"/><Relationship Id="rId2233" Type="http://schemas.openxmlformats.org/officeDocument/2006/relationships/hyperlink" Target="https://in.tradingview.com/chart/Cgv3Jm6J/?symbol=NSE%3AZYDUSLIFE" TargetMode="External"/><Relationship Id="rId310" Type="http://schemas.openxmlformats.org/officeDocument/2006/relationships/hyperlink" Target="https://in.tradingview.com/chart/Cgv3Jm6J/?symbol=NSE%3ABLKASHYAP" TargetMode="External"/><Relationship Id="rId2234" Type="http://schemas.openxmlformats.org/officeDocument/2006/relationships/hyperlink" Target="https://in.tradingview.com/chart/Cgv3Jm6J/?symbol=NSE%3AZYDUSWELL" TargetMode="External"/><Relationship Id="rId2235" Type="http://schemas.openxmlformats.org/officeDocument/2006/relationships/drawing" Target="../drawings/drawing2.xml"/><Relationship Id="rId297" Type="http://schemas.openxmlformats.org/officeDocument/2006/relationships/hyperlink" Target="https://in.tradingview.com/chart/Cgv3Jm6J/?symbol=NSE%3ABHARTIARTL" TargetMode="External"/><Relationship Id="rId296" Type="http://schemas.openxmlformats.org/officeDocument/2006/relationships/hyperlink" Target="https://in.tradingview.com/chart/Cgv3Jm6J/?symbol=NSE%3ABHARATWIRE" TargetMode="External"/><Relationship Id="rId295" Type="http://schemas.openxmlformats.org/officeDocument/2006/relationships/hyperlink" Target="https://in.tradingview.com/chart/Cgv3Jm6J/?symbol=NSE%3ABHARATRAS" TargetMode="External"/><Relationship Id="rId294" Type="http://schemas.openxmlformats.org/officeDocument/2006/relationships/hyperlink" Target="https://in.tradingview.com/chart/Cgv3Jm6J/?symbol=NSE%3ABHARATGEAR" TargetMode="External"/><Relationship Id="rId299" Type="http://schemas.openxmlformats.org/officeDocument/2006/relationships/hyperlink" Target="https://in.tradingview.com/chart/Cgv3Jm6J/?symbol=NSE%3ABHEL" TargetMode="External"/><Relationship Id="rId298" Type="http://schemas.openxmlformats.org/officeDocument/2006/relationships/hyperlink" Target="https://in.tradingview.com/chart/Cgv3Jm6J/?symbol=NSE%3ABHARTIHEXA" TargetMode="External"/><Relationship Id="rId271" Type="http://schemas.openxmlformats.org/officeDocument/2006/relationships/hyperlink" Target="https://in.tradingview.com/chart/Cgv3Jm6J/?symbol=NSE%3ABBNPNBETF" TargetMode="External"/><Relationship Id="rId270" Type="http://schemas.openxmlformats.org/officeDocument/2006/relationships/hyperlink" Target="https://in.tradingview.com/chart/Cgv3Jm6J/?symbol=NSE%3ABBL" TargetMode="External"/><Relationship Id="rId269" Type="http://schemas.openxmlformats.org/officeDocument/2006/relationships/hyperlink" Target="https://in.tradingview.com/chart/Cgv3Jm6J/?symbol=NSE%3ABBETF0432" TargetMode="External"/><Relationship Id="rId264" Type="http://schemas.openxmlformats.org/officeDocument/2006/relationships/hyperlink" Target="https://in.tradingview.com/chart/Cgv3Jm6J/?symbol=NSE%3ABARBEQUE" TargetMode="External"/><Relationship Id="rId263" Type="http://schemas.openxmlformats.org/officeDocument/2006/relationships/hyperlink" Target="https://in.tradingview.com/chart/Cgv3Jm6J/?symbol=NSE%3ABANSWRAS" TargetMode="External"/><Relationship Id="rId262" Type="http://schemas.openxmlformats.org/officeDocument/2006/relationships/hyperlink" Target="https://in.tradingview.com/chart/Cgv3Jm6J/?symbol=NSE%3ABANSALWIRE" TargetMode="External"/><Relationship Id="rId261" Type="http://schemas.openxmlformats.org/officeDocument/2006/relationships/hyperlink" Target="https://in.tradingview.com/chart/Cgv3Jm6J/?symbol=NSE%3ABANKPSU" TargetMode="External"/><Relationship Id="rId268" Type="http://schemas.openxmlformats.org/officeDocument/2006/relationships/hyperlink" Target="https://in.tradingview.com/chart/Cgv3Jm6J/?symbol=NSE%3ABAYERCROP" TargetMode="External"/><Relationship Id="rId267" Type="http://schemas.openxmlformats.org/officeDocument/2006/relationships/hyperlink" Target="https://in.tradingview.com/chart/Cgv3Jm6J/?symbol=NSE%3ABATAINDIA" TargetMode="External"/><Relationship Id="rId266" Type="http://schemas.openxmlformats.org/officeDocument/2006/relationships/hyperlink" Target="https://in.tradingview.com/chart/Cgv3Jm6J/?symbol=NSE%3ABASML" TargetMode="External"/><Relationship Id="rId265" Type="http://schemas.openxmlformats.org/officeDocument/2006/relationships/hyperlink" Target="https://in.tradingview.com/chart/Cgv3Jm6J/?symbol=NSE%3ABASF" TargetMode="External"/><Relationship Id="rId260" Type="http://schemas.openxmlformats.org/officeDocument/2006/relationships/hyperlink" Target="https://in.tradingview.com/chart/Cgv3Jm6J/?symbol=NSE%3ABANKNIFTY1" TargetMode="External"/><Relationship Id="rId259" Type="http://schemas.openxmlformats.org/officeDocument/2006/relationships/hyperlink" Target="https://in.tradingview.com/chart/Cgv3Jm6J/?symbol=NSE%3ABANKINDIA" TargetMode="External"/><Relationship Id="rId258" Type="http://schemas.openxmlformats.org/officeDocument/2006/relationships/hyperlink" Target="https://in.tradingview.com/chart/Cgv3Jm6J/?symbol=NSE%3ABANKIETF" TargetMode="External"/><Relationship Id="rId253" Type="http://schemas.openxmlformats.org/officeDocument/2006/relationships/hyperlink" Target="https://in.tradingview.com/chart/Cgv3Jm6J/?symbol=NSE%3ABANKBARODA" TargetMode="External"/><Relationship Id="rId252" Type="http://schemas.openxmlformats.org/officeDocument/2006/relationships/hyperlink" Target="https://in.tradingview.com/chart/Cgv3Jm6J/?symbol=NSE%3ABANKA" TargetMode="External"/><Relationship Id="rId251" Type="http://schemas.openxmlformats.org/officeDocument/2006/relationships/hyperlink" Target="https://in.tradingview.com/chart/Cgv3Jm6J/?symbol=NSE%3ABANG" TargetMode="External"/><Relationship Id="rId250" Type="http://schemas.openxmlformats.org/officeDocument/2006/relationships/hyperlink" Target="https://in.tradingview.com/chart/Cgv3Jm6J/?symbol=NSE%3ABANDHANBNK" TargetMode="External"/><Relationship Id="rId257" Type="http://schemas.openxmlformats.org/officeDocument/2006/relationships/hyperlink" Target="https://in.tradingview.com/chart/Cgv3Jm6J/?symbol=NSE%3ABANKETFADD" TargetMode="External"/><Relationship Id="rId256" Type="http://schemas.openxmlformats.org/officeDocument/2006/relationships/hyperlink" Target="https://in.tradingview.com/chart/Cgv3Jm6J/?symbol=NSE%3ABANKETF" TargetMode="External"/><Relationship Id="rId255" Type="http://schemas.openxmlformats.org/officeDocument/2006/relationships/hyperlink" Target="https://in.tradingview.com/chart/Cgv3Jm6J/?symbol=NSE%3ABANKBETF" TargetMode="External"/><Relationship Id="rId254" Type="http://schemas.openxmlformats.org/officeDocument/2006/relationships/hyperlink" Target="https://in.tradingview.com/chart/Cgv3Jm6J/?symbol=NSE%3ABANKBEES" TargetMode="External"/><Relationship Id="rId293" Type="http://schemas.openxmlformats.org/officeDocument/2006/relationships/hyperlink" Target="https://in.tradingview.com/chart/Cgv3Jm6J/?symbol=NSE%3ABHARATFORG" TargetMode="External"/><Relationship Id="rId292" Type="http://schemas.openxmlformats.org/officeDocument/2006/relationships/hyperlink" Target="https://in.tradingview.com/chart/Cgv3Jm6J/?symbol=NSE%3ABHANDARI" TargetMode="External"/><Relationship Id="rId291" Type="http://schemas.openxmlformats.org/officeDocument/2006/relationships/hyperlink" Target="https://in.tradingview.com/chart/Cgv3Jm6J/?symbol=NSE%3ABHAGYANGR" TargetMode="External"/><Relationship Id="rId290" Type="http://schemas.openxmlformats.org/officeDocument/2006/relationships/hyperlink" Target="https://in.tradingview.com/chart/Cgv3Jm6J/?symbol=NSE%3ABHAGERIA" TargetMode="External"/><Relationship Id="rId286" Type="http://schemas.openxmlformats.org/officeDocument/2006/relationships/hyperlink" Target="https://in.tradingview.com/chart/Cgv3Jm6J/?symbol=NSE%3ABFINVEST" TargetMode="External"/><Relationship Id="rId285" Type="http://schemas.openxmlformats.org/officeDocument/2006/relationships/hyperlink" Target="https://in.tradingview.com/chart/Cgv3Jm6J/?symbol=NSE%3ABERGEPAINT" TargetMode="External"/><Relationship Id="rId284" Type="http://schemas.openxmlformats.org/officeDocument/2006/relationships/hyperlink" Target="https://in.tradingview.com/chart/Cgv3Jm6J/?symbol=NSE%3ABEPL" TargetMode="External"/><Relationship Id="rId283" Type="http://schemas.openxmlformats.org/officeDocument/2006/relationships/hyperlink" Target="https://in.tradingview.com/chart/Cgv3Jm6J/?symbol=NSE%3ABEML" TargetMode="External"/><Relationship Id="rId289" Type="http://schemas.openxmlformats.org/officeDocument/2006/relationships/hyperlink" Target="https://in.tradingview.com/chart/Cgv3Jm6J/?symbol=NSE%3ABHAGCHEM" TargetMode="External"/><Relationship Id="rId288" Type="http://schemas.openxmlformats.org/officeDocument/2006/relationships/hyperlink" Target="https://in.tradingview.com/chart/Cgv3Jm6J/?symbol=NSE%3ABFUTILITIE" TargetMode="External"/><Relationship Id="rId287" Type="http://schemas.openxmlformats.org/officeDocument/2006/relationships/hyperlink" Target="https://in.tradingview.com/chart/Cgv3Jm6J/?symbol=NSE%3ABFSI" TargetMode="External"/><Relationship Id="rId282" Type="http://schemas.openxmlformats.org/officeDocument/2006/relationships/hyperlink" Target="https://in.tradingview.com/chart/Cgv3Jm6J/?symbol=NSE%3ABEL" TargetMode="External"/><Relationship Id="rId281" Type="http://schemas.openxmlformats.org/officeDocument/2006/relationships/hyperlink" Target="https://in.tradingview.com/chart/Cgv3Jm6J/?symbol=NSE%3ABEDMUTHA" TargetMode="External"/><Relationship Id="rId280" Type="http://schemas.openxmlformats.org/officeDocument/2006/relationships/hyperlink" Target="https://in.tradingview.com/chart/Cgv3Jm6J/?symbol=NSE%3ABECTORFOOD" TargetMode="External"/><Relationship Id="rId275" Type="http://schemas.openxmlformats.org/officeDocument/2006/relationships/hyperlink" Target="https://in.tradingview.com/chart/Cgv3Jm6J/?symbol=NSE%3ABBTCL" TargetMode="External"/><Relationship Id="rId274" Type="http://schemas.openxmlformats.org/officeDocument/2006/relationships/hyperlink" Target="https://in.tradingview.com/chart/Cgv3Jm6J/?symbol=NSE%3ABBTC" TargetMode="External"/><Relationship Id="rId273" Type="http://schemas.openxmlformats.org/officeDocument/2006/relationships/hyperlink" Target="https://in.tradingview.com/chart/Cgv3Jm6J/?symbol=NSE%3ABBOX" TargetMode="External"/><Relationship Id="rId272" Type="http://schemas.openxmlformats.org/officeDocument/2006/relationships/hyperlink" Target="https://in.tradingview.com/chart/Cgv3Jm6J/?symbol=NSE%3ABBNPPGOLD" TargetMode="External"/><Relationship Id="rId279" Type="http://schemas.openxmlformats.org/officeDocument/2006/relationships/hyperlink" Target="https://in.tradingview.com/chart/Cgv3Jm6J/?symbol=NSE%3ABEARDSELL" TargetMode="External"/><Relationship Id="rId278" Type="http://schemas.openxmlformats.org/officeDocument/2006/relationships/hyperlink" Target="https://in.tradingview.com/chart/Cgv3Jm6J/?symbol=NSE%3ABDL" TargetMode="External"/><Relationship Id="rId277" Type="http://schemas.openxmlformats.org/officeDocument/2006/relationships/hyperlink" Target="https://in.tradingview.com/chart/Cgv3Jm6J/?symbol=NSE%3ABCONCEPTS" TargetMode="External"/><Relationship Id="rId276" Type="http://schemas.openxmlformats.org/officeDocument/2006/relationships/hyperlink" Target="https://in.tradingview.com/chart/Cgv3Jm6J/?symbol=NSE%3ABCLIND" TargetMode="External"/><Relationship Id="rId1851" Type="http://schemas.openxmlformats.org/officeDocument/2006/relationships/hyperlink" Target="https://in.tradingview.com/chart/Cgv3Jm6J/?symbol=NSE%3ASINCLAIR" TargetMode="External"/><Relationship Id="rId1852" Type="http://schemas.openxmlformats.org/officeDocument/2006/relationships/hyperlink" Target="https://in.tradingview.com/chart/Cgv3Jm6J/?symbol=NSE%3ASINDHUTRAD" TargetMode="External"/><Relationship Id="rId1853" Type="http://schemas.openxmlformats.org/officeDocument/2006/relationships/hyperlink" Target="https://in.tradingview.com/chart/Cgv3Jm6J/?symbol=NSE%3ASINTERCOM" TargetMode="External"/><Relationship Id="rId1854" Type="http://schemas.openxmlformats.org/officeDocument/2006/relationships/hyperlink" Target="https://in.tradingview.com/chart/Cgv3Jm6J/?symbol=NSE%3ASIRCA" TargetMode="External"/><Relationship Id="rId1855" Type="http://schemas.openxmlformats.org/officeDocument/2006/relationships/hyperlink" Target="https://in.tradingview.com/chart/Cgv3Jm6J/?symbol=NSE%3ASIS" TargetMode="External"/><Relationship Id="rId1856" Type="http://schemas.openxmlformats.org/officeDocument/2006/relationships/hyperlink" Target="https://in.tradingview.com/chart/Cgv3Jm6J/?symbol=NSE%3ASITINET" TargetMode="External"/><Relationship Id="rId1857" Type="http://schemas.openxmlformats.org/officeDocument/2006/relationships/hyperlink" Target="https://in.tradingview.com/chart/Cgv3Jm6J/?symbol=NSE%3ASIYSIL" TargetMode="External"/><Relationship Id="rId1858" Type="http://schemas.openxmlformats.org/officeDocument/2006/relationships/hyperlink" Target="https://in.tradingview.com/chart/Cgv3Jm6J/?symbol=NSE%3ASJS" TargetMode="External"/><Relationship Id="rId1859" Type="http://schemas.openxmlformats.org/officeDocument/2006/relationships/hyperlink" Target="https://in.tradingview.com/chart/Cgv3Jm6J/?symbol=NSE%3ASJVN" TargetMode="External"/><Relationship Id="rId1850" Type="http://schemas.openxmlformats.org/officeDocument/2006/relationships/hyperlink" Target="https://in.tradingview.com/chart/Cgv3Jm6J/?symbol=NSE%3ASIMPLEXINF" TargetMode="External"/><Relationship Id="rId1840" Type="http://schemas.openxmlformats.org/officeDocument/2006/relationships/hyperlink" Target="https://in.tradingview.com/chart/Cgv3Jm6J/?symbol=NSE%3ASILINV" TargetMode="External"/><Relationship Id="rId1841" Type="http://schemas.openxmlformats.org/officeDocument/2006/relationships/hyperlink" Target="https://in.tradingview.com/chart/Cgv3Jm6J/?symbol=NSE%3ASILLYMONKS" TargetMode="External"/><Relationship Id="rId1842" Type="http://schemas.openxmlformats.org/officeDocument/2006/relationships/hyperlink" Target="https://in.tradingview.com/chart/Cgv3Jm6J/?symbol=NSE%3ASILVER" TargetMode="External"/><Relationship Id="rId1843" Type="http://schemas.openxmlformats.org/officeDocument/2006/relationships/hyperlink" Target="https://in.tradingview.com/chart/Cgv3Jm6J/?symbol=NSE%3ASILVER1" TargetMode="External"/><Relationship Id="rId1844" Type="http://schemas.openxmlformats.org/officeDocument/2006/relationships/hyperlink" Target="https://in.tradingview.com/chart/Cgv3Jm6J/?symbol=NSE%3ASILVERADD" TargetMode="External"/><Relationship Id="rId1845" Type="http://schemas.openxmlformats.org/officeDocument/2006/relationships/hyperlink" Target="https://in.tradingview.com/chart/Cgv3Jm6J/?symbol=NSE%3ASILVERBEES" TargetMode="External"/><Relationship Id="rId1846" Type="http://schemas.openxmlformats.org/officeDocument/2006/relationships/hyperlink" Target="https://in.tradingview.com/chart/Cgv3Jm6J/?symbol=NSE%3ASILVERETF" TargetMode="External"/><Relationship Id="rId1847" Type="http://schemas.openxmlformats.org/officeDocument/2006/relationships/hyperlink" Target="https://in.tradingview.com/chart/Cgv3Jm6J/?symbol=NSE%3ASILVERIETF" TargetMode="External"/><Relationship Id="rId1848" Type="http://schemas.openxmlformats.org/officeDocument/2006/relationships/hyperlink" Target="https://in.tradingview.com/chart/Cgv3Jm6J/?symbol=NSE%3ASILVERTUC" TargetMode="External"/><Relationship Id="rId1849" Type="http://schemas.openxmlformats.org/officeDocument/2006/relationships/hyperlink" Target="https://in.tradingview.com/chart/Cgv3Jm6J/?symbol=NSE%3ASIMBHALS" TargetMode="External"/><Relationship Id="rId1873" Type="http://schemas.openxmlformats.org/officeDocument/2006/relationships/hyperlink" Target="https://in.tradingview.com/chart/Cgv3Jm6J/?symbol=NSE%3ASOLARA" TargetMode="External"/><Relationship Id="rId1874" Type="http://schemas.openxmlformats.org/officeDocument/2006/relationships/hyperlink" Target="https://in.tradingview.com/chart/Cgv3Jm6J/?symbol=NSE%3ASOLARINDS" TargetMode="External"/><Relationship Id="rId1875" Type="http://schemas.openxmlformats.org/officeDocument/2006/relationships/hyperlink" Target="https://in.tradingview.com/chart/Cgv3Jm6J/?symbol=NSE%3ASOMANYCERA" TargetMode="External"/><Relationship Id="rId1876" Type="http://schemas.openxmlformats.org/officeDocument/2006/relationships/hyperlink" Target="https://in.tradingview.com/chart/Cgv3Jm6J/?symbol=NSE%3ASOMATEX" TargetMode="External"/><Relationship Id="rId1877" Type="http://schemas.openxmlformats.org/officeDocument/2006/relationships/hyperlink" Target="https://in.tradingview.com/chart/Cgv3Jm6J/?symbol=NSE%3ASOMICONVEY" TargetMode="External"/><Relationship Id="rId1878" Type="http://schemas.openxmlformats.org/officeDocument/2006/relationships/hyperlink" Target="https://in.tradingview.com/chart/Cgv3Jm6J/?symbol=NSE%3ASONACOMS" TargetMode="External"/><Relationship Id="rId1879" Type="http://schemas.openxmlformats.org/officeDocument/2006/relationships/hyperlink" Target="https://in.tradingview.com/chart/Cgv3Jm6J/?symbol=NSE%3ASONAMLTD" TargetMode="External"/><Relationship Id="rId1870" Type="http://schemas.openxmlformats.org/officeDocument/2006/relationships/hyperlink" Target="https://in.tradingview.com/chart/Cgv3Jm6J/?symbol=NSE%3ASMSPHARMA" TargetMode="External"/><Relationship Id="rId1871" Type="http://schemas.openxmlformats.org/officeDocument/2006/relationships/hyperlink" Target="https://in.tradingview.com/chart/Cgv3Jm6J/?symbol=NSE%3ASNOWMAN" TargetMode="External"/><Relationship Id="rId1872" Type="http://schemas.openxmlformats.org/officeDocument/2006/relationships/hyperlink" Target="https://in.tradingview.com/chart/Cgv3Jm6J/?symbol=NSE%3ASOBHA" TargetMode="External"/><Relationship Id="rId1862" Type="http://schemas.openxmlformats.org/officeDocument/2006/relationships/hyperlink" Target="https://in.tradingview.com/chart/Cgv3Jm6J/?symbol=NSE%3ASKMEGGPROD" TargetMode="External"/><Relationship Id="rId1863" Type="http://schemas.openxmlformats.org/officeDocument/2006/relationships/hyperlink" Target="https://in.tradingview.com/chart/Cgv3Jm6J/?symbol=NSE%3ASKYGOLD" TargetMode="External"/><Relationship Id="rId1864" Type="http://schemas.openxmlformats.org/officeDocument/2006/relationships/hyperlink" Target="https://in.tradingview.com/chart/Cgv3Jm6J/?symbol=NSE%3ASMALLCAP" TargetMode="External"/><Relationship Id="rId1865" Type="http://schemas.openxmlformats.org/officeDocument/2006/relationships/hyperlink" Target="https://in.tradingview.com/chart/Cgv3Jm6J/?symbol=NSE%3ASMARTLINK" TargetMode="External"/><Relationship Id="rId1866" Type="http://schemas.openxmlformats.org/officeDocument/2006/relationships/hyperlink" Target="https://in.tradingview.com/chart/Cgv3Jm6J/?symbol=NSE%3ASMCGLOBAL" TargetMode="External"/><Relationship Id="rId1867" Type="http://schemas.openxmlformats.org/officeDocument/2006/relationships/hyperlink" Target="https://in.tradingview.com/chart/Cgv3Jm6J/?symbol=NSE%3ASMLISUZU" TargetMode="External"/><Relationship Id="rId1868" Type="http://schemas.openxmlformats.org/officeDocument/2006/relationships/hyperlink" Target="https://in.tradingview.com/chart/Cgv3Jm6J/?symbol=NSE%3ASMLT" TargetMode="External"/><Relationship Id="rId1869" Type="http://schemas.openxmlformats.org/officeDocument/2006/relationships/hyperlink" Target="https://in.tradingview.com/chart/Cgv3Jm6J/?symbol=NSE%3ASMSLIFE" TargetMode="External"/><Relationship Id="rId1860" Type="http://schemas.openxmlformats.org/officeDocument/2006/relationships/hyperlink" Target="https://in.tradingview.com/chart/Cgv3Jm6J/?symbol=NSE%3ASKFINDIA" TargetMode="External"/><Relationship Id="rId1861" Type="http://schemas.openxmlformats.org/officeDocument/2006/relationships/hyperlink" Target="https://in.tradingview.com/chart/Cgv3Jm6J/?symbol=NSE%3ASKIPPER" TargetMode="External"/><Relationship Id="rId1810" Type="http://schemas.openxmlformats.org/officeDocument/2006/relationships/hyperlink" Target="https://in.tradingview.com/chart/Cgv3Jm6J/?symbol=NSE%3ASHEKHAWATI" TargetMode="External"/><Relationship Id="rId1811" Type="http://schemas.openxmlformats.org/officeDocument/2006/relationships/hyperlink" Target="https://in.tradingview.com/chart/Cgv3Jm6J/?symbol=NSE%3ASHEMAROO" TargetMode="External"/><Relationship Id="rId1812" Type="http://schemas.openxmlformats.org/officeDocument/2006/relationships/hyperlink" Target="https://in.tradingview.com/chart/Cgv3Jm6J/?symbol=NSE%3ASHILPAMED" TargetMode="External"/><Relationship Id="rId1813" Type="http://schemas.openxmlformats.org/officeDocument/2006/relationships/hyperlink" Target="https://in.tradingview.com/chart/Cgv3Jm6J/?symbol=NSE%3ASHIVALIK" TargetMode="External"/><Relationship Id="rId1814" Type="http://schemas.openxmlformats.org/officeDocument/2006/relationships/hyperlink" Target="https://in.tradingview.com/chart/Cgv3Jm6J/?symbol=NSE%3ASHIVAMAUTO" TargetMode="External"/><Relationship Id="rId1815" Type="http://schemas.openxmlformats.org/officeDocument/2006/relationships/hyperlink" Target="https://in.tradingview.com/chart/Cgv3Jm6J/?symbol=NSE%3ASHIVAMILLS" TargetMode="External"/><Relationship Id="rId1816" Type="http://schemas.openxmlformats.org/officeDocument/2006/relationships/hyperlink" Target="https://in.tradingview.com/chart/Cgv3Jm6J/?symbol=NSE%3ASHIVATEX" TargetMode="External"/><Relationship Id="rId1817" Type="http://schemas.openxmlformats.org/officeDocument/2006/relationships/hyperlink" Target="https://in.tradingview.com/chart/Cgv3Jm6J/?symbol=NSE%3ASHK" TargetMode="External"/><Relationship Id="rId1818" Type="http://schemas.openxmlformats.org/officeDocument/2006/relationships/hyperlink" Target="https://in.tradingview.com/chart/Cgv3Jm6J/?symbol=NSE%3ASHOPERSTOP" TargetMode="External"/><Relationship Id="rId1819" Type="http://schemas.openxmlformats.org/officeDocument/2006/relationships/hyperlink" Target="https://in.tradingview.com/chart/Cgv3Jm6J/?symbol=NSE%3ASHREDIGCEM" TargetMode="External"/><Relationship Id="rId1800" Type="http://schemas.openxmlformats.org/officeDocument/2006/relationships/hyperlink" Target="https://in.tradingview.com/chart/Cgv3Jm6J/?symbol=NSE%3ASHAKTIPUMP" TargetMode="External"/><Relationship Id="rId1801" Type="http://schemas.openxmlformats.org/officeDocument/2006/relationships/hyperlink" Target="https://in.tradingview.com/chart/Cgv3Jm6J/?symbol=NSE%3ASHALBY" TargetMode="External"/><Relationship Id="rId1802" Type="http://schemas.openxmlformats.org/officeDocument/2006/relationships/hyperlink" Target="https://in.tradingview.com/chart/Cgv3Jm6J/?symbol=NSE%3ASHALPAINTS" TargetMode="External"/><Relationship Id="rId1803" Type="http://schemas.openxmlformats.org/officeDocument/2006/relationships/hyperlink" Target="https://in.tradingview.com/chart/Cgv3Jm6J/?symbol=NSE%3ASHANKARA" TargetMode="External"/><Relationship Id="rId1804" Type="http://schemas.openxmlformats.org/officeDocument/2006/relationships/hyperlink" Target="https://in.tradingview.com/chart/Cgv3Jm6J/?symbol=NSE%3ASHANTI" TargetMode="External"/><Relationship Id="rId1805" Type="http://schemas.openxmlformats.org/officeDocument/2006/relationships/hyperlink" Target="https://in.tradingview.com/chart/Cgv3Jm6J/?symbol=NSE%3ASHANTIGEAR" TargetMode="External"/><Relationship Id="rId1806" Type="http://schemas.openxmlformats.org/officeDocument/2006/relationships/hyperlink" Target="https://in.tradingview.com/chart/Cgv3Jm6J/?symbol=NSE%3ASHARDACROP" TargetMode="External"/><Relationship Id="rId1807" Type="http://schemas.openxmlformats.org/officeDocument/2006/relationships/hyperlink" Target="https://in.tradingview.com/chart/Cgv3Jm6J/?symbol=NSE%3ASHARDAMOTR" TargetMode="External"/><Relationship Id="rId1808" Type="http://schemas.openxmlformats.org/officeDocument/2006/relationships/hyperlink" Target="https://in.tradingview.com/chart/Cgv3Jm6J/?symbol=NSE%3ASHAREINDIA" TargetMode="External"/><Relationship Id="rId1809" Type="http://schemas.openxmlformats.org/officeDocument/2006/relationships/hyperlink" Target="https://in.tradingview.com/chart/Cgv3Jm6J/?symbol=NSE%3ASHARIABEES" TargetMode="External"/><Relationship Id="rId1830" Type="http://schemas.openxmlformats.org/officeDocument/2006/relationships/hyperlink" Target="https://in.tradingview.com/chart/Cgv3Jm6J/?symbol=NSE%3ASICALLOG" TargetMode="External"/><Relationship Id="rId1831" Type="http://schemas.openxmlformats.org/officeDocument/2006/relationships/hyperlink" Target="https://in.tradingview.com/chart/Cgv3Jm6J/?symbol=NSE%3ASIEMENS" TargetMode="External"/><Relationship Id="rId1832" Type="http://schemas.openxmlformats.org/officeDocument/2006/relationships/hyperlink" Target="https://in.tradingview.com/chart/Cgv3Jm6J/?symbol=NSE%3ASIGACHI" TargetMode="External"/><Relationship Id="rId1833" Type="http://schemas.openxmlformats.org/officeDocument/2006/relationships/hyperlink" Target="https://in.tradingview.com/chart/Cgv3Jm6J/?symbol=NSE%3ASIGIND" TargetMode="External"/><Relationship Id="rId1834" Type="http://schemas.openxmlformats.org/officeDocument/2006/relationships/hyperlink" Target="https://in.tradingview.com/chart/Cgv3Jm6J/?symbol=NSE%3ASIGMA" TargetMode="External"/><Relationship Id="rId1835" Type="http://schemas.openxmlformats.org/officeDocument/2006/relationships/hyperlink" Target="https://in.tradingview.com/chart/Cgv3Jm6J/?symbol=NSE%3ASIGNATURE" TargetMode="External"/><Relationship Id="rId1836" Type="http://schemas.openxmlformats.org/officeDocument/2006/relationships/hyperlink" Target="https://in.tradingview.com/chart/Cgv3Jm6J/?symbol=NSE%3ASIGNPOST" TargetMode="External"/><Relationship Id="rId1837" Type="http://schemas.openxmlformats.org/officeDocument/2006/relationships/hyperlink" Target="https://in.tradingview.com/chart/Cgv3Jm6J/?symbol=NSE%3ASIKKO" TargetMode="External"/><Relationship Id="rId1838" Type="http://schemas.openxmlformats.org/officeDocument/2006/relationships/hyperlink" Target="https://in.tradingview.com/chart/Cgv3Jm6J/?symbol=NSE%3ASIL" TargetMode="External"/><Relationship Id="rId1839" Type="http://schemas.openxmlformats.org/officeDocument/2006/relationships/hyperlink" Target="https://in.tradingview.com/chart/Cgv3Jm6J/?symbol=NSE%3ASILGO" TargetMode="External"/><Relationship Id="rId1820" Type="http://schemas.openxmlformats.org/officeDocument/2006/relationships/hyperlink" Target="https://in.tradingview.com/chart/Cgv3Jm6J/?symbol=NSE%3ASHREECEM" TargetMode="External"/><Relationship Id="rId1821" Type="http://schemas.openxmlformats.org/officeDocument/2006/relationships/hyperlink" Target="https://in.tradingview.com/chart/Cgv3Jm6J/?symbol=NSE%3ASHREEPUSHK" TargetMode="External"/><Relationship Id="rId1822" Type="http://schemas.openxmlformats.org/officeDocument/2006/relationships/hyperlink" Target="https://in.tradingview.com/chart/Cgv3Jm6J/?symbol=NSE%3ASHRENIK" TargetMode="External"/><Relationship Id="rId1823" Type="http://schemas.openxmlformats.org/officeDocument/2006/relationships/hyperlink" Target="https://in.tradingview.com/chart/Cgv3Jm6J/?symbol=NSE%3ASHREYANIND" TargetMode="External"/><Relationship Id="rId1824" Type="http://schemas.openxmlformats.org/officeDocument/2006/relationships/hyperlink" Target="https://in.tradingview.com/chart/Cgv3Jm6J/?symbol=NSE%3ASHRIPISTON" TargetMode="External"/><Relationship Id="rId1825" Type="http://schemas.openxmlformats.org/officeDocument/2006/relationships/hyperlink" Target="https://in.tradingview.com/chart/Cgv3Jm6J/?symbol=NSE%3ASHRIRAMFIN" TargetMode="External"/><Relationship Id="rId1826" Type="http://schemas.openxmlformats.org/officeDocument/2006/relationships/hyperlink" Target="https://in.tradingview.com/chart/Cgv3Jm6J/?symbol=NSE%3ASHRIRAMPPS" TargetMode="External"/><Relationship Id="rId1827" Type="http://schemas.openxmlformats.org/officeDocument/2006/relationships/hyperlink" Target="https://in.tradingview.com/chart/Cgv3Jm6J/?symbol=NSE%3ASHYAMCENT" TargetMode="External"/><Relationship Id="rId1828" Type="http://schemas.openxmlformats.org/officeDocument/2006/relationships/hyperlink" Target="https://in.tradingview.com/chart/Cgv3Jm6J/?symbol=NSE%3ASHYAMMETL" TargetMode="External"/><Relationship Id="rId1829" Type="http://schemas.openxmlformats.org/officeDocument/2006/relationships/hyperlink" Target="https://in.tradingview.com/chart/Cgv3Jm6J/?symbol=NSE%3ASHYAMTEL" TargetMode="External"/><Relationship Id="rId1895" Type="http://schemas.openxmlformats.org/officeDocument/2006/relationships/hyperlink" Target="https://in.tradingview.com/chart/Cgv3Jm6J/?symbol=NSE%3ASRD" TargetMode="External"/><Relationship Id="rId1896" Type="http://schemas.openxmlformats.org/officeDocument/2006/relationships/hyperlink" Target="https://in.tradingview.com/chart/Cgv3Jm6J/?symbol=NSE%3ASREEL" TargetMode="External"/><Relationship Id="rId1897" Type="http://schemas.openxmlformats.org/officeDocument/2006/relationships/hyperlink" Target="https://in.tradingview.com/chart/Cgv3Jm6J/?symbol=NSE%3ASRF" TargetMode="External"/><Relationship Id="rId1898" Type="http://schemas.openxmlformats.org/officeDocument/2006/relationships/hyperlink" Target="https://in.tradingview.com/chart/Cgv3Jm6J/?symbol=NSE%3ASRGHFL" TargetMode="External"/><Relationship Id="rId1899" Type="http://schemas.openxmlformats.org/officeDocument/2006/relationships/hyperlink" Target="https://in.tradingview.com/chart/Cgv3Jm6J/?symbol=NSE%3ASRHHYPOLTD" TargetMode="External"/><Relationship Id="rId1890" Type="http://schemas.openxmlformats.org/officeDocument/2006/relationships/hyperlink" Target="https://in.tradingview.com/chart/Cgv3Jm6J/?symbol=NSE%3ASPIC" TargetMode="External"/><Relationship Id="rId1891" Type="http://schemas.openxmlformats.org/officeDocument/2006/relationships/hyperlink" Target="https://in.tradingview.com/chart/Cgv3Jm6J/?symbol=NSE%3ASPLIL" TargetMode="External"/><Relationship Id="rId1892" Type="http://schemas.openxmlformats.org/officeDocument/2006/relationships/hyperlink" Target="https://in.tradingview.com/chart/Cgv3Jm6J/?symbol=NSE%3ASPLPETRO" TargetMode="External"/><Relationship Id="rId1893" Type="http://schemas.openxmlformats.org/officeDocument/2006/relationships/hyperlink" Target="https://in.tradingview.com/chart/Cgv3Jm6J/?symbol=NSE%3ASPMLINFRA" TargetMode="External"/><Relationship Id="rId1894" Type="http://schemas.openxmlformats.org/officeDocument/2006/relationships/hyperlink" Target="https://in.tradingview.com/chart/Cgv3Jm6J/?symbol=NSE%3ASPORTKING" TargetMode="External"/><Relationship Id="rId1884" Type="http://schemas.openxmlformats.org/officeDocument/2006/relationships/hyperlink" Target="https://in.tradingview.com/chart/Cgv3Jm6J/?symbol=NSE%3ASPAL" TargetMode="External"/><Relationship Id="rId1885" Type="http://schemas.openxmlformats.org/officeDocument/2006/relationships/hyperlink" Target="https://in.tradingview.com/chart/Cgv3Jm6J/?symbol=NSE%3ASPANDANA" TargetMode="External"/><Relationship Id="rId1886" Type="http://schemas.openxmlformats.org/officeDocument/2006/relationships/hyperlink" Target="https://in.tradingview.com/chart/Cgv3Jm6J/?symbol=NSE%3ASPARC" TargetMode="External"/><Relationship Id="rId1887" Type="http://schemas.openxmlformats.org/officeDocument/2006/relationships/hyperlink" Target="https://in.tradingview.com/chart/Cgv3Jm6J/?symbol=NSE%3ASPCENET" TargetMode="External"/><Relationship Id="rId1888" Type="http://schemas.openxmlformats.org/officeDocument/2006/relationships/hyperlink" Target="https://in.tradingview.com/chart/Cgv3Jm6J/?symbol=NSE%3ASPECIALITY" TargetMode="External"/><Relationship Id="rId1889" Type="http://schemas.openxmlformats.org/officeDocument/2006/relationships/hyperlink" Target="https://in.tradingview.com/chart/Cgv3Jm6J/?symbol=NSE%3ASPENCERS" TargetMode="External"/><Relationship Id="rId1880" Type="http://schemas.openxmlformats.org/officeDocument/2006/relationships/hyperlink" Target="https://in.tradingview.com/chart/Cgv3Jm6J/?symbol=NSE%3ASONATSOFTW" TargetMode="External"/><Relationship Id="rId1881" Type="http://schemas.openxmlformats.org/officeDocument/2006/relationships/hyperlink" Target="https://in.tradingview.com/chart/Cgv3Jm6J/?symbol=NSE%3ASOTL" TargetMode="External"/><Relationship Id="rId1882" Type="http://schemas.openxmlformats.org/officeDocument/2006/relationships/hyperlink" Target="https://in.tradingview.com/chart/Cgv3Jm6J/?symbol=NSE%3ASOUTHBANK" TargetMode="External"/><Relationship Id="rId1883" Type="http://schemas.openxmlformats.org/officeDocument/2006/relationships/hyperlink" Target="https://in.tradingview.com/chart/Cgv3Jm6J/?symbol=NSE%3ASOUTHWEST" TargetMode="External"/><Relationship Id="rId1059" Type="http://schemas.openxmlformats.org/officeDocument/2006/relationships/hyperlink" Target="https://in.tradingview.com/chart/Cgv3Jm6J/?symbol=NSE%3AKICL" TargetMode="External"/><Relationship Id="rId228" Type="http://schemas.openxmlformats.org/officeDocument/2006/relationships/hyperlink" Target="https://in.tradingview.com/chart/Cgv3Jm6J/?symbol=NSE%3ABAJAJELEC" TargetMode="External"/><Relationship Id="rId227" Type="http://schemas.openxmlformats.org/officeDocument/2006/relationships/hyperlink" Target="https://in.tradingview.com/chart/Cgv3Jm6J/?symbol=NSE%3ABAJAJCON" TargetMode="External"/><Relationship Id="rId226" Type="http://schemas.openxmlformats.org/officeDocument/2006/relationships/hyperlink" Target="https://in.tradingview.com/chart/Cgv3Jm6J/?symbol=NSE%3ABAJAJ_AUTO" TargetMode="External"/><Relationship Id="rId225" Type="http://schemas.openxmlformats.org/officeDocument/2006/relationships/hyperlink" Target="https://in.tradingview.com/chart/Cgv3Jm6J/?symbol=NSE%3ABAIDFIN" TargetMode="External"/><Relationship Id="rId229" Type="http://schemas.openxmlformats.org/officeDocument/2006/relationships/hyperlink" Target="https://in.tradingview.com/chart/Cgv3Jm6J/?symbol=NSE%3ABAJAJFINSV" TargetMode="External"/><Relationship Id="rId1050" Type="http://schemas.openxmlformats.org/officeDocument/2006/relationships/hyperlink" Target="https://in.tradingview.com/chart/Cgv3Jm6J/?symbol=NSE%3AKELLTONTEC" TargetMode="External"/><Relationship Id="rId220" Type="http://schemas.openxmlformats.org/officeDocument/2006/relationships/hyperlink" Target="https://in.tradingview.com/chart/Cgv3Jm6J/?symbol=NSE%3AAXSENSEX" TargetMode="External"/><Relationship Id="rId1051" Type="http://schemas.openxmlformats.org/officeDocument/2006/relationships/hyperlink" Target="https://in.tradingview.com/chart/Cgv3Jm6J/?symbol=NSE%3AKERNEX" TargetMode="External"/><Relationship Id="rId1052" Type="http://schemas.openxmlformats.org/officeDocument/2006/relationships/hyperlink" Target="https://in.tradingview.com/chart/Cgv3Jm6J/?symbol=NSE%3AKESORAMIND" TargetMode="External"/><Relationship Id="rId1053" Type="http://schemas.openxmlformats.org/officeDocument/2006/relationships/hyperlink" Target="https://in.tradingview.com/chart/Cgv3Jm6J/?symbol=NSE%3AKEYFINSERV" TargetMode="External"/><Relationship Id="rId1054" Type="http://schemas.openxmlformats.org/officeDocument/2006/relationships/hyperlink" Target="https://in.tradingview.com/chart/Cgv3Jm6J/?symbol=NSE%3AKFINTECH" TargetMode="External"/><Relationship Id="rId224" Type="http://schemas.openxmlformats.org/officeDocument/2006/relationships/hyperlink" Target="https://in.tradingview.com/chart/Cgv3Jm6J/?symbol=NSE%3ABAGFILMS" TargetMode="External"/><Relationship Id="rId1055" Type="http://schemas.openxmlformats.org/officeDocument/2006/relationships/hyperlink" Target="https://in.tradingview.com/chart/Cgv3Jm6J/?symbol=NSE%3AKHADIM" TargetMode="External"/><Relationship Id="rId223" Type="http://schemas.openxmlformats.org/officeDocument/2006/relationships/hyperlink" Target="https://in.tradingview.com/chart/Cgv3Jm6J/?symbol=NSE%3ABAFNAPH" TargetMode="External"/><Relationship Id="rId1056" Type="http://schemas.openxmlformats.org/officeDocument/2006/relationships/hyperlink" Target="https://in.tradingview.com/chart/Cgv3Jm6J/?symbol=NSE%3AKHAICHEM" TargetMode="External"/><Relationship Id="rId222" Type="http://schemas.openxmlformats.org/officeDocument/2006/relationships/hyperlink" Target="https://in.tradingview.com/chart/Cgv3Jm6J/?symbol=NSE%3AAZAD" TargetMode="External"/><Relationship Id="rId1057" Type="http://schemas.openxmlformats.org/officeDocument/2006/relationships/hyperlink" Target="https://in.tradingview.com/chart/Cgv3Jm6J/?symbol=NSE%3AKHAITANLTD" TargetMode="External"/><Relationship Id="rId221" Type="http://schemas.openxmlformats.org/officeDocument/2006/relationships/hyperlink" Target="https://in.tradingview.com/chart/Cgv3Jm6J/?symbol=NSE%3AAYMSYNTEX" TargetMode="External"/><Relationship Id="rId1058" Type="http://schemas.openxmlformats.org/officeDocument/2006/relationships/hyperlink" Target="https://in.tradingview.com/chart/Cgv3Jm6J/?symbol=NSE%3AKHANDSE" TargetMode="External"/><Relationship Id="rId1048" Type="http://schemas.openxmlformats.org/officeDocument/2006/relationships/hyperlink" Target="https://in.tradingview.com/chart/Cgv3Jm6J/?symbol=NSE%3AKEEPLEARN" TargetMode="External"/><Relationship Id="rId1049" Type="http://schemas.openxmlformats.org/officeDocument/2006/relationships/hyperlink" Target="https://in.tradingview.com/chart/Cgv3Jm6J/?symbol=NSE%3AKEI" TargetMode="External"/><Relationship Id="rId217" Type="http://schemas.openxmlformats.org/officeDocument/2006/relationships/hyperlink" Target="https://in.tradingview.com/chart/Cgv3Jm6J/?symbol=NSE%3AAXISNIFTY" TargetMode="External"/><Relationship Id="rId216" Type="http://schemas.openxmlformats.org/officeDocument/2006/relationships/hyperlink" Target="https://in.tradingview.com/chart/Cgv3Jm6J/?symbol=NSE%3AAXISILVER" TargetMode="External"/><Relationship Id="rId215" Type="http://schemas.openxmlformats.org/officeDocument/2006/relationships/hyperlink" Target="https://in.tradingview.com/chart/Cgv3Jm6J/?symbol=NSE%3AAXISHCETF" TargetMode="External"/><Relationship Id="rId214" Type="http://schemas.openxmlformats.org/officeDocument/2006/relationships/hyperlink" Target="https://in.tradingview.com/chart/Cgv3Jm6J/?symbol=NSE%3AAXISGOLD" TargetMode="External"/><Relationship Id="rId219" Type="http://schemas.openxmlformats.org/officeDocument/2006/relationships/hyperlink" Target="https://in.tradingview.com/chart/Cgv3Jm6J/?symbol=NSE%3AAXITA" TargetMode="External"/><Relationship Id="rId218" Type="http://schemas.openxmlformats.org/officeDocument/2006/relationships/hyperlink" Target="https://in.tradingview.com/chart/Cgv3Jm6J/?symbol=NSE%3AAXISTECETF" TargetMode="External"/><Relationship Id="rId1040" Type="http://schemas.openxmlformats.org/officeDocument/2006/relationships/hyperlink" Target="https://in.tradingview.com/chart/Cgv3Jm6J/?symbol=NSE%3AKAUSHALYA" TargetMode="External"/><Relationship Id="rId1041" Type="http://schemas.openxmlformats.org/officeDocument/2006/relationships/hyperlink" Target="https://in.tradingview.com/chart/Cgv3Jm6J/?symbol=NSE%3AKAYA" TargetMode="External"/><Relationship Id="rId1042" Type="http://schemas.openxmlformats.org/officeDocument/2006/relationships/hyperlink" Target="https://in.tradingview.com/chart/Cgv3Jm6J/?symbol=NSE%3AKAYNES" TargetMode="External"/><Relationship Id="rId1043" Type="http://schemas.openxmlformats.org/officeDocument/2006/relationships/hyperlink" Target="https://in.tradingview.com/chart/Cgv3Jm6J/?symbol=NSE%3AKCP" TargetMode="External"/><Relationship Id="rId213" Type="http://schemas.openxmlformats.org/officeDocument/2006/relationships/hyperlink" Target="https://in.tradingview.com/chart/Cgv3Jm6J/?symbol=NSE%3AAXISCETF" TargetMode="External"/><Relationship Id="rId1044" Type="http://schemas.openxmlformats.org/officeDocument/2006/relationships/hyperlink" Target="https://in.tradingview.com/chart/Cgv3Jm6J/?symbol=NSE%3AKCPSUGIND" TargetMode="External"/><Relationship Id="rId212" Type="http://schemas.openxmlformats.org/officeDocument/2006/relationships/hyperlink" Target="https://in.tradingview.com/chart/Cgv3Jm6J/?symbol=NSE%3AAXISCADES" TargetMode="External"/><Relationship Id="rId1045" Type="http://schemas.openxmlformats.org/officeDocument/2006/relationships/hyperlink" Target="https://in.tradingview.com/chart/Cgv3Jm6J/?symbol=NSE%3AKDDL" TargetMode="External"/><Relationship Id="rId211" Type="http://schemas.openxmlformats.org/officeDocument/2006/relationships/hyperlink" Target="https://in.tradingview.com/chart/Cgv3Jm6J/?symbol=NSE%3AAXISBPSETF" TargetMode="External"/><Relationship Id="rId1046" Type="http://schemas.openxmlformats.org/officeDocument/2006/relationships/hyperlink" Target="https://in.tradingview.com/chart/Cgv3Jm6J/?symbol=NSE%3AKEC" TargetMode="External"/><Relationship Id="rId210" Type="http://schemas.openxmlformats.org/officeDocument/2006/relationships/hyperlink" Target="https://in.tradingview.com/chart/Cgv3Jm6J/?symbol=NSE%3AAXISBNKETF" TargetMode="External"/><Relationship Id="rId1047" Type="http://schemas.openxmlformats.org/officeDocument/2006/relationships/hyperlink" Target="https://in.tradingview.com/chart/Cgv3Jm6J/?symbol=NSE%3AKECL" TargetMode="External"/><Relationship Id="rId249" Type="http://schemas.openxmlformats.org/officeDocument/2006/relationships/hyperlink" Target="https://in.tradingview.com/chart/Cgv3Jm6J/?symbol=NSE%3ABANCOINDIA" TargetMode="External"/><Relationship Id="rId248" Type="http://schemas.openxmlformats.org/officeDocument/2006/relationships/hyperlink" Target="https://in.tradingview.com/chart/Cgv3Jm6J/?symbol=NSE%3ABANARISUG" TargetMode="External"/><Relationship Id="rId247" Type="http://schemas.openxmlformats.org/officeDocument/2006/relationships/hyperlink" Target="https://in.tradingview.com/chart/Cgv3Jm6J/?symbol=NSE%3ABANARBEADS" TargetMode="External"/><Relationship Id="rId1070" Type="http://schemas.openxmlformats.org/officeDocument/2006/relationships/hyperlink" Target="https://in.tradingview.com/chart/Cgv3Jm6J/?symbol=NSE%3AKMEW" TargetMode="External"/><Relationship Id="rId1071" Type="http://schemas.openxmlformats.org/officeDocument/2006/relationships/hyperlink" Target="https://in.tradingview.com/chart/Cgv3Jm6J/?symbol=NSE%3AKMSUGAR" TargetMode="External"/><Relationship Id="rId1072" Type="http://schemas.openxmlformats.org/officeDocument/2006/relationships/hyperlink" Target="https://in.tradingview.com/chart/Cgv3Jm6J/?symbol=NSE%3AKNRCON" TargetMode="External"/><Relationship Id="rId242" Type="http://schemas.openxmlformats.org/officeDocument/2006/relationships/hyperlink" Target="https://in.tradingview.com/chart/Cgv3Jm6J/?symbol=NSE%3ABALKRISIND" TargetMode="External"/><Relationship Id="rId1073" Type="http://schemas.openxmlformats.org/officeDocument/2006/relationships/hyperlink" Target="https://in.tradingview.com/chart/Cgv3Jm6J/?symbol=NSE%3AKOHINOOR" TargetMode="External"/><Relationship Id="rId241" Type="http://schemas.openxmlformats.org/officeDocument/2006/relationships/hyperlink" Target="https://in.tradingview.com/chart/Cgv3Jm6J/?symbol=NSE%3ABALKRISHNA" TargetMode="External"/><Relationship Id="rId1074" Type="http://schemas.openxmlformats.org/officeDocument/2006/relationships/hyperlink" Target="https://in.tradingview.com/chart/Cgv3Jm6J/?symbol=NSE%3AKOKUYOCMLN" TargetMode="External"/><Relationship Id="rId240" Type="http://schemas.openxmlformats.org/officeDocument/2006/relationships/hyperlink" Target="https://in.tradingview.com/chart/Cgv3Jm6J/?symbol=NSE%3ABALAXI" TargetMode="External"/><Relationship Id="rId1075" Type="http://schemas.openxmlformats.org/officeDocument/2006/relationships/hyperlink" Target="https://in.tradingview.com/chart/Cgv3Jm6J/?symbol=NSE%3AKOLTEPATIL" TargetMode="External"/><Relationship Id="rId1076" Type="http://schemas.openxmlformats.org/officeDocument/2006/relationships/hyperlink" Target="https://in.tradingview.com/chart/Cgv3Jm6J/?symbol=NSE%3AKOPRAN" TargetMode="External"/><Relationship Id="rId246" Type="http://schemas.openxmlformats.org/officeDocument/2006/relationships/hyperlink" Target="https://in.tradingview.com/chart/Cgv3Jm6J/?symbol=NSE%3ABALUFORGE" TargetMode="External"/><Relationship Id="rId1077" Type="http://schemas.openxmlformats.org/officeDocument/2006/relationships/hyperlink" Target="https://in.tradingview.com/chart/Cgv3Jm6J/?symbol=NSE%3AKOTAKBANK" TargetMode="External"/><Relationship Id="rId245" Type="http://schemas.openxmlformats.org/officeDocument/2006/relationships/hyperlink" Target="https://in.tradingview.com/chart/Cgv3Jm6J/?symbol=NSE%3ABALRAMCHIN" TargetMode="External"/><Relationship Id="rId1078" Type="http://schemas.openxmlformats.org/officeDocument/2006/relationships/hyperlink" Target="https://in.tradingview.com/chart/Cgv3Jm6J/?symbol=NSE%3AKOTARISUG" TargetMode="External"/><Relationship Id="rId244" Type="http://schemas.openxmlformats.org/officeDocument/2006/relationships/hyperlink" Target="https://in.tradingview.com/chart/Cgv3Jm6J/?symbol=NSE%3ABALPHARMA" TargetMode="External"/><Relationship Id="rId1079" Type="http://schemas.openxmlformats.org/officeDocument/2006/relationships/hyperlink" Target="https://in.tradingview.com/chart/Cgv3Jm6J/?symbol=NSE%3AKOTHARIPET" TargetMode="External"/><Relationship Id="rId243" Type="http://schemas.openxmlformats.org/officeDocument/2006/relationships/hyperlink" Target="https://in.tradingview.com/chart/Cgv3Jm6J/?symbol=NSE%3ABALMLAWRIE" TargetMode="External"/><Relationship Id="rId239" Type="http://schemas.openxmlformats.org/officeDocument/2006/relationships/hyperlink" Target="https://in.tradingview.com/chart/Cgv3Jm6J/?symbol=NSE%3ABALAMINES" TargetMode="External"/><Relationship Id="rId238" Type="http://schemas.openxmlformats.org/officeDocument/2006/relationships/hyperlink" Target="https://in.tradingview.com/chart/Cgv3Jm6J/?symbol=NSE%3ABALAJITELE" TargetMode="External"/><Relationship Id="rId237" Type="http://schemas.openxmlformats.org/officeDocument/2006/relationships/hyperlink" Target="https://in.tradingview.com/chart/Cgv3Jm6J/?symbol=NSE%3ABALAJEE" TargetMode="External"/><Relationship Id="rId236" Type="http://schemas.openxmlformats.org/officeDocument/2006/relationships/hyperlink" Target="https://in.tradingview.com/chart/Cgv3Jm6J/?symbol=NSE%3ABAJFINANCE" TargetMode="External"/><Relationship Id="rId1060" Type="http://schemas.openxmlformats.org/officeDocument/2006/relationships/hyperlink" Target="https://in.tradingview.com/chart/Cgv3Jm6J/?symbol=NSE%3AKILITCH" TargetMode="External"/><Relationship Id="rId1061" Type="http://schemas.openxmlformats.org/officeDocument/2006/relationships/hyperlink" Target="https://in.tradingview.com/chart/Cgv3Jm6J/?symbol=NSE%3AKIMS" TargetMode="External"/><Relationship Id="rId231" Type="http://schemas.openxmlformats.org/officeDocument/2006/relationships/hyperlink" Target="https://in.tradingview.com/chart/Cgv3Jm6J/?symbol=NSE%3ABAJAJHFL" TargetMode="External"/><Relationship Id="rId1062" Type="http://schemas.openxmlformats.org/officeDocument/2006/relationships/hyperlink" Target="https://in.tradingview.com/chart/Cgv3Jm6J/?symbol=NSE%3AKINGFA" TargetMode="External"/><Relationship Id="rId230" Type="http://schemas.openxmlformats.org/officeDocument/2006/relationships/hyperlink" Target="https://in.tradingview.com/chart/Cgv3Jm6J/?symbol=NSE%3ABAJAJHCARE" TargetMode="External"/><Relationship Id="rId1063" Type="http://schemas.openxmlformats.org/officeDocument/2006/relationships/hyperlink" Target="https://in.tradingview.com/chart/Cgv3Jm6J/?symbol=NSE%3AKIOCL" TargetMode="External"/><Relationship Id="rId1064" Type="http://schemas.openxmlformats.org/officeDocument/2006/relationships/hyperlink" Target="https://in.tradingview.com/chart/Cgv3Jm6J/?symbol=NSE%3AKIRIINDUS" TargetMode="External"/><Relationship Id="rId1065" Type="http://schemas.openxmlformats.org/officeDocument/2006/relationships/hyperlink" Target="https://in.tradingview.com/chart/Cgv3Jm6J/?symbol=NSE%3AKIRLOSBROS" TargetMode="External"/><Relationship Id="rId235" Type="http://schemas.openxmlformats.org/officeDocument/2006/relationships/hyperlink" Target="https://in.tradingview.com/chart/Cgv3Jm6J/?symbol=NSE%3ABAJEL" TargetMode="External"/><Relationship Id="rId1066" Type="http://schemas.openxmlformats.org/officeDocument/2006/relationships/hyperlink" Target="https://in.tradingview.com/chart/Cgv3Jm6J/?symbol=NSE%3AKIRLOSENG" TargetMode="External"/><Relationship Id="rId234" Type="http://schemas.openxmlformats.org/officeDocument/2006/relationships/hyperlink" Target="https://in.tradingview.com/chart/Cgv3Jm6J/?symbol=NSE%3ABAJAJINDEF" TargetMode="External"/><Relationship Id="rId1067" Type="http://schemas.openxmlformats.org/officeDocument/2006/relationships/hyperlink" Target="https://in.tradingview.com/chart/Cgv3Jm6J/?symbol=NSE%3AKIRLOSIND" TargetMode="External"/><Relationship Id="rId233" Type="http://schemas.openxmlformats.org/officeDocument/2006/relationships/hyperlink" Target="https://in.tradingview.com/chart/Cgv3Jm6J/?symbol=NSE%3ABAJAJHLDNG" TargetMode="External"/><Relationship Id="rId1068" Type="http://schemas.openxmlformats.org/officeDocument/2006/relationships/hyperlink" Target="https://in.tradingview.com/chart/Cgv3Jm6J/?symbol=NSE%3AKITEX" TargetMode="External"/><Relationship Id="rId232" Type="http://schemas.openxmlformats.org/officeDocument/2006/relationships/hyperlink" Target="https://in.tradingview.com/chart/Cgv3Jm6J/?symbol=NSE%3ABAJAJHIND" TargetMode="External"/><Relationship Id="rId1069" Type="http://schemas.openxmlformats.org/officeDocument/2006/relationships/hyperlink" Target="https://in.tradingview.com/chart/Cgv3Jm6J/?symbol=NSE%3AKKCL" TargetMode="External"/><Relationship Id="rId1015" Type="http://schemas.openxmlformats.org/officeDocument/2006/relationships/hyperlink" Target="https://in.tradingview.com/chart/Cgv3Jm6J/?symbol=NSE%3AJUBLCPL" TargetMode="External"/><Relationship Id="rId1016" Type="http://schemas.openxmlformats.org/officeDocument/2006/relationships/hyperlink" Target="https://in.tradingview.com/chart/Cgv3Jm6J/?symbol=NSE%3AJUBLFOOD" TargetMode="External"/><Relationship Id="rId1017" Type="http://schemas.openxmlformats.org/officeDocument/2006/relationships/hyperlink" Target="https://in.tradingview.com/chart/Cgv3Jm6J/?symbol=NSE%3AJUBLINGREA" TargetMode="External"/><Relationship Id="rId1018" Type="http://schemas.openxmlformats.org/officeDocument/2006/relationships/hyperlink" Target="https://in.tradingview.com/chart/Cgv3Jm6J/?symbol=NSE%3AJUBLPHARMA" TargetMode="External"/><Relationship Id="rId1019" Type="http://schemas.openxmlformats.org/officeDocument/2006/relationships/hyperlink" Target="https://in.tradingview.com/chart/Cgv3Jm6J/?symbol=NSE%3AJUNIORBEES" TargetMode="External"/><Relationship Id="rId1010" Type="http://schemas.openxmlformats.org/officeDocument/2006/relationships/hyperlink" Target="https://in.tradingview.com/chart/Cgv3Jm6J/?symbol=NSE%3AJSWHL" TargetMode="External"/><Relationship Id="rId1011" Type="http://schemas.openxmlformats.org/officeDocument/2006/relationships/hyperlink" Target="https://in.tradingview.com/chart/Cgv3Jm6J/?symbol=NSE%3AJSWINFRA" TargetMode="External"/><Relationship Id="rId1012" Type="http://schemas.openxmlformats.org/officeDocument/2006/relationships/hyperlink" Target="https://in.tradingview.com/chart/Cgv3Jm6J/?symbol=NSE%3AJSWSTEEL" TargetMode="External"/><Relationship Id="rId1013" Type="http://schemas.openxmlformats.org/officeDocument/2006/relationships/hyperlink" Target="https://in.tradingview.com/chart/Cgv3Jm6J/?symbol=NSE%3AJTEKTINDIA" TargetMode="External"/><Relationship Id="rId1014" Type="http://schemas.openxmlformats.org/officeDocument/2006/relationships/hyperlink" Target="https://in.tradingview.com/chart/Cgv3Jm6J/?symbol=NSE%3AJTLIND" TargetMode="External"/><Relationship Id="rId1004" Type="http://schemas.openxmlformats.org/officeDocument/2006/relationships/hyperlink" Target="https://in.tradingview.com/chart/Cgv3Jm6J/?symbol=NSE%3AJPASSOCIAT" TargetMode="External"/><Relationship Id="rId1005" Type="http://schemas.openxmlformats.org/officeDocument/2006/relationships/hyperlink" Target="https://in.tradingview.com/chart/Cgv3Jm6J/?symbol=NSE%3AJPOLYINVST" TargetMode="External"/><Relationship Id="rId1006" Type="http://schemas.openxmlformats.org/officeDocument/2006/relationships/hyperlink" Target="https://in.tradingview.com/chart/Cgv3Jm6J/?symbol=NSE%3AJPPOWER" TargetMode="External"/><Relationship Id="rId1007" Type="http://schemas.openxmlformats.org/officeDocument/2006/relationships/hyperlink" Target="https://in.tradingview.com/chart/Cgv3Jm6J/?symbol=NSE%3AJSFB" TargetMode="External"/><Relationship Id="rId1008" Type="http://schemas.openxmlformats.org/officeDocument/2006/relationships/hyperlink" Target="https://in.tradingview.com/chart/Cgv3Jm6J/?symbol=NSE%3AJSL" TargetMode="External"/><Relationship Id="rId1009" Type="http://schemas.openxmlformats.org/officeDocument/2006/relationships/hyperlink" Target="https://in.tradingview.com/chart/Cgv3Jm6J/?symbol=NSE%3AJSWENERGY" TargetMode="External"/><Relationship Id="rId1000" Type="http://schemas.openxmlformats.org/officeDocument/2006/relationships/hyperlink" Target="https://in.tradingview.com/chart/Cgv3Jm6J/?symbol=NSE%3AJMA" TargetMode="External"/><Relationship Id="rId1001" Type="http://schemas.openxmlformats.org/officeDocument/2006/relationships/hyperlink" Target="https://in.tradingview.com/chart/Cgv3Jm6J/?symbol=NSE%3AJMFINANCIL" TargetMode="External"/><Relationship Id="rId1002" Type="http://schemas.openxmlformats.org/officeDocument/2006/relationships/hyperlink" Target="https://in.tradingview.com/chart/Cgv3Jm6J/?symbol=NSE%3AJNKINDIA" TargetMode="External"/><Relationship Id="rId1003" Type="http://schemas.openxmlformats.org/officeDocument/2006/relationships/hyperlink" Target="https://in.tradingview.com/chart/Cgv3Jm6J/?symbol=NSE%3AJOCIL" TargetMode="External"/><Relationship Id="rId1037" Type="http://schemas.openxmlformats.org/officeDocument/2006/relationships/hyperlink" Target="https://in.tradingview.com/chart/Cgv3Jm6J/?symbol=NSE%3AKAPSTON" TargetMode="External"/><Relationship Id="rId1038" Type="http://schemas.openxmlformats.org/officeDocument/2006/relationships/hyperlink" Target="https://in.tradingview.com/chart/Cgv3Jm6J/?symbol=NSE%3AKARMAENG" TargetMode="External"/><Relationship Id="rId1039" Type="http://schemas.openxmlformats.org/officeDocument/2006/relationships/hyperlink" Target="https://in.tradingview.com/chart/Cgv3Jm6J/?symbol=NSE%3AKARURVYSYA" TargetMode="External"/><Relationship Id="rId206" Type="http://schemas.openxmlformats.org/officeDocument/2006/relationships/hyperlink" Target="https://in.tradingview.com/chart/Cgv3Jm6J/?symbol=NSE%3AAWFIS" TargetMode="External"/><Relationship Id="rId205" Type="http://schemas.openxmlformats.org/officeDocument/2006/relationships/hyperlink" Target="https://in.tradingview.com/chart/Cgv3Jm6J/?symbol=NSE%3AAVTNPL" TargetMode="External"/><Relationship Id="rId204" Type="http://schemas.openxmlformats.org/officeDocument/2006/relationships/hyperlink" Target="https://in.tradingview.com/chart/Cgv3Jm6J/?symbol=NSE%3AAVROIND" TargetMode="External"/><Relationship Id="rId203" Type="http://schemas.openxmlformats.org/officeDocument/2006/relationships/hyperlink" Target="https://in.tradingview.com/chart/Cgv3Jm6J/?symbol=NSE%3AAVONMORE" TargetMode="External"/><Relationship Id="rId209" Type="http://schemas.openxmlformats.org/officeDocument/2006/relationships/hyperlink" Target="https://in.tradingview.com/chart/Cgv3Jm6J/?symbol=NSE%3AAXISBANK" TargetMode="External"/><Relationship Id="rId208" Type="http://schemas.openxmlformats.org/officeDocument/2006/relationships/hyperlink" Target="https://in.tradingview.com/chart/Cgv3Jm6J/?symbol=NSE%3AAWL" TargetMode="External"/><Relationship Id="rId207" Type="http://schemas.openxmlformats.org/officeDocument/2006/relationships/hyperlink" Target="https://in.tradingview.com/chart/Cgv3Jm6J/?symbol=NSE%3AAWHCL" TargetMode="External"/><Relationship Id="rId1030" Type="http://schemas.openxmlformats.org/officeDocument/2006/relationships/hyperlink" Target="https://in.tradingview.com/chart/Cgv3Jm6J/?symbol=NSE%3AKALYANKJIL" TargetMode="External"/><Relationship Id="rId1031" Type="http://schemas.openxmlformats.org/officeDocument/2006/relationships/hyperlink" Target="https://in.tradingview.com/chart/Cgv3Jm6J/?symbol=NSE%3AKAMATHOTEL" TargetMode="External"/><Relationship Id="rId1032" Type="http://schemas.openxmlformats.org/officeDocument/2006/relationships/hyperlink" Target="https://in.tradingview.com/chart/Cgv3Jm6J/?symbol=NSE%3AKAMDHENU" TargetMode="External"/><Relationship Id="rId202" Type="http://schemas.openxmlformats.org/officeDocument/2006/relationships/hyperlink" Target="https://in.tradingview.com/chart/Cgv3Jm6J/?symbol=NSE%3AAVL" TargetMode="External"/><Relationship Id="rId1033" Type="http://schemas.openxmlformats.org/officeDocument/2006/relationships/hyperlink" Target="https://in.tradingview.com/chart/Cgv3Jm6J/?symbol=NSE%3AKANANIIND" TargetMode="External"/><Relationship Id="rId201" Type="http://schemas.openxmlformats.org/officeDocument/2006/relationships/hyperlink" Target="https://in.tradingview.com/chart/Cgv3Jm6J/?symbol=NSE%3AAVANTIFEED" TargetMode="External"/><Relationship Id="rId1034" Type="http://schemas.openxmlformats.org/officeDocument/2006/relationships/hyperlink" Target="https://in.tradingview.com/chart/Cgv3Jm6J/?symbol=NSE%3AKANORICHEM" TargetMode="External"/><Relationship Id="rId200" Type="http://schemas.openxmlformats.org/officeDocument/2006/relationships/hyperlink" Target="https://in.tradingview.com/chart/Cgv3Jm6J/?symbol=NSE%3AAVANTEL" TargetMode="External"/><Relationship Id="rId1035" Type="http://schemas.openxmlformats.org/officeDocument/2006/relationships/hyperlink" Target="https://in.tradingview.com/chart/Cgv3Jm6J/?symbol=NSE%3AKANPRPLA" TargetMode="External"/><Relationship Id="rId1036" Type="http://schemas.openxmlformats.org/officeDocument/2006/relationships/hyperlink" Target="https://in.tradingview.com/chart/Cgv3Jm6J/?symbol=NSE%3AKANSAINER" TargetMode="External"/><Relationship Id="rId1026" Type="http://schemas.openxmlformats.org/officeDocument/2006/relationships/hyperlink" Target="https://in.tradingview.com/chart/Cgv3Jm6J/?symbol=NSE%3AKABRAEXTRU" TargetMode="External"/><Relationship Id="rId1027" Type="http://schemas.openxmlformats.org/officeDocument/2006/relationships/hyperlink" Target="https://in.tradingview.com/chart/Cgv3Jm6J/?symbol=NSE%3AKAJARIACER" TargetMode="External"/><Relationship Id="rId1028" Type="http://schemas.openxmlformats.org/officeDocument/2006/relationships/hyperlink" Target="https://in.tradingview.com/chart/Cgv3Jm6J/?symbol=NSE%3AKAKATCEM" TargetMode="External"/><Relationship Id="rId1029" Type="http://schemas.openxmlformats.org/officeDocument/2006/relationships/hyperlink" Target="https://in.tradingview.com/chart/Cgv3Jm6J/?symbol=NSE%3AKALAMANDIR" TargetMode="External"/><Relationship Id="rId1020" Type="http://schemas.openxmlformats.org/officeDocument/2006/relationships/hyperlink" Target="https://in.tradingview.com/chart/Cgv3Jm6J/?symbol=NSE%3AJUNIPER" TargetMode="External"/><Relationship Id="rId1021" Type="http://schemas.openxmlformats.org/officeDocument/2006/relationships/hyperlink" Target="https://in.tradingview.com/chart/Cgv3Jm6J/?symbol=NSE%3AJUSTDIAL" TargetMode="External"/><Relationship Id="rId1022" Type="http://schemas.openxmlformats.org/officeDocument/2006/relationships/hyperlink" Target="https://in.tradingview.com/chart/Cgv3Jm6J/?symbol=NSE%3AJWL" TargetMode="External"/><Relationship Id="rId1023" Type="http://schemas.openxmlformats.org/officeDocument/2006/relationships/hyperlink" Target="https://in.tradingview.com/chart/Cgv3Jm6J/?symbol=NSE%3AJYOTHYLAB" TargetMode="External"/><Relationship Id="rId1024" Type="http://schemas.openxmlformats.org/officeDocument/2006/relationships/hyperlink" Target="https://in.tradingview.com/chart/Cgv3Jm6J/?symbol=NSE%3AJYOTICNC" TargetMode="External"/><Relationship Id="rId1025" Type="http://schemas.openxmlformats.org/officeDocument/2006/relationships/hyperlink" Target="https://in.tradingview.com/chart/Cgv3Jm6J/?symbol=NSE%3AJYOTISTRUC" TargetMode="External"/><Relationship Id="rId1910" Type="http://schemas.openxmlformats.org/officeDocument/2006/relationships/hyperlink" Target="https://in.tradingview.com/chart/Cgv3Jm6J/?symbol=NSE%3ASTARTECK" TargetMode="External"/><Relationship Id="rId1911" Type="http://schemas.openxmlformats.org/officeDocument/2006/relationships/hyperlink" Target="https://in.tradingview.com/chart/Cgv3Jm6J/?symbol=NSE%3ASTCINDIA" TargetMode="External"/><Relationship Id="rId1912" Type="http://schemas.openxmlformats.org/officeDocument/2006/relationships/hyperlink" Target="https://in.tradingview.com/chart/Cgv3Jm6J/?symbol=NSE%3ASTEELCAS" TargetMode="External"/><Relationship Id="rId1913" Type="http://schemas.openxmlformats.org/officeDocument/2006/relationships/hyperlink" Target="https://in.tradingview.com/chart/Cgv3Jm6J/?symbol=NSE%3ASTEELCITY" TargetMode="External"/><Relationship Id="rId1914" Type="http://schemas.openxmlformats.org/officeDocument/2006/relationships/hyperlink" Target="https://in.tradingview.com/chart/Cgv3Jm6J/?symbol=NSE%3ASTEELXIND" TargetMode="External"/><Relationship Id="rId1915" Type="http://schemas.openxmlformats.org/officeDocument/2006/relationships/hyperlink" Target="https://in.tradingview.com/chart/Cgv3Jm6J/?symbol=NSE%3ASTEL" TargetMode="External"/><Relationship Id="rId1916" Type="http://schemas.openxmlformats.org/officeDocument/2006/relationships/hyperlink" Target="https://in.tradingview.com/chart/Cgv3Jm6J/?symbol=NSE%3ASTERTOOLS" TargetMode="External"/><Relationship Id="rId1917" Type="http://schemas.openxmlformats.org/officeDocument/2006/relationships/hyperlink" Target="https://in.tradingview.com/chart/Cgv3Jm6J/?symbol=NSE%3ASTLTECH" TargetMode="External"/><Relationship Id="rId1918" Type="http://schemas.openxmlformats.org/officeDocument/2006/relationships/hyperlink" Target="https://in.tradingview.com/chart/Cgv3Jm6J/?symbol=NSE%3ASTOVEKRAFT" TargetMode="External"/><Relationship Id="rId1919" Type="http://schemas.openxmlformats.org/officeDocument/2006/relationships/hyperlink" Target="https://in.tradingview.com/chart/Cgv3Jm6J/?symbol=NSE%3ASTYLAMIND" TargetMode="External"/><Relationship Id="rId1900" Type="http://schemas.openxmlformats.org/officeDocument/2006/relationships/hyperlink" Target="https://in.tradingview.com/chart/Cgv3Jm6J/?symbol=NSE%3ASRM" TargetMode="External"/><Relationship Id="rId1901" Type="http://schemas.openxmlformats.org/officeDocument/2006/relationships/hyperlink" Target="https://in.tradingview.com/chart/Cgv3Jm6J/?symbol=NSE%3ASRPL" TargetMode="External"/><Relationship Id="rId1902" Type="http://schemas.openxmlformats.org/officeDocument/2006/relationships/hyperlink" Target="https://in.tradingview.com/chart/Cgv3Jm6J/?symbol=NSE%3ASSDL" TargetMode="External"/><Relationship Id="rId1903" Type="http://schemas.openxmlformats.org/officeDocument/2006/relationships/hyperlink" Target="https://in.tradingview.com/chart/Cgv3Jm6J/?symbol=NSE%3ASSWL" TargetMode="External"/><Relationship Id="rId1904" Type="http://schemas.openxmlformats.org/officeDocument/2006/relationships/hyperlink" Target="https://in.tradingview.com/chart/Cgv3Jm6J/?symbol=NSE%3ASTALLION" TargetMode="External"/><Relationship Id="rId1905" Type="http://schemas.openxmlformats.org/officeDocument/2006/relationships/hyperlink" Target="https://in.tradingview.com/chart/Cgv3Jm6J/?symbol=NSE%3ASTANLEY" TargetMode="External"/><Relationship Id="rId1906" Type="http://schemas.openxmlformats.org/officeDocument/2006/relationships/hyperlink" Target="https://in.tradingview.com/chart/Cgv3Jm6J/?symbol=NSE%3ASTAR" TargetMode="External"/><Relationship Id="rId1907" Type="http://schemas.openxmlformats.org/officeDocument/2006/relationships/hyperlink" Target="https://in.tradingview.com/chart/Cgv3Jm6J/?symbol=NSE%3ASTARCEMENT" TargetMode="External"/><Relationship Id="rId1908" Type="http://schemas.openxmlformats.org/officeDocument/2006/relationships/hyperlink" Target="https://in.tradingview.com/chart/Cgv3Jm6J/?symbol=NSE%3ASTARHEALTH" TargetMode="External"/><Relationship Id="rId1909" Type="http://schemas.openxmlformats.org/officeDocument/2006/relationships/hyperlink" Target="https://in.tradingview.com/chart/Cgv3Jm6J/?symbol=NSE%3ASTARPAPER" TargetMode="External"/><Relationship Id="rId1090" Type="http://schemas.openxmlformats.org/officeDocument/2006/relationships/hyperlink" Target="https://in.tradingview.com/chart/Cgv3Jm6J/?symbol=NSE%3AKRITI" TargetMode="External"/><Relationship Id="rId1091" Type="http://schemas.openxmlformats.org/officeDocument/2006/relationships/hyperlink" Target="https://in.tradingview.com/chart/Cgv3Jm6J/?symbol=NSE%3AKRITINUT" TargetMode="External"/><Relationship Id="rId1092" Type="http://schemas.openxmlformats.org/officeDocument/2006/relationships/hyperlink" Target="https://in.tradingview.com/chart/Cgv3Jm6J/?symbol=NSE%3AKRN" TargetMode="External"/><Relationship Id="rId1093" Type="http://schemas.openxmlformats.org/officeDocument/2006/relationships/hyperlink" Target="https://in.tradingview.com/chart/Cgv3Jm6J/?symbol=NSE%3AKRONOX" TargetMode="External"/><Relationship Id="rId1094" Type="http://schemas.openxmlformats.org/officeDocument/2006/relationships/hyperlink" Target="https://in.tradingview.com/chart/Cgv3Jm6J/?symbol=NSE%3AKROSS" TargetMode="External"/><Relationship Id="rId1095" Type="http://schemas.openxmlformats.org/officeDocument/2006/relationships/hyperlink" Target="https://in.tradingview.com/chart/Cgv3Jm6J/?symbol=NSE%3AKRSNAA" TargetMode="External"/><Relationship Id="rId1096" Type="http://schemas.openxmlformats.org/officeDocument/2006/relationships/hyperlink" Target="https://in.tradingview.com/chart/Cgv3Jm6J/?symbol=NSE%3AKRYSTAL" TargetMode="External"/><Relationship Id="rId1097" Type="http://schemas.openxmlformats.org/officeDocument/2006/relationships/hyperlink" Target="https://in.tradingview.com/chart/Cgv3Jm6J/?symbol=NSE%3AKSB" TargetMode="External"/><Relationship Id="rId1098" Type="http://schemas.openxmlformats.org/officeDocument/2006/relationships/hyperlink" Target="https://in.tradingview.com/chart/Cgv3Jm6J/?symbol=NSE%3AKSCL" TargetMode="External"/><Relationship Id="rId1099" Type="http://schemas.openxmlformats.org/officeDocument/2006/relationships/hyperlink" Target="https://in.tradingview.com/chart/Cgv3Jm6J/?symbol=NSE%3AKSHITIJPOL" TargetMode="External"/><Relationship Id="rId1080" Type="http://schemas.openxmlformats.org/officeDocument/2006/relationships/hyperlink" Target="https://in.tradingview.com/chart/Cgv3Jm6J/?symbol=NSE%3AKOTHARIPRO" TargetMode="External"/><Relationship Id="rId1081" Type="http://schemas.openxmlformats.org/officeDocument/2006/relationships/hyperlink" Target="https://in.tradingview.com/chart/Cgv3Jm6J/?symbol=NSE%3AKPEL" TargetMode="External"/><Relationship Id="rId1082" Type="http://schemas.openxmlformats.org/officeDocument/2006/relationships/hyperlink" Target="https://in.tradingview.com/chart/Cgv3Jm6J/?symbol=NSE%3AKPIGREEN" TargetMode="External"/><Relationship Id="rId1083" Type="http://schemas.openxmlformats.org/officeDocument/2006/relationships/hyperlink" Target="https://in.tradingview.com/chart/Cgv3Jm6J/?symbol=NSE%3AKPIL" TargetMode="External"/><Relationship Id="rId1084" Type="http://schemas.openxmlformats.org/officeDocument/2006/relationships/hyperlink" Target="https://in.tradingview.com/chart/Cgv3Jm6J/?symbol=NSE%3AKPITTECH" TargetMode="External"/><Relationship Id="rId1085" Type="http://schemas.openxmlformats.org/officeDocument/2006/relationships/hyperlink" Target="https://in.tradingview.com/chart/Cgv3Jm6J/?symbol=NSE%3AKPRMILL" TargetMode="External"/><Relationship Id="rId1086" Type="http://schemas.openxmlformats.org/officeDocument/2006/relationships/hyperlink" Target="https://in.tradingview.com/chart/Cgv3Jm6J/?symbol=NSE%3AKRBL" TargetMode="External"/><Relationship Id="rId1087" Type="http://schemas.openxmlformats.org/officeDocument/2006/relationships/hyperlink" Target="https://in.tradingview.com/chart/Cgv3Jm6J/?symbol=NSE%3AKREBSBIO" TargetMode="External"/><Relationship Id="rId1088" Type="http://schemas.openxmlformats.org/officeDocument/2006/relationships/hyperlink" Target="https://in.tradingview.com/chart/Cgv3Jm6J/?symbol=NSE%3AKRIDHANINF" TargetMode="External"/><Relationship Id="rId1089" Type="http://schemas.openxmlformats.org/officeDocument/2006/relationships/hyperlink" Target="https://in.tradingview.com/chart/Cgv3Jm6J/?symbol=NSE%3AKRISHANA" TargetMode="External"/><Relationship Id="rId1972" Type="http://schemas.openxmlformats.org/officeDocument/2006/relationships/hyperlink" Target="https://in.tradingview.com/chart/Cgv3Jm6J/?symbol=NSE%3ATAJGVK" TargetMode="External"/><Relationship Id="rId1973" Type="http://schemas.openxmlformats.org/officeDocument/2006/relationships/hyperlink" Target="https://in.tradingview.com/chart/Cgv3Jm6J/?symbol=NSE%3ATAKE" TargetMode="External"/><Relationship Id="rId1974" Type="http://schemas.openxmlformats.org/officeDocument/2006/relationships/hyperlink" Target="https://in.tradingview.com/chart/Cgv3Jm6J/?symbol=NSE%3ATALBROAUTO" TargetMode="External"/><Relationship Id="rId1975" Type="http://schemas.openxmlformats.org/officeDocument/2006/relationships/hyperlink" Target="https://in.tradingview.com/chart/Cgv3Jm6J/?symbol=NSE%3ATANLA" TargetMode="External"/><Relationship Id="rId1976" Type="http://schemas.openxmlformats.org/officeDocument/2006/relationships/hyperlink" Target="https://in.tradingview.com/chart/Cgv3Jm6J/?symbol=NSE%3ATARACHAND" TargetMode="External"/><Relationship Id="rId1977" Type="http://schemas.openxmlformats.org/officeDocument/2006/relationships/hyperlink" Target="https://in.tradingview.com/chart/Cgv3Jm6J/?symbol=NSE%3ATARAPUR" TargetMode="External"/><Relationship Id="rId1978" Type="http://schemas.openxmlformats.org/officeDocument/2006/relationships/hyperlink" Target="https://in.tradingview.com/chart/Cgv3Jm6J/?symbol=NSE%3ATARC" TargetMode="External"/><Relationship Id="rId1979" Type="http://schemas.openxmlformats.org/officeDocument/2006/relationships/hyperlink" Target="https://in.tradingview.com/chart/Cgv3Jm6J/?symbol=NSE%3ATARIL" TargetMode="External"/><Relationship Id="rId1970" Type="http://schemas.openxmlformats.org/officeDocument/2006/relationships/hyperlink" Target="https://in.tradingview.com/chart/Cgv3Jm6J/?symbol=NSE%3ASYRMA" TargetMode="External"/><Relationship Id="rId1971" Type="http://schemas.openxmlformats.org/officeDocument/2006/relationships/hyperlink" Target="https://in.tradingview.com/chart/Cgv3Jm6J/?symbol=NSE%3ATAINWALCHM" TargetMode="External"/><Relationship Id="rId1961" Type="http://schemas.openxmlformats.org/officeDocument/2006/relationships/hyperlink" Target="https://in.tradingview.com/chart/Cgv3Jm6J/?symbol=NSE%3ASVLL" TargetMode="External"/><Relationship Id="rId1962" Type="http://schemas.openxmlformats.org/officeDocument/2006/relationships/hyperlink" Target="https://in.tradingview.com/chart/Cgv3Jm6J/?symbol=NSE%3ASVPGLOB" TargetMode="External"/><Relationship Id="rId1963" Type="http://schemas.openxmlformats.org/officeDocument/2006/relationships/hyperlink" Target="https://in.tradingview.com/chart/Cgv3Jm6J/?symbol=NSE%3ASWANENERGY" TargetMode="External"/><Relationship Id="rId1964" Type="http://schemas.openxmlformats.org/officeDocument/2006/relationships/hyperlink" Target="https://in.tradingview.com/chart/Cgv3Jm6J/?symbol=NSE%3ASWARAJENG" TargetMode="External"/><Relationship Id="rId1965" Type="http://schemas.openxmlformats.org/officeDocument/2006/relationships/hyperlink" Target="https://in.tradingview.com/chart/Cgv3Jm6J/?symbol=NSE%3ASWIGGY" TargetMode="External"/><Relationship Id="rId1966" Type="http://schemas.openxmlformats.org/officeDocument/2006/relationships/hyperlink" Target="https://in.tradingview.com/chart/Cgv3Jm6J/?symbol=NSE%3ASWSOLAR" TargetMode="External"/><Relationship Id="rId1967" Type="http://schemas.openxmlformats.org/officeDocument/2006/relationships/hyperlink" Target="https://in.tradingview.com/chart/Cgv3Jm6J/?symbol=NSE%3ASYMPHONY" TargetMode="External"/><Relationship Id="rId1968" Type="http://schemas.openxmlformats.org/officeDocument/2006/relationships/hyperlink" Target="https://in.tradingview.com/chart/Cgv3Jm6J/?symbol=NSE%3ASYNCOMF" TargetMode="External"/><Relationship Id="rId1969" Type="http://schemas.openxmlformats.org/officeDocument/2006/relationships/hyperlink" Target="https://in.tradingview.com/chart/Cgv3Jm6J/?symbol=NSE%3ASYNGENE" TargetMode="External"/><Relationship Id="rId1960" Type="http://schemas.openxmlformats.org/officeDocument/2006/relationships/hyperlink" Target="https://in.tradingview.com/chart/Cgv3Jm6J/?symbol=NSE%3ASUZLON" TargetMode="External"/><Relationship Id="rId1994" Type="http://schemas.openxmlformats.org/officeDocument/2006/relationships/hyperlink" Target="https://in.tradingview.com/chart/Cgv3Jm6J/?symbol=NSE%3ATATVA" TargetMode="External"/><Relationship Id="rId1995" Type="http://schemas.openxmlformats.org/officeDocument/2006/relationships/hyperlink" Target="https://in.tradingview.com/chart/Cgv3Jm6J/?symbol=NSE%3ATBOTEK" TargetMode="External"/><Relationship Id="rId1996" Type="http://schemas.openxmlformats.org/officeDocument/2006/relationships/hyperlink" Target="https://in.tradingview.com/chart/Cgv3Jm6J/?symbol=NSE%3ATBZ" TargetMode="External"/><Relationship Id="rId1997" Type="http://schemas.openxmlformats.org/officeDocument/2006/relationships/hyperlink" Target="https://in.tradingview.com/chart/Cgv3Jm6J/?symbol=NSE%3ATCI" TargetMode="External"/><Relationship Id="rId1998" Type="http://schemas.openxmlformats.org/officeDocument/2006/relationships/hyperlink" Target="https://in.tradingview.com/chart/Cgv3Jm6J/?symbol=NSE%3ATCIEXP" TargetMode="External"/><Relationship Id="rId1999" Type="http://schemas.openxmlformats.org/officeDocument/2006/relationships/hyperlink" Target="https://in.tradingview.com/chart/Cgv3Jm6J/?symbol=NSE%3ATCIFINANCE" TargetMode="External"/><Relationship Id="rId1990" Type="http://schemas.openxmlformats.org/officeDocument/2006/relationships/hyperlink" Target="https://in.tradingview.com/chart/Cgv3Jm6J/?symbol=NSE%3ATATAPOWER" TargetMode="External"/><Relationship Id="rId1991" Type="http://schemas.openxmlformats.org/officeDocument/2006/relationships/hyperlink" Target="https://in.tradingview.com/chart/Cgv3Jm6J/?symbol=NSE%3ATATASTEEL" TargetMode="External"/><Relationship Id="rId1992" Type="http://schemas.openxmlformats.org/officeDocument/2006/relationships/hyperlink" Target="https://in.tradingview.com/chart/Cgv3Jm6J/?symbol=NSE%3ATATATECH" TargetMode="External"/><Relationship Id="rId1993" Type="http://schemas.openxmlformats.org/officeDocument/2006/relationships/hyperlink" Target="https://in.tradingview.com/chart/Cgv3Jm6J/?symbol=NSE%3ATATSILV" TargetMode="External"/><Relationship Id="rId1983" Type="http://schemas.openxmlformats.org/officeDocument/2006/relationships/hyperlink" Target="https://in.tradingview.com/chart/Cgv3Jm6J/?symbol=NSE%3ATATACHEM" TargetMode="External"/><Relationship Id="rId1984" Type="http://schemas.openxmlformats.org/officeDocument/2006/relationships/hyperlink" Target="https://in.tradingview.com/chart/Cgv3Jm6J/?symbol=NSE%3ATATACOMM" TargetMode="External"/><Relationship Id="rId1985" Type="http://schemas.openxmlformats.org/officeDocument/2006/relationships/hyperlink" Target="https://in.tradingview.com/chart/Cgv3Jm6J/?symbol=NSE%3ATATACONSUM" TargetMode="External"/><Relationship Id="rId1986" Type="http://schemas.openxmlformats.org/officeDocument/2006/relationships/hyperlink" Target="https://in.tradingview.com/chart/Cgv3Jm6J/?symbol=NSE%3ATATAELXSI" TargetMode="External"/><Relationship Id="rId1987" Type="http://schemas.openxmlformats.org/officeDocument/2006/relationships/hyperlink" Target="https://in.tradingview.com/chart/Cgv3Jm6J/?symbol=NSE%3ATATAGOLD" TargetMode="External"/><Relationship Id="rId1988" Type="http://schemas.openxmlformats.org/officeDocument/2006/relationships/hyperlink" Target="https://in.tradingview.com/chart/Cgv3Jm6J/?symbol=NSE%3ATATAINVEST" TargetMode="External"/><Relationship Id="rId1989" Type="http://schemas.openxmlformats.org/officeDocument/2006/relationships/hyperlink" Target="https://in.tradingview.com/chart/Cgv3Jm6J/?symbol=NSE%3ATATAMOTORS" TargetMode="External"/><Relationship Id="rId1980" Type="http://schemas.openxmlformats.org/officeDocument/2006/relationships/hyperlink" Target="https://in.tradingview.com/chart/Cgv3Jm6J/?symbol=NSE%3ATARMAT" TargetMode="External"/><Relationship Id="rId1981" Type="http://schemas.openxmlformats.org/officeDocument/2006/relationships/hyperlink" Target="https://in.tradingview.com/chart/Cgv3Jm6J/?symbol=NSE%3ATARSONS" TargetMode="External"/><Relationship Id="rId1982" Type="http://schemas.openxmlformats.org/officeDocument/2006/relationships/hyperlink" Target="https://in.tradingview.com/chart/Cgv3Jm6J/?symbol=NSE%3ATASTYBITE" TargetMode="External"/><Relationship Id="rId1930" Type="http://schemas.openxmlformats.org/officeDocument/2006/relationships/hyperlink" Target="https://in.tradingview.com/chart/Cgv3Jm6J/?symbol=NSE%3ASUNCLAY" TargetMode="External"/><Relationship Id="rId1931" Type="http://schemas.openxmlformats.org/officeDocument/2006/relationships/hyperlink" Target="https://in.tradingview.com/chart/Cgv3Jm6J/?symbol=NSE%3ASUNDARAM" TargetMode="External"/><Relationship Id="rId1932" Type="http://schemas.openxmlformats.org/officeDocument/2006/relationships/hyperlink" Target="https://in.tradingview.com/chart/Cgv3Jm6J/?symbol=NSE%3ASUNDARMFIN" TargetMode="External"/><Relationship Id="rId1933" Type="http://schemas.openxmlformats.org/officeDocument/2006/relationships/hyperlink" Target="https://in.tradingview.com/chart/Cgv3Jm6J/?symbol=NSE%3ASUNDARMHLD" TargetMode="External"/><Relationship Id="rId1934" Type="http://schemas.openxmlformats.org/officeDocument/2006/relationships/hyperlink" Target="https://in.tradingview.com/chart/Cgv3Jm6J/?symbol=NSE%3ASUNDRMBRAK" TargetMode="External"/><Relationship Id="rId1935" Type="http://schemas.openxmlformats.org/officeDocument/2006/relationships/hyperlink" Target="https://in.tradingview.com/chart/Cgv3Jm6J/?symbol=NSE%3ASUNDRMFAST" TargetMode="External"/><Relationship Id="rId1936" Type="http://schemas.openxmlformats.org/officeDocument/2006/relationships/hyperlink" Target="https://in.tradingview.com/chart/Cgv3Jm6J/?symbol=NSE%3ASUNFLAG" TargetMode="External"/><Relationship Id="rId1937" Type="http://schemas.openxmlformats.org/officeDocument/2006/relationships/hyperlink" Target="https://in.tradingview.com/chart/Cgv3Jm6J/?symbol=NSE%3ASUNPHARMA" TargetMode="External"/><Relationship Id="rId1938" Type="http://schemas.openxmlformats.org/officeDocument/2006/relationships/hyperlink" Target="https://in.tradingview.com/chart/Cgv3Jm6J/?symbol=NSE%3ASUNTECK" TargetMode="External"/><Relationship Id="rId1939" Type="http://schemas.openxmlformats.org/officeDocument/2006/relationships/hyperlink" Target="https://in.tradingview.com/chart/Cgv3Jm6J/?symbol=NSE%3ASUNTV" TargetMode="External"/><Relationship Id="rId1920" Type="http://schemas.openxmlformats.org/officeDocument/2006/relationships/hyperlink" Target="https://in.tradingview.com/chart/Cgv3Jm6J/?symbol=NSE%3ASTYLEBAAZA" TargetMode="External"/><Relationship Id="rId1921" Type="http://schemas.openxmlformats.org/officeDocument/2006/relationships/hyperlink" Target="https://in.tradingview.com/chart/Cgv3Jm6J/?symbol=NSE%3ASTYRENIX" TargetMode="External"/><Relationship Id="rId1922" Type="http://schemas.openxmlformats.org/officeDocument/2006/relationships/hyperlink" Target="https://in.tradingview.com/chart/Cgv3Jm6J/?symbol=NSE%3ASUBEXLTD" TargetMode="External"/><Relationship Id="rId1923" Type="http://schemas.openxmlformats.org/officeDocument/2006/relationships/hyperlink" Target="https://in.tradingview.com/chart/Cgv3Jm6J/?symbol=NSE%3ASUBROS" TargetMode="External"/><Relationship Id="rId1924" Type="http://schemas.openxmlformats.org/officeDocument/2006/relationships/hyperlink" Target="https://in.tradingview.com/chart/Cgv3Jm6J/?symbol=NSE%3ASUDARSCHEM" TargetMode="External"/><Relationship Id="rId1925" Type="http://schemas.openxmlformats.org/officeDocument/2006/relationships/hyperlink" Target="https://in.tradingview.com/chart/Cgv3Jm6J/?symbol=NSE%3ASUKHJITS" TargetMode="External"/><Relationship Id="rId1926" Type="http://schemas.openxmlformats.org/officeDocument/2006/relationships/hyperlink" Target="https://in.tradingview.com/chart/Cgv3Jm6J/?symbol=NSE%3ASULA" TargetMode="External"/><Relationship Id="rId1927" Type="http://schemas.openxmlformats.org/officeDocument/2006/relationships/hyperlink" Target="https://in.tradingview.com/chart/Cgv3Jm6J/?symbol=NSE%3ASUMICHEM" TargetMode="External"/><Relationship Id="rId1928" Type="http://schemas.openxmlformats.org/officeDocument/2006/relationships/hyperlink" Target="https://in.tradingview.com/chart/Cgv3Jm6J/?symbol=NSE%3ASUMIT" TargetMode="External"/><Relationship Id="rId1929" Type="http://schemas.openxmlformats.org/officeDocument/2006/relationships/hyperlink" Target="https://in.tradingview.com/chart/Cgv3Jm6J/?symbol=NSE%3ASUMMITSEC" TargetMode="External"/><Relationship Id="rId1950" Type="http://schemas.openxmlformats.org/officeDocument/2006/relationships/hyperlink" Target="https://in.tradingview.com/chart/Cgv3Jm6J/?symbol=NSE%3ASURANASOL" TargetMode="External"/><Relationship Id="rId1951" Type="http://schemas.openxmlformats.org/officeDocument/2006/relationships/hyperlink" Target="https://in.tradingview.com/chart/Cgv3Jm6J/?symbol=NSE%3ASURANAT_P" TargetMode="External"/><Relationship Id="rId1952" Type="http://schemas.openxmlformats.org/officeDocument/2006/relationships/hyperlink" Target="https://in.tradingview.com/chart/Cgv3Jm6J/?symbol=NSE%3ASURYALAXMI" TargetMode="External"/><Relationship Id="rId1953" Type="http://schemas.openxmlformats.org/officeDocument/2006/relationships/hyperlink" Target="https://in.tradingview.com/chart/Cgv3Jm6J/?symbol=NSE%3ASURYAROSNI" TargetMode="External"/><Relationship Id="rId1954" Type="http://schemas.openxmlformats.org/officeDocument/2006/relationships/hyperlink" Target="https://in.tradingview.com/chart/Cgv3Jm6J/?symbol=NSE%3ASURYODAY" TargetMode="External"/><Relationship Id="rId1955" Type="http://schemas.openxmlformats.org/officeDocument/2006/relationships/hyperlink" Target="https://in.tradingview.com/chart/Cgv3Jm6J/?symbol=NSE%3ASUTLEJTEX" TargetMode="External"/><Relationship Id="rId1956" Type="http://schemas.openxmlformats.org/officeDocument/2006/relationships/hyperlink" Target="https://in.tradingview.com/chart/Cgv3Jm6J/?symbol=NSE%3ASUULD" TargetMode="External"/><Relationship Id="rId1957" Type="http://schemas.openxmlformats.org/officeDocument/2006/relationships/hyperlink" Target="https://in.tradingview.com/chart/Cgv3Jm6J/?symbol=NSE%3ASUVEN" TargetMode="External"/><Relationship Id="rId1958" Type="http://schemas.openxmlformats.org/officeDocument/2006/relationships/hyperlink" Target="https://in.tradingview.com/chart/Cgv3Jm6J/?symbol=NSE%3ASUVIDHAA" TargetMode="External"/><Relationship Id="rId1959" Type="http://schemas.openxmlformats.org/officeDocument/2006/relationships/hyperlink" Target="https://in.tradingview.com/chart/Cgv3Jm6J/?symbol=NSE%3ASUYOG" TargetMode="External"/><Relationship Id="rId1940" Type="http://schemas.openxmlformats.org/officeDocument/2006/relationships/hyperlink" Target="https://in.tradingview.com/chart/Cgv3Jm6J/?symbol=NSE%3ASUPERHOUSE" TargetMode="External"/><Relationship Id="rId1941" Type="http://schemas.openxmlformats.org/officeDocument/2006/relationships/hyperlink" Target="https://in.tradingview.com/chart/Cgv3Jm6J/?symbol=NSE%3ASUPERSPIN" TargetMode="External"/><Relationship Id="rId1942" Type="http://schemas.openxmlformats.org/officeDocument/2006/relationships/hyperlink" Target="https://in.tradingview.com/chart/Cgv3Jm6J/?symbol=NSE%3ASUPRAJIT" TargetMode="External"/><Relationship Id="rId1943" Type="http://schemas.openxmlformats.org/officeDocument/2006/relationships/hyperlink" Target="https://in.tradingview.com/chart/Cgv3Jm6J/?symbol=NSE%3ASUPREME" TargetMode="External"/><Relationship Id="rId1944" Type="http://schemas.openxmlformats.org/officeDocument/2006/relationships/hyperlink" Target="https://in.tradingview.com/chart/Cgv3Jm6J/?symbol=NSE%3ASUPREMEIND" TargetMode="External"/><Relationship Id="rId1945" Type="http://schemas.openxmlformats.org/officeDocument/2006/relationships/hyperlink" Target="https://in.tradingview.com/chart/Cgv3Jm6J/?symbol=NSE%3ASUPREMEINF" TargetMode="External"/><Relationship Id="rId1946" Type="http://schemas.openxmlformats.org/officeDocument/2006/relationships/hyperlink" Target="https://in.tradingview.com/chart/Cgv3Jm6J/?symbol=NSE%3ASUPRIYA" TargetMode="External"/><Relationship Id="rId1947" Type="http://schemas.openxmlformats.org/officeDocument/2006/relationships/hyperlink" Target="https://in.tradingview.com/chart/Cgv3Jm6J/?symbol=NSE%3ASURAJEST" TargetMode="External"/><Relationship Id="rId1948" Type="http://schemas.openxmlformats.org/officeDocument/2006/relationships/hyperlink" Target="https://in.tradingview.com/chart/Cgv3Jm6J/?symbol=NSE%3ASURAJLTD" TargetMode="External"/><Relationship Id="rId1949" Type="http://schemas.openxmlformats.org/officeDocument/2006/relationships/hyperlink" Target="https://in.tradingview.com/chart/Cgv3Jm6J/?symbol=NSE%3ASURAKSHA" TargetMode="External"/><Relationship Id="rId509" Type="http://schemas.openxmlformats.org/officeDocument/2006/relationships/hyperlink" Target="https://in.tradingview.com/chart/Cgv3Jm6J/?symbol=NSE%3ADPSCLTD" TargetMode="External"/><Relationship Id="rId508" Type="http://schemas.openxmlformats.org/officeDocument/2006/relationships/hyperlink" Target="https://in.tradingview.com/chart/Cgv3Jm6J/?symbol=NSE%3ADPABHUSHAN" TargetMode="External"/><Relationship Id="rId503" Type="http://schemas.openxmlformats.org/officeDocument/2006/relationships/hyperlink" Target="https://in.tradingview.com/chart/Cgv3Jm6J/?symbol=NSE%3ADODLA" TargetMode="External"/><Relationship Id="rId502" Type="http://schemas.openxmlformats.org/officeDocument/2006/relationships/hyperlink" Target="https://in.tradingview.com/chart/Cgv3Jm6J/?symbol=NSE%3ADNAMEDIA" TargetMode="External"/><Relationship Id="rId501" Type="http://schemas.openxmlformats.org/officeDocument/2006/relationships/hyperlink" Target="https://in.tradingview.com/chart/Cgv3Jm6J/?symbol=NSE%3ADMCC" TargetMode="External"/><Relationship Id="rId500" Type="http://schemas.openxmlformats.org/officeDocument/2006/relationships/hyperlink" Target="https://in.tradingview.com/chart/Cgv3Jm6J/?symbol=NSE%3ADMART" TargetMode="External"/><Relationship Id="rId507" Type="http://schemas.openxmlformats.org/officeDocument/2006/relationships/hyperlink" Target="https://in.tradingview.com/chart/Cgv3Jm6J/?symbol=NSE%3ADONEAR" TargetMode="External"/><Relationship Id="rId506" Type="http://schemas.openxmlformats.org/officeDocument/2006/relationships/hyperlink" Target="https://in.tradingview.com/chart/Cgv3Jm6J/?symbol=NSE%3ADOMS" TargetMode="External"/><Relationship Id="rId505" Type="http://schemas.openxmlformats.org/officeDocument/2006/relationships/hyperlink" Target="https://in.tradingview.com/chart/Cgv3Jm6J/?symbol=NSE%3ADOLLAR" TargetMode="External"/><Relationship Id="rId504" Type="http://schemas.openxmlformats.org/officeDocument/2006/relationships/hyperlink" Target="https://in.tradingview.com/chart/Cgv3Jm6J/?symbol=NSE%3ADOLATALGO" TargetMode="External"/><Relationship Id="rId1114" Type="http://schemas.openxmlformats.org/officeDocument/2006/relationships/hyperlink" Target="https://in.tradingview.com/chart/Cgv3Jm6J/?symbol=NSE%3ALAXMICOT" TargetMode="External"/><Relationship Id="rId1115" Type="http://schemas.openxmlformats.org/officeDocument/2006/relationships/hyperlink" Target="https://in.tradingview.com/chart/Cgv3Jm6J/?symbol=NSE%3ALAXMIDENTL" TargetMode="External"/><Relationship Id="rId1116" Type="http://schemas.openxmlformats.org/officeDocument/2006/relationships/hyperlink" Target="https://in.tradingview.com/chart/Cgv3Jm6J/?symbol=NSE%3ALEMONTREE" TargetMode="External"/><Relationship Id="rId1117" Type="http://schemas.openxmlformats.org/officeDocument/2006/relationships/hyperlink" Target="https://in.tradingview.com/chart/Cgv3Jm6J/?symbol=NSE%3ALEXUS" TargetMode="External"/><Relationship Id="rId1118" Type="http://schemas.openxmlformats.org/officeDocument/2006/relationships/hyperlink" Target="https://in.tradingview.com/chart/Cgv3Jm6J/?symbol=NSE%3ALFIC" TargetMode="External"/><Relationship Id="rId1119" Type="http://schemas.openxmlformats.org/officeDocument/2006/relationships/hyperlink" Target="https://in.tradingview.com/chart/Cgv3Jm6J/?symbol=NSE%3ALGBBROSLTD" TargetMode="External"/><Relationship Id="rId525" Type="http://schemas.openxmlformats.org/officeDocument/2006/relationships/hyperlink" Target="https://in.tradingview.com/chart/Cgv3Jm6J/?symbol=NSE%3AEBANKNIFTY" TargetMode="External"/><Relationship Id="rId524" Type="http://schemas.openxmlformats.org/officeDocument/2006/relationships/hyperlink" Target="https://in.tradingview.com/chart/Cgv3Jm6J/?symbol=NSE%3AEASEMYTRIP" TargetMode="External"/><Relationship Id="rId523" Type="http://schemas.openxmlformats.org/officeDocument/2006/relationships/hyperlink" Target="https://in.tradingview.com/chart/Cgv3Jm6J/?symbol=NSE%3AE2E" TargetMode="External"/><Relationship Id="rId522" Type="http://schemas.openxmlformats.org/officeDocument/2006/relationships/hyperlink" Target="https://in.tradingview.com/chart/Cgv3Jm6J/?symbol=NSE%3ADYNPRO" TargetMode="External"/><Relationship Id="rId529" Type="http://schemas.openxmlformats.org/officeDocument/2006/relationships/hyperlink" Target="https://in.tradingview.com/chart/Cgv3Jm6J/?symbol=NSE%3AECAPINSURE" TargetMode="External"/><Relationship Id="rId528" Type="http://schemas.openxmlformats.org/officeDocument/2006/relationships/hyperlink" Target="https://in.tradingview.com/chart/Cgv3Jm6J/?symbol=NSE%3AEBBETF0433" TargetMode="External"/><Relationship Id="rId527" Type="http://schemas.openxmlformats.org/officeDocument/2006/relationships/hyperlink" Target="https://in.tradingview.com/chart/Cgv3Jm6J/?symbol=NSE%3AEBBETF0431" TargetMode="External"/><Relationship Id="rId526" Type="http://schemas.openxmlformats.org/officeDocument/2006/relationships/hyperlink" Target="https://in.tradingview.com/chart/Cgv3Jm6J/?symbol=NSE%3AEBBETF0430" TargetMode="External"/><Relationship Id="rId521" Type="http://schemas.openxmlformats.org/officeDocument/2006/relationships/hyperlink" Target="https://in.tradingview.com/chart/Cgv3Jm6J/?symbol=NSE%3ADYNAMATECH" TargetMode="External"/><Relationship Id="rId1110" Type="http://schemas.openxmlformats.org/officeDocument/2006/relationships/hyperlink" Target="https://in.tradingview.com/chart/Cgv3Jm6J/?symbol=NSE%3ALAOPALA" TargetMode="External"/><Relationship Id="rId520" Type="http://schemas.openxmlformats.org/officeDocument/2006/relationships/hyperlink" Target="https://in.tradingview.com/chart/Cgv3Jm6J/?symbol=NSE%3ADYCL" TargetMode="External"/><Relationship Id="rId1111" Type="http://schemas.openxmlformats.org/officeDocument/2006/relationships/hyperlink" Target="https://in.tradingview.com/chart/Cgv3Jm6J/?symbol=NSE%3ALASA" TargetMode="External"/><Relationship Id="rId1112" Type="http://schemas.openxmlformats.org/officeDocument/2006/relationships/hyperlink" Target="https://in.tradingview.com/chart/Cgv3Jm6J/?symbol=NSE%3ALATENTVIEW" TargetMode="External"/><Relationship Id="rId1113" Type="http://schemas.openxmlformats.org/officeDocument/2006/relationships/hyperlink" Target="https://in.tradingview.com/chart/Cgv3Jm6J/?symbol=NSE%3ALAURUSLABS" TargetMode="External"/><Relationship Id="rId1103" Type="http://schemas.openxmlformats.org/officeDocument/2006/relationships/hyperlink" Target="https://in.tradingview.com/chart/Cgv3Jm6J/?symbol=NSE%3AKUANTUM" TargetMode="External"/><Relationship Id="rId1104" Type="http://schemas.openxmlformats.org/officeDocument/2006/relationships/hyperlink" Target="https://in.tradingview.com/chart/Cgv3Jm6J/?symbol=NSE%3ALAGNAM" TargetMode="External"/><Relationship Id="rId1105" Type="http://schemas.openxmlformats.org/officeDocument/2006/relationships/hyperlink" Target="https://in.tradingview.com/chart/Cgv3Jm6J/?symbol=NSE%3ALAKPRE" TargetMode="External"/><Relationship Id="rId1106" Type="http://schemas.openxmlformats.org/officeDocument/2006/relationships/hyperlink" Target="https://in.tradingview.com/chart/Cgv3Jm6J/?symbol=NSE%3ALALPATHLAB" TargetMode="External"/><Relationship Id="rId1107" Type="http://schemas.openxmlformats.org/officeDocument/2006/relationships/hyperlink" Target="https://in.tradingview.com/chart/Cgv3Jm6J/?symbol=NSE%3ALAMBODHARA" TargetMode="External"/><Relationship Id="rId1108" Type="http://schemas.openxmlformats.org/officeDocument/2006/relationships/hyperlink" Target="https://in.tradingview.com/chart/Cgv3Jm6J/?symbol=NSE%3ALANCORHOL" TargetMode="External"/><Relationship Id="rId1109" Type="http://schemas.openxmlformats.org/officeDocument/2006/relationships/hyperlink" Target="https://in.tradingview.com/chart/Cgv3Jm6J/?symbol=NSE%3ALANDMARK" TargetMode="External"/><Relationship Id="rId519" Type="http://schemas.openxmlformats.org/officeDocument/2006/relationships/hyperlink" Target="https://in.tradingview.com/chart/Cgv3Jm6J/?symbol=NSE%3ADWARKESH" TargetMode="External"/><Relationship Id="rId514" Type="http://schemas.openxmlformats.org/officeDocument/2006/relationships/hyperlink" Target="https://in.tradingview.com/chart/Cgv3Jm6J/?symbol=NSE%3ADRREDDY" TargetMode="External"/><Relationship Id="rId513" Type="http://schemas.openxmlformats.org/officeDocument/2006/relationships/hyperlink" Target="https://in.tradingview.com/chart/Cgv3Jm6J/?symbol=NSE%3ADREDGECORP" TargetMode="External"/><Relationship Id="rId512" Type="http://schemas.openxmlformats.org/officeDocument/2006/relationships/hyperlink" Target="https://in.tradingview.com/chart/Cgv3Jm6J/?symbol=NSE%3ADREAMFOLKS" TargetMode="External"/><Relationship Id="rId511" Type="http://schemas.openxmlformats.org/officeDocument/2006/relationships/hyperlink" Target="https://in.tradingview.com/chart/Cgv3Jm6J/?symbol=NSE%3ADRCSYSTEMS" TargetMode="External"/><Relationship Id="rId518" Type="http://schemas.openxmlformats.org/officeDocument/2006/relationships/hyperlink" Target="https://in.tradingview.com/chart/Cgv3Jm6J/?symbol=NSE%3ADVL" TargetMode="External"/><Relationship Id="rId517" Type="http://schemas.openxmlformats.org/officeDocument/2006/relationships/hyperlink" Target="https://in.tradingview.com/chart/Cgv3Jm6J/?symbol=NSE%3ADUCON" TargetMode="External"/><Relationship Id="rId516" Type="http://schemas.openxmlformats.org/officeDocument/2006/relationships/hyperlink" Target="https://in.tradingview.com/chart/Cgv3Jm6J/?symbol=NSE%3ADTIL" TargetMode="External"/><Relationship Id="rId515" Type="http://schemas.openxmlformats.org/officeDocument/2006/relationships/hyperlink" Target="https://in.tradingview.com/chart/Cgv3Jm6J/?symbol=NSE%3ADSSL" TargetMode="External"/><Relationship Id="rId510" Type="http://schemas.openxmlformats.org/officeDocument/2006/relationships/hyperlink" Target="https://in.tradingview.com/chart/Cgv3Jm6J/?symbol=NSE%3ADPWIRES" TargetMode="External"/><Relationship Id="rId1100" Type="http://schemas.openxmlformats.org/officeDocument/2006/relationships/hyperlink" Target="https://in.tradingview.com/chart/Cgv3Jm6J/?symbol=NSE%3AKSL" TargetMode="External"/><Relationship Id="rId1101" Type="http://schemas.openxmlformats.org/officeDocument/2006/relationships/hyperlink" Target="https://in.tradingview.com/chart/Cgv3Jm6J/?symbol=NSE%3AKSOLVES" TargetMode="External"/><Relationship Id="rId1102" Type="http://schemas.openxmlformats.org/officeDocument/2006/relationships/hyperlink" Target="https://in.tradingview.com/chart/Cgv3Jm6J/?symbol=NSE%3AKTKBANK" TargetMode="External"/><Relationship Id="rId590" Type="http://schemas.openxmlformats.org/officeDocument/2006/relationships/hyperlink" Target="https://in.tradingview.com/chart/Cgv3Jm6J/?symbol=NSE%3AEXXARO" TargetMode="External"/><Relationship Id="rId589" Type="http://schemas.openxmlformats.org/officeDocument/2006/relationships/hyperlink" Target="https://in.tradingview.com/chart/Cgv3Jm6J/?symbol=NSE%3AEXPLEOSOL" TargetMode="External"/><Relationship Id="rId588" Type="http://schemas.openxmlformats.org/officeDocument/2006/relationships/hyperlink" Target="https://in.tradingview.com/chart/Cgv3Jm6J/?symbol=NSE%3AEXIDEIND" TargetMode="External"/><Relationship Id="rId1170" Type="http://schemas.openxmlformats.org/officeDocument/2006/relationships/hyperlink" Target="https://in.tradingview.com/chart/Cgv3Jm6J/?symbol=NSE%3ALXCHEM" TargetMode="External"/><Relationship Id="rId1171" Type="http://schemas.openxmlformats.org/officeDocument/2006/relationships/hyperlink" Target="https://in.tradingview.com/chart/Cgv3Jm6J/?symbol=NSE%3ALYKALABS" TargetMode="External"/><Relationship Id="rId583" Type="http://schemas.openxmlformats.org/officeDocument/2006/relationships/hyperlink" Target="https://in.tradingview.com/chart/Cgv3Jm6J/?symbol=NSE%3AEVERESTIND" TargetMode="External"/><Relationship Id="rId1172" Type="http://schemas.openxmlformats.org/officeDocument/2006/relationships/hyperlink" Target="https://in.tradingview.com/chart/Cgv3Jm6J/?symbol=NSE%3ALYPSAGEMS" TargetMode="External"/><Relationship Id="rId582" Type="http://schemas.openxmlformats.org/officeDocument/2006/relationships/hyperlink" Target="https://in.tradingview.com/chart/Cgv3Jm6J/?symbol=NSE%3AEVEREADY" TargetMode="External"/><Relationship Id="rId1173" Type="http://schemas.openxmlformats.org/officeDocument/2006/relationships/hyperlink" Target="https://in.tradingview.com/chart/Cgv3Jm6J/?symbol=NSE%3AM_M" TargetMode="External"/><Relationship Id="rId581" Type="http://schemas.openxmlformats.org/officeDocument/2006/relationships/hyperlink" Target="https://in.tradingview.com/chart/Cgv3Jm6J/?symbol=NSE%3AEUROTEXIND" TargetMode="External"/><Relationship Id="rId1174" Type="http://schemas.openxmlformats.org/officeDocument/2006/relationships/hyperlink" Target="https://in.tradingview.com/chart/Cgv3Jm6J/?symbol=NSE%3AM_MFIN" TargetMode="External"/><Relationship Id="rId580" Type="http://schemas.openxmlformats.org/officeDocument/2006/relationships/hyperlink" Target="https://in.tradingview.com/chart/Cgv3Jm6J/?symbol=NSE%3AEUREKAFORB" TargetMode="External"/><Relationship Id="rId1175" Type="http://schemas.openxmlformats.org/officeDocument/2006/relationships/hyperlink" Target="https://in.tradingview.com/chart/Cgv3Jm6J/?symbol=NSE%3AMAANALU" TargetMode="External"/><Relationship Id="rId587" Type="http://schemas.openxmlformats.org/officeDocument/2006/relationships/hyperlink" Target="https://in.tradingview.com/chart/Cgv3Jm6J/?symbol=NSE%3AEXICOM" TargetMode="External"/><Relationship Id="rId1176" Type="http://schemas.openxmlformats.org/officeDocument/2006/relationships/hyperlink" Target="https://in.tradingview.com/chart/Cgv3Jm6J/?symbol=NSE%3AMACPOWER" TargetMode="External"/><Relationship Id="rId586" Type="http://schemas.openxmlformats.org/officeDocument/2006/relationships/hyperlink" Target="https://in.tradingview.com/chart/Cgv3Jm6J/?symbol=NSE%3AEXCELINDUS" TargetMode="External"/><Relationship Id="rId1177" Type="http://schemas.openxmlformats.org/officeDocument/2006/relationships/hyperlink" Target="https://in.tradingview.com/chart/Cgv3Jm6J/?symbol=NSE%3AMADHAV" TargetMode="External"/><Relationship Id="rId585" Type="http://schemas.openxmlformats.org/officeDocument/2006/relationships/hyperlink" Target="https://in.tradingview.com/chart/Cgv3Jm6J/?symbol=NSE%3AEXCEL" TargetMode="External"/><Relationship Id="rId1178" Type="http://schemas.openxmlformats.org/officeDocument/2006/relationships/hyperlink" Target="https://in.tradingview.com/chart/Cgv3Jm6J/?symbol=NSE%3AMADHUCON" TargetMode="External"/><Relationship Id="rId584" Type="http://schemas.openxmlformats.org/officeDocument/2006/relationships/hyperlink" Target="https://in.tradingview.com/chart/Cgv3Jm6J/?symbol=NSE%3AEVINDIA" TargetMode="External"/><Relationship Id="rId1179" Type="http://schemas.openxmlformats.org/officeDocument/2006/relationships/hyperlink" Target="https://in.tradingview.com/chart/Cgv3Jm6J/?symbol=NSE%3AMADRASFERT" TargetMode="External"/><Relationship Id="rId1169" Type="http://schemas.openxmlformats.org/officeDocument/2006/relationships/hyperlink" Target="https://in.tradingview.com/chart/Cgv3Jm6J/?symbol=NSE%3ALUXIND" TargetMode="External"/><Relationship Id="rId579" Type="http://schemas.openxmlformats.org/officeDocument/2006/relationships/hyperlink" Target="https://in.tradingview.com/chart/Cgv3Jm6J/?symbol=NSE%3AETHOSLTD" TargetMode="External"/><Relationship Id="rId578" Type="http://schemas.openxmlformats.org/officeDocument/2006/relationships/hyperlink" Target="https://in.tradingview.com/chart/Cgv3Jm6J/?symbol=NSE%3AESTER" TargetMode="External"/><Relationship Id="rId577" Type="http://schemas.openxmlformats.org/officeDocument/2006/relationships/hyperlink" Target="https://in.tradingview.com/chart/Cgv3Jm6J/?symbol=NSE%3AESSENTIA" TargetMode="External"/><Relationship Id="rId1160" Type="http://schemas.openxmlformats.org/officeDocument/2006/relationships/hyperlink" Target="https://in.tradingview.com/chart/Cgv3Jm6J/?symbol=NSE%3ALT" TargetMode="External"/><Relationship Id="rId572" Type="http://schemas.openxmlformats.org/officeDocument/2006/relationships/hyperlink" Target="https://in.tradingview.com/chart/Cgv3Jm6J/?symbol=NSE%3AESAFSFB" TargetMode="External"/><Relationship Id="rId1161" Type="http://schemas.openxmlformats.org/officeDocument/2006/relationships/hyperlink" Target="https://in.tradingview.com/chart/Cgv3Jm6J/?symbol=NSE%3ALTF" TargetMode="External"/><Relationship Id="rId571" Type="http://schemas.openxmlformats.org/officeDocument/2006/relationships/hyperlink" Target="https://in.tradingview.com/chart/Cgv3Jm6J/?symbol=NSE%3AESABINDIA" TargetMode="External"/><Relationship Id="rId1162" Type="http://schemas.openxmlformats.org/officeDocument/2006/relationships/hyperlink" Target="https://in.tradingview.com/chart/Cgv3Jm6J/?symbol=NSE%3ALTFOODS" TargetMode="External"/><Relationship Id="rId570" Type="http://schemas.openxmlformats.org/officeDocument/2006/relationships/hyperlink" Target="https://in.tradingview.com/chart/Cgv3Jm6J/?symbol=NSE%3AERIS" TargetMode="External"/><Relationship Id="rId1163" Type="http://schemas.openxmlformats.org/officeDocument/2006/relationships/hyperlink" Target="https://in.tradingview.com/chart/Cgv3Jm6J/?symbol=NSE%3ALTGILTBEES" TargetMode="External"/><Relationship Id="rId1164" Type="http://schemas.openxmlformats.org/officeDocument/2006/relationships/hyperlink" Target="https://in.tradingview.com/chart/Cgv3Jm6J/?symbol=NSE%3ALTIM" TargetMode="External"/><Relationship Id="rId576" Type="http://schemas.openxmlformats.org/officeDocument/2006/relationships/hyperlink" Target="https://in.tradingview.com/chart/Cgv3Jm6J/?symbol=NSE%3AESSARSHPNG" TargetMode="External"/><Relationship Id="rId1165" Type="http://schemas.openxmlformats.org/officeDocument/2006/relationships/hyperlink" Target="https://in.tradingview.com/chart/Cgv3Jm6J/?symbol=NSE%3ALTTS" TargetMode="External"/><Relationship Id="rId575" Type="http://schemas.openxmlformats.org/officeDocument/2006/relationships/hyperlink" Target="https://in.tradingview.com/chart/Cgv3Jm6J/?symbol=NSE%3AESILVER" TargetMode="External"/><Relationship Id="rId1166" Type="http://schemas.openxmlformats.org/officeDocument/2006/relationships/hyperlink" Target="https://in.tradingview.com/chart/Cgv3Jm6J/?symbol=NSE%3ALUMAXIND" TargetMode="External"/><Relationship Id="rId574" Type="http://schemas.openxmlformats.org/officeDocument/2006/relationships/hyperlink" Target="https://in.tradingview.com/chart/Cgv3Jm6J/?symbol=NSE%3AESG" TargetMode="External"/><Relationship Id="rId1167" Type="http://schemas.openxmlformats.org/officeDocument/2006/relationships/hyperlink" Target="https://in.tradingview.com/chart/Cgv3Jm6J/?symbol=NSE%3ALUMAXTECH" TargetMode="External"/><Relationship Id="rId573" Type="http://schemas.openxmlformats.org/officeDocument/2006/relationships/hyperlink" Target="https://in.tradingview.com/chart/Cgv3Jm6J/?symbol=NSE%3AESCORTS" TargetMode="External"/><Relationship Id="rId1168" Type="http://schemas.openxmlformats.org/officeDocument/2006/relationships/hyperlink" Target="https://in.tradingview.com/chart/Cgv3Jm6J/?symbol=NSE%3ALUPIN" TargetMode="External"/><Relationship Id="rId1190" Type="http://schemas.openxmlformats.org/officeDocument/2006/relationships/hyperlink" Target="https://in.tradingview.com/chart/Cgv3Jm6J/?symbol=NSE%3AMAHLOG" TargetMode="External"/><Relationship Id="rId1191" Type="http://schemas.openxmlformats.org/officeDocument/2006/relationships/hyperlink" Target="https://in.tradingview.com/chart/Cgv3Jm6J/?symbol=NSE%3AMAHSCOOTER" TargetMode="External"/><Relationship Id="rId1192" Type="http://schemas.openxmlformats.org/officeDocument/2006/relationships/hyperlink" Target="https://in.tradingview.com/chart/Cgv3Jm6J/?symbol=NSE%3AMAHSEAMLES" TargetMode="External"/><Relationship Id="rId1193" Type="http://schemas.openxmlformats.org/officeDocument/2006/relationships/hyperlink" Target="https://in.tradingview.com/chart/Cgv3Jm6J/?symbol=NSE%3AMAITHANALL" TargetMode="External"/><Relationship Id="rId1194" Type="http://schemas.openxmlformats.org/officeDocument/2006/relationships/hyperlink" Target="https://in.tradingview.com/chart/Cgv3Jm6J/?symbol=NSE%3AMAKEINDIA" TargetMode="External"/><Relationship Id="rId1195" Type="http://schemas.openxmlformats.org/officeDocument/2006/relationships/hyperlink" Target="https://in.tradingview.com/chart/Cgv3Jm6J/?symbol=NSE%3AMALLCOM" TargetMode="External"/><Relationship Id="rId1196" Type="http://schemas.openxmlformats.org/officeDocument/2006/relationships/hyperlink" Target="https://in.tradingview.com/chart/Cgv3Jm6J/?symbol=NSE%3AMALUPAPER" TargetMode="External"/><Relationship Id="rId1197" Type="http://schemas.openxmlformats.org/officeDocument/2006/relationships/hyperlink" Target="https://in.tradingview.com/chart/Cgv3Jm6J/?symbol=NSE%3AMAMATA" TargetMode="External"/><Relationship Id="rId1198" Type="http://schemas.openxmlformats.org/officeDocument/2006/relationships/hyperlink" Target="https://in.tradingview.com/chart/Cgv3Jm6J/?symbol=NSE%3AMANAKALUCO" TargetMode="External"/><Relationship Id="rId1199" Type="http://schemas.openxmlformats.org/officeDocument/2006/relationships/hyperlink" Target="https://in.tradingview.com/chart/Cgv3Jm6J/?symbol=NSE%3AMANAKCOAT" TargetMode="External"/><Relationship Id="rId599" Type="http://schemas.openxmlformats.org/officeDocument/2006/relationships/hyperlink" Target="https://in.tradingview.com/chart/Cgv3Jm6J/?symbol=NSE%3AFEL" TargetMode="External"/><Relationship Id="rId1180" Type="http://schemas.openxmlformats.org/officeDocument/2006/relationships/hyperlink" Target="https://in.tradingview.com/chart/Cgv3Jm6J/?symbol=NSE%3AMAFANG" TargetMode="External"/><Relationship Id="rId1181" Type="http://schemas.openxmlformats.org/officeDocument/2006/relationships/hyperlink" Target="https://in.tradingview.com/chart/Cgv3Jm6J/?symbol=NSE%3AMAGADSUGAR" TargetMode="External"/><Relationship Id="rId1182" Type="http://schemas.openxmlformats.org/officeDocument/2006/relationships/hyperlink" Target="https://in.tradingview.com/chart/Cgv3Jm6J/?symbol=NSE%3AMAGNUM" TargetMode="External"/><Relationship Id="rId594" Type="http://schemas.openxmlformats.org/officeDocument/2006/relationships/hyperlink" Target="https://in.tradingview.com/chart/Cgv3Jm6J/?symbol=NSE%3AFCL" TargetMode="External"/><Relationship Id="rId1183" Type="http://schemas.openxmlformats.org/officeDocument/2006/relationships/hyperlink" Target="https://in.tradingview.com/chart/Cgv3Jm6J/?symbol=NSE%3AMAHABANK" TargetMode="External"/><Relationship Id="rId593" Type="http://schemas.openxmlformats.org/officeDocument/2006/relationships/hyperlink" Target="https://in.tradingview.com/chart/Cgv3Jm6J/?symbol=NSE%3AFAZE3Q" TargetMode="External"/><Relationship Id="rId1184" Type="http://schemas.openxmlformats.org/officeDocument/2006/relationships/hyperlink" Target="https://in.tradingview.com/chart/Cgv3Jm6J/?symbol=NSE%3AMAHAPEXLTD" TargetMode="External"/><Relationship Id="rId592" Type="http://schemas.openxmlformats.org/officeDocument/2006/relationships/hyperlink" Target="https://in.tradingview.com/chart/Cgv3Jm6J/?symbol=NSE%3AFAIRCHEMOR" TargetMode="External"/><Relationship Id="rId1185" Type="http://schemas.openxmlformats.org/officeDocument/2006/relationships/hyperlink" Target="https://in.tradingview.com/chart/Cgv3Jm6J/?symbol=NSE%3AMAHASTEEL" TargetMode="External"/><Relationship Id="rId591" Type="http://schemas.openxmlformats.org/officeDocument/2006/relationships/hyperlink" Target="https://in.tradingview.com/chart/Cgv3Jm6J/?symbol=NSE%3AFACT" TargetMode="External"/><Relationship Id="rId1186" Type="http://schemas.openxmlformats.org/officeDocument/2006/relationships/hyperlink" Target="https://in.tradingview.com/chart/Cgv3Jm6J/?symbol=NSE%3AMAHEPC" TargetMode="External"/><Relationship Id="rId598" Type="http://schemas.openxmlformats.org/officeDocument/2006/relationships/hyperlink" Target="https://in.tradingview.com/chart/Cgv3Jm6J/?symbol=NSE%3AFEDFINA" TargetMode="External"/><Relationship Id="rId1187" Type="http://schemas.openxmlformats.org/officeDocument/2006/relationships/hyperlink" Target="https://in.tradingview.com/chart/Cgv3Jm6J/?symbol=NSE%3AMAHESHWARI" TargetMode="External"/><Relationship Id="rId597" Type="http://schemas.openxmlformats.org/officeDocument/2006/relationships/hyperlink" Target="https://in.tradingview.com/chart/Cgv3Jm6J/?symbol=NSE%3AFEDERALBNK" TargetMode="External"/><Relationship Id="rId1188" Type="http://schemas.openxmlformats.org/officeDocument/2006/relationships/hyperlink" Target="https://in.tradingview.com/chart/Cgv3Jm6J/?symbol=NSE%3AMAHKTECH" TargetMode="External"/><Relationship Id="rId596" Type="http://schemas.openxmlformats.org/officeDocument/2006/relationships/hyperlink" Target="https://in.tradingview.com/chart/Cgv3Jm6J/?symbol=NSE%3AFDC" TargetMode="External"/><Relationship Id="rId1189" Type="http://schemas.openxmlformats.org/officeDocument/2006/relationships/hyperlink" Target="https://in.tradingview.com/chart/Cgv3Jm6J/?symbol=NSE%3AMAHLIFE" TargetMode="External"/><Relationship Id="rId595" Type="http://schemas.openxmlformats.org/officeDocument/2006/relationships/hyperlink" Target="https://in.tradingview.com/chart/Cgv3Jm6J/?symbol=NSE%3AFCSSOFT" TargetMode="External"/><Relationship Id="rId1136" Type="http://schemas.openxmlformats.org/officeDocument/2006/relationships/hyperlink" Target="https://in.tradingview.com/chart/Cgv3Jm6J/?symbol=NSE%3ALIQUID1" TargetMode="External"/><Relationship Id="rId1137" Type="http://schemas.openxmlformats.org/officeDocument/2006/relationships/hyperlink" Target="https://in.tradingview.com/chart/Cgv3Jm6J/?symbol=NSE%3ALIQUIDADD" TargetMode="External"/><Relationship Id="rId1138" Type="http://schemas.openxmlformats.org/officeDocument/2006/relationships/hyperlink" Target="https://in.tradingview.com/chart/Cgv3Jm6J/?symbol=NSE%3ALIQUIDBEES" TargetMode="External"/><Relationship Id="rId1139" Type="http://schemas.openxmlformats.org/officeDocument/2006/relationships/hyperlink" Target="https://in.tradingview.com/chart/Cgv3Jm6J/?symbol=NSE%3ALIQUIDBETF" TargetMode="External"/><Relationship Id="rId547" Type="http://schemas.openxmlformats.org/officeDocument/2006/relationships/hyperlink" Target="https://in.tradingview.com/chart/Cgv3Jm6J/?symbol=NSE%3AELIN" TargetMode="External"/><Relationship Id="rId546" Type="http://schemas.openxmlformats.org/officeDocument/2006/relationships/hyperlink" Target="https://in.tradingview.com/chart/Cgv3Jm6J/?symbol=NSE%3AELGIRUBCO" TargetMode="External"/><Relationship Id="rId545" Type="http://schemas.openxmlformats.org/officeDocument/2006/relationships/hyperlink" Target="https://in.tradingview.com/chart/Cgv3Jm6J/?symbol=NSE%3AELGIEQUIP" TargetMode="External"/><Relationship Id="rId544" Type="http://schemas.openxmlformats.org/officeDocument/2006/relationships/hyperlink" Target="https://in.tradingview.com/chart/Cgv3Jm6J/?symbol=NSE%3AELECTCAST" TargetMode="External"/><Relationship Id="rId549" Type="http://schemas.openxmlformats.org/officeDocument/2006/relationships/hyperlink" Target="https://in.tradingview.com/chart/Cgv3Jm6J/?symbol=NSE%3AEMAMIPAP" TargetMode="External"/><Relationship Id="rId548" Type="http://schemas.openxmlformats.org/officeDocument/2006/relationships/hyperlink" Target="https://in.tradingview.com/chart/Cgv3Jm6J/?symbol=NSE%3AEMAMILTD" TargetMode="External"/><Relationship Id="rId1130" Type="http://schemas.openxmlformats.org/officeDocument/2006/relationships/hyperlink" Target="https://in.tradingview.com/chart/Cgv3Jm6J/?symbol=NSE%3ALICNMID100" TargetMode="External"/><Relationship Id="rId1131" Type="http://schemas.openxmlformats.org/officeDocument/2006/relationships/hyperlink" Target="https://in.tradingview.com/chart/Cgv3Jm6J/?symbol=NSE%3ALIKHITHA" TargetMode="External"/><Relationship Id="rId543" Type="http://schemas.openxmlformats.org/officeDocument/2006/relationships/hyperlink" Target="https://in.tradingview.com/chart/Cgv3Jm6J/?symbol=NSE%3AELECON" TargetMode="External"/><Relationship Id="rId1132" Type="http://schemas.openxmlformats.org/officeDocument/2006/relationships/hyperlink" Target="https://in.tradingview.com/chart/Cgv3Jm6J/?symbol=NSE%3ALINC" TargetMode="External"/><Relationship Id="rId542" Type="http://schemas.openxmlformats.org/officeDocument/2006/relationships/hyperlink" Target="https://in.tradingview.com/chart/Cgv3Jm6J/?symbol=NSE%3AELDEHSG" TargetMode="External"/><Relationship Id="rId1133" Type="http://schemas.openxmlformats.org/officeDocument/2006/relationships/hyperlink" Target="https://in.tradingview.com/chart/Cgv3Jm6J/?symbol=NSE%3ALINCOLN" TargetMode="External"/><Relationship Id="rId541" Type="http://schemas.openxmlformats.org/officeDocument/2006/relationships/hyperlink" Target="https://in.tradingview.com/chart/Cgv3Jm6J/?symbol=NSE%3AEKC" TargetMode="External"/><Relationship Id="rId1134" Type="http://schemas.openxmlformats.org/officeDocument/2006/relationships/hyperlink" Target="https://in.tradingview.com/chart/Cgv3Jm6J/?symbol=NSE%3ALINDEINDIA" TargetMode="External"/><Relationship Id="rId540" Type="http://schemas.openxmlformats.org/officeDocument/2006/relationships/hyperlink" Target="https://in.tradingview.com/chart/Cgv3Jm6J/?symbol=NSE%3AEIMCOELECO" TargetMode="External"/><Relationship Id="rId1135" Type="http://schemas.openxmlformats.org/officeDocument/2006/relationships/hyperlink" Target="https://in.tradingview.com/chart/Cgv3Jm6J/?symbol=NSE%3ALIQUID" TargetMode="External"/><Relationship Id="rId1125" Type="http://schemas.openxmlformats.org/officeDocument/2006/relationships/hyperlink" Target="https://in.tradingview.com/chart/Cgv3Jm6J/?symbol=NSE%3ALICMFGOLD" TargetMode="External"/><Relationship Id="rId1126" Type="http://schemas.openxmlformats.org/officeDocument/2006/relationships/hyperlink" Target="https://in.tradingview.com/chart/Cgv3Jm6J/?symbol=NSE%3ALICNETFGSC" TargetMode="External"/><Relationship Id="rId1127" Type="http://schemas.openxmlformats.org/officeDocument/2006/relationships/hyperlink" Target="https://in.tradingview.com/chart/Cgv3Jm6J/?symbol=NSE%3ALICNETFN50" TargetMode="External"/><Relationship Id="rId1128" Type="http://schemas.openxmlformats.org/officeDocument/2006/relationships/hyperlink" Target="https://in.tradingview.com/chart/Cgv3Jm6J/?symbol=NSE%3ALICNETFSEN" TargetMode="External"/><Relationship Id="rId1129" Type="http://schemas.openxmlformats.org/officeDocument/2006/relationships/hyperlink" Target="https://in.tradingview.com/chart/Cgv3Jm6J/?symbol=NSE%3ALICNFNHGP" TargetMode="External"/><Relationship Id="rId536" Type="http://schemas.openxmlformats.org/officeDocument/2006/relationships/hyperlink" Target="https://in.tradingview.com/chart/Cgv3Jm6J/?symbol=NSE%3AEIEL" TargetMode="External"/><Relationship Id="rId535" Type="http://schemas.openxmlformats.org/officeDocument/2006/relationships/hyperlink" Target="https://in.tradingview.com/chart/Cgv3Jm6J/?symbol=NSE%3AEIDPARRY" TargetMode="External"/><Relationship Id="rId534" Type="http://schemas.openxmlformats.org/officeDocument/2006/relationships/hyperlink" Target="https://in.tradingview.com/chart/Cgv3Jm6J/?symbol=NSE%3AEICHERMOT" TargetMode="External"/><Relationship Id="rId533" Type="http://schemas.openxmlformats.org/officeDocument/2006/relationships/hyperlink" Target="https://in.tradingview.com/chart/Cgv3Jm6J/?symbol=NSE%3AEGOLD" TargetMode="External"/><Relationship Id="rId539" Type="http://schemas.openxmlformats.org/officeDocument/2006/relationships/hyperlink" Target="https://in.tradingview.com/chart/Cgv3Jm6J/?symbol=NSE%3AEIHOTEL" TargetMode="External"/><Relationship Id="rId538" Type="http://schemas.openxmlformats.org/officeDocument/2006/relationships/hyperlink" Target="https://in.tradingview.com/chart/Cgv3Jm6J/?symbol=NSE%3AEIHAHOTELS" TargetMode="External"/><Relationship Id="rId537" Type="http://schemas.openxmlformats.org/officeDocument/2006/relationships/hyperlink" Target="https://in.tradingview.com/chart/Cgv3Jm6J/?symbol=NSE%3AEIFFL" TargetMode="External"/><Relationship Id="rId1120" Type="http://schemas.openxmlformats.org/officeDocument/2006/relationships/hyperlink" Target="https://in.tradingview.com/chart/Cgv3Jm6J/?symbol=NSE%3ALGHL" TargetMode="External"/><Relationship Id="rId532" Type="http://schemas.openxmlformats.org/officeDocument/2006/relationships/hyperlink" Target="https://in.tradingview.com/chart/Cgv3Jm6J/?symbol=NSE%3AEDELWEISS" TargetMode="External"/><Relationship Id="rId1121" Type="http://schemas.openxmlformats.org/officeDocument/2006/relationships/hyperlink" Target="https://in.tradingview.com/chart/Cgv3Jm6J/?symbol=NSE%3ALIBAS" TargetMode="External"/><Relationship Id="rId531" Type="http://schemas.openxmlformats.org/officeDocument/2006/relationships/hyperlink" Target="https://in.tradingview.com/chart/Cgv3Jm6J/?symbol=NSE%3AECOSMOBLTY" TargetMode="External"/><Relationship Id="rId1122" Type="http://schemas.openxmlformats.org/officeDocument/2006/relationships/hyperlink" Target="https://in.tradingview.com/chart/Cgv3Jm6J/?symbol=NSE%3ALIBERTSHOE" TargetMode="External"/><Relationship Id="rId530" Type="http://schemas.openxmlformats.org/officeDocument/2006/relationships/hyperlink" Target="https://in.tradingview.com/chart/Cgv3Jm6J/?symbol=NSE%3AECLERX" TargetMode="External"/><Relationship Id="rId1123" Type="http://schemas.openxmlformats.org/officeDocument/2006/relationships/hyperlink" Target="https://in.tradingview.com/chart/Cgv3Jm6J/?symbol=NSE%3ALICHSGFIN" TargetMode="External"/><Relationship Id="rId1124" Type="http://schemas.openxmlformats.org/officeDocument/2006/relationships/hyperlink" Target="https://in.tradingview.com/chart/Cgv3Jm6J/?symbol=NSE%3ALICI" TargetMode="External"/><Relationship Id="rId1158" Type="http://schemas.openxmlformats.org/officeDocument/2006/relationships/hyperlink" Target="https://in.tradingview.com/chart/Cgv3Jm6J/?symbol=NSE%3ALOYALTEX" TargetMode="External"/><Relationship Id="rId1159" Type="http://schemas.openxmlformats.org/officeDocument/2006/relationships/hyperlink" Target="https://in.tradingview.com/chart/Cgv3Jm6J/?symbol=NSE%3ALPDC" TargetMode="External"/><Relationship Id="rId569" Type="http://schemas.openxmlformats.org/officeDocument/2006/relationships/hyperlink" Target="https://in.tradingview.com/chart/Cgv3Jm6J/?symbol=NSE%3AEQUITASBNK" TargetMode="External"/><Relationship Id="rId568" Type="http://schemas.openxmlformats.org/officeDocument/2006/relationships/hyperlink" Target="https://in.tradingview.com/chart/Cgv3Jm6J/?symbol=NSE%3AEQUIPPP" TargetMode="External"/><Relationship Id="rId567" Type="http://schemas.openxmlformats.org/officeDocument/2006/relationships/hyperlink" Target="https://in.tradingview.com/chart/Cgv3Jm6J/?symbol=NSE%3AEQUAL50ADD" TargetMode="External"/><Relationship Id="rId566" Type="http://schemas.openxmlformats.org/officeDocument/2006/relationships/hyperlink" Target="https://in.tradingview.com/chart/Cgv3Jm6J/?symbol=NSE%3AEPL" TargetMode="External"/><Relationship Id="rId561" Type="http://schemas.openxmlformats.org/officeDocument/2006/relationships/hyperlink" Target="https://in.tradingview.com/chart/Cgv3Jm6J/?symbol=NSE%3AENGINERSIN" TargetMode="External"/><Relationship Id="rId1150" Type="http://schemas.openxmlformats.org/officeDocument/2006/relationships/hyperlink" Target="https://in.tradingview.com/chart/Cgv3Jm6J/?symbol=NSE%3ALODHA" TargetMode="External"/><Relationship Id="rId560" Type="http://schemas.openxmlformats.org/officeDocument/2006/relationships/hyperlink" Target="https://in.tradingview.com/chart/Cgv3Jm6J/?symbol=NSE%3AENERGYDEV" TargetMode="External"/><Relationship Id="rId1151" Type="http://schemas.openxmlformats.org/officeDocument/2006/relationships/hyperlink" Target="https://in.tradingview.com/chart/Cgv3Jm6J/?symbol=NSE%3ALOKESHMACH" TargetMode="External"/><Relationship Id="rId1152" Type="http://schemas.openxmlformats.org/officeDocument/2006/relationships/hyperlink" Target="https://in.tradingview.com/chart/Cgv3Jm6J/?symbol=NSE%3ALORDSCHLO" TargetMode="External"/><Relationship Id="rId1153" Type="http://schemas.openxmlformats.org/officeDocument/2006/relationships/hyperlink" Target="https://in.tradingview.com/chart/Cgv3Jm6J/?symbol=NSE%3ALOTUSEYE" TargetMode="External"/><Relationship Id="rId565" Type="http://schemas.openxmlformats.org/officeDocument/2006/relationships/hyperlink" Target="https://in.tradingview.com/chart/Cgv3Jm6J/?symbol=NSE%3AEPIGRAL" TargetMode="External"/><Relationship Id="rId1154" Type="http://schemas.openxmlformats.org/officeDocument/2006/relationships/hyperlink" Target="https://in.tradingview.com/chart/Cgv3Jm6J/?symbol=NSE%3ALOVABLE" TargetMode="External"/><Relationship Id="rId564" Type="http://schemas.openxmlformats.org/officeDocument/2006/relationships/hyperlink" Target="https://in.tradingview.com/chart/Cgv3Jm6J/?symbol=NSE%3AEPACK" TargetMode="External"/><Relationship Id="rId1155" Type="http://schemas.openxmlformats.org/officeDocument/2006/relationships/hyperlink" Target="https://in.tradingview.com/chart/Cgv3Jm6J/?symbol=NSE%3ALOWVOL" TargetMode="External"/><Relationship Id="rId563" Type="http://schemas.openxmlformats.org/officeDocument/2006/relationships/hyperlink" Target="https://in.tradingview.com/chart/Cgv3Jm6J/?symbol=NSE%3AENTERO" TargetMode="External"/><Relationship Id="rId1156" Type="http://schemas.openxmlformats.org/officeDocument/2006/relationships/hyperlink" Target="https://in.tradingview.com/chart/Cgv3Jm6J/?symbol=NSE%3ALOWVOL1" TargetMode="External"/><Relationship Id="rId562" Type="http://schemas.openxmlformats.org/officeDocument/2006/relationships/hyperlink" Target="https://in.tradingview.com/chart/Cgv3Jm6J/?symbol=NSE%3AENIL" TargetMode="External"/><Relationship Id="rId1157" Type="http://schemas.openxmlformats.org/officeDocument/2006/relationships/hyperlink" Target="https://in.tradingview.com/chart/Cgv3Jm6J/?symbol=NSE%3ALOWVOLIETF" TargetMode="External"/><Relationship Id="rId1147" Type="http://schemas.openxmlformats.org/officeDocument/2006/relationships/hyperlink" Target="https://in.tradingview.com/chart/Cgv3Jm6J/?symbol=NSE%3ALLOYDSENT" TargetMode="External"/><Relationship Id="rId1148" Type="http://schemas.openxmlformats.org/officeDocument/2006/relationships/hyperlink" Target="https://in.tradingview.com/chart/Cgv3Jm6J/?symbol=NSE%3ALLOYDSME" TargetMode="External"/><Relationship Id="rId1149" Type="http://schemas.openxmlformats.org/officeDocument/2006/relationships/hyperlink" Target="https://in.tradingview.com/chart/Cgv3Jm6J/?symbol=NSE%3ALMW" TargetMode="External"/><Relationship Id="rId558" Type="http://schemas.openxmlformats.org/officeDocument/2006/relationships/hyperlink" Target="https://in.tradingview.com/chart/Cgv3Jm6J/?symbol=NSE%3AEMULTIMQ" TargetMode="External"/><Relationship Id="rId557" Type="http://schemas.openxmlformats.org/officeDocument/2006/relationships/hyperlink" Target="https://in.tradingview.com/chart/Cgv3Jm6J/?symbol=NSE%3AEMUDHRA" TargetMode="External"/><Relationship Id="rId556" Type="http://schemas.openxmlformats.org/officeDocument/2006/relationships/hyperlink" Target="https://in.tradingview.com/chart/Cgv3Jm6J/?symbol=NSE%3AEMSLIMITED" TargetMode="External"/><Relationship Id="rId555" Type="http://schemas.openxmlformats.org/officeDocument/2006/relationships/hyperlink" Target="https://in.tradingview.com/chart/Cgv3Jm6J/?symbol=NSE%3AEMMBI" TargetMode="External"/><Relationship Id="rId559" Type="http://schemas.openxmlformats.org/officeDocument/2006/relationships/hyperlink" Target="https://in.tradingview.com/chart/Cgv3Jm6J/?symbol=NSE%3AENDURANCE" TargetMode="External"/><Relationship Id="rId550" Type="http://schemas.openxmlformats.org/officeDocument/2006/relationships/hyperlink" Target="https://in.tradingview.com/chart/Cgv3Jm6J/?symbol=NSE%3AEMAMIREAL" TargetMode="External"/><Relationship Id="rId1140" Type="http://schemas.openxmlformats.org/officeDocument/2006/relationships/hyperlink" Target="https://in.tradingview.com/chart/Cgv3Jm6J/?symbol=NSE%3ALIQUIDCASE" TargetMode="External"/><Relationship Id="rId1141" Type="http://schemas.openxmlformats.org/officeDocument/2006/relationships/hyperlink" Target="https://in.tradingview.com/chart/Cgv3Jm6J/?symbol=NSE%3ALIQUIDETF" TargetMode="External"/><Relationship Id="rId1142" Type="http://schemas.openxmlformats.org/officeDocument/2006/relationships/hyperlink" Target="https://in.tradingview.com/chart/Cgv3Jm6J/?symbol=NSE%3ALIQUIDIETF" TargetMode="External"/><Relationship Id="rId554" Type="http://schemas.openxmlformats.org/officeDocument/2006/relationships/hyperlink" Target="https://in.tradingview.com/chart/Cgv3Jm6J/?symbol=NSE%3AEMKAY" TargetMode="External"/><Relationship Id="rId1143" Type="http://schemas.openxmlformats.org/officeDocument/2006/relationships/hyperlink" Target="https://in.tradingview.com/chart/Cgv3Jm6J/?symbol=NSE%3ALIQUIDPLUS" TargetMode="External"/><Relationship Id="rId553" Type="http://schemas.openxmlformats.org/officeDocument/2006/relationships/hyperlink" Target="https://in.tradingview.com/chart/Cgv3Jm6J/?symbol=NSE%3AEMIL" TargetMode="External"/><Relationship Id="rId1144" Type="http://schemas.openxmlformats.org/officeDocument/2006/relationships/hyperlink" Target="https://in.tradingview.com/chart/Cgv3Jm6J/?symbol=NSE%3ALIQUIDSBI" TargetMode="External"/><Relationship Id="rId552" Type="http://schemas.openxmlformats.org/officeDocument/2006/relationships/hyperlink" Target="https://in.tradingview.com/chart/Cgv3Jm6J/?symbol=NSE%3AEMCURE" TargetMode="External"/><Relationship Id="rId1145" Type="http://schemas.openxmlformats.org/officeDocument/2006/relationships/hyperlink" Target="https://in.tradingview.com/chart/Cgv3Jm6J/?symbol=NSE%3ALIQUIDSHRI" TargetMode="External"/><Relationship Id="rId551" Type="http://schemas.openxmlformats.org/officeDocument/2006/relationships/hyperlink" Target="https://in.tradingview.com/chart/Cgv3Jm6J/?symbol=NSE%3AEMBDL" TargetMode="External"/><Relationship Id="rId1146" Type="http://schemas.openxmlformats.org/officeDocument/2006/relationships/hyperlink" Target="https://in.tradingview.com/chart/Cgv3Jm6J/?symbol=NSE%3ALLOYDSENGG" TargetMode="External"/><Relationship Id="rId495" Type="http://schemas.openxmlformats.org/officeDocument/2006/relationships/hyperlink" Target="https://in.tradingview.com/chart/Cgv3Jm6J/?symbol=NSE%3ADIVISLAB" TargetMode="External"/><Relationship Id="rId494" Type="http://schemas.openxmlformats.org/officeDocument/2006/relationships/hyperlink" Target="https://in.tradingview.com/chart/Cgv3Jm6J/?symbol=NSE%3ADIVGIITTS" TargetMode="External"/><Relationship Id="rId493" Type="http://schemas.openxmlformats.org/officeDocument/2006/relationships/hyperlink" Target="https://in.tradingview.com/chart/Cgv3Jm6J/?symbol=NSE%3ADISHTV" TargetMode="External"/><Relationship Id="rId492" Type="http://schemas.openxmlformats.org/officeDocument/2006/relationships/hyperlink" Target="https://in.tradingview.com/chart/Cgv3Jm6J/?symbol=NSE%3ADIL" TargetMode="External"/><Relationship Id="rId499" Type="http://schemas.openxmlformats.org/officeDocument/2006/relationships/hyperlink" Target="https://in.tradingview.com/chart/Cgv3Jm6J/?symbol=NSE%3ADLINKINDIA" TargetMode="External"/><Relationship Id="rId498" Type="http://schemas.openxmlformats.org/officeDocument/2006/relationships/hyperlink" Target="https://in.tradingview.com/chart/Cgv3Jm6J/?symbol=NSE%3ADLF" TargetMode="External"/><Relationship Id="rId497" Type="http://schemas.openxmlformats.org/officeDocument/2006/relationships/hyperlink" Target="https://in.tradingview.com/chart/Cgv3Jm6J/?symbol=NSE%3ADIXON" TargetMode="External"/><Relationship Id="rId496" Type="http://schemas.openxmlformats.org/officeDocument/2006/relationships/hyperlink" Target="https://in.tradingview.com/chart/Cgv3Jm6J/?symbol=NSE%3ADIVOPPBEES" TargetMode="External"/><Relationship Id="rId1213" Type="http://schemas.openxmlformats.org/officeDocument/2006/relationships/hyperlink" Target="https://in.tradingview.com/chart/Cgv3Jm6J/?symbol=NSE%3AMANORAMA" TargetMode="External"/><Relationship Id="rId1214" Type="http://schemas.openxmlformats.org/officeDocument/2006/relationships/hyperlink" Target="https://in.tradingview.com/chart/Cgv3Jm6J/?symbol=NSE%3AMANORG" TargetMode="External"/><Relationship Id="rId1215" Type="http://schemas.openxmlformats.org/officeDocument/2006/relationships/hyperlink" Target="https://in.tradingview.com/chart/Cgv3Jm6J/?symbol=NSE%3AMANUGRAPH" TargetMode="External"/><Relationship Id="rId1216" Type="http://schemas.openxmlformats.org/officeDocument/2006/relationships/hyperlink" Target="https://in.tradingview.com/chart/Cgv3Jm6J/?symbol=NSE%3AMANYAVAR" TargetMode="External"/><Relationship Id="rId1217" Type="http://schemas.openxmlformats.org/officeDocument/2006/relationships/hyperlink" Target="https://in.tradingview.com/chart/Cgv3Jm6J/?symbol=NSE%3AMAPMYINDIA" TargetMode="External"/><Relationship Id="rId1218" Type="http://schemas.openxmlformats.org/officeDocument/2006/relationships/hyperlink" Target="https://in.tradingview.com/chart/Cgv3Jm6J/?symbol=NSE%3AMARALOVER" TargetMode="External"/><Relationship Id="rId1219" Type="http://schemas.openxmlformats.org/officeDocument/2006/relationships/hyperlink" Target="https://in.tradingview.com/chart/Cgv3Jm6J/?symbol=NSE%3AMARATHON" TargetMode="External"/><Relationship Id="rId1210" Type="http://schemas.openxmlformats.org/officeDocument/2006/relationships/hyperlink" Target="https://in.tradingview.com/chart/Cgv3Jm6J/?symbol=NSE%3AMANINFRA" TargetMode="External"/><Relationship Id="rId1211" Type="http://schemas.openxmlformats.org/officeDocument/2006/relationships/hyperlink" Target="https://in.tradingview.com/chart/Cgv3Jm6J/?symbol=NSE%3AMANKIND" TargetMode="External"/><Relationship Id="rId1212" Type="http://schemas.openxmlformats.org/officeDocument/2006/relationships/hyperlink" Target="https://in.tradingview.com/chart/Cgv3Jm6J/?symbol=NSE%3AMANOMAY" TargetMode="External"/><Relationship Id="rId1202" Type="http://schemas.openxmlformats.org/officeDocument/2006/relationships/hyperlink" Target="https://in.tradingview.com/chart/Cgv3Jm6J/?symbol=NSE%3AMANALIPETC" TargetMode="External"/><Relationship Id="rId1203" Type="http://schemas.openxmlformats.org/officeDocument/2006/relationships/hyperlink" Target="https://in.tradingview.com/chart/Cgv3Jm6J/?symbol=NSE%3AMANAPPURAM" TargetMode="External"/><Relationship Id="rId1204" Type="http://schemas.openxmlformats.org/officeDocument/2006/relationships/hyperlink" Target="https://in.tradingview.com/chart/Cgv3Jm6J/?symbol=NSE%3AMANBA" TargetMode="External"/><Relationship Id="rId1205" Type="http://schemas.openxmlformats.org/officeDocument/2006/relationships/hyperlink" Target="https://in.tradingview.com/chart/Cgv3Jm6J/?symbol=NSE%3AMANCREDIT" TargetMode="External"/><Relationship Id="rId1206" Type="http://schemas.openxmlformats.org/officeDocument/2006/relationships/hyperlink" Target="https://in.tradingview.com/chart/Cgv3Jm6J/?symbol=NSE%3AMANGALAM" TargetMode="External"/><Relationship Id="rId1207" Type="http://schemas.openxmlformats.org/officeDocument/2006/relationships/hyperlink" Target="https://in.tradingview.com/chart/Cgv3Jm6J/?symbol=NSE%3AMANGCHEFER" TargetMode="External"/><Relationship Id="rId1208" Type="http://schemas.openxmlformats.org/officeDocument/2006/relationships/hyperlink" Target="https://in.tradingview.com/chart/Cgv3Jm6J/?symbol=NSE%3AMANGLMCEM" TargetMode="External"/><Relationship Id="rId1209" Type="http://schemas.openxmlformats.org/officeDocument/2006/relationships/hyperlink" Target="https://in.tradingview.com/chart/Cgv3Jm6J/?symbol=NSE%3AMANINDS" TargetMode="External"/><Relationship Id="rId1200" Type="http://schemas.openxmlformats.org/officeDocument/2006/relationships/hyperlink" Target="https://in.tradingview.com/chart/Cgv3Jm6J/?symbol=NSE%3AMANAKSIA" TargetMode="External"/><Relationship Id="rId1201" Type="http://schemas.openxmlformats.org/officeDocument/2006/relationships/hyperlink" Target="https://in.tradingview.com/chart/Cgv3Jm6J/?symbol=NSE%3AMANAKSTEEL" TargetMode="External"/><Relationship Id="rId1235" Type="http://schemas.openxmlformats.org/officeDocument/2006/relationships/hyperlink" Target="https://in.tradingview.com/chart/Cgv3Jm6J/?symbol=NSE%3AMAZDA" TargetMode="External"/><Relationship Id="rId1236" Type="http://schemas.openxmlformats.org/officeDocument/2006/relationships/hyperlink" Target="https://in.tradingview.com/chart/Cgv3Jm6J/?symbol=NSE%3AMAZDOCK" TargetMode="External"/><Relationship Id="rId1237" Type="http://schemas.openxmlformats.org/officeDocument/2006/relationships/hyperlink" Target="https://in.tradingview.com/chart/Cgv3Jm6J/?symbol=NSE%3AMBAPL" TargetMode="External"/><Relationship Id="rId1238" Type="http://schemas.openxmlformats.org/officeDocument/2006/relationships/hyperlink" Target="https://in.tradingview.com/chart/Cgv3Jm6J/?symbol=NSE%3AMBLINFRA" TargetMode="External"/><Relationship Id="rId1239" Type="http://schemas.openxmlformats.org/officeDocument/2006/relationships/hyperlink" Target="https://in.tradingview.com/chart/Cgv3Jm6J/?symbol=NSE%3AMCL" TargetMode="External"/><Relationship Id="rId409" Type="http://schemas.openxmlformats.org/officeDocument/2006/relationships/hyperlink" Target="https://in.tradingview.com/chart/Cgv3Jm6J/?symbol=NSE%3ACONSOFINVT" TargetMode="External"/><Relationship Id="rId404" Type="http://schemas.openxmlformats.org/officeDocument/2006/relationships/hyperlink" Target="https://in.tradingview.com/chart/Cgv3Jm6J/?symbol=NSE%3ACOMPUSOFT" TargetMode="External"/><Relationship Id="rId403" Type="http://schemas.openxmlformats.org/officeDocument/2006/relationships/hyperlink" Target="https://in.tradingview.com/chart/Cgv3Jm6J/?symbol=NSE%3ACOMPINFO" TargetMode="External"/><Relationship Id="rId402" Type="http://schemas.openxmlformats.org/officeDocument/2006/relationships/hyperlink" Target="https://in.tradingview.com/chart/Cgv3Jm6J/?symbol=NSE%3ACOMMOIETF" TargetMode="External"/><Relationship Id="rId401" Type="http://schemas.openxmlformats.org/officeDocument/2006/relationships/hyperlink" Target="https://in.tradingview.com/chart/Cgv3Jm6J/?symbol=NSE%3ACOLPAL" TargetMode="External"/><Relationship Id="rId408" Type="http://schemas.openxmlformats.org/officeDocument/2006/relationships/hyperlink" Target="https://in.tradingview.com/chart/Cgv3Jm6J/?symbol=NSE%3ACONS" TargetMode="External"/><Relationship Id="rId407" Type="http://schemas.openxmlformats.org/officeDocument/2006/relationships/hyperlink" Target="https://in.tradingview.com/chart/Cgv3Jm6J/?symbol=NSE%3ACONFIPET" TargetMode="External"/><Relationship Id="rId406" Type="http://schemas.openxmlformats.org/officeDocument/2006/relationships/hyperlink" Target="https://in.tradingview.com/chart/Cgv3Jm6J/?symbol=NSE%3ACONCORDBIO" TargetMode="External"/><Relationship Id="rId405" Type="http://schemas.openxmlformats.org/officeDocument/2006/relationships/hyperlink" Target="https://in.tradingview.com/chart/Cgv3Jm6J/?symbol=NSE%3ACONCOR" TargetMode="External"/><Relationship Id="rId1230" Type="http://schemas.openxmlformats.org/officeDocument/2006/relationships/hyperlink" Target="https://in.tradingview.com/chart/Cgv3Jm6J/?symbol=NSE%3AMAWANASUG" TargetMode="External"/><Relationship Id="rId400" Type="http://schemas.openxmlformats.org/officeDocument/2006/relationships/hyperlink" Target="https://in.tradingview.com/chart/Cgv3Jm6J/?symbol=NSE%3ACOFORGE" TargetMode="External"/><Relationship Id="rId1231" Type="http://schemas.openxmlformats.org/officeDocument/2006/relationships/hyperlink" Target="https://in.tradingview.com/chart/Cgv3Jm6J/?symbol=NSE%3AMAXESTATES" TargetMode="External"/><Relationship Id="rId1232" Type="http://schemas.openxmlformats.org/officeDocument/2006/relationships/hyperlink" Target="https://in.tradingview.com/chart/Cgv3Jm6J/?symbol=NSE%3AMAXHEALTH" TargetMode="External"/><Relationship Id="rId1233" Type="http://schemas.openxmlformats.org/officeDocument/2006/relationships/hyperlink" Target="https://in.tradingview.com/chart/Cgv3Jm6J/?symbol=NSE%3AMAXIND" TargetMode="External"/><Relationship Id="rId1234" Type="http://schemas.openxmlformats.org/officeDocument/2006/relationships/hyperlink" Target="https://in.tradingview.com/chart/Cgv3Jm6J/?symbol=NSE%3AMAYURUNIQ" TargetMode="External"/><Relationship Id="rId1224" Type="http://schemas.openxmlformats.org/officeDocument/2006/relationships/hyperlink" Target="https://in.tradingview.com/chart/Cgv3Jm6J/?symbol=NSE%3AMARUTI" TargetMode="External"/><Relationship Id="rId1225" Type="http://schemas.openxmlformats.org/officeDocument/2006/relationships/hyperlink" Target="https://in.tradingview.com/chart/Cgv3Jm6J/?symbol=NSE%3AMASFIN" TargetMode="External"/><Relationship Id="rId1226" Type="http://schemas.openxmlformats.org/officeDocument/2006/relationships/hyperlink" Target="https://in.tradingview.com/chart/Cgv3Jm6J/?symbol=NSE%3AMASPTOP50" TargetMode="External"/><Relationship Id="rId1227" Type="http://schemas.openxmlformats.org/officeDocument/2006/relationships/hyperlink" Target="https://in.tradingview.com/chart/Cgv3Jm6J/?symbol=NSE%3AMASTEK" TargetMode="External"/><Relationship Id="rId1228" Type="http://schemas.openxmlformats.org/officeDocument/2006/relationships/hyperlink" Target="https://in.tradingview.com/chart/Cgv3Jm6J/?symbol=NSE%3AMASTERTR" TargetMode="External"/><Relationship Id="rId1229" Type="http://schemas.openxmlformats.org/officeDocument/2006/relationships/hyperlink" Target="https://in.tradingview.com/chart/Cgv3Jm6J/?symbol=NSE%3AMATRIMONY" TargetMode="External"/><Relationship Id="rId1220" Type="http://schemas.openxmlformats.org/officeDocument/2006/relationships/hyperlink" Target="https://in.tradingview.com/chart/Cgv3Jm6J/?symbol=NSE%3AMARICO" TargetMode="External"/><Relationship Id="rId1221" Type="http://schemas.openxmlformats.org/officeDocument/2006/relationships/hyperlink" Target="https://in.tradingview.com/chart/Cgv3Jm6J/?symbol=NSE%3AMARINE" TargetMode="External"/><Relationship Id="rId1222" Type="http://schemas.openxmlformats.org/officeDocument/2006/relationships/hyperlink" Target="https://in.tradingview.com/chart/Cgv3Jm6J/?symbol=NSE%3AMARKSANS" TargetMode="External"/><Relationship Id="rId1223" Type="http://schemas.openxmlformats.org/officeDocument/2006/relationships/hyperlink" Target="https://in.tradingview.com/chart/Cgv3Jm6J/?symbol=NSE%3AMARSHALL" TargetMode="External"/><Relationship Id="rId469" Type="http://schemas.openxmlformats.org/officeDocument/2006/relationships/hyperlink" Target="https://in.tradingview.com/chart/Cgv3Jm6J/?symbol=NSE%3ADELHIVERY" TargetMode="External"/><Relationship Id="rId468" Type="http://schemas.openxmlformats.org/officeDocument/2006/relationships/hyperlink" Target="https://in.tradingview.com/chart/Cgv3Jm6J/?symbol=NSE%3ADEEPINDS" TargetMode="External"/><Relationship Id="rId467" Type="http://schemas.openxmlformats.org/officeDocument/2006/relationships/hyperlink" Target="https://in.tradingview.com/chart/Cgv3Jm6J/?symbol=NSE%3ADEEPAKNTR" TargetMode="External"/><Relationship Id="rId1290" Type="http://schemas.openxmlformats.org/officeDocument/2006/relationships/hyperlink" Target="https://in.tradingview.com/chart/Cgv3Jm6J/?symbol=NSE%3AMOKSH" TargetMode="External"/><Relationship Id="rId1291" Type="http://schemas.openxmlformats.org/officeDocument/2006/relationships/hyperlink" Target="https://in.tradingview.com/chart/Cgv3Jm6J/?symbol=NSE%3AMOL" TargetMode="External"/><Relationship Id="rId1292" Type="http://schemas.openxmlformats.org/officeDocument/2006/relationships/hyperlink" Target="https://in.tradingview.com/chart/Cgv3Jm6J/?symbol=NSE%3AMOLDTECH" TargetMode="External"/><Relationship Id="rId462" Type="http://schemas.openxmlformats.org/officeDocument/2006/relationships/hyperlink" Target="https://in.tradingview.com/chart/Cgv3Jm6J/?symbol=NSE%3ADCXINDIA" TargetMode="External"/><Relationship Id="rId1293" Type="http://schemas.openxmlformats.org/officeDocument/2006/relationships/hyperlink" Target="https://in.tradingview.com/chart/Cgv3Jm6J/?symbol=NSE%3AMOLDTKPAC" TargetMode="External"/><Relationship Id="rId461" Type="http://schemas.openxmlformats.org/officeDocument/2006/relationships/hyperlink" Target="https://in.tradingview.com/chart/Cgv3Jm6J/?symbol=NSE%3ADCW" TargetMode="External"/><Relationship Id="rId1294" Type="http://schemas.openxmlformats.org/officeDocument/2006/relationships/hyperlink" Target="https://in.tradingview.com/chart/Cgv3Jm6J/?symbol=NSE%3AMOLOWVOL" TargetMode="External"/><Relationship Id="rId460" Type="http://schemas.openxmlformats.org/officeDocument/2006/relationships/hyperlink" Target="https://in.tradingview.com/chart/Cgv3Jm6J/?symbol=NSE%3ADCMSRIND" TargetMode="External"/><Relationship Id="rId1295" Type="http://schemas.openxmlformats.org/officeDocument/2006/relationships/hyperlink" Target="https://in.tradingview.com/chart/Cgv3Jm6J/?symbol=NSE%3AMOM100" TargetMode="External"/><Relationship Id="rId1296" Type="http://schemas.openxmlformats.org/officeDocument/2006/relationships/hyperlink" Target="https://in.tradingview.com/chart/Cgv3Jm6J/?symbol=NSE%3AMOM30IETF" TargetMode="External"/><Relationship Id="rId466" Type="http://schemas.openxmlformats.org/officeDocument/2006/relationships/hyperlink" Target="https://in.tradingview.com/chart/Cgv3Jm6J/?symbol=NSE%3ADEEPAKFERT" TargetMode="External"/><Relationship Id="rId1297" Type="http://schemas.openxmlformats.org/officeDocument/2006/relationships/hyperlink" Target="https://in.tradingview.com/chart/Cgv3Jm6J/?symbol=NSE%3AMOM50" TargetMode="External"/><Relationship Id="rId465" Type="http://schemas.openxmlformats.org/officeDocument/2006/relationships/hyperlink" Target="https://in.tradingview.com/chart/Cgv3Jm6J/?symbol=NSE%3ADEEDEV" TargetMode="External"/><Relationship Id="rId1298" Type="http://schemas.openxmlformats.org/officeDocument/2006/relationships/hyperlink" Target="https://in.tradingview.com/chart/Cgv3Jm6J/?symbol=NSE%3AMOMENTUM" TargetMode="External"/><Relationship Id="rId464" Type="http://schemas.openxmlformats.org/officeDocument/2006/relationships/hyperlink" Target="https://in.tradingview.com/chart/Cgv3Jm6J/?symbol=NSE%3ADECCANCE" TargetMode="External"/><Relationship Id="rId1299" Type="http://schemas.openxmlformats.org/officeDocument/2006/relationships/hyperlink" Target="https://in.tradingview.com/chart/Cgv3Jm6J/?symbol=NSE%3AMOMENTUM50" TargetMode="External"/><Relationship Id="rId463" Type="http://schemas.openxmlformats.org/officeDocument/2006/relationships/hyperlink" Target="https://in.tradingview.com/chart/Cgv3Jm6J/?symbol=NSE%3ADDEVPLSTIK" TargetMode="External"/><Relationship Id="rId459" Type="http://schemas.openxmlformats.org/officeDocument/2006/relationships/hyperlink" Target="https://in.tradingview.com/chart/Cgv3Jm6J/?symbol=NSE%3ADCMSHRIRAM" TargetMode="External"/><Relationship Id="rId458" Type="http://schemas.openxmlformats.org/officeDocument/2006/relationships/hyperlink" Target="https://in.tradingview.com/chart/Cgv3Jm6J/?symbol=NSE%3ADCMNVL" TargetMode="External"/><Relationship Id="rId457" Type="http://schemas.openxmlformats.org/officeDocument/2006/relationships/hyperlink" Target="https://in.tradingview.com/chart/Cgv3Jm6J/?symbol=NSE%3ADCMFINSERV" TargetMode="External"/><Relationship Id="rId456" Type="http://schemas.openxmlformats.org/officeDocument/2006/relationships/hyperlink" Target="https://in.tradingview.com/chart/Cgv3Jm6J/?symbol=NSE%3ADCM" TargetMode="External"/><Relationship Id="rId1280" Type="http://schemas.openxmlformats.org/officeDocument/2006/relationships/hyperlink" Target="https://in.tradingview.com/chart/Cgv3Jm6J/?symbol=NSE%3AMMTC" TargetMode="External"/><Relationship Id="rId1281" Type="http://schemas.openxmlformats.org/officeDocument/2006/relationships/hyperlink" Target="https://in.tradingview.com/chart/Cgv3Jm6J/?symbol=NSE%3AMNC" TargetMode="External"/><Relationship Id="rId451" Type="http://schemas.openxmlformats.org/officeDocument/2006/relationships/hyperlink" Target="https://in.tradingview.com/chart/Cgv3Jm6J/?symbol=NSE%3ADBREALTY" TargetMode="External"/><Relationship Id="rId1282" Type="http://schemas.openxmlformats.org/officeDocument/2006/relationships/hyperlink" Target="https://in.tradingview.com/chart/Cgv3Jm6J/?symbol=NSE%3AMOBIKWIK" TargetMode="External"/><Relationship Id="rId450" Type="http://schemas.openxmlformats.org/officeDocument/2006/relationships/hyperlink" Target="https://in.tradingview.com/chart/Cgv3Jm6J/?symbol=NSE%3ADBL" TargetMode="External"/><Relationship Id="rId1283" Type="http://schemas.openxmlformats.org/officeDocument/2006/relationships/hyperlink" Target="https://in.tradingview.com/chart/Cgv3Jm6J/?symbol=NSE%3AMODEFENCE" TargetMode="External"/><Relationship Id="rId1284" Type="http://schemas.openxmlformats.org/officeDocument/2006/relationships/hyperlink" Target="https://in.tradingview.com/chart/Cgv3Jm6J/?symbol=NSE%3AMODIRUBBER" TargetMode="External"/><Relationship Id="rId1285" Type="http://schemas.openxmlformats.org/officeDocument/2006/relationships/hyperlink" Target="https://in.tradingview.com/chart/Cgv3Jm6J/?symbol=NSE%3AMODISONLTD" TargetMode="External"/><Relationship Id="rId455" Type="http://schemas.openxmlformats.org/officeDocument/2006/relationships/hyperlink" Target="https://in.tradingview.com/chart/Cgv3Jm6J/?symbol=NSE%3ADCI" TargetMode="External"/><Relationship Id="rId1286" Type="http://schemas.openxmlformats.org/officeDocument/2006/relationships/hyperlink" Target="https://in.tradingview.com/chart/Cgv3Jm6J/?symbol=NSE%3AMODTHREAD" TargetMode="External"/><Relationship Id="rId454" Type="http://schemas.openxmlformats.org/officeDocument/2006/relationships/hyperlink" Target="https://in.tradingview.com/chart/Cgv3Jm6J/?symbol=NSE%3ADCBBANK" TargetMode="External"/><Relationship Id="rId1287" Type="http://schemas.openxmlformats.org/officeDocument/2006/relationships/hyperlink" Target="https://in.tradingview.com/chart/Cgv3Jm6J/?symbol=NSE%3AMOGSEC" TargetMode="External"/><Relationship Id="rId453" Type="http://schemas.openxmlformats.org/officeDocument/2006/relationships/hyperlink" Target="https://in.tradingview.com/chart/Cgv3Jm6J/?symbol=NSE%3ADCAL" TargetMode="External"/><Relationship Id="rId1288" Type="http://schemas.openxmlformats.org/officeDocument/2006/relationships/hyperlink" Target="https://in.tradingview.com/chart/Cgv3Jm6J/?symbol=NSE%3AMOHEALTH" TargetMode="External"/><Relationship Id="rId452" Type="http://schemas.openxmlformats.org/officeDocument/2006/relationships/hyperlink" Target="https://in.tradingview.com/chart/Cgv3Jm6J/?symbol=NSE%3ADBSTOCKBRO" TargetMode="External"/><Relationship Id="rId1289" Type="http://schemas.openxmlformats.org/officeDocument/2006/relationships/hyperlink" Target="https://in.tradingview.com/chart/Cgv3Jm6J/?symbol=NSE%3AMOIL" TargetMode="External"/><Relationship Id="rId491" Type="http://schemas.openxmlformats.org/officeDocument/2006/relationships/hyperlink" Target="https://in.tradingview.com/chart/Cgv3Jm6J/?symbol=NSE%3ADIGJAMLMTD" TargetMode="External"/><Relationship Id="rId490" Type="http://schemas.openxmlformats.org/officeDocument/2006/relationships/hyperlink" Target="https://in.tradingview.com/chart/Cgv3Jm6J/?symbol=NSE%3ADIGISPICE" TargetMode="External"/><Relationship Id="rId489" Type="http://schemas.openxmlformats.org/officeDocument/2006/relationships/hyperlink" Target="https://in.tradingview.com/chart/Cgv3Jm6J/?symbol=NSE%3ADIGIDRIVE" TargetMode="External"/><Relationship Id="rId484" Type="http://schemas.openxmlformats.org/officeDocument/2006/relationships/hyperlink" Target="https://in.tradingview.com/chart/Cgv3Jm6J/?symbol=NSE%3ADHUNINV" TargetMode="External"/><Relationship Id="rId483" Type="http://schemas.openxmlformats.org/officeDocument/2006/relationships/hyperlink" Target="https://in.tradingview.com/chart/Cgv3Jm6J/?symbol=NSE%3ADHRUV" TargetMode="External"/><Relationship Id="rId482" Type="http://schemas.openxmlformats.org/officeDocument/2006/relationships/hyperlink" Target="https://in.tradingview.com/chart/Cgv3Jm6J/?symbol=NSE%3ADHARMAJ" TargetMode="External"/><Relationship Id="rId481" Type="http://schemas.openxmlformats.org/officeDocument/2006/relationships/hyperlink" Target="https://in.tradingview.com/chart/Cgv3Jm6J/?symbol=NSE%3ADHANUKA" TargetMode="External"/><Relationship Id="rId488" Type="http://schemas.openxmlformats.org/officeDocument/2006/relationships/hyperlink" Target="https://in.tradingview.com/chart/Cgv3Jm6J/?symbol=NSE%3ADICIND" TargetMode="External"/><Relationship Id="rId487" Type="http://schemas.openxmlformats.org/officeDocument/2006/relationships/hyperlink" Target="https://in.tradingview.com/chart/Cgv3Jm6J/?symbol=NSE%3ADIAMONDYD" TargetMode="External"/><Relationship Id="rId486" Type="http://schemas.openxmlformats.org/officeDocument/2006/relationships/hyperlink" Target="https://in.tradingview.com/chart/Cgv3Jm6J/?symbol=NSE%3ADIAMINESQ" TargetMode="External"/><Relationship Id="rId485" Type="http://schemas.openxmlformats.org/officeDocument/2006/relationships/hyperlink" Target="https://in.tradingview.com/chart/Cgv3Jm6J/?symbol=NSE%3ADIACABS" TargetMode="External"/><Relationship Id="rId480" Type="http://schemas.openxmlformats.org/officeDocument/2006/relationships/hyperlink" Target="https://in.tradingview.com/chart/Cgv3Jm6J/?symbol=NSE%3ADHANI" TargetMode="External"/><Relationship Id="rId479" Type="http://schemas.openxmlformats.org/officeDocument/2006/relationships/hyperlink" Target="https://in.tradingview.com/chart/Cgv3Jm6J/?symbol=NSE%3ADHANBANK" TargetMode="External"/><Relationship Id="rId478" Type="http://schemas.openxmlformats.org/officeDocument/2006/relationships/hyperlink" Target="https://in.tradingview.com/chart/Cgv3Jm6J/?symbol=NSE%3ADHAMPURSUG" TargetMode="External"/><Relationship Id="rId473" Type="http://schemas.openxmlformats.org/officeDocument/2006/relationships/hyperlink" Target="https://in.tradingview.com/chart/Cgv3Jm6J/?symbol=NSE%3ADEN" TargetMode="External"/><Relationship Id="rId472" Type="http://schemas.openxmlformats.org/officeDocument/2006/relationships/hyperlink" Target="https://in.tradingview.com/chart/Cgv3Jm6J/?symbol=NSE%3ADELTAMAGNT" TargetMode="External"/><Relationship Id="rId471" Type="http://schemas.openxmlformats.org/officeDocument/2006/relationships/hyperlink" Target="https://in.tradingview.com/chart/Cgv3Jm6J/?symbol=NSE%3ADELTACORP" TargetMode="External"/><Relationship Id="rId470" Type="http://schemas.openxmlformats.org/officeDocument/2006/relationships/hyperlink" Target="https://in.tradingview.com/chart/Cgv3Jm6J/?symbol=NSE%3ADELPHIFX" TargetMode="External"/><Relationship Id="rId477" Type="http://schemas.openxmlformats.org/officeDocument/2006/relationships/hyperlink" Target="https://in.tradingview.com/chart/Cgv3Jm6J/?symbol=NSE%3ADEVYANI" TargetMode="External"/><Relationship Id="rId476" Type="http://schemas.openxmlformats.org/officeDocument/2006/relationships/hyperlink" Target="https://in.tradingview.com/chart/Cgv3Jm6J/?symbol=NSE%3ADEVIT" TargetMode="External"/><Relationship Id="rId475" Type="http://schemas.openxmlformats.org/officeDocument/2006/relationships/hyperlink" Target="https://in.tradingview.com/chart/Cgv3Jm6J/?symbol=NSE%3ADENTA" TargetMode="External"/><Relationship Id="rId474" Type="http://schemas.openxmlformats.org/officeDocument/2006/relationships/hyperlink" Target="https://in.tradingview.com/chart/Cgv3Jm6J/?symbol=NSE%3ADENORA" TargetMode="External"/><Relationship Id="rId1257" Type="http://schemas.openxmlformats.org/officeDocument/2006/relationships/hyperlink" Target="https://in.tradingview.com/chart/Cgv3Jm6J/?symbol=NSE%3AMGEL" TargetMode="External"/><Relationship Id="rId1258" Type="http://schemas.openxmlformats.org/officeDocument/2006/relationships/hyperlink" Target="https://in.tradingview.com/chart/Cgv3Jm6J/?symbol=NSE%3AMGL" TargetMode="External"/><Relationship Id="rId1259" Type="http://schemas.openxmlformats.org/officeDocument/2006/relationships/hyperlink" Target="https://in.tradingview.com/chart/Cgv3Jm6J/?symbol=NSE%3AMHLXMIRU" TargetMode="External"/><Relationship Id="rId426" Type="http://schemas.openxmlformats.org/officeDocument/2006/relationships/hyperlink" Target="https://in.tradingview.com/chart/Cgv3Jm6J/?symbol=NSE%3ACROMPTON" TargetMode="External"/><Relationship Id="rId425" Type="http://schemas.openxmlformats.org/officeDocument/2006/relationships/hyperlink" Target="https://in.tradingview.com/chart/Cgv3Jm6J/?symbol=NSE%3ACRISIL" TargetMode="External"/><Relationship Id="rId424" Type="http://schemas.openxmlformats.org/officeDocument/2006/relationships/hyperlink" Target="https://in.tradingview.com/chart/Cgv3Jm6J/?symbol=NSE%3ACREST" TargetMode="External"/><Relationship Id="rId423" Type="http://schemas.openxmlformats.org/officeDocument/2006/relationships/hyperlink" Target="https://in.tradingview.com/chart/Cgv3Jm6J/?symbol=NSE%3ACREDITACC" TargetMode="External"/><Relationship Id="rId429" Type="http://schemas.openxmlformats.org/officeDocument/2006/relationships/hyperlink" Target="https://in.tradingview.com/chart/Cgv3Jm6J/?symbol=NSE%3ACSLFINANCE" TargetMode="External"/><Relationship Id="rId428" Type="http://schemas.openxmlformats.org/officeDocument/2006/relationships/hyperlink" Target="https://in.tradingview.com/chart/Cgv3Jm6J/?symbol=NSE%3ACSBBANK" TargetMode="External"/><Relationship Id="rId427" Type="http://schemas.openxmlformats.org/officeDocument/2006/relationships/hyperlink" Target="https://in.tradingview.com/chart/Cgv3Jm6J/?symbol=NSE%3ACROWN" TargetMode="External"/><Relationship Id="rId1250" Type="http://schemas.openxmlformats.org/officeDocument/2006/relationships/hyperlink" Target="https://in.tradingview.com/chart/Cgv3Jm6J/?symbol=NSE%3AMEP" TargetMode="External"/><Relationship Id="rId1251" Type="http://schemas.openxmlformats.org/officeDocument/2006/relationships/hyperlink" Target="https://in.tradingview.com/chart/Cgv3Jm6J/?symbol=NSE%3AMETAL" TargetMode="External"/><Relationship Id="rId1252" Type="http://schemas.openxmlformats.org/officeDocument/2006/relationships/hyperlink" Target="https://in.tradingview.com/chart/Cgv3Jm6J/?symbol=NSE%3AMETALIETF" TargetMode="External"/><Relationship Id="rId422" Type="http://schemas.openxmlformats.org/officeDocument/2006/relationships/hyperlink" Target="https://in.tradingview.com/chart/Cgv3Jm6J/?symbol=NSE%3ACREATIVEYE" TargetMode="External"/><Relationship Id="rId1253" Type="http://schemas.openxmlformats.org/officeDocument/2006/relationships/hyperlink" Target="https://in.tradingview.com/chart/Cgv3Jm6J/?symbol=NSE%3AMETROBRAND" TargetMode="External"/><Relationship Id="rId421" Type="http://schemas.openxmlformats.org/officeDocument/2006/relationships/hyperlink" Target="https://in.tradingview.com/chart/Cgv3Jm6J/?symbol=NSE%3ACREATIVE" TargetMode="External"/><Relationship Id="rId1254" Type="http://schemas.openxmlformats.org/officeDocument/2006/relationships/hyperlink" Target="https://in.tradingview.com/chart/Cgv3Jm6J/?symbol=NSE%3AMETROPOLIS" TargetMode="External"/><Relationship Id="rId420" Type="http://schemas.openxmlformats.org/officeDocument/2006/relationships/hyperlink" Target="https://in.tradingview.com/chart/Cgv3Jm6J/?symbol=NSE%3ACRAFTSMAN" TargetMode="External"/><Relationship Id="rId1255" Type="http://schemas.openxmlformats.org/officeDocument/2006/relationships/hyperlink" Target="https://in.tradingview.com/chart/Cgv3Jm6J/?symbol=NSE%3AMFML" TargetMode="External"/><Relationship Id="rId1256" Type="http://schemas.openxmlformats.org/officeDocument/2006/relationships/hyperlink" Target="https://in.tradingview.com/chart/Cgv3Jm6J/?symbol=NSE%3AMFSL" TargetMode="External"/><Relationship Id="rId1246" Type="http://schemas.openxmlformats.org/officeDocument/2006/relationships/hyperlink" Target="https://in.tradingview.com/chart/Cgv3Jm6J/?symbol=NSE%3AMEDICO" TargetMode="External"/><Relationship Id="rId1247" Type="http://schemas.openxmlformats.org/officeDocument/2006/relationships/hyperlink" Target="https://in.tradingview.com/chart/Cgv3Jm6J/?symbol=NSE%3AMEDPLUS" TargetMode="External"/><Relationship Id="rId1248" Type="http://schemas.openxmlformats.org/officeDocument/2006/relationships/hyperlink" Target="https://in.tradingview.com/chart/Cgv3Jm6J/?symbol=NSE%3AMEGASTAR" TargetMode="External"/><Relationship Id="rId1249" Type="http://schemas.openxmlformats.org/officeDocument/2006/relationships/hyperlink" Target="https://in.tradingview.com/chart/Cgv3Jm6J/?symbol=NSE%3AMENONBE" TargetMode="External"/><Relationship Id="rId415" Type="http://schemas.openxmlformats.org/officeDocument/2006/relationships/hyperlink" Target="https://in.tradingview.com/chart/Cgv3Jm6J/?symbol=NSE%3ACORDSCABLE" TargetMode="External"/><Relationship Id="rId414" Type="http://schemas.openxmlformats.org/officeDocument/2006/relationships/hyperlink" Target="https://in.tradingview.com/chart/Cgv3Jm6J/?symbol=NSE%3ACORALFINAC" TargetMode="External"/><Relationship Id="rId413" Type="http://schemas.openxmlformats.org/officeDocument/2006/relationships/hyperlink" Target="https://in.tradingview.com/chart/Cgv3Jm6J/?symbol=NSE%3ACONTROLPR" TargetMode="External"/><Relationship Id="rId412" Type="http://schemas.openxmlformats.org/officeDocument/2006/relationships/hyperlink" Target="https://in.tradingview.com/chart/Cgv3Jm6J/?symbol=NSE%3ACONSUMIETF" TargetMode="External"/><Relationship Id="rId419" Type="http://schemas.openxmlformats.org/officeDocument/2006/relationships/hyperlink" Target="https://in.tradingview.com/chart/Cgv3Jm6J/?symbol=NSE%3ACPSEETF" TargetMode="External"/><Relationship Id="rId418" Type="http://schemas.openxmlformats.org/officeDocument/2006/relationships/hyperlink" Target="https://in.tradingview.com/chart/Cgv3Jm6J/?symbol=NSE%3ACOUNCODOS" TargetMode="External"/><Relationship Id="rId417" Type="http://schemas.openxmlformats.org/officeDocument/2006/relationships/hyperlink" Target="https://in.tradingview.com/chart/Cgv3Jm6J/?symbol=NSE%3ACOSMOFIRST" TargetMode="External"/><Relationship Id="rId416" Type="http://schemas.openxmlformats.org/officeDocument/2006/relationships/hyperlink" Target="https://in.tradingview.com/chart/Cgv3Jm6J/?symbol=NSE%3ACOROMANDEL" TargetMode="External"/><Relationship Id="rId1240" Type="http://schemas.openxmlformats.org/officeDocument/2006/relationships/hyperlink" Target="https://in.tradingview.com/chart/Cgv3Jm6J/?symbol=NSE%3AMCLEODRUSS" TargetMode="External"/><Relationship Id="rId1241" Type="http://schemas.openxmlformats.org/officeDocument/2006/relationships/hyperlink" Target="https://in.tradingview.com/chart/Cgv3Jm6J/?symbol=NSE%3AMCLOUD" TargetMode="External"/><Relationship Id="rId411" Type="http://schemas.openxmlformats.org/officeDocument/2006/relationships/hyperlink" Target="https://in.tradingview.com/chart/Cgv3Jm6J/?symbol=NSE%3ACONSUMER" TargetMode="External"/><Relationship Id="rId1242" Type="http://schemas.openxmlformats.org/officeDocument/2006/relationships/hyperlink" Target="https://in.tradingview.com/chart/Cgv3Jm6J/?symbol=NSE%3AMCX" TargetMode="External"/><Relationship Id="rId410" Type="http://schemas.openxmlformats.org/officeDocument/2006/relationships/hyperlink" Target="https://in.tradingview.com/chart/Cgv3Jm6J/?symbol=NSE%3ACONSUMBEES" TargetMode="External"/><Relationship Id="rId1243" Type="http://schemas.openxmlformats.org/officeDocument/2006/relationships/hyperlink" Target="https://in.tradingview.com/chart/Cgv3Jm6J/?symbol=NSE%3AMEDANTA" TargetMode="External"/><Relationship Id="rId1244" Type="http://schemas.openxmlformats.org/officeDocument/2006/relationships/hyperlink" Target="https://in.tradingview.com/chart/Cgv3Jm6J/?symbol=NSE%3AMEDIASSIST" TargetMode="External"/><Relationship Id="rId1245" Type="http://schemas.openxmlformats.org/officeDocument/2006/relationships/hyperlink" Target="https://in.tradingview.com/chart/Cgv3Jm6J/?symbol=NSE%3AMEDICAMEQ" TargetMode="External"/><Relationship Id="rId1279" Type="http://schemas.openxmlformats.org/officeDocument/2006/relationships/hyperlink" Target="https://in.tradingview.com/chart/Cgv3Jm6J/?symbol=NSE%3AMMP" TargetMode="External"/><Relationship Id="rId448" Type="http://schemas.openxmlformats.org/officeDocument/2006/relationships/hyperlink" Target="https://in.tradingview.com/chart/Cgv3Jm6J/?symbol=NSE%3ADBCORP" TargetMode="External"/><Relationship Id="rId447" Type="http://schemas.openxmlformats.org/officeDocument/2006/relationships/hyperlink" Target="https://in.tradingview.com/chart/Cgv3Jm6J/?symbol=NSE%3ADAVANGERE" TargetMode="External"/><Relationship Id="rId446" Type="http://schemas.openxmlformats.org/officeDocument/2006/relationships/hyperlink" Target="https://in.tradingview.com/chart/Cgv3Jm6J/?symbol=NSE%3ADATAPATTNS" TargetMode="External"/><Relationship Id="rId445" Type="http://schemas.openxmlformats.org/officeDocument/2006/relationships/hyperlink" Target="https://in.tradingview.com/chart/Cgv3Jm6J/?symbol=NSE%3ADATAMATICS" TargetMode="External"/><Relationship Id="rId449" Type="http://schemas.openxmlformats.org/officeDocument/2006/relationships/hyperlink" Target="https://in.tradingview.com/chart/Cgv3Jm6J/?symbol=NSE%3ADBEIL" TargetMode="External"/><Relationship Id="rId1270" Type="http://schemas.openxmlformats.org/officeDocument/2006/relationships/hyperlink" Target="https://in.tradingview.com/chart/Cgv3Jm6J/?symbol=NSE%3AMIDSMALL" TargetMode="External"/><Relationship Id="rId440" Type="http://schemas.openxmlformats.org/officeDocument/2006/relationships/hyperlink" Target="https://in.tradingview.com/chart/Cgv3Jm6J/?symbol=NSE%3ADALBHARAT" TargetMode="External"/><Relationship Id="rId1271" Type="http://schemas.openxmlformats.org/officeDocument/2006/relationships/hyperlink" Target="https://in.tradingview.com/chart/Cgv3Jm6J/?symbol=NSE%3AMINDACORP" TargetMode="External"/><Relationship Id="rId1272" Type="http://schemas.openxmlformats.org/officeDocument/2006/relationships/hyperlink" Target="https://in.tradingview.com/chart/Cgv3Jm6J/?symbol=NSE%3AMINDTECK" TargetMode="External"/><Relationship Id="rId1273" Type="http://schemas.openxmlformats.org/officeDocument/2006/relationships/hyperlink" Target="https://in.tradingview.com/chart/Cgv3Jm6J/?symbol=NSE%3AMIRCELECTR" TargetMode="External"/><Relationship Id="rId1274" Type="http://schemas.openxmlformats.org/officeDocument/2006/relationships/hyperlink" Target="https://in.tradingview.com/chart/Cgv3Jm6J/?symbol=NSE%3AMIRZAINT" TargetMode="External"/><Relationship Id="rId444" Type="http://schemas.openxmlformats.org/officeDocument/2006/relationships/hyperlink" Target="https://in.tradingview.com/chart/Cgv3Jm6J/?symbol=NSE%3ADANGEE" TargetMode="External"/><Relationship Id="rId1275" Type="http://schemas.openxmlformats.org/officeDocument/2006/relationships/hyperlink" Target="https://in.tradingview.com/chart/Cgv3Jm6J/?symbol=NSE%3AMITCON" TargetMode="External"/><Relationship Id="rId443" Type="http://schemas.openxmlformats.org/officeDocument/2006/relationships/hyperlink" Target="https://in.tradingview.com/chart/Cgv3Jm6J/?symbol=NSE%3ADAMODARIND" TargetMode="External"/><Relationship Id="rId1276" Type="http://schemas.openxmlformats.org/officeDocument/2006/relationships/hyperlink" Target="https://in.tradingview.com/chart/Cgv3Jm6J/?symbol=NSE%3AMITTAL" TargetMode="External"/><Relationship Id="rId442" Type="http://schemas.openxmlformats.org/officeDocument/2006/relationships/hyperlink" Target="https://in.tradingview.com/chart/Cgv3Jm6J/?symbol=NSE%3ADAMCAPITAL" TargetMode="External"/><Relationship Id="rId1277" Type="http://schemas.openxmlformats.org/officeDocument/2006/relationships/hyperlink" Target="https://in.tradingview.com/chart/Cgv3Jm6J/?symbol=NSE%3AMKPL" TargetMode="External"/><Relationship Id="rId441" Type="http://schemas.openxmlformats.org/officeDocument/2006/relationships/hyperlink" Target="https://in.tradingview.com/chart/Cgv3Jm6J/?symbol=NSE%3ADALMIASUG" TargetMode="External"/><Relationship Id="rId1278" Type="http://schemas.openxmlformats.org/officeDocument/2006/relationships/hyperlink" Target="https://in.tradingview.com/chart/Cgv3Jm6J/?symbol=NSE%3AMMFL" TargetMode="External"/><Relationship Id="rId1268" Type="http://schemas.openxmlformats.org/officeDocument/2006/relationships/hyperlink" Target="https://in.tradingview.com/chart/Cgv3Jm6J/?symbol=NSE%3AMIDQ50ADD" TargetMode="External"/><Relationship Id="rId1269" Type="http://schemas.openxmlformats.org/officeDocument/2006/relationships/hyperlink" Target="https://in.tradingview.com/chart/Cgv3Jm6J/?symbol=NSE%3AMIDSELIETF" TargetMode="External"/><Relationship Id="rId437" Type="http://schemas.openxmlformats.org/officeDocument/2006/relationships/hyperlink" Target="https://in.tradingview.com/chart/Cgv3Jm6J/?symbol=NSE%3ACYIENT" TargetMode="External"/><Relationship Id="rId436" Type="http://schemas.openxmlformats.org/officeDocument/2006/relationships/hyperlink" Target="https://in.tradingview.com/chart/Cgv3Jm6J/?symbol=NSE%3ACYBERTECH" TargetMode="External"/><Relationship Id="rId435" Type="http://schemas.openxmlformats.org/officeDocument/2006/relationships/hyperlink" Target="https://in.tradingview.com/chart/Cgv3Jm6J/?symbol=NSE%3ACYBERMEDIA" TargetMode="External"/><Relationship Id="rId434" Type="http://schemas.openxmlformats.org/officeDocument/2006/relationships/hyperlink" Target="https://in.tradingview.com/chart/Cgv3Jm6J/?symbol=NSE%3ACUPID" TargetMode="External"/><Relationship Id="rId439" Type="http://schemas.openxmlformats.org/officeDocument/2006/relationships/hyperlink" Target="https://in.tradingview.com/chart/Cgv3Jm6J/?symbol=NSE%3ADABUR" TargetMode="External"/><Relationship Id="rId438" Type="http://schemas.openxmlformats.org/officeDocument/2006/relationships/hyperlink" Target="https://in.tradingview.com/chart/Cgv3Jm6J/?symbol=NSE%3ACYIENTDLM" TargetMode="External"/><Relationship Id="rId1260" Type="http://schemas.openxmlformats.org/officeDocument/2006/relationships/hyperlink" Target="https://in.tradingview.com/chart/Cgv3Jm6J/?symbol=NSE%3AMHRIL" TargetMode="External"/><Relationship Id="rId1261" Type="http://schemas.openxmlformats.org/officeDocument/2006/relationships/hyperlink" Target="https://in.tradingview.com/chart/Cgv3Jm6J/?symbol=NSE%3AMICEL" TargetMode="External"/><Relationship Id="rId1262" Type="http://schemas.openxmlformats.org/officeDocument/2006/relationships/hyperlink" Target="https://in.tradingview.com/chart/Cgv3Jm6J/?symbol=NSE%3AMID150BEES" TargetMode="External"/><Relationship Id="rId1263" Type="http://schemas.openxmlformats.org/officeDocument/2006/relationships/hyperlink" Target="https://in.tradingview.com/chart/Cgv3Jm6J/?symbol=NSE%3AMID150CASE" TargetMode="External"/><Relationship Id="rId433" Type="http://schemas.openxmlformats.org/officeDocument/2006/relationships/hyperlink" Target="https://in.tradingview.com/chart/Cgv3Jm6J/?symbol=NSE%3ACUMMINSIND" TargetMode="External"/><Relationship Id="rId1264" Type="http://schemas.openxmlformats.org/officeDocument/2006/relationships/hyperlink" Target="https://in.tradingview.com/chart/Cgv3Jm6J/?symbol=NSE%3AMIDCAP" TargetMode="External"/><Relationship Id="rId432" Type="http://schemas.openxmlformats.org/officeDocument/2006/relationships/hyperlink" Target="https://in.tradingview.com/chart/Cgv3Jm6J/?symbol=NSE%3ACUBEXTUB" TargetMode="External"/><Relationship Id="rId1265" Type="http://schemas.openxmlformats.org/officeDocument/2006/relationships/hyperlink" Target="https://in.tradingview.com/chart/Cgv3Jm6J/?symbol=NSE%3AMIDCAPETF" TargetMode="External"/><Relationship Id="rId431" Type="http://schemas.openxmlformats.org/officeDocument/2006/relationships/hyperlink" Target="https://in.tradingview.com/chart/Cgv3Jm6J/?symbol=NSE%3ACUB" TargetMode="External"/><Relationship Id="rId1266" Type="http://schemas.openxmlformats.org/officeDocument/2006/relationships/hyperlink" Target="https://in.tradingview.com/chart/Cgv3Jm6J/?symbol=NSE%3AMIDCAPIETF" TargetMode="External"/><Relationship Id="rId430" Type="http://schemas.openxmlformats.org/officeDocument/2006/relationships/hyperlink" Target="https://in.tradingview.com/chart/Cgv3Jm6J/?symbol=NSE%3ACTE" TargetMode="External"/><Relationship Id="rId1267" Type="http://schemas.openxmlformats.org/officeDocument/2006/relationships/hyperlink" Target="https://in.tradingview.com/chart/Cgv3Jm6J/?symbol=NSE%3AMIDHANI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Cgv3Jm6J/?symbol=NSE%3A21STCENMGM" TargetMode="External"/><Relationship Id="rId3" Type="http://schemas.openxmlformats.org/officeDocument/2006/relationships/hyperlink" Target="https://in.tradingview.com/chart/Cgv3Jm6J/?symbol=NSE%3A360ONE" TargetMode="External"/><Relationship Id="rId4" Type="http://schemas.openxmlformats.org/officeDocument/2006/relationships/hyperlink" Target="https://in.tradingview.com/chart/Cgv3Jm6J/?symbol=NSE%3A3IINFOLTD" TargetMode="External"/><Relationship Id="rId9" Type="http://schemas.openxmlformats.org/officeDocument/2006/relationships/hyperlink" Target="https://in.tradingview.com/chart/Cgv3Jm6J/?symbol=NSE%3AA2ZINFRA" TargetMode="External"/><Relationship Id="rId5" Type="http://schemas.openxmlformats.org/officeDocument/2006/relationships/hyperlink" Target="https://in.tradingview.com/chart/Cgv3Jm6J/?symbol=NSE%3A3MINDIA" TargetMode="External"/><Relationship Id="rId6" Type="http://schemas.openxmlformats.org/officeDocument/2006/relationships/hyperlink" Target="https://in.tradingview.com/chart/Cgv3Jm6J/?symbol=NSE%3A3PLAND" TargetMode="External"/><Relationship Id="rId7" Type="http://schemas.openxmlformats.org/officeDocument/2006/relationships/hyperlink" Target="https://in.tradingview.com/chart/Cgv3Jm6J/?symbol=NSE%3A5PAISA" TargetMode="External"/><Relationship Id="rId8" Type="http://schemas.openxmlformats.org/officeDocument/2006/relationships/hyperlink" Target="https://in.tradingview.com/chart/Cgv3Jm6J/?symbol=NSE%3A63MOONS" TargetMode="External"/><Relationship Id="rId808" Type="http://schemas.openxmlformats.org/officeDocument/2006/relationships/hyperlink" Target="https://in.tradingview.com/chart/Cgv3Jm6J/?symbol=NSE%3AHERCULES" TargetMode="External"/><Relationship Id="rId807" Type="http://schemas.openxmlformats.org/officeDocument/2006/relationships/hyperlink" Target="https://in.tradingview.com/chart/Cgv3Jm6J/?symbol=NSE%3AHERANBA" TargetMode="External"/><Relationship Id="rId806" Type="http://schemas.openxmlformats.org/officeDocument/2006/relationships/hyperlink" Target="https://in.tradingview.com/chart/Cgv3Jm6J/?symbol=NSE%3AHEMIPROP" TargetMode="External"/><Relationship Id="rId805" Type="http://schemas.openxmlformats.org/officeDocument/2006/relationships/hyperlink" Target="https://in.tradingview.com/chart/Cgv3Jm6J/?symbol=NSE%3AHEIDELBERG" TargetMode="External"/><Relationship Id="rId809" Type="http://schemas.openxmlformats.org/officeDocument/2006/relationships/hyperlink" Target="https://in.tradingview.com/chart/Cgv3Jm6J/?symbol=NSE%3AHERITGFOOD" TargetMode="External"/><Relationship Id="rId800" Type="http://schemas.openxmlformats.org/officeDocument/2006/relationships/hyperlink" Target="https://in.tradingview.com/chart/Cgv3Jm6J/?symbol=NSE%3AHEALTHADD" TargetMode="External"/><Relationship Id="rId804" Type="http://schemas.openxmlformats.org/officeDocument/2006/relationships/hyperlink" Target="https://in.tradingview.com/chart/Cgv3Jm6J/?symbol=NSE%3AHEG" TargetMode="External"/><Relationship Id="rId803" Type="http://schemas.openxmlformats.org/officeDocument/2006/relationships/hyperlink" Target="https://in.tradingview.com/chart/Cgv3Jm6J/?symbol=NSE%3AHECPROJECT" TargetMode="External"/><Relationship Id="rId802" Type="http://schemas.openxmlformats.org/officeDocument/2006/relationships/hyperlink" Target="https://in.tradingview.com/chart/Cgv3Jm6J/?symbol=NSE%3AHEALTHY" TargetMode="External"/><Relationship Id="rId801" Type="http://schemas.openxmlformats.org/officeDocument/2006/relationships/hyperlink" Target="https://in.tradingview.com/chart/Cgv3Jm6J/?symbol=NSE%3AHEALTHIETF" TargetMode="External"/><Relationship Id="rId1334" Type="http://schemas.openxmlformats.org/officeDocument/2006/relationships/hyperlink" Target="https://in.tradingview.com/chart/Cgv3Jm6J/?symbol=NSE%3AMUNJALAU" TargetMode="External"/><Relationship Id="rId1335" Type="http://schemas.openxmlformats.org/officeDocument/2006/relationships/hyperlink" Target="https://in.tradingview.com/chart/Cgv3Jm6J/?symbol=NSE%3AMUNJALSHOW" TargetMode="External"/><Relationship Id="rId1336" Type="http://schemas.openxmlformats.org/officeDocument/2006/relationships/hyperlink" Target="https://in.tradingview.com/chart/Cgv3Jm6J/?symbol=NSE%3AMURUDCERA" TargetMode="External"/><Relationship Id="rId1337" Type="http://schemas.openxmlformats.org/officeDocument/2006/relationships/hyperlink" Target="https://in.tradingview.com/chart/Cgv3Jm6J/?symbol=NSE%3AMUTHOOTCAP" TargetMode="External"/><Relationship Id="rId1338" Type="http://schemas.openxmlformats.org/officeDocument/2006/relationships/hyperlink" Target="https://in.tradingview.com/chart/Cgv3Jm6J/?symbol=NSE%3AMUTHOOTFIN" TargetMode="External"/><Relationship Id="rId1339" Type="http://schemas.openxmlformats.org/officeDocument/2006/relationships/hyperlink" Target="https://in.tradingview.com/chart/Cgv3Jm6J/?symbol=NSE%3AMUTHOOTMF" TargetMode="External"/><Relationship Id="rId745" Type="http://schemas.openxmlformats.org/officeDocument/2006/relationships/hyperlink" Target="https://in.tradingview.com/chart/Cgv3Jm6J/?symbol=NSE%3AGTL" TargetMode="External"/><Relationship Id="rId744" Type="http://schemas.openxmlformats.org/officeDocument/2006/relationships/hyperlink" Target="https://in.tradingview.com/chart/Cgv3Jm6J/?symbol=NSE%3AGTECJAINX" TargetMode="External"/><Relationship Id="rId743" Type="http://schemas.openxmlformats.org/officeDocument/2006/relationships/hyperlink" Target="https://in.tradingview.com/chart/Cgv3Jm6J/?symbol=NSE%3AGSS" TargetMode="External"/><Relationship Id="rId742" Type="http://schemas.openxmlformats.org/officeDocument/2006/relationships/hyperlink" Target="https://in.tradingview.com/chart/Cgv3Jm6J/?symbol=NSE%3AGSPL" TargetMode="External"/><Relationship Id="rId749" Type="http://schemas.openxmlformats.org/officeDocument/2006/relationships/hyperlink" Target="https://in.tradingview.com/chart/Cgv3Jm6J/?symbol=NSE%3AGUJALKALI" TargetMode="External"/><Relationship Id="rId748" Type="http://schemas.openxmlformats.org/officeDocument/2006/relationships/hyperlink" Target="https://in.tradingview.com/chart/Cgv3Jm6J/?symbol=NSE%3AGUFICBIO" TargetMode="External"/><Relationship Id="rId747" Type="http://schemas.openxmlformats.org/officeDocument/2006/relationships/hyperlink" Target="https://in.tradingview.com/chart/Cgv3Jm6J/?symbol=NSE%3AGTPL" TargetMode="External"/><Relationship Id="rId746" Type="http://schemas.openxmlformats.org/officeDocument/2006/relationships/hyperlink" Target="https://in.tradingview.com/chart/Cgv3Jm6J/?symbol=NSE%3AGTLINFRA" TargetMode="External"/><Relationship Id="rId741" Type="http://schemas.openxmlformats.org/officeDocument/2006/relationships/hyperlink" Target="https://in.tradingview.com/chart/Cgv3Jm6J/?symbol=NSE%3AGSLSU" TargetMode="External"/><Relationship Id="rId1330" Type="http://schemas.openxmlformats.org/officeDocument/2006/relationships/hyperlink" Target="https://in.tradingview.com/chart/Cgv3Jm6J/?symbol=NSE%3AMUKANDLTD" TargetMode="External"/><Relationship Id="rId740" Type="http://schemas.openxmlformats.org/officeDocument/2006/relationships/hyperlink" Target="https://in.tradingview.com/chart/Cgv3Jm6J/?symbol=NSE%3AGSFC" TargetMode="External"/><Relationship Id="rId1331" Type="http://schemas.openxmlformats.org/officeDocument/2006/relationships/hyperlink" Target="https://in.tradingview.com/chart/Cgv3Jm6J/?symbol=NSE%3AMUKKA" TargetMode="External"/><Relationship Id="rId1332" Type="http://schemas.openxmlformats.org/officeDocument/2006/relationships/hyperlink" Target="https://in.tradingview.com/chart/Cgv3Jm6J/?symbol=NSE%3AMUKTAARTS" TargetMode="External"/><Relationship Id="rId1333" Type="http://schemas.openxmlformats.org/officeDocument/2006/relationships/hyperlink" Target="https://in.tradingview.com/chart/Cgv3Jm6J/?symbol=NSE%3AMULTICAP" TargetMode="External"/><Relationship Id="rId1323" Type="http://schemas.openxmlformats.org/officeDocument/2006/relationships/hyperlink" Target="https://in.tradingview.com/chart/Cgv3Jm6J/?symbol=NSE%3AMSTCLTD" TargetMode="External"/><Relationship Id="rId1324" Type="http://schemas.openxmlformats.org/officeDocument/2006/relationships/hyperlink" Target="https://in.tradingview.com/chart/Cgv3Jm6J/?symbol=NSE%3AMSUMI" TargetMode="External"/><Relationship Id="rId1325" Type="http://schemas.openxmlformats.org/officeDocument/2006/relationships/hyperlink" Target="https://in.tradingview.com/chart/Cgv3Jm6J/?symbol=NSE%3AMTARTECH" TargetMode="External"/><Relationship Id="rId1326" Type="http://schemas.openxmlformats.org/officeDocument/2006/relationships/hyperlink" Target="https://in.tradingview.com/chart/Cgv3Jm6J/?symbol=NSE%3AMTEDUCARE" TargetMode="External"/><Relationship Id="rId1327" Type="http://schemas.openxmlformats.org/officeDocument/2006/relationships/hyperlink" Target="https://in.tradingview.com/chart/Cgv3Jm6J/?symbol=NSE%3AMTNL" TargetMode="External"/><Relationship Id="rId1328" Type="http://schemas.openxmlformats.org/officeDocument/2006/relationships/hyperlink" Target="https://in.tradingview.com/chart/Cgv3Jm6J/?symbol=NSE%3AMUFIN" TargetMode="External"/><Relationship Id="rId1329" Type="http://schemas.openxmlformats.org/officeDocument/2006/relationships/hyperlink" Target="https://in.tradingview.com/chart/Cgv3Jm6J/?symbol=NSE%3AMUFTI" TargetMode="External"/><Relationship Id="rId739" Type="http://schemas.openxmlformats.org/officeDocument/2006/relationships/hyperlink" Target="https://in.tradingview.com/chart/Cgv3Jm6J/?symbol=NSE%3AGSEC5IETF" TargetMode="External"/><Relationship Id="rId734" Type="http://schemas.openxmlformats.org/officeDocument/2006/relationships/hyperlink" Target="https://in.tradingview.com/chart/Cgv3Jm6J/?symbol=NSE%3AGRSE" TargetMode="External"/><Relationship Id="rId733" Type="http://schemas.openxmlformats.org/officeDocument/2006/relationships/hyperlink" Target="https://in.tradingview.com/chart/Cgv3Jm6J/?symbol=NSE%3AGRPLTD" TargetMode="External"/><Relationship Id="rId732" Type="http://schemas.openxmlformats.org/officeDocument/2006/relationships/hyperlink" Target="https://in.tradingview.com/chart/Cgv3Jm6J/?symbol=NSE%3AGROWWRAIL" TargetMode="External"/><Relationship Id="rId731" Type="http://schemas.openxmlformats.org/officeDocument/2006/relationships/hyperlink" Target="https://in.tradingview.com/chart/Cgv3Jm6J/?symbol=NSE%3AGROWWN200" TargetMode="External"/><Relationship Id="rId738" Type="http://schemas.openxmlformats.org/officeDocument/2006/relationships/hyperlink" Target="https://in.tradingview.com/chart/Cgv3Jm6J/?symbol=NSE%3AGSEC10YEAR" TargetMode="External"/><Relationship Id="rId737" Type="http://schemas.openxmlformats.org/officeDocument/2006/relationships/hyperlink" Target="https://in.tradingview.com/chart/Cgv3Jm6J/?symbol=NSE%3AGSEC10IETF" TargetMode="External"/><Relationship Id="rId736" Type="http://schemas.openxmlformats.org/officeDocument/2006/relationships/hyperlink" Target="https://in.tradingview.com/chart/Cgv3Jm6J/?symbol=NSE%3AGSEC10ABSL" TargetMode="External"/><Relationship Id="rId735" Type="http://schemas.openxmlformats.org/officeDocument/2006/relationships/hyperlink" Target="https://in.tradingview.com/chart/Cgv3Jm6J/?symbol=NSE%3AGRWRHITECH" TargetMode="External"/><Relationship Id="rId730" Type="http://schemas.openxmlformats.org/officeDocument/2006/relationships/hyperlink" Target="https://in.tradingview.com/chart/Cgv3Jm6J/?symbol=NSE%3AGROWWLIQID" TargetMode="External"/><Relationship Id="rId1320" Type="http://schemas.openxmlformats.org/officeDocument/2006/relationships/hyperlink" Target="https://in.tradingview.com/chart/Cgv3Jm6J/?symbol=NSE%3AMRPL" TargetMode="External"/><Relationship Id="rId1321" Type="http://schemas.openxmlformats.org/officeDocument/2006/relationships/hyperlink" Target="https://in.tradingview.com/chart/Cgv3Jm6J/?symbol=NSE%3AMSCIINDIA" TargetMode="External"/><Relationship Id="rId1322" Type="http://schemas.openxmlformats.org/officeDocument/2006/relationships/hyperlink" Target="https://in.tradingview.com/chart/Cgv3Jm6J/?symbol=NSE%3AMSPL" TargetMode="External"/><Relationship Id="rId1356" Type="http://schemas.openxmlformats.org/officeDocument/2006/relationships/hyperlink" Target="https://in.tradingview.com/chart/Cgv3Jm6J/?symbol=NSE%3ANAVINFLUOR" TargetMode="External"/><Relationship Id="rId1357" Type="http://schemas.openxmlformats.org/officeDocument/2006/relationships/hyperlink" Target="https://in.tradingview.com/chart/Cgv3Jm6J/?symbol=NSE%3ANAVKARCORP" TargetMode="External"/><Relationship Id="rId1358" Type="http://schemas.openxmlformats.org/officeDocument/2006/relationships/hyperlink" Target="https://in.tradingview.com/chart/Cgv3Jm6J/?symbol=NSE%3ANAVKARURB" TargetMode="External"/><Relationship Id="rId1359" Type="http://schemas.openxmlformats.org/officeDocument/2006/relationships/hyperlink" Target="https://in.tradingview.com/chart/Cgv3Jm6J/?symbol=NSE%3ANAVNETEDUL" TargetMode="External"/><Relationship Id="rId767" Type="http://schemas.openxmlformats.org/officeDocument/2006/relationships/hyperlink" Target="https://in.tradingview.com/chart/Cgv3Jm6J/?symbol=NSE%3AHATHWAY" TargetMode="External"/><Relationship Id="rId766" Type="http://schemas.openxmlformats.org/officeDocument/2006/relationships/hyperlink" Target="https://in.tradingview.com/chart/Cgv3Jm6J/?symbol=NSE%3AHARSHA" TargetMode="External"/><Relationship Id="rId765" Type="http://schemas.openxmlformats.org/officeDocument/2006/relationships/hyperlink" Target="https://in.tradingview.com/chart/Cgv3Jm6J/?symbol=NSE%3AHARRMALAYA" TargetMode="External"/><Relationship Id="rId764" Type="http://schemas.openxmlformats.org/officeDocument/2006/relationships/hyperlink" Target="https://in.tradingview.com/chart/Cgv3Jm6J/?symbol=NSE%3AHARIOMPIPE" TargetMode="External"/><Relationship Id="rId769" Type="http://schemas.openxmlformats.org/officeDocument/2006/relationships/hyperlink" Target="https://in.tradingview.com/chart/Cgv3Jm6J/?symbol=NSE%3AHAVELLS" TargetMode="External"/><Relationship Id="rId768" Type="http://schemas.openxmlformats.org/officeDocument/2006/relationships/hyperlink" Target="https://in.tradingview.com/chart/Cgv3Jm6J/?symbol=NSE%3AHATSUN" TargetMode="External"/><Relationship Id="rId1350" Type="http://schemas.openxmlformats.org/officeDocument/2006/relationships/hyperlink" Target="https://in.tradingview.com/chart/Cgv3Jm6J/?symbol=NSE%3ANATCAPSUQ" TargetMode="External"/><Relationship Id="rId1351" Type="http://schemas.openxmlformats.org/officeDocument/2006/relationships/hyperlink" Target="https://in.tradingview.com/chart/Cgv3Jm6J/?symbol=NSE%3ANATCOPHARM" TargetMode="External"/><Relationship Id="rId763" Type="http://schemas.openxmlformats.org/officeDocument/2006/relationships/hyperlink" Target="https://in.tradingview.com/chart/Cgv3Jm6J/?symbol=NSE%3AHARDWYN" TargetMode="External"/><Relationship Id="rId1352" Type="http://schemas.openxmlformats.org/officeDocument/2006/relationships/hyperlink" Target="https://in.tradingview.com/chart/Cgv3Jm6J/?symbol=NSE%3ANATHBIOGEN" TargetMode="External"/><Relationship Id="rId762" Type="http://schemas.openxmlformats.org/officeDocument/2006/relationships/hyperlink" Target="https://in.tradingview.com/chart/Cgv3Jm6J/?symbol=NSE%3AHAPPYFORGE" TargetMode="External"/><Relationship Id="rId1353" Type="http://schemas.openxmlformats.org/officeDocument/2006/relationships/hyperlink" Target="https://in.tradingview.com/chart/Cgv3Jm6J/?symbol=NSE%3ANATIONALUM" TargetMode="External"/><Relationship Id="rId761" Type="http://schemas.openxmlformats.org/officeDocument/2006/relationships/hyperlink" Target="https://in.tradingview.com/chart/Cgv3Jm6J/?symbol=NSE%3AHAPPSTMNDS" TargetMode="External"/><Relationship Id="rId1354" Type="http://schemas.openxmlformats.org/officeDocument/2006/relationships/hyperlink" Target="https://in.tradingview.com/chart/Cgv3Jm6J/?symbol=NSE%3ANAUKRI" TargetMode="External"/><Relationship Id="rId760" Type="http://schemas.openxmlformats.org/officeDocument/2006/relationships/hyperlink" Target="https://in.tradingview.com/chart/Cgv3Jm6J/?symbol=NSE%3AHAL" TargetMode="External"/><Relationship Id="rId1355" Type="http://schemas.openxmlformats.org/officeDocument/2006/relationships/hyperlink" Target="https://in.tradingview.com/chart/Cgv3Jm6J/?symbol=NSE%3ANAVA" TargetMode="External"/><Relationship Id="rId1345" Type="http://schemas.openxmlformats.org/officeDocument/2006/relationships/hyperlink" Target="https://in.tradingview.com/chart/Cgv3Jm6J/?symbol=NSE%3ANAHARCAP" TargetMode="External"/><Relationship Id="rId1346" Type="http://schemas.openxmlformats.org/officeDocument/2006/relationships/hyperlink" Target="https://in.tradingview.com/chart/Cgv3Jm6J/?symbol=NSE%3ANAHARINDUS" TargetMode="External"/><Relationship Id="rId1347" Type="http://schemas.openxmlformats.org/officeDocument/2006/relationships/hyperlink" Target="https://in.tradingview.com/chart/Cgv3Jm6J/?symbol=NSE%3ANAHARPOLY" TargetMode="External"/><Relationship Id="rId1348" Type="http://schemas.openxmlformats.org/officeDocument/2006/relationships/hyperlink" Target="https://in.tradingview.com/chart/Cgv3Jm6J/?symbol=NSE%3ANAHARSPING" TargetMode="External"/><Relationship Id="rId1349" Type="http://schemas.openxmlformats.org/officeDocument/2006/relationships/hyperlink" Target="https://in.tradingview.com/chart/Cgv3Jm6J/?symbol=NSE%3ANARMADA" TargetMode="External"/><Relationship Id="rId756" Type="http://schemas.openxmlformats.org/officeDocument/2006/relationships/hyperlink" Target="https://in.tradingview.com/chart/Cgv3Jm6J/?symbol=NSE%3AGULPOLY" TargetMode="External"/><Relationship Id="rId755" Type="http://schemas.openxmlformats.org/officeDocument/2006/relationships/hyperlink" Target="https://in.tradingview.com/chart/Cgv3Jm6J/?symbol=NSE%3AGULFPETRO" TargetMode="External"/><Relationship Id="rId754" Type="http://schemas.openxmlformats.org/officeDocument/2006/relationships/hyperlink" Target="https://in.tradingview.com/chart/Cgv3Jm6J/?symbol=NSE%3AGULFOILLUB" TargetMode="External"/><Relationship Id="rId753" Type="http://schemas.openxmlformats.org/officeDocument/2006/relationships/hyperlink" Target="https://in.tradingview.com/chart/Cgv3Jm6J/?symbol=NSE%3AGUJTHEM" TargetMode="External"/><Relationship Id="rId759" Type="http://schemas.openxmlformats.org/officeDocument/2006/relationships/hyperlink" Target="https://in.tradingview.com/chart/Cgv3Jm6J/?symbol=NSE%3AGVT_D" TargetMode="External"/><Relationship Id="rId758" Type="http://schemas.openxmlformats.org/officeDocument/2006/relationships/hyperlink" Target="https://in.tradingview.com/chart/Cgv3Jm6J/?symbol=NSE%3AGVPTECH" TargetMode="External"/><Relationship Id="rId757" Type="http://schemas.openxmlformats.org/officeDocument/2006/relationships/hyperlink" Target="https://in.tradingview.com/chart/Cgv3Jm6J/?symbol=NSE%3AGVKPIL" TargetMode="External"/><Relationship Id="rId1340" Type="http://schemas.openxmlformats.org/officeDocument/2006/relationships/hyperlink" Target="https://in.tradingview.com/chart/Cgv3Jm6J/?symbol=NSE%3AMVGJL" TargetMode="External"/><Relationship Id="rId752" Type="http://schemas.openxmlformats.org/officeDocument/2006/relationships/hyperlink" Target="https://in.tradingview.com/chart/Cgv3Jm6J/?symbol=NSE%3AGUJRAFFIA" TargetMode="External"/><Relationship Id="rId1341" Type="http://schemas.openxmlformats.org/officeDocument/2006/relationships/hyperlink" Target="https://in.tradingview.com/chart/Cgv3Jm6J/?symbol=NSE%3ANACLIND" TargetMode="External"/><Relationship Id="rId751" Type="http://schemas.openxmlformats.org/officeDocument/2006/relationships/hyperlink" Target="https://in.tradingview.com/chart/Cgv3Jm6J/?symbol=NSE%3AGUJGASLTD" TargetMode="External"/><Relationship Id="rId1342" Type="http://schemas.openxmlformats.org/officeDocument/2006/relationships/hyperlink" Target="https://in.tradingview.com/chart/Cgv3Jm6J/?symbol=NSE%3ANAGAFERT" TargetMode="External"/><Relationship Id="rId750" Type="http://schemas.openxmlformats.org/officeDocument/2006/relationships/hyperlink" Target="https://in.tradingview.com/chart/Cgv3Jm6J/?symbol=NSE%3AGUJAPOLLO" TargetMode="External"/><Relationship Id="rId1343" Type="http://schemas.openxmlformats.org/officeDocument/2006/relationships/hyperlink" Target="https://in.tradingview.com/chart/Cgv3Jm6J/?symbol=NSE%3ANAGREEKCAP" TargetMode="External"/><Relationship Id="rId1344" Type="http://schemas.openxmlformats.org/officeDocument/2006/relationships/hyperlink" Target="https://in.tradingview.com/chart/Cgv3Jm6J/?symbol=NSE%3ANAGREEKEXP" TargetMode="External"/><Relationship Id="rId709" Type="http://schemas.openxmlformats.org/officeDocument/2006/relationships/hyperlink" Target="https://in.tradingview.com/chart/Cgv3Jm6J/?symbol=NSE%3AGOYALALUM" TargetMode="External"/><Relationship Id="rId708" Type="http://schemas.openxmlformats.org/officeDocument/2006/relationships/hyperlink" Target="https://in.tradingview.com/chart/Cgv3Jm6J/?symbol=NSE%3AGOPAL" TargetMode="External"/><Relationship Id="rId707" Type="http://schemas.openxmlformats.org/officeDocument/2006/relationships/hyperlink" Target="https://in.tradingview.com/chart/Cgv3Jm6J/?symbol=NSE%3AGOODLUCK" TargetMode="External"/><Relationship Id="rId706" Type="http://schemas.openxmlformats.org/officeDocument/2006/relationships/hyperlink" Target="https://in.tradingview.com/chart/Cgv3Jm6J/?symbol=NSE%3AGOLDTECH" TargetMode="External"/><Relationship Id="rId701" Type="http://schemas.openxmlformats.org/officeDocument/2006/relationships/hyperlink" Target="https://in.tradingview.com/chart/Cgv3Jm6J/?symbol=NSE%3AGOLDETF" TargetMode="External"/><Relationship Id="rId700" Type="http://schemas.openxmlformats.org/officeDocument/2006/relationships/hyperlink" Target="https://in.tradingview.com/chart/Cgv3Jm6J/?symbol=NSE%3AGOLDENTOBC" TargetMode="External"/><Relationship Id="rId705" Type="http://schemas.openxmlformats.org/officeDocument/2006/relationships/hyperlink" Target="https://in.tradingview.com/chart/Cgv3Jm6J/?symbol=NSE%3AGOLDSHARE" TargetMode="External"/><Relationship Id="rId704" Type="http://schemas.openxmlformats.org/officeDocument/2006/relationships/hyperlink" Target="https://in.tradingview.com/chart/Cgv3Jm6J/?symbol=NSE%3AGOLDIETF" TargetMode="External"/><Relationship Id="rId703" Type="http://schemas.openxmlformats.org/officeDocument/2006/relationships/hyperlink" Target="https://in.tradingview.com/chart/Cgv3Jm6J/?symbol=NSE%3AGOLDIAM" TargetMode="External"/><Relationship Id="rId702" Type="http://schemas.openxmlformats.org/officeDocument/2006/relationships/hyperlink" Target="https://in.tradingview.com/chart/Cgv3Jm6J/?symbol=NSE%3AGOLDETFADD" TargetMode="External"/><Relationship Id="rId1312" Type="http://schemas.openxmlformats.org/officeDocument/2006/relationships/hyperlink" Target="https://in.tradingview.com/chart/Cgv3Jm6J/?symbol=NSE%3AMOTHERSON" TargetMode="External"/><Relationship Id="rId1313" Type="http://schemas.openxmlformats.org/officeDocument/2006/relationships/hyperlink" Target="https://in.tradingview.com/chart/Cgv3Jm6J/?symbol=NSE%3AMOTILALOFS" TargetMode="External"/><Relationship Id="rId1314" Type="http://schemas.openxmlformats.org/officeDocument/2006/relationships/hyperlink" Target="https://in.tradingview.com/chart/Cgv3Jm6J/?symbol=NSE%3AMOTISONS" TargetMode="External"/><Relationship Id="rId1315" Type="http://schemas.openxmlformats.org/officeDocument/2006/relationships/hyperlink" Target="https://in.tradingview.com/chart/Cgv3Jm6J/?symbol=NSE%3AMOTOGENFIN" TargetMode="External"/><Relationship Id="rId1316" Type="http://schemas.openxmlformats.org/officeDocument/2006/relationships/hyperlink" Target="https://in.tradingview.com/chart/Cgv3Jm6J/?symbol=NSE%3AMOVALUE" TargetMode="External"/><Relationship Id="rId1317" Type="http://schemas.openxmlformats.org/officeDocument/2006/relationships/hyperlink" Target="https://in.tradingview.com/chart/Cgv3Jm6J/?symbol=NSE%3AMPHASIS" TargetMode="External"/><Relationship Id="rId1318" Type="http://schemas.openxmlformats.org/officeDocument/2006/relationships/hyperlink" Target="https://in.tradingview.com/chart/Cgv3Jm6J/?symbol=NSE%3AMPSLTD" TargetMode="External"/><Relationship Id="rId1319" Type="http://schemas.openxmlformats.org/officeDocument/2006/relationships/hyperlink" Target="https://in.tradingview.com/chart/Cgv3Jm6J/?symbol=NSE%3AMRF" TargetMode="External"/><Relationship Id="rId729" Type="http://schemas.openxmlformats.org/officeDocument/2006/relationships/hyperlink" Target="https://in.tradingview.com/chart/Cgv3Jm6J/?symbol=NSE%3AGROWWGOLD" TargetMode="External"/><Relationship Id="rId728" Type="http://schemas.openxmlformats.org/officeDocument/2006/relationships/hyperlink" Target="https://in.tradingview.com/chart/Cgv3Jm6J/?symbol=NSE%3AGROWWEV" TargetMode="External"/><Relationship Id="rId723" Type="http://schemas.openxmlformats.org/officeDocument/2006/relationships/hyperlink" Target="https://in.tradingview.com/chart/Cgv3Jm6J/?symbol=NSE%3AGRINDWELL" TargetMode="External"/><Relationship Id="rId722" Type="http://schemas.openxmlformats.org/officeDocument/2006/relationships/hyperlink" Target="https://in.tradingview.com/chart/Cgv3Jm6J/?symbol=NSE%3AGREENPOWER" TargetMode="External"/><Relationship Id="rId721" Type="http://schemas.openxmlformats.org/officeDocument/2006/relationships/hyperlink" Target="https://in.tradingview.com/chart/Cgv3Jm6J/?symbol=NSE%3AGREENPLY" TargetMode="External"/><Relationship Id="rId720" Type="http://schemas.openxmlformats.org/officeDocument/2006/relationships/hyperlink" Target="https://in.tradingview.com/chart/Cgv3Jm6J/?symbol=NSE%3AGREENPANEL" TargetMode="External"/><Relationship Id="rId727" Type="http://schemas.openxmlformats.org/officeDocument/2006/relationships/hyperlink" Target="https://in.tradingview.com/chart/Cgv3Jm6J/?symbol=NSE%3AGROWWDEFNC" TargetMode="External"/><Relationship Id="rId726" Type="http://schemas.openxmlformats.org/officeDocument/2006/relationships/hyperlink" Target="https://in.tradingview.com/chart/Cgv3Jm6J/?symbol=NSE%3AGROBTEA" TargetMode="External"/><Relationship Id="rId725" Type="http://schemas.openxmlformats.org/officeDocument/2006/relationships/hyperlink" Target="https://in.tradingview.com/chart/Cgv3Jm6J/?symbol=NSE%3AGRMOVER" TargetMode="External"/><Relationship Id="rId724" Type="http://schemas.openxmlformats.org/officeDocument/2006/relationships/hyperlink" Target="https://in.tradingview.com/chart/Cgv3Jm6J/?symbol=NSE%3AGRINFRA" TargetMode="External"/><Relationship Id="rId1310" Type="http://schemas.openxmlformats.org/officeDocument/2006/relationships/hyperlink" Target="https://in.tradingview.com/chart/Cgv3Jm6J/?symbol=NSE%3AMOSCHIP" TargetMode="External"/><Relationship Id="rId1311" Type="http://schemas.openxmlformats.org/officeDocument/2006/relationships/hyperlink" Target="https://in.tradingview.com/chart/Cgv3Jm6J/?symbol=NSE%3AMOSMALL250" TargetMode="External"/><Relationship Id="rId1301" Type="http://schemas.openxmlformats.org/officeDocument/2006/relationships/hyperlink" Target="https://in.tradingview.com/chart/Cgv3Jm6J/?symbol=NSE%3AMON100" TargetMode="External"/><Relationship Id="rId1302" Type="http://schemas.openxmlformats.org/officeDocument/2006/relationships/hyperlink" Target="https://in.tradingview.com/chart/Cgv3Jm6J/?symbol=NSE%3AMONARCH" TargetMode="External"/><Relationship Id="rId1303" Type="http://schemas.openxmlformats.org/officeDocument/2006/relationships/hyperlink" Target="https://in.tradingview.com/chart/Cgv3Jm6J/?symbol=NSE%3AMONIFTY500" TargetMode="External"/><Relationship Id="rId1304" Type="http://schemas.openxmlformats.org/officeDocument/2006/relationships/hyperlink" Target="https://in.tradingview.com/chart/Cgv3Jm6J/?symbol=NSE%3AMONQ50" TargetMode="External"/><Relationship Id="rId1305" Type="http://schemas.openxmlformats.org/officeDocument/2006/relationships/hyperlink" Target="https://in.tradingview.com/chart/Cgv3Jm6J/?symbol=NSE%3AMONTECARLO" TargetMode="External"/><Relationship Id="rId1306" Type="http://schemas.openxmlformats.org/officeDocument/2006/relationships/hyperlink" Target="https://in.tradingview.com/chart/Cgv3Jm6J/?symbol=NSE%3AMOQUALITY" TargetMode="External"/><Relationship Id="rId1307" Type="http://schemas.openxmlformats.org/officeDocument/2006/relationships/hyperlink" Target="https://in.tradingview.com/chart/Cgv3Jm6J/?symbol=NSE%3AMORARJEE" TargetMode="External"/><Relationship Id="rId1308" Type="http://schemas.openxmlformats.org/officeDocument/2006/relationships/hyperlink" Target="https://in.tradingview.com/chart/Cgv3Jm6J/?symbol=NSE%3AMOREALTY" TargetMode="External"/><Relationship Id="rId1309" Type="http://schemas.openxmlformats.org/officeDocument/2006/relationships/hyperlink" Target="https://in.tradingview.com/chart/Cgv3Jm6J/?symbol=NSE%3AMOREPENLAB" TargetMode="External"/><Relationship Id="rId719" Type="http://schemas.openxmlformats.org/officeDocument/2006/relationships/hyperlink" Target="https://in.tradingview.com/chart/Cgv3Jm6J/?symbol=NSE%3AGREENLAM" TargetMode="External"/><Relationship Id="rId718" Type="http://schemas.openxmlformats.org/officeDocument/2006/relationships/hyperlink" Target="https://in.tradingview.com/chart/Cgv3Jm6J/?symbol=NSE%3AGREAVESCOT" TargetMode="External"/><Relationship Id="rId717" Type="http://schemas.openxmlformats.org/officeDocument/2006/relationships/hyperlink" Target="https://in.tradingview.com/chart/Cgv3Jm6J/?symbol=NSE%3AGRAVITA" TargetMode="External"/><Relationship Id="rId712" Type="http://schemas.openxmlformats.org/officeDocument/2006/relationships/hyperlink" Target="https://in.tradingview.com/chart/Cgv3Jm6J/?symbol=NSE%3AGPTHEALTH" TargetMode="External"/><Relationship Id="rId711" Type="http://schemas.openxmlformats.org/officeDocument/2006/relationships/hyperlink" Target="https://in.tradingview.com/chart/Cgv3Jm6J/?symbol=NSE%3AGPPL" TargetMode="External"/><Relationship Id="rId710" Type="http://schemas.openxmlformats.org/officeDocument/2006/relationships/hyperlink" Target="https://in.tradingview.com/chart/Cgv3Jm6J/?symbol=NSE%3AGPIL" TargetMode="External"/><Relationship Id="rId716" Type="http://schemas.openxmlformats.org/officeDocument/2006/relationships/hyperlink" Target="https://in.tradingview.com/chart/Cgv3Jm6J/?symbol=NSE%3AGRASIM" TargetMode="External"/><Relationship Id="rId715" Type="http://schemas.openxmlformats.org/officeDocument/2006/relationships/hyperlink" Target="https://in.tradingview.com/chart/Cgv3Jm6J/?symbol=NSE%3AGRAPHITE" TargetMode="External"/><Relationship Id="rId714" Type="http://schemas.openxmlformats.org/officeDocument/2006/relationships/hyperlink" Target="https://in.tradingview.com/chart/Cgv3Jm6J/?symbol=NSE%3AGRANULES" TargetMode="External"/><Relationship Id="rId713" Type="http://schemas.openxmlformats.org/officeDocument/2006/relationships/hyperlink" Target="https://in.tradingview.com/chart/Cgv3Jm6J/?symbol=NSE%3AGPTINFRA" TargetMode="External"/><Relationship Id="rId1300" Type="http://schemas.openxmlformats.org/officeDocument/2006/relationships/hyperlink" Target="https://in.tradingview.com/chart/Cgv3Jm6J/?symbol=NSE%3AMOMOMENTUM" TargetMode="External"/><Relationship Id="rId1378" Type="http://schemas.openxmlformats.org/officeDocument/2006/relationships/hyperlink" Target="https://in.tradingview.com/chart/Cgv3Jm6J/?symbol=NSE%3ANETWEB" TargetMode="External"/><Relationship Id="rId1379" Type="http://schemas.openxmlformats.org/officeDocument/2006/relationships/hyperlink" Target="https://in.tradingview.com/chart/Cgv3Jm6J/?symbol=NSE%3ANETWORK18" TargetMode="External"/><Relationship Id="rId789" Type="http://schemas.openxmlformats.org/officeDocument/2006/relationships/hyperlink" Target="https://in.tradingview.com/chart/Cgv3Jm6J/?symbol=NSE%3AHDFCNIFIT" TargetMode="External"/><Relationship Id="rId788" Type="http://schemas.openxmlformats.org/officeDocument/2006/relationships/hyperlink" Target="https://in.tradingview.com/chart/Cgv3Jm6J/?symbol=NSE%3AHDFCNIFBAN" TargetMode="External"/><Relationship Id="rId787" Type="http://schemas.openxmlformats.org/officeDocument/2006/relationships/hyperlink" Target="https://in.tradingview.com/chart/Cgv3Jm6J/?symbol=NSE%3AHDFCNIF100" TargetMode="External"/><Relationship Id="rId786" Type="http://schemas.openxmlformats.org/officeDocument/2006/relationships/hyperlink" Target="https://in.tradingview.com/chart/Cgv3Jm6J/?symbol=NSE%3AHDFCNEXT50" TargetMode="External"/><Relationship Id="rId781" Type="http://schemas.openxmlformats.org/officeDocument/2006/relationships/hyperlink" Target="https://in.tradingview.com/chart/Cgv3Jm6J/?symbol=NSE%3AHDFCLIFE" TargetMode="External"/><Relationship Id="rId1370" Type="http://schemas.openxmlformats.org/officeDocument/2006/relationships/hyperlink" Target="https://in.tradingview.com/chart/Cgv3Jm6J/?symbol=NSE%3ANECCLTD" TargetMode="External"/><Relationship Id="rId780" Type="http://schemas.openxmlformats.org/officeDocument/2006/relationships/hyperlink" Target="https://in.tradingview.com/chart/Cgv3Jm6J/?symbol=NSE%3AHDFCGOLD" TargetMode="External"/><Relationship Id="rId1371" Type="http://schemas.openxmlformats.org/officeDocument/2006/relationships/hyperlink" Target="https://in.tradingview.com/chart/Cgv3Jm6J/?symbol=NSE%3ANECLIFE" TargetMode="External"/><Relationship Id="rId1372" Type="http://schemas.openxmlformats.org/officeDocument/2006/relationships/hyperlink" Target="https://in.tradingview.com/chart/Cgv3Jm6J/?symbol=NSE%3ANELCAST" TargetMode="External"/><Relationship Id="rId1373" Type="http://schemas.openxmlformats.org/officeDocument/2006/relationships/hyperlink" Target="https://in.tradingview.com/chart/Cgv3Jm6J/?symbol=NSE%3ANELCO" TargetMode="External"/><Relationship Id="rId785" Type="http://schemas.openxmlformats.org/officeDocument/2006/relationships/hyperlink" Target="https://in.tradingview.com/chart/Cgv3Jm6J/?symbol=NSE%3AHDFCMOMENT" TargetMode="External"/><Relationship Id="rId1374" Type="http://schemas.openxmlformats.org/officeDocument/2006/relationships/hyperlink" Target="https://in.tradingview.com/chart/Cgv3Jm6J/?symbol=NSE%3ANEOGEN" TargetMode="External"/><Relationship Id="rId784" Type="http://schemas.openxmlformats.org/officeDocument/2006/relationships/hyperlink" Target="https://in.tradingview.com/chart/Cgv3Jm6J/?symbol=NSE%3AHDFCMID150" TargetMode="External"/><Relationship Id="rId1375" Type="http://schemas.openxmlformats.org/officeDocument/2006/relationships/hyperlink" Target="https://in.tradingview.com/chart/Cgv3Jm6J/?symbol=NSE%3ANESCO" TargetMode="External"/><Relationship Id="rId783" Type="http://schemas.openxmlformats.org/officeDocument/2006/relationships/hyperlink" Target="https://in.tradingview.com/chart/Cgv3Jm6J/?symbol=NSE%3AHDFCLOWVOL" TargetMode="External"/><Relationship Id="rId1376" Type="http://schemas.openxmlformats.org/officeDocument/2006/relationships/hyperlink" Target="https://in.tradingview.com/chart/Cgv3Jm6J/?symbol=NSE%3ANESTLEIND" TargetMode="External"/><Relationship Id="rId782" Type="http://schemas.openxmlformats.org/officeDocument/2006/relationships/hyperlink" Target="https://in.tradingview.com/chart/Cgv3Jm6J/?symbol=NSE%3AHDFCLIQUID" TargetMode="External"/><Relationship Id="rId1377" Type="http://schemas.openxmlformats.org/officeDocument/2006/relationships/hyperlink" Target="https://in.tradingview.com/chart/Cgv3Jm6J/?symbol=NSE%3ANETF" TargetMode="External"/><Relationship Id="rId1367" Type="http://schemas.openxmlformats.org/officeDocument/2006/relationships/hyperlink" Target="https://in.tradingview.com/chart/Cgv3Jm6J/?symbol=NSE%3ANDLVENTURE" TargetMode="External"/><Relationship Id="rId1368" Type="http://schemas.openxmlformats.org/officeDocument/2006/relationships/hyperlink" Target="https://in.tradingview.com/chart/Cgv3Jm6J/?symbol=NSE%3ANDRAUTO" TargetMode="External"/><Relationship Id="rId1369" Type="http://schemas.openxmlformats.org/officeDocument/2006/relationships/hyperlink" Target="https://in.tradingview.com/chart/Cgv3Jm6J/?symbol=NSE%3ANDTV" TargetMode="External"/><Relationship Id="rId778" Type="http://schemas.openxmlformats.org/officeDocument/2006/relationships/hyperlink" Target="https://in.tradingview.com/chart/Cgv3Jm6J/?symbol=NSE%3AHDFCBANK" TargetMode="External"/><Relationship Id="rId777" Type="http://schemas.openxmlformats.org/officeDocument/2006/relationships/hyperlink" Target="https://in.tradingview.com/chart/Cgv3Jm6J/?symbol=NSE%3AHDFCAMC" TargetMode="External"/><Relationship Id="rId776" Type="http://schemas.openxmlformats.org/officeDocument/2006/relationships/hyperlink" Target="https://in.tradingview.com/chart/Cgv3Jm6J/?symbol=NSE%3AHCLTECH" TargetMode="External"/><Relationship Id="rId775" Type="http://schemas.openxmlformats.org/officeDocument/2006/relationships/hyperlink" Target="https://in.tradingview.com/chart/Cgv3Jm6J/?symbol=NSE%3AHCL_INSYS" TargetMode="External"/><Relationship Id="rId779" Type="http://schemas.openxmlformats.org/officeDocument/2006/relationships/hyperlink" Target="https://in.tradingview.com/chart/Cgv3Jm6J/?symbol=NSE%3AHDFCBSE500" TargetMode="External"/><Relationship Id="rId770" Type="http://schemas.openxmlformats.org/officeDocument/2006/relationships/hyperlink" Target="https://in.tradingview.com/chart/Cgv3Jm6J/?symbol=NSE%3AHAVISHA" TargetMode="External"/><Relationship Id="rId1360" Type="http://schemas.openxmlformats.org/officeDocument/2006/relationships/hyperlink" Target="https://in.tradingview.com/chart/Cgv3Jm6J/?symbol=NSE%3ANAZARA" TargetMode="External"/><Relationship Id="rId1361" Type="http://schemas.openxmlformats.org/officeDocument/2006/relationships/hyperlink" Target="https://in.tradingview.com/chart/Cgv3Jm6J/?symbol=NSE%3ANBCC" TargetMode="External"/><Relationship Id="rId1362" Type="http://schemas.openxmlformats.org/officeDocument/2006/relationships/hyperlink" Target="https://in.tradingview.com/chart/Cgv3Jm6J/?symbol=NSE%3ANBIFIN" TargetMode="External"/><Relationship Id="rId774" Type="http://schemas.openxmlformats.org/officeDocument/2006/relationships/hyperlink" Target="https://in.tradingview.com/chart/Cgv3Jm6J/?symbol=NSE%3AHCG" TargetMode="External"/><Relationship Id="rId1363" Type="http://schemas.openxmlformats.org/officeDocument/2006/relationships/hyperlink" Target="https://in.tradingview.com/chart/Cgv3Jm6J/?symbol=NSE%3ANCC" TargetMode="External"/><Relationship Id="rId773" Type="http://schemas.openxmlformats.org/officeDocument/2006/relationships/hyperlink" Target="https://in.tradingview.com/chart/Cgv3Jm6J/?symbol=NSE%3AHCC" TargetMode="External"/><Relationship Id="rId1364" Type="http://schemas.openxmlformats.org/officeDocument/2006/relationships/hyperlink" Target="https://in.tradingview.com/chart/Cgv3Jm6J/?symbol=NSE%3ANCLIND" TargetMode="External"/><Relationship Id="rId772" Type="http://schemas.openxmlformats.org/officeDocument/2006/relationships/hyperlink" Target="https://in.tradingview.com/chart/Cgv3Jm6J/?symbol=NSE%3AHBSL" TargetMode="External"/><Relationship Id="rId1365" Type="http://schemas.openxmlformats.org/officeDocument/2006/relationships/hyperlink" Target="https://in.tradingview.com/chart/Cgv3Jm6J/?symbol=NSE%3ANDGL" TargetMode="External"/><Relationship Id="rId771" Type="http://schemas.openxmlformats.org/officeDocument/2006/relationships/hyperlink" Target="https://in.tradingview.com/chart/Cgv3Jm6J/?symbol=NSE%3AHBLENGINE" TargetMode="External"/><Relationship Id="rId1366" Type="http://schemas.openxmlformats.org/officeDocument/2006/relationships/hyperlink" Target="https://in.tradingview.com/chart/Cgv3Jm6J/?symbol=NSE%3ANDL" TargetMode="External"/><Relationship Id="rId1390" Type="http://schemas.openxmlformats.org/officeDocument/2006/relationships/hyperlink" Target="https://in.tradingview.com/chart/Cgv3Jm6J/?symbol=NSE%3ANIACL" TargetMode="External"/><Relationship Id="rId1391" Type="http://schemas.openxmlformats.org/officeDocument/2006/relationships/hyperlink" Target="https://in.tradingview.com/chart/Cgv3Jm6J/?symbol=NSE%3ANIBE" TargetMode="External"/><Relationship Id="rId1392" Type="http://schemas.openxmlformats.org/officeDocument/2006/relationships/hyperlink" Target="https://in.tradingview.com/chart/Cgv3Jm6J/?symbol=NSE%3ANIBL" TargetMode="External"/><Relationship Id="rId1393" Type="http://schemas.openxmlformats.org/officeDocument/2006/relationships/hyperlink" Target="https://in.tradingview.com/chart/Cgv3Jm6J/?symbol=NSE%3ANIF100BEES" TargetMode="External"/><Relationship Id="rId1394" Type="http://schemas.openxmlformats.org/officeDocument/2006/relationships/hyperlink" Target="https://in.tradingview.com/chart/Cgv3Jm6J/?symbol=NSE%3ANIF100IETF" TargetMode="External"/><Relationship Id="rId1395" Type="http://schemas.openxmlformats.org/officeDocument/2006/relationships/hyperlink" Target="https://in.tradingview.com/chart/Cgv3Jm6J/?symbol=NSE%3ANIF10GETF" TargetMode="External"/><Relationship Id="rId1396" Type="http://schemas.openxmlformats.org/officeDocument/2006/relationships/hyperlink" Target="https://in.tradingview.com/chart/Cgv3Jm6J/?symbol=NSE%3ANIF5GETF" TargetMode="External"/><Relationship Id="rId1397" Type="http://schemas.openxmlformats.org/officeDocument/2006/relationships/hyperlink" Target="https://in.tradingview.com/chart/Cgv3Jm6J/?symbol=NSE%3ANIFITETF" TargetMode="External"/><Relationship Id="rId1398" Type="http://schemas.openxmlformats.org/officeDocument/2006/relationships/hyperlink" Target="https://in.tradingview.com/chart/Cgv3Jm6J/?symbol=NSE%3ANIFMID150" TargetMode="External"/><Relationship Id="rId1399" Type="http://schemas.openxmlformats.org/officeDocument/2006/relationships/hyperlink" Target="https://in.tradingview.com/chart/Cgv3Jm6J/?symbol=NSE%3ANIFTY1" TargetMode="External"/><Relationship Id="rId1389" Type="http://schemas.openxmlformats.org/officeDocument/2006/relationships/hyperlink" Target="https://in.tradingview.com/chart/Cgv3Jm6J/?symbol=NSE%3ANHPC" TargetMode="External"/><Relationship Id="rId799" Type="http://schemas.openxmlformats.org/officeDocument/2006/relationships/hyperlink" Target="https://in.tradingview.com/chart/Cgv3Jm6J/?symbol=NSE%3AHEADSUP" TargetMode="External"/><Relationship Id="rId798" Type="http://schemas.openxmlformats.org/officeDocument/2006/relationships/hyperlink" Target="https://in.tradingview.com/chart/Cgv3Jm6J/?symbol=NSE%3AHDIL" TargetMode="External"/><Relationship Id="rId797" Type="http://schemas.openxmlformats.org/officeDocument/2006/relationships/hyperlink" Target="https://in.tradingview.com/chart/Cgv3Jm6J/?symbol=NSE%3AHDFCVALUE" TargetMode="External"/><Relationship Id="rId1380" Type="http://schemas.openxmlformats.org/officeDocument/2006/relationships/hyperlink" Target="https://in.tradingview.com/chart/Cgv3Jm6J/?symbol=NSE%3ANEULANDLAB" TargetMode="External"/><Relationship Id="rId792" Type="http://schemas.openxmlformats.org/officeDocument/2006/relationships/hyperlink" Target="https://in.tradingview.com/chart/Cgv3Jm6J/?symbol=NSE%3AHDFCPVTBAN" TargetMode="External"/><Relationship Id="rId1381" Type="http://schemas.openxmlformats.org/officeDocument/2006/relationships/hyperlink" Target="https://in.tradingview.com/chart/Cgv3Jm6J/?symbol=NSE%3ANEWGEN" TargetMode="External"/><Relationship Id="rId791" Type="http://schemas.openxmlformats.org/officeDocument/2006/relationships/hyperlink" Target="https://in.tradingview.com/chart/Cgv3Jm6J/?symbol=NSE%3AHDFCPSUBK" TargetMode="External"/><Relationship Id="rId1382" Type="http://schemas.openxmlformats.org/officeDocument/2006/relationships/hyperlink" Target="https://in.tradingview.com/chart/Cgv3Jm6J/?symbol=NSE%3ANEXT30ADD" TargetMode="External"/><Relationship Id="rId790" Type="http://schemas.openxmlformats.org/officeDocument/2006/relationships/hyperlink" Target="https://in.tradingview.com/chart/Cgv3Jm6J/?symbol=NSE%3AHDFCNIFTY" TargetMode="External"/><Relationship Id="rId1383" Type="http://schemas.openxmlformats.org/officeDocument/2006/relationships/hyperlink" Target="https://in.tradingview.com/chart/Cgv3Jm6J/?symbol=NSE%3ANEXT50" TargetMode="External"/><Relationship Id="rId1384" Type="http://schemas.openxmlformats.org/officeDocument/2006/relationships/hyperlink" Target="https://in.tradingview.com/chart/Cgv3Jm6J/?symbol=NSE%3ANEXT50IETF" TargetMode="External"/><Relationship Id="rId796" Type="http://schemas.openxmlformats.org/officeDocument/2006/relationships/hyperlink" Target="https://in.tradingview.com/chart/Cgv3Jm6J/?symbol=NSE%3AHDFCSML250" TargetMode="External"/><Relationship Id="rId1385" Type="http://schemas.openxmlformats.org/officeDocument/2006/relationships/hyperlink" Target="https://in.tradingview.com/chart/Cgv3Jm6J/?symbol=NSE%3ANEXTMEDIA" TargetMode="External"/><Relationship Id="rId795" Type="http://schemas.openxmlformats.org/officeDocument/2006/relationships/hyperlink" Target="https://in.tradingview.com/chart/Cgv3Jm6J/?symbol=NSE%3AHDFCSILVER" TargetMode="External"/><Relationship Id="rId1386" Type="http://schemas.openxmlformats.org/officeDocument/2006/relationships/hyperlink" Target="https://in.tradingview.com/chart/Cgv3Jm6J/?symbol=NSE%3ANFL" TargetMode="External"/><Relationship Id="rId794" Type="http://schemas.openxmlformats.org/officeDocument/2006/relationships/hyperlink" Target="https://in.tradingview.com/chart/Cgv3Jm6J/?symbol=NSE%3AHDFCSENSEX" TargetMode="External"/><Relationship Id="rId1387" Type="http://schemas.openxmlformats.org/officeDocument/2006/relationships/hyperlink" Target="https://in.tradingview.com/chart/Cgv3Jm6J/?symbol=NSE%3ANGIL" TargetMode="External"/><Relationship Id="rId793" Type="http://schemas.openxmlformats.org/officeDocument/2006/relationships/hyperlink" Target="https://in.tradingview.com/chart/Cgv3Jm6J/?symbol=NSE%3AHDFCQUAL" TargetMode="External"/><Relationship Id="rId1388" Type="http://schemas.openxmlformats.org/officeDocument/2006/relationships/hyperlink" Target="https://in.tradingview.com/chart/Cgv3Jm6J/?symbol=NSE%3ANH" TargetMode="External"/><Relationship Id="rId1455" Type="http://schemas.openxmlformats.org/officeDocument/2006/relationships/hyperlink" Target="https://in.tradingview.com/chart/Cgv3Jm6J/?symbol=NSE%3AOMAXE" TargetMode="External"/><Relationship Id="rId1456" Type="http://schemas.openxmlformats.org/officeDocument/2006/relationships/hyperlink" Target="https://in.tradingview.com/chart/Cgv3Jm6J/?symbol=NSE%3AOMINFRAL" TargetMode="External"/><Relationship Id="rId1457" Type="http://schemas.openxmlformats.org/officeDocument/2006/relationships/hyperlink" Target="https://in.tradingview.com/chart/Cgv3Jm6J/?symbol=NSE%3AOMKARCHEM" TargetMode="External"/><Relationship Id="rId1458" Type="http://schemas.openxmlformats.org/officeDocument/2006/relationships/hyperlink" Target="https://in.tradingview.com/chart/Cgv3Jm6J/?symbol=NSE%3AONELIFECAP" TargetMode="External"/><Relationship Id="rId1459" Type="http://schemas.openxmlformats.org/officeDocument/2006/relationships/hyperlink" Target="https://in.tradingview.com/chart/Cgv3Jm6J/?symbol=NSE%3AONEPOINT" TargetMode="External"/><Relationship Id="rId629" Type="http://schemas.openxmlformats.org/officeDocument/2006/relationships/hyperlink" Target="https://in.tradingview.com/chart/Cgv3Jm6J/?symbol=NSE%3AGALAPREC" TargetMode="External"/><Relationship Id="rId624" Type="http://schemas.openxmlformats.org/officeDocument/2006/relationships/hyperlink" Target="https://in.tradingview.com/chart/Cgv3Jm6J/?symbol=NSE%3AFSL" TargetMode="External"/><Relationship Id="rId623" Type="http://schemas.openxmlformats.org/officeDocument/2006/relationships/hyperlink" Target="https://in.tradingview.com/chart/Cgv3Jm6J/?symbol=NSE%3AFSC" TargetMode="External"/><Relationship Id="rId622" Type="http://schemas.openxmlformats.org/officeDocument/2006/relationships/hyperlink" Target="https://in.tradingview.com/chart/Cgv3Jm6J/?symbol=NSE%3AFOSECOIND" TargetMode="External"/><Relationship Id="rId621" Type="http://schemas.openxmlformats.org/officeDocument/2006/relationships/hyperlink" Target="https://in.tradingview.com/chart/Cgv3Jm6J/?symbol=NSE%3AFORTIS" TargetMode="External"/><Relationship Id="rId628" Type="http://schemas.openxmlformats.org/officeDocument/2006/relationships/hyperlink" Target="https://in.tradingview.com/chart/Cgv3Jm6J/?symbol=NSE%3AGAIL" TargetMode="External"/><Relationship Id="rId627" Type="http://schemas.openxmlformats.org/officeDocument/2006/relationships/hyperlink" Target="https://in.tradingview.com/chart/Cgv3Jm6J/?symbol=NSE%3AGAEL" TargetMode="External"/><Relationship Id="rId626" Type="http://schemas.openxmlformats.org/officeDocument/2006/relationships/hyperlink" Target="https://in.tradingview.com/chart/Cgv3Jm6J/?symbol=NSE%3AGABRIEL" TargetMode="External"/><Relationship Id="rId625" Type="http://schemas.openxmlformats.org/officeDocument/2006/relationships/hyperlink" Target="https://in.tradingview.com/chart/Cgv3Jm6J/?symbol=NSE%3AFUSION" TargetMode="External"/><Relationship Id="rId1450" Type="http://schemas.openxmlformats.org/officeDocument/2006/relationships/hyperlink" Target="https://in.tradingview.com/chart/Cgv3Jm6J/?symbol=NSE%3AOILCOUNTUB" TargetMode="External"/><Relationship Id="rId620" Type="http://schemas.openxmlformats.org/officeDocument/2006/relationships/hyperlink" Target="https://in.tradingview.com/chart/Cgv3Jm6J/?symbol=NSE%3AFORCEMOT" TargetMode="External"/><Relationship Id="rId1451" Type="http://schemas.openxmlformats.org/officeDocument/2006/relationships/hyperlink" Target="https://in.tradingview.com/chart/Cgv3Jm6J/?symbol=NSE%3AOILIETF" TargetMode="External"/><Relationship Id="rId1452" Type="http://schemas.openxmlformats.org/officeDocument/2006/relationships/hyperlink" Target="https://in.tradingview.com/chart/Cgv3Jm6J/?symbol=NSE%3AOLAELEC" TargetMode="External"/><Relationship Id="rId1453" Type="http://schemas.openxmlformats.org/officeDocument/2006/relationships/hyperlink" Target="https://in.tradingview.com/chart/Cgv3Jm6J/?symbol=NSE%3AOLECTRA" TargetMode="External"/><Relationship Id="rId1454" Type="http://schemas.openxmlformats.org/officeDocument/2006/relationships/hyperlink" Target="https://in.tradingview.com/chart/Cgv3Jm6J/?symbol=NSE%3AOMAXAUTO" TargetMode="External"/><Relationship Id="rId1444" Type="http://schemas.openxmlformats.org/officeDocument/2006/relationships/hyperlink" Target="https://in.tradingview.com/chart/Cgv3Jm6J/?symbol=NSE%3AOBEROIRLTY" TargetMode="External"/><Relationship Id="rId1445" Type="http://schemas.openxmlformats.org/officeDocument/2006/relationships/hyperlink" Target="https://in.tradingview.com/chart/Cgv3Jm6J/?symbol=NSE%3AOCCL" TargetMode="External"/><Relationship Id="rId1446" Type="http://schemas.openxmlformats.org/officeDocument/2006/relationships/hyperlink" Target="https://in.tradingview.com/chart/Cgv3Jm6J/?symbol=NSE%3AOCCLLTD" TargetMode="External"/><Relationship Id="rId1447" Type="http://schemas.openxmlformats.org/officeDocument/2006/relationships/hyperlink" Target="https://in.tradingview.com/chart/Cgv3Jm6J/?symbol=NSE%3AODIGMA" TargetMode="External"/><Relationship Id="rId1448" Type="http://schemas.openxmlformats.org/officeDocument/2006/relationships/hyperlink" Target="https://in.tradingview.com/chart/Cgv3Jm6J/?symbol=NSE%3AOFSS" TargetMode="External"/><Relationship Id="rId1449" Type="http://schemas.openxmlformats.org/officeDocument/2006/relationships/hyperlink" Target="https://in.tradingview.com/chart/Cgv3Jm6J/?symbol=NSE%3AOIL" TargetMode="External"/><Relationship Id="rId619" Type="http://schemas.openxmlformats.org/officeDocument/2006/relationships/hyperlink" Target="https://in.tradingview.com/chart/Cgv3Jm6J/?symbol=NSE%3AFOODSIN" TargetMode="External"/><Relationship Id="rId618" Type="http://schemas.openxmlformats.org/officeDocument/2006/relationships/hyperlink" Target="https://in.tradingview.com/chart/Cgv3Jm6J/?symbol=NSE%3AFOCUS" TargetMode="External"/><Relationship Id="rId613" Type="http://schemas.openxmlformats.org/officeDocument/2006/relationships/hyperlink" Target="https://in.tradingview.com/chart/Cgv3Jm6J/?symbol=NSE%3AFLFL" TargetMode="External"/><Relationship Id="rId612" Type="http://schemas.openxmlformats.org/officeDocument/2006/relationships/hyperlink" Target="https://in.tradingview.com/chart/Cgv3Jm6J/?symbol=NSE%3AFLAIR" TargetMode="External"/><Relationship Id="rId611" Type="http://schemas.openxmlformats.org/officeDocument/2006/relationships/hyperlink" Target="https://in.tradingview.com/chart/Cgv3Jm6J/?symbol=NSE%3AFIVESTAR" TargetMode="External"/><Relationship Id="rId610" Type="http://schemas.openxmlformats.org/officeDocument/2006/relationships/hyperlink" Target="https://in.tradingview.com/chart/Cgv3Jm6J/?symbol=NSE%3AFIRSTCRY" TargetMode="External"/><Relationship Id="rId617" Type="http://schemas.openxmlformats.org/officeDocument/2006/relationships/hyperlink" Target="https://in.tradingview.com/chart/Cgv3Jm6J/?symbol=NSE%3AFMNL" TargetMode="External"/><Relationship Id="rId616" Type="http://schemas.openxmlformats.org/officeDocument/2006/relationships/hyperlink" Target="https://in.tradingview.com/chart/Cgv3Jm6J/?symbol=NSE%3AFMGOETZE" TargetMode="External"/><Relationship Id="rId615" Type="http://schemas.openxmlformats.org/officeDocument/2006/relationships/hyperlink" Target="https://in.tradingview.com/chart/Cgv3Jm6J/?symbol=NSE%3AFMCGIETF" TargetMode="External"/><Relationship Id="rId614" Type="http://schemas.openxmlformats.org/officeDocument/2006/relationships/hyperlink" Target="https://in.tradingview.com/chart/Cgv3Jm6J/?symbol=NSE%3AFLUOROCHEM" TargetMode="External"/><Relationship Id="rId1440" Type="http://schemas.openxmlformats.org/officeDocument/2006/relationships/hyperlink" Target="https://in.tradingview.com/chart/Cgv3Jm6J/?symbol=NSE%3ANV20IETF" TargetMode="External"/><Relationship Id="rId1441" Type="http://schemas.openxmlformats.org/officeDocument/2006/relationships/hyperlink" Target="https://in.tradingview.com/chart/Cgv3Jm6J/?symbol=NSE%3ANYKAA" TargetMode="External"/><Relationship Id="rId1442" Type="http://schemas.openxmlformats.org/officeDocument/2006/relationships/hyperlink" Target="https://in.tradingview.com/chart/Cgv3Jm6J/?symbol=NSE%3AOAL" TargetMode="External"/><Relationship Id="rId1443" Type="http://schemas.openxmlformats.org/officeDocument/2006/relationships/hyperlink" Target="https://in.tradingview.com/chart/Cgv3Jm6J/?symbol=NSE%3AOBCL" TargetMode="External"/><Relationship Id="rId1477" Type="http://schemas.openxmlformats.org/officeDocument/2006/relationships/hyperlink" Target="https://in.tradingview.com/chart/Cgv3Jm6J/?symbol=NSE%3AORIENTTECH" TargetMode="External"/><Relationship Id="rId1478" Type="http://schemas.openxmlformats.org/officeDocument/2006/relationships/hyperlink" Target="https://in.tradingview.com/chart/Cgv3Jm6J/?symbol=NSE%3AORISSAMINE" TargetMode="External"/><Relationship Id="rId1479" Type="http://schemas.openxmlformats.org/officeDocument/2006/relationships/hyperlink" Target="https://in.tradingview.com/chart/Cgv3Jm6J/?symbol=NSE%3AORTINGLOBE" TargetMode="External"/><Relationship Id="rId646" Type="http://schemas.openxmlformats.org/officeDocument/2006/relationships/hyperlink" Target="https://in.tradingview.com/chart/Cgv3Jm6J/?symbol=NSE%3AGEEKAYWIRE" TargetMode="External"/><Relationship Id="rId645" Type="http://schemas.openxmlformats.org/officeDocument/2006/relationships/hyperlink" Target="https://in.tradingview.com/chart/Cgv3Jm6J/?symbol=NSE%3AGEECEE" TargetMode="External"/><Relationship Id="rId644" Type="http://schemas.openxmlformats.org/officeDocument/2006/relationships/hyperlink" Target="https://in.tradingview.com/chart/Cgv3Jm6J/?symbol=NSE%3AGAYAPROJ" TargetMode="External"/><Relationship Id="rId643" Type="http://schemas.openxmlformats.org/officeDocument/2006/relationships/hyperlink" Target="https://in.tradingview.com/chart/Cgv3Jm6J/?symbol=NSE%3AGATEWAY" TargetMode="External"/><Relationship Id="rId649" Type="http://schemas.openxmlformats.org/officeDocument/2006/relationships/hyperlink" Target="https://in.tradingview.com/chart/Cgv3Jm6J/?symbol=NSE%3AGENSOL" TargetMode="External"/><Relationship Id="rId648" Type="http://schemas.openxmlformats.org/officeDocument/2006/relationships/hyperlink" Target="https://in.tradingview.com/chart/Cgv3Jm6J/?symbol=NSE%3AGENESYS" TargetMode="External"/><Relationship Id="rId647" Type="http://schemas.openxmlformats.org/officeDocument/2006/relationships/hyperlink" Target="https://in.tradingview.com/chart/Cgv3Jm6J/?symbol=NSE%3AGENCON" TargetMode="External"/><Relationship Id="rId1470" Type="http://schemas.openxmlformats.org/officeDocument/2006/relationships/hyperlink" Target="https://in.tradingview.com/chart/Cgv3Jm6J/?symbol=NSE%3AORIENTBELL" TargetMode="External"/><Relationship Id="rId1471" Type="http://schemas.openxmlformats.org/officeDocument/2006/relationships/hyperlink" Target="https://in.tradingview.com/chart/Cgv3Jm6J/?symbol=NSE%3AORIENTCEM" TargetMode="External"/><Relationship Id="rId1472" Type="http://schemas.openxmlformats.org/officeDocument/2006/relationships/hyperlink" Target="https://in.tradingview.com/chart/Cgv3Jm6J/?symbol=NSE%3AORIENTCER" TargetMode="External"/><Relationship Id="rId642" Type="http://schemas.openxmlformats.org/officeDocument/2006/relationships/hyperlink" Target="https://in.tradingview.com/chart/Cgv3Jm6J/?symbol=NSE%3AGATECHDVR" TargetMode="External"/><Relationship Id="rId1473" Type="http://schemas.openxmlformats.org/officeDocument/2006/relationships/hyperlink" Target="https://in.tradingview.com/chart/Cgv3Jm6J/?symbol=NSE%3AORIENTELEC" TargetMode="External"/><Relationship Id="rId641" Type="http://schemas.openxmlformats.org/officeDocument/2006/relationships/hyperlink" Target="https://in.tradingview.com/chart/Cgv3Jm6J/?symbol=NSE%3AGATECH" TargetMode="External"/><Relationship Id="rId1474" Type="http://schemas.openxmlformats.org/officeDocument/2006/relationships/hyperlink" Target="https://in.tradingview.com/chart/Cgv3Jm6J/?symbol=NSE%3AORIENTHOT" TargetMode="External"/><Relationship Id="rId640" Type="http://schemas.openxmlformats.org/officeDocument/2006/relationships/hyperlink" Target="https://in.tradingview.com/chart/Cgv3Jm6J/?symbol=NSE%3AGARUDA" TargetMode="External"/><Relationship Id="rId1475" Type="http://schemas.openxmlformats.org/officeDocument/2006/relationships/hyperlink" Target="https://in.tradingview.com/chart/Cgv3Jm6J/?symbol=NSE%3AORIENTLTD" TargetMode="External"/><Relationship Id="rId1476" Type="http://schemas.openxmlformats.org/officeDocument/2006/relationships/hyperlink" Target="https://in.tradingview.com/chart/Cgv3Jm6J/?symbol=NSE%3AORIENTPPR" TargetMode="External"/><Relationship Id="rId1466" Type="http://schemas.openxmlformats.org/officeDocument/2006/relationships/hyperlink" Target="https://in.tradingview.com/chart/Cgv3Jm6J/?symbol=NSE%3AORCHASP" TargetMode="External"/><Relationship Id="rId1467" Type="http://schemas.openxmlformats.org/officeDocument/2006/relationships/hyperlink" Target="https://in.tradingview.com/chart/Cgv3Jm6J/?symbol=NSE%3AORCHPHARMA" TargetMode="External"/><Relationship Id="rId1468" Type="http://schemas.openxmlformats.org/officeDocument/2006/relationships/hyperlink" Target="https://in.tradingview.com/chart/Cgv3Jm6J/?symbol=NSE%3AORICONENT" TargetMode="External"/><Relationship Id="rId1469" Type="http://schemas.openxmlformats.org/officeDocument/2006/relationships/hyperlink" Target="https://in.tradingview.com/chart/Cgv3Jm6J/?symbol=NSE%3AORIENTALTL" TargetMode="External"/><Relationship Id="rId635" Type="http://schemas.openxmlformats.org/officeDocument/2006/relationships/hyperlink" Target="https://in.tradingview.com/chart/Cgv3Jm6J/?symbol=NSE%3AGANESHBE" TargetMode="External"/><Relationship Id="rId634" Type="http://schemas.openxmlformats.org/officeDocument/2006/relationships/hyperlink" Target="https://in.tradingview.com/chart/Cgv3Jm6J/?symbol=NSE%3AGANECOS" TargetMode="External"/><Relationship Id="rId633" Type="http://schemas.openxmlformats.org/officeDocument/2006/relationships/hyperlink" Target="https://in.tradingview.com/chart/Cgv3Jm6J/?symbol=NSE%3AGANDHITUBE" TargetMode="External"/><Relationship Id="rId632" Type="http://schemas.openxmlformats.org/officeDocument/2006/relationships/hyperlink" Target="https://in.tradingview.com/chart/Cgv3Jm6J/?symbol=NSE%3AGANDHAR" TargetMode="External"/><Relationship Id="rId639" Type="http://schemas.openxmlformats.org/officeDocument/2006/relationships/hyperlink" Target="https://in.tradingview.com/chart/Cgv3Jm6J/?symbol=NSE%3AGARFIBRES" TargetMode="External"/><Relationship Id="rId638" Type="http://schemas.openxmlformats.org/officeDocument/2006/relationships/hyperlink" Target="https://in.tradingview.com/chart/Cgv3Jm6J/?symbol=NSE%3AGANGESSECU" TargetMode="External"/><Relationship Id="rId637" Type="http://schemas.openxmlformats.org/officeDocument/2006/relationships/hyperlink" Target="https://in.tradingview.com/chart/Cgv3Jm6J/?symbol=NSE%3AGANGAFORGE" TargetMode="External"/><Relationship Id="rId636" Type="http://schemas.openxmlformats.org/officeDocument/2006/relationships/hyperlink" Target="https://in.tradingview.com/chart/Cgv3Jm6J/?symbol=NSE%3AGANESHHOUC" TargetMode="External"/><Relationship Id="rId1460" Type="http://schemas.openxmlformats.org/officeDocument/2006/relationships/hyperlink" Target="https://in.tradingview.com/chart/Cgv3Jm6J/?symbol=NSE%3AONESOURCE" TargetMode="External"/><Relationship Id="rId1461" Type="http://schemas.openxmlformats.org/officeDocument/2006/relationships/hyperlink" Target="https://in.tradingview.com/chart/Cgv3Jm6J/?symbol=NSE%3AONGC" TargetMode="External"/><Relationship Id="rId631" Type="http://schemas.openxmlformats.org/officeDocument/2006/relationships/hyperlink" Target="https://in.tradingview.com/chart/Cgv3Jm6J/?symbol=NSE%3AGALLANTT" TargetMode="External"/><Relationship Id="rId1462" Type="http://schemas.openxmlformats.org/officeDocument/2006/relationships/hyperlink" Target="https://in.tradingview.com/chart/Cgv3Jm6J/?symbol=NSE%3AONMOBILE" TargetMode="External"/><Relationship Id="rId630" Type="http://schemas.openxmlformats.org/officeDocument/2006/relationships/hyperlink" Target="https://in.tradingview.com/chart/Cgv3Jm6J/?symbol=NSE%3AGALAXYSURF" TargetMode="External"/><Relationship Id="rId1463" Type="http://schemas.openxmlformats.org/officeDocument/2006/relationships/hyperlink" Target="https://in.tradingview.com/chart/Cgv3Jm6J/?symbol=NSE%3AONWARDTEC" TargetMode="External"/><Relationship Id="rId1464" Type="http://schemas.openxmlformats.org/officeDocument/2006/relationships/hyperlink" Target="https://in.tradingview.com/chart/Cgv3Jm6J/?symbol=NSE%3AOPTIEMUS" TargetMode="External"/><Relationship Id="rId1465" Type="http://schemas.openxmlformats.org/officeDocument/2006/relationships/hyperlink" Target="https://in.tradingview.com/chart/Cgv3Jm6J/?symbol=NSE%3AORBTEXP" TargetMode="External"/><Relationship Id="rId1411" Type="http://schemas.openxmlformats.org/officeDocument/2006/relationships/hyperlink" Target="https://in.tradingview.com/chart/Cgv3Jm6J/?symbol=NSE%3ANINSYS" TargetMode="External"/><Relationship Id="rId1412" Type="http://schemas.openxmlformats.org/officeDocument/2006/relationships/hyperlink" Target="https://in.tradingview.com/chart/Cgv3Jm6J/?symbol=NSE%3ANIPPOBATRY" TargetMode="External"/><Relationship Id="rId1413" Type="http://schemas.openxmlformats.org/officeDocument/2006/relationships/hyperlink" Target="https://in.tradingview.com/chart/Cgv3Jm6J/?symbol=NSE%3ANIRAJ" TargetMode="External"/><Relationship Id="rId1414" Type="http://schemas.openxmlformats.org/officeDocument/2006/relationships/hyperlink" Target="https://in.tradingview.com/chart/Cgv3Jm6J/?symbol=NSE%3ANITCO" TargetMode="External"/><Relationship Id="rId1415" Type="http://schemas.openxmlformats.org/officeDocument/2006/relationships/hyperlink" Target="https://in.tradingview.com/chart/Cgv3Jm6J/?symbol=NSE%3ANITINSPIN" TargetMode="External"/><Relationship Id="rId1416" Type="http://schemas.openxmlformats.org/officeDocument/2006/relationships/hyperlink" Target="https://in.tradingview.com/chart/Cgv3Jm6J/?symbol=NSE%3ANITIRAJ" TargetMode="External"/><Relationship Id="rId1417" Type="http://schemas.openxmlformats.org/officeDocument/2006/relationships/hyperlink" Target="https://in.tradingview.com/chart/Cgv3Jm6J/?symbol=NSE%3ANIVABUPA" TargetMode="External"/><Relationship Id="rId1418" Type="http://schemas.openxmlformats.org/officeDocument/2006/relationships/hyperlink" Target="https://in.tradingview.com/chart/Cgv3Jm6J/?symbol=NSE%3ANKIND" TargetMode="External"/><Relationship Id="rId1419" Type="http://schemas.openxmlformats.org/officeDocument/2006/relationships/hyperlink" Target="https://in.tradingview.com/chart/Cgv3Jm6J/?symbol=NSE%3ANLCINDIA" TargetMode="External"/><Relationship Id="rId1410" Type="http://schemas.openxmlformats.org/officeDocument/2006/relationships/hyperlink" Target="https://in.tradingview.com/chart/Cgv3Jm6J/?symbol=NSE%3ANILKAMAL" TargetMode="External"/><Relationship Id="rId1400" Type="http://schemas.openxmlformats.org/officeDocument/2006/relationships/hyperlink" Target="https://in.tradingview.com/chart/Cgv3Jm6J/?symbol=NSE%3ANIFTY100EW" TargetMode="External"/><Relationship Id="rId1401" Type="http://schemas.openxmlformats.org/officeDocument/2006/relationships/hyperlink" Target="https://in.tradingview.com/chart/Cgv3Jm6J/?symbol=NSE%3ANIFTY50ADD" TargetMode="External"/><Relationship Id="rId1402" Type="http://schemas.openxmlformats.org/officeDocument/2006/relationships/hyperlink" Target="https://in.tradingview.com/chart/Cgv3Jm6J/?symbol=NSE%3ANIFTYBEES" TargetMode="External"/><Relationship Id="rId1403" Type="http://schemas.openxmlformats.org/officeDocument/2006/relationships/hyperlink" Target="https://in.tradingview.com/chart/Cgv3Jm6J/?symbol=NSE%3ANIFTYBETF" TargetMode="External"/><Relationship Id="rId1404" Type="http://schemas.openxmlformats.org/officeDocument/2006/relationships/hyperlink" Target="https://in.tradingview.com/chart/Cgv3Jm6J/?symbol=NSE%3ANIFTYETF" TargetMode="External"/><Relationship Id="rId1405" Type="http://schemas.openxmlformats.org/officeDocument/2006/relationships/hyperlink" Target="https://in.tradingview.com/chart/Cgv3Jm6J/?symbol=NSE%3ANIFTYIETF" TargetMode="External"/><Relationship Id="rId1406" Type="http://schemas.openxmlformats.org/officeDocument/2006/relationships/hyperlink" Target="https://in.tradingview.com/chart/Cgv3Jm6J/?symbol=NSE%3ANIFTYQLITY" TargetMode="External"/><Relationship Id="rId1407" Type="http://schemas.openxmlformats.org/officeDocument/2006/relationships/hyperlink" Target="https://in.tradingview.com/chart/Cgv3Jm6J/?symbol=NSE%3ANIITLTD" TargetMode="External"/><Relationship Id="rId1408" Type="http://schemas.openxmlformats.org/officeDocument/2006/relationships/hyperlink" Target="https://in.tradingview.com/chart/Cgv3Jm6J/?symbol=NSE%3ANIITMTS" TargetMode="External"/><Relationship Id="rId1409" Type="http://schemas.openxmlformats.org/officeDocument/2006/relationships/hyperlink" Target="https://in.tradingview.com/chart/Cgv3Jm6J/?symbol=NSE%3ANILAINFRA" TargetMode="External"/><Relationship Id="rId1433" Type="http://schemas.openxmlformats.org/officeDocument/2006/relationships/hyperlink" Target="https://in.tradingview.com/chart/Cgv3Jm6J/?symbol=NSE%3ANTPCGREEN" TargetMode="External"/><Relationship Id="rId1434" Type="http://schemas.openxmlformats.org/officeDocument/2006/relationships/hyperlink" Target="https://in.tradingview.com/chart/Cgv3Jm6J/?symbol=NSE%3ANUCLEUS" TargetMode="External"/><Relationship Id="rId1435" Type="http://schemas.openxmlformats.org/officeDocument/2006/relationships/hyperlink" Target="https://in.tradingview.com/chart/Cgv3Jm6J/?symbol=NSE%3ANURECA" TargetMode="External"/><Relationship Id="rId1436" Type="http://schemas.openxmlformats.org/officeDocument/2006/relationships/hyperlink" Target="https://in.tradingview.com/chart/Cgv3Jm6J/?symbol=NSE%3ANUVAMA" TargetMode="External"/><Relationship Id="rId1437" Type="http://schemas.openxmlformats.org/officeDocument/2006/relationships/hyperlink" Target="https://in.tradingview.com/chart/Cgv3Jm6J/?symbol=NSE%3ANUVOCO" TargetMode="External"/><Relationship Id="rId1438" Type="http://schemas.openxmlformats.org/officeDocument/2006/relationships/hyperlink" Target="https://in.tradingview.com/chart/Cgv3Jm6J/?symbol=NSE%3ANV20" TargetMode="External"/><Relationship Id="rId1439" Type="http://schemas.openxmlformats.org/officeDocument/2006/relationships/hyperlink" Target="https://in.tradingview.com/chart/Cgv3Jm6J/?symbol=NSE%3ANV20BEES" TargetMode="External"/><Relationship Id="rId609" Type="http://schemas.openxmlformats.org/officeDocument/2006/relationships/hyperlink" Target="https://in.tradingview.com/chart/Cgv3Jm6J/?symbol=NSE%3AFINPIPE" TargetMode="External"/><Relationship Id="rId608" Type="http://schemas.openxmlformats.org/officeDocument/2006/relationships/hyperlink" Target="https://in.tradingview.com/chart/Cgv3Jm6J/?symbol=NSE%3AFINOPB" TargetMode="External"/><Relationship Id="rId607" Type="http://schemas.openxmlformats.org/officeDocument/2006/relationships/hyperlink" Target="https://in.tradingview.com/chart/Cgv3Jm6J/?symbol=NSE%3AFINIETF" TargetMode="External"/><Relationship Id="rId602" Type="http://schemas.openxmlformats.org/officeDocument/2006/relationships/hyperlink" Target="https://in.tradingview.com/chart/Cgv3Jm6J/?symbol=NSE%3AFIEMIND" TargetMode="External"/><Relationship Id="rId601" Type="http://schemas.openxmlformats.org/officeDocument/2006/relationships/hyperlink" Target="https://in.tradingview.com/chart/Cgv3Jm6J/?symbol=NSE%3AFIBERWEB" TargetMode="External"/><Relationship Id="rId600" Type="http://schemas.openxmlformats.org/officeDocument/2006/relationships/hyperlink" Target="https://in.tradingview.com/chart/Cgv3Jm6J/?symbol=NSE%3AFELDVR" TargetMode="External"/><Relationship Id="rId606" Type="http://schemas.openxmlformats.org/officeDocument/2006/relationships/hyperlink" Target="https://in.tradingview.com/chart/Cgv3Jm6J/?symbol=NSE%3AFINEORG" TargetMode="External"/><Relationship Id="rId605" Type="http://schemas.openxmlformats.org/officeDocument/2006/relationships/hyperlink" Target="https://in.tradingview.com/chart/Cgv3Jm6J/?symbol=NSE%3AFINCABLES" TargetMode="External"/><Relationship Id="rId604" Type="http://schemas.openxmlformats.org/officeDocument/2006/relationships/hyperlink" Target="https://in.tradingview.com/chart/Cgv3Jm6J/?symbol=NSE%3AFILATFASH" TargetMode="External"/><Relationship Id="rId603" Type="http://schemas.openxmlformats.org/officeDocument/2006/relationships/hyperlink" Target="https://in.tradingview.com/chart/Cgv3Jm6J/?symbol=NSE%3AFILATEX" TargetMode="External"/><Relationship Id="rId1430" Type="http://schemas.openxmlformats.org/officeDocument/2006/relationships/hyperlink" Target="https://in.tradingview.com/chart/Cgv3Jm6J/?symbol=NSE%3ANSIL" TargetMode="External"/><Relationship Id="rId1431" Type="http://schemas.openxmlformats.org/officeDocument/2006/relationships/hyperlink" Target="https://in.tradingview.com/chart/Cgv3Jm6J/?symbol=NSE%3ANSLNISP" TargetMode="External"/><Relationship Id="rId1432" Type="http://schemas.openxmlformats.org/officeDocument/2006/relationships/hyperlink" Target="https://in.tradingview.com/chart/Cgv3Jm6J/?symbol=NSE%3ANTPC" TargetMode="External"/><Relationship Id="rId1422" Type="http://schemas.openxmlformats.org/officeDocument/2006/relationships/hyperlink" Target="https://in.tradingview.com/chart/Cgv3Jm6J/?symbol=NSE%3ANOIDATOLL" TargetMode="External"/><Relationship Id="rId1423" Type="http://schemas.openxmlformats.org/officeDocument/2006/relationships/hyperlink" Target="https://in.tradingview.com/chart/Cgv3Jm6J/?symbol=NSE%3ANORBTEAEXP" TargetMode="External"/><Relationship Id="rId1424" Type="http://schemas.openxmlformats.org/officeDocument/2006/relationships/hyperlink" Target="https://in.tradingview.com/chart/Cgv3Jm6J/?symbol=NSE%3ANORTHARC" TargetMode="External"/><Relationship Id="rId1425" Type="http://schemas.openxmlformats.org/officeDocument/2006/relationships/hyperlink" Target="https://in.tradingview.com/chart/Cgv3Jm6J/?symbol=NSE%3ANOVAAGRI" TargetMode="External"/><Relationship Id="rId1426" Type="http://schemas.openxmlformats.org/officeDocument/2006/relationships/hyperlink" Target="https://in.tradingview.com/chart/Cgv3Jm6J/?symbol=NSE%3ANPBET" TargetMode="External"/><Relationship Id="rId1427" Type="http://schemas.openxmlformats.org/officeDocument/2006/relationships/hyperlink" Target="https://in.tradingview.com/chart/Cgv3Jm6J/?symbol=NSE%3ANRAIL" TargetMode="External"/><Relationship Id="rId1428" Type="http://schemas.openxmlformats.org/officeDocument/2006/relationships/hyperlink" Target="https://in.tradingview.com/chart/Cgv3Jm6J/?symbol=NSE%3ANRBBEARING" TargetMode="External"/><Relationship Id="rId1429" Type="http://schemas.openxmlformats.org/officeDocument/2006/relationships/hyperlink" Target="https://in.tradingview.com/chart/Cgv3Jm6J/?symbol=NSE%3ANRL" TargetMode="External"/><Relationship Id="rId1420" Type="http://schemas.openxmlformats.org/officeDocument/2006/relationships/hyperlink" Target="https://in.tradingview.com/chart/Cgv3Jm6J/?symbol=NSE%3ANMDC" TargetMode="External"/><Relationship Id="rId1421" Type="http://schemas.openxmlformats.org/officeDocument/2006/relationships/hyperlink" Target="https://in.tradingview.com/chart/Cgv3Jm6J/?symbol=NSE%3ANOCIL" TargetMode="External"/><Relationship Id="rId699" Type="http://schemas.openxmlformats.org/officeDocument/2006/relationships/hyperlink" Target="https://in.tradingview.com/chart/Cgv3Jm6J/?symbol=NSE%3AGOLDCASE" TargetMode="External"/><Relationship Id="rId698" Type="http://schemas.openxmlformats.org/officeDocument/2006/relationships/hyperlink" Target="https://in.tradingview.com/chart/Cgv3Jm6J/?symbol=NSE%3AGOLDBEES" TargetMode="External"/><Relationship Id="rId693" Type="http://schemas.openxmlformats.org/officeDocument/2006/relationships/hyperlink" Target="https://in.tradingview.com/chart/Cgv3Jm6J/?symbol=NSE%3AGOENKA" TargetMode="External"/><Relationship Id="rId692" Type="http://schemas.openxmlformats.org/officeDocument/2006/relationships/hyperlink" Target="https://in.tradingview.com/chart/Cgv3Jm6J/?symbol=NSE%3AGODREJPROP" TargetMode="External"/><Relationship Id="rId691" Type="http://schemas.openxmlformats.org/officeDocument/2006/relationships/hyperlink" Target="https://in.tradingview.com/chart/Cgv3Jm6J/?symbol=NSE%3AGODREJIND" TargetMode="External"/><Relationship Id="rId690" Type="http://schemas.openxmlformats.org/officeDocument/2006/relationships/hyperlink" Target="https://in.tradingview.com/chart/Cgv3Jm6J/?symbol=NSE%3AGODREJCP" TargetMode="External"/><Relationship Id="rId697" Type="http://schemas.openxmlformats.org/officeDocument/2006/relationships/hyperlink" Target="https://in.tradingview.com/chart/Cgv3Jm6J/?symbol=NSE%3AGOLD1" TargetMode="External"/><Relationship Id="rId696" Type="http://schemas.openxmlformats.org/officeDocument/2006/relationships/hyperlink" Target="https://in.tradingview.com/chart/Cgv3Jm6J/?symbol=NSE%3AGOKULAGRO" TargetMode="External"/><Relationship Id="rId695" Type="http://schemas.openxmlformats.org/officeDocument/2006/relationships/hyperlink" Target="https://in.tradingview.com/chart/Cgv3Jm6J/?symbol=NSE%3AGOKUL" TargetMode="External"/><Relationship Id="rId694" Type="http://schemas.openxmlformats.org/officeDocument/2006/relationships/hyperlink" Target="https://in.tradingview.com/chart/Cgv3Jm6J/?symbol=NSE%3AGOKEX" TargetMode="External"/><Relationship Id="rId1499" Type="http://schemas.openxmlformats.org/officeDocument/2006/relationships/hyperlink" Target="https://in.tradingview.com/chart/Cgv3Jm6J/?symbol=NSE%3APARSVNATH" TargetMode="External"/><Relationship Id="rId668" Type="http://schemas.openxmlformats.org/officeDocument/2006/relationships/hyperlink" Target="https://in.tradingview.com/chart/Cgv3Jm6J/?symbol=NSE%3AGLENMARK" TargetMode="External"/><Relationship Id="rId667" Type="http://schemas.openxmlformats.org/officeDocument/2006/relationships/hyperlink" Target="https://in.tradingview.com/chart/Cgv3Jm6J/?symbol=NSE%3AGLAXO" TargetMode="External"/><Relationship Id="rId666" Type="http://schemas.openxmlformats.org/officeDocument/2006/relationships/hyperlink" Target="https://in.tradingview.com/chart/Cgv3Jm6J/?symbol=NSE%3AGLAND" TargetMode="External"/><Relationship Id="rId665" Type="http://schemas.openxmlformats.org/officeDocument/2006/relationships/hyperlink" Target="https://in.tradingview.com/chart/Cgv3Jm6J/?symbol=NSE%3AGKWLIMITED" TargetMode="External"/><Relationship Id="rId669" Type="http://schemas.openxmlformats.org/officeDocument/2006/relationships/hyperlink" Target="https://in.tradingview.com/chart/Cgv3Jm6J/?symbol=NSE%3AGLFL" TargetMode="External"/><Relationship Id="rId1490" Type="http://schemas.openxmlformats.org/officeDocument/2006/relationships/hyperlink" Target="https://in.tradingview.com/chart/Cgv3Jm6J/?symbol=NSE%3APANACHE" TargetMode="External"/><Relationship Id="rId660" Type="http://schemas.openxmlformats.org/officeDocument/2006/relationships/hyperlink" Target="https://in.tradingview.com/chart/Cgv3Jm6J/?symbol=NSE%3AGILLANDERS" TargetMode="External"/><Relationship Id="rId1491" Type="http://schemas.openxmlformats.org/officeDocument/2006/relationships/hyperlink" Target="https://in.tradingview.com/chart/Cgv3Jm6J/?symbol=NSE%3APANAMAPET" TargetMode="External"/><Relationship Id="rId1492" Type="http://schemas.openxmlformats.org/officeDocument/2006/relationships/hyperlink" Target="https://in.tradingview.com/chart/Cgv3Jm6J/?symbol=NSE%3APAR" TargetMode="External"/><Relationship Id="rId1493" Type="http://schemas.openxmlformats.org/officeDocument/2006/relationships/hyperlink" Target="https://in.tradingview.com/chart/Cgv3Jm6J/?symbol=NSE%3APARACABLES" TargetMode="External"/><Relationship Id="rId1494" Type="http://schemas.openxmlformats.org/officeDocument/2006/relationships/hyperlink" Target="https://in.tradingview.com/chart/Cgv3Jm6J/?symbol=NSE%3APARADEEP" TargetMode="External"/><Relationship Id="rId664" Type="http://schemas.openxmlformats.org/officeDocument/2006/relationships/hyperlink" Target="https://in.tradingview.com/chart/Cgv3Jm6J/?symbol=NSE%3AGIPCL" TargetMode="External"/><Relationship Id="rId1495" Type="http://schemas.openxmlformats.org/officeDocument/2006/relationships/hyperlink" Target="https://in.tradingview.com/chart/Cgv3Jm6J/?symbol=NSE%3APARAGMILK" TargetMode="External"/><Relationship Id="rId663" Type="http://schemas.openxmlformats.org/officeDocument/2006/relationships/hyperlink" Target="https://in.tradingview.com/chart/Cgv3Jm6J/?symbol=NSE%3AGINNIFILA" TargetMode="External"/><Relationship Id="rId1496" Type="http://schemas.openxmlformats.org/officeDocument/2006/relationships/hyperlink" Target="https://in.tradingview.com/chart/Cgv3Jm6J/?symbol=NSE%3APARAS" TargetMode="External"/><Relationship Id="rId662" Type="http://schemas.openxmlformats.org/officeDocument/2006/relationships/hyperlink" Target="https://in.tradingview.com/chart/Cgv3Jm6J/?symbol=NSE%3AGILT5YBEES" TargetMode="External"/><Relationship Id="rId1497" Type="http://schemas.openxmlformats.org/officeDocument/2006/relationships/hyperlink" Target="https://in.tradingview.com/chart/Cgv3Jm6J/?symbol=NSE%3APARASPETRO" TargetMode="External"/><Relationship Id="rId661" Type="http://schemas.openxmlformats.org/officeDocument/2006/relationships/hyperlink" Target="https://in.tradingview.com/chart/Cgv3Jm6J/?symbol=NSE%3AGILLETTE" TargetMode="External"/><Relationship Id="rId1498" Type="http://schemas.openxmlformats.org/officeDocument/2006/relationships/hyperlink" Target="https://in.tradingview.com/chart/Cgv3Jm6J/?symbol=NSE%3APARKHOTELS" TargetMode="External"/><Relationship Id="rId1488" Type="http://schemas.openxmlformats.org/officeDocument/2006/relationships/hyperlink" Target="https://in.tradingview.com/chart/Cgv3Jm6J/?symbol=NSE%3APALREDTEC" TargetMode="External"/><Relationship Id="rId1489" Type="http://schemas.openxmlformats.org/officeDocument/2006/relationships/hyperlink" Target="https://in.tradingview.com/chart/Cgv3Jm6J/?symbol=NSE%3APANACEABIO" TargetMode="External"/><Relationship Id="rId657" Type="http://schemas.openxmlformats.org/officeDocument/2006/relationships/hyperlink" Target="https://in.tradingview.com/chart/Cgv3Jm6J/?symbol=NSE%3AGHCLTEXTIL" TargetMode="External"/><Relationship Id="rId656" Type="http://schemas.openxmlformats.org/officeDocument/2006/relationships/hyperlink" Target="https://in.tradingview.com/chart/Cgv3Jm6J/?symbol=NSE%3AGHCL" TargetMode="External"/><Relationship Id="rId655" Type="http://schemas.openxmlformats.org/officeDocument/2006/relationships/hyperlink" Target="https://in.tradingview.com/chart/Cgv3Jm6J/?symbol=NSE%3AGFLLIMITED" TargetMode="External"/><Relationship Id="rId654" Type="http://schemas.openxmlformats.org/officeDocument/2006/relationships/hyperlink" Target="https://in.tradingview.com/chart/Cgv3Jm6J/?symbol=NSE%3AGESHIP" TargetMode="External"/><Relationship Id="rId659" Type="http://schemas.openxmlformats.org/officeDocument/2006/relationships/hyperlink" Target="https://in.tradingview.com/chart/Cgv3Jm6J/?symbol=NSE%3AGICRE" TargetMode="External"/><Relationship Id="rId658" Type="http://schemas.openxmlformats.org/officeDocument/2006/relationships/hyperlink" Target="https://in.tradingview.com/chart/Cgv3Jm6J/?symbol=NSE%3AGICHSGFIN" TargetMode="External"/><Relationship Id="rId1480" Type="http://schemas.openxmlformats.org/officeDocument/2006/relationships/hyperlink" Target="https://in.tradingview.com/chart/Cgv3Jm6J/?symbol=NSE%3AOSIAHYPER" TargetMode="External"/><Relationship Id="rId1481" Type="http://schemas.openxmlformats.org/officeDocument/2006/relationships/hyperlink" Target="https://in.tradingview.com/chart/Cgv3Jm6J/?symbol=NSE%3AOSWALAGRO" TargetMode="External"/><Relationship Id="rId1482" Type="http://schemas.openxmlformats.org/officeDocument/2006/relationships/hyperlink" Target="https://in.tradingview.com/chart/Cgv3Jm6J/?symbol=NSE%3AOSWALGREEN" TargetMode="External"/><Relationship Id="rId1483" Type="http://schemas.openxmlformats.org/officeDocument/2006/relationships/hyperlink" Target="https://in.tradingview.com/chart/Cgv3Jm6J/?symbol=NSE%3AOSWALSEEDS" TargetMode="External"/><Relationship Id="rId653" Type="http://schemas.openxmlformats.org/officeDocument/2006/relationships/hyperlink" Target="https://in.tradingview.com/chart/Cgv3Jm6J/?symbol=NSE%3AGEPIL" TargetMode="External"/><Relationship Id="rId1484" Type="http://schemas.openxmlformats.org/officeDocument/2006/relationships/hyperlink" Target="https://in.tradingview.com/chart/Cgv3Jm6J/?symbol=NSE%3APAGEIND" TargetMode="External"/><Relationship Id="rId652" Type="http://schemas.openxmlformats.org/officeDocument/2006/relationships/hyperlink" Target="https://in.tradingview.com/chart/Cgv3Jm6J/?symbol=NSE%3AGEOJITFSL" TargetMode="External"/><Relationship Id="rId1485" Type="http://schemas.openxmlformats.org/officeDocument/2006/relationships/hyperlink" Target="https://in.tradingview.com/chart/Cgv3Jm6J/?symbol=NSE%3APAISALO" TargetMode="External"/><Relationship Id="rId651" Type="http://schemas.openxmlformats.org/officeDocument/2006/relationships/hyperlink" Target="https://in.tradingview.com/chart/Cgv3Jm6J/?symbol=NSE%3AGENUSPOWER" TargetMode="External"/><Relationship Id="rId1486" Type="http://schemas.openxmlformats.org/officeDocument/2006/relationships/hyperlink" Target="https://in.tradingview.com/chart/Cgv3Jm6J/?symbol=NSE%3APAKKA" TargetMode="External"/><Relationship Id="rId650" Type="http://schemas.openxmlformats.org/officeDocument/2006/relationships/hyperlink" Target="https://in.tradingview.com/chart/Cgv3Jm6J/?symbol=NSE%3AGENUSPAPER" TargetMode="External"/><Relationship Id="rId1487" Type="http://schemas.openxmlformats.org/officeDocument/2006/relationships/hyperlink" Target="https://in.tradingview.com/chart/Cgv3Jm6J/?symbol=NSE%3APALASHSECU" TargetMode="External"/><Relationship Id="rId689" Type="http://schemas.openxmlformats.org/officeDocument/2006/relationships/hyperlink" Target="https://in.tradingview.com/chart/Cgv3Jm6J/?symbol=NSE%3AGODREJAGRO" TargetMode="External"/><Relationship Id="rId688" Type="http://schemas.openxmlformats.org/officeDocument/2006/relationships/hyperlink" Target="https://in.tradingview.com/chart/Cgv3Jm6J/?symbol=NSE%3AGODIGIT" TargetMode="External"/><Relationship Id="rId687" Type="http://schemas.openxmlformats.org/officeDocument/2006/relationships/hyperlink" Target="https://in.tradingview.com/chart/Cgv3Jm6J/?symbol=NSE%3AGODFRYPHLP" TargetMode="External"/><Relationship Id="rId682" Type="http://schemas.openxmlformats.org/officeDocument/2006/relationships/hyperlink" Target="https://in.tradingview.com/chart/Cgv3Jm6J/?symbol=NSE%3AGNFC" TargetMode="External"/><Relationship Id="rId681" Type="http://schemas.openxmlformats.org/officeDocument/2006/relationships/hyperlink" Target="https://in.tradingview.com/chart/Cgv3Jm6J/?symbol=NSE%3AGNA" TargetMode="External"/><Relationship Id="rId680" Type="http://schemas.openxmlformats.org/officeDocument/2006/relationships/hyperlink" Target="https://in.tradingview.com/chart/Cgv3Jm6J/?symbol=NSE%3AGMRP_UI" TargetMode="External"/><Relationship Id="rId686" Type="http://schemas.openxmlformats.org/officeDocument/2006/relationships/hyperlink" Target="https://in.tradingview.com/chart/Cgv3Jm6J/?symbol=NSE%3AGODAVARIB" TargetMode="External"/><Relationship Id="rId685" Type="http://schemas.openxmlformats.org/officeDocument/2006/relationships/hyperlink" Target="https://in.tradingview.com/chart/Cgv3Jm6J/?symbol=NSE%3AGOCOLORS" TargetMode="External"/><Relationship Id="rId684" Type="http://schemas.openxmlformats.org/officeDocument/2006/relationships/hyperlink" Target="https://in.tradingview.com/chart/Cgv3Jm6J/?symbol=NSE%3AGOCLCORP" TargetMode="External"/><Relationship Id="rId683" Type="http://schemas.openxmlformats.org/officeDocument/2006/relationships/hyperlink" Target="https://in.tradingview.com/chart/Cgv3Jm6J/?symbol=NSE%3AGOACARBON" TargetMode="External"/><Relationship Id="rId679" Type="http://schemas.openxmlformats.org/officeDocument/2006/relationships/hyperlink" Target="https://in.tradingview.com/chart/Cgv3Jm6J/?symbol=NSE%3AGMRAIRPORT" TargetMode="External"/><Relationship Id="rId678" Type="http://schemas.openxmlformats.org/officeDocument/2006/relationships/hyperlink" Target="https://in.tradingview.com/chart/Cgv3Jm6J/?symbol=NSE%3AGMMPFAUDLR" TargetMode="External"/><Relationship Id="rId677" Type="http://schemas.openxmlformats.org/officeDocument/2006/relationships/hyperlink" Target="https://in.tradingview.com/chart/Cgv3Jm6J/?symbol=NSE%3AGMDCLTD" TargetMode="External"/><Relationship Id="rId676" Type="http://schemas.openxmlformats.org/officeDocument/2006/relationships/hyperlink" Target="https://in.tradingview.com/chart/Cgv3Jm6J/?symbol=NSE%3AGMBREW" TargetMode="External"/><Relationship Id="rId671" Type="http://schemas.openxmlformats.org/officeDocument/2006/relationships/hyperlink" Target="https://in.tradingview.com/chart/Cgv3Jm6J/?symbol=NSE%3AGLOBALE" TargetMode="External"/><Relationship Id="rId670" Type="http://schemas.openxmlformats.org/officeDocument/2006/relationships/hyperlink" Target="https://in.tradingview.com/chart/Cgv3Jm6J/?symbol=NSE%3AGLOBAL" TargetMode="External"/><Relationship Id="rId675" Type="http://schemas.openxmlformats.org/officeDocument/2006/relationships/hyperlink" Target="https://in.tradingview.com/chart/Cgv3Jm6J/?symbol=NSE%3AGLOSTERLTD" TargetMode="External"/><Relationship Id="rId674" Type="http://schemas.openxmlformats.org/officeDocument/2006/relationships/hyperlink" Target="https://in.tradingview.com/chart/Cgv3Jm6J/?symbol=NSE%3AGLOBUSSPR" TargetMode="External"/><Relationship Id="rId673" Type="http://schemas.openxmlformats.org/officeDocument/2006/relationships/hyperlink" Target="https://in.tradingview.com/chart/Cgv3Jm6J/?symbol=NSE%3AGLOBE" TargetMode="External"/><Relationship Id="rId672" Type="http://schemas.openxmlformats.org/officeDocument/2006/relationships/hyperlink" Target="https://in.tradingview.com/chart/Cgv3Jm6J/?symbol=NSE%3AGLOBALVECT" TargetMode="External"/><Relationship Id="rId190" Type="http://schemas.openxmlformats.org/officeDocument/2006/relationships/hyperlink" Target="https://in.tradingview.com/chart/Cgv3Jm6J/?symbol=NSE%3AAURIONPRO" TargetMode="External"/><Relationship Id="rId194" Type="http://schemas.openxmlformats.org/officeDocument/2006/relationships/hyperlink" Target="https://in.tradingview.com/chart/Cgv3Jm6J/?symbol=NSE%3AAUTOAXLES" TargetMode="External"/><Relationship Id="rId193" Type="http://schemas.openxmlformats.org/officeDocument/2006/relationships/hyperlink" Target="https://in.tradingview.com/chart/Cgv3Jm6J/?symbol=NSE%3AAUSOMENT" TargetMode="External"/><Relationship Id="rId192" Type="http://schemas.openxmlformats.org/officeDocument/2006/relationships/hyperlink" Target="https://in.tradingview.com/chart/Cgv3Jm6J/?symbol=NSE%3AAURUM" TargetMode="External"/><Relationship Id="rId191" Type="http://schemas.openxmlformats.org/officeDocument/2006/relationships/hyperlink" Target="https://in.tradingview.com/chart/Cgv3Jm6J/?symbol=NSE%3AAUROPHARMA" TargetMode="External"/><Relationship Id="rId187" Type="http://schemas.openxmlformats.org/officeDocument/2006/relationships/hyperlink" Target="https://in.tradingview.com/chart/Cgv3Jm6J/?symbol=NSE%3AATUL" TargetMode="External"/><Relationship Id="rId186" Type="http://schemas.openxmlformats.org/officeDocument/2006/relationships/hyperlink" Target="https://in.tradingview.com/chart/Cgv3Jm6J/?symbol=NSE%3AATL" TargetMode="External"/><Relationship Id="rId185" Type="http://schemas.openxmlformats.org/officeDocument/2006/relationships/hyperlink" Target="https://in.tradingview.com/chart/Cgv3Jm6J/?symbol=NSE%3AATGL" TargetMode="External"/><Relationship Id="rId184" Type="http://schemas.openxmlformats.org/officeDocument/2006/relationships/hyperlink" Target="https://in.tradingview.com/chart/Cgv3Jm6J/?symbol=NSE%3AATAM" TargetMode="External"/><Relationship Id="rId189" Type="http://schemas.openxmlformats.org/officeDocument/2006/relationships/hyperlink" Target="https://in.tradingview.com/chart/Cgv3Jm6J/?symbol=NSE%3AAUBANK" TargetMode="External"/><Relationship Id="rId188" Type="http://schemas.openxmlformats.org/officeDocument/2006/relationships/hyperlink" Target="https://in.tradingview.com/chart/Cgv3Jm6J/?symbol=NSE%3AATULAUTO" TargetMode="External"/><Relationship Id="rId183" Type="http://schemas.openxmlformats.org/officeDocument/2006/relationships/hyperlink" Target="https://in.tradingview.com/chart/Cgv3Jm6J/?symbol=NSE%3AATALREAL" TargetMode="External"/><Relationship Id="rId182" Type="http://schemas.openxmlformats.org/officeDocument/2006/relationships/hyperlink" Target="https://in.tradingview.com/chart/Cgv3Jm6J/?symbol=NSE%3AASTRON" TargetMode="External"/><Relationship Id="rId181" Type="http://schemas.openxmlformats.org/officeDocument/2006/relationships/hyperlink" Target="https://in.tradingview.com/chart/Cgv3Jm6J/?symbol=NSE%3AASTRAZEN" TargetMode="External"/><Relationship Id="rId180" Type="http://schemas.openxmlformats.org/officeDocument/2006/relationships/hyperlink" Target="https://in.tradingview.com/chart/Cgv3Jm6J/?symbol=NSE%3AASTRAMICRO" TargetMode="External"/><Relationship Id="rId176" Type="http://schemas.openxmlformats.org/officeDocument/2006/relationships/hyperlink" Target="https://in.tradingview.com/chart/Cgv3Jm6J/?symbol=NSE%3AASPINWALL" TargetMode="External"/><Relationship Id="rId175" Type="http://schemas.openxmlformats.org/officeDocument/2006/relationships/hyperlink" Target="https://in.tradingview.com/chart/Cgv3Jm6J/?symbol=NSE%3AASMS" TargetMode="External"/><Relationship Id="rId174" Type="http://schemas.openxmlformats.org/officeDocument/2006/relationships/hyperlink" Target="https://in.tradingview.com/chart/Cgv3Jm6J/?symbol=NSE%3AASKAUTOLTD" TargetMode="External"/><Relationship Id="rId173" Type="http://schemas.openxmlformats.org/officeDocument/2006/relationships/hyperlink" Target="https://in.tradingview.com/chart/Cgv3Jm6J/?symbol=NSE%3AASIANTILES" TargetMode="External"/><Relationship Id="rId179" Type="http://schemas.openxmlformats.org/officeDocument/2006/relationships/hyperlink" Target="https://in.tradingview.com/chart/Cgv3Jm6J/?symbol=NSE%3AASTRAL" TargetMode="External"/><Relationship Id="rId178" Type="http://schemas.openxmlformats.org/officeDocument/2006/relationships/hyperlink" Target="https://in.tradingview.com/chart/Cgv3Jm6J/?symbol=NSE%3AASTERDM" TargetMode="External"/><Relationship Id="rId177" Type="http://schemas.openxmlformats.org/officeDocument/2006/relationships/hyperlink" Target="https://in.tradingview.com/chart/Cgv3Jm6J/?symbol=NSE%3AASTEC" TargetMode="External"/><Relationship Id="rId198" Type="http://schemas.openxmlformats.org/officeDocument/2006/relationships/hyperlink" Target="https://in.tradingview.com/chart/Cgv3Jm6J/?symbol=NSE%3AAVADHSUGAR" TargetMode="External"/><Relationship Id="rId197" Type="http://schemas.openxmlformats.org/officeDocument/2006/relationships/hyperlink" Target="https://in.tradingview.com/chart/Cgv3Jm6J/?symbol=NSE%3AAUTOIND" TargetMode="External"/><Relationship Id="rId196" Type="http://schemas.openxmlformats.org/officeDocument/2006/relationships/hyperlink" Target="https://in.tradingview.com/chart/Cgv3Jm6J/?symbol=NSE%3AAUTOIETF" TargetMode="External"/><Relationship Id="rId195" Type="http://schemas.openxmlformats.org/officeDocument/2006/relationships/hyperlink" Target="https://in.tradingview.com/chart/Cgv3Jm6J/?symbol=NSE%3AAUTOBEES" TargetMode="External"/><Relationship Id="rId199" Type="http://schemas.openxmlformats.org/officeDocument/2006/relationships/hyperlink" Target="https://in.tradingview.com/chart/Cgv3Jm6J/?symbol=NSE%3AAVALON" TargetMode="External"/><Relationship Id="rId150" Type="http://schemas.openxmlformats.org/officeDocument/2006/relationships/hyperlink" Target="https://in.tradingview.com/chart/Cgv3Jm6J/?symbol=NSE%3AARKADE" TargetMode="External"/><Relationship Id="rId149" Type="http://schemas.openxmlformats.org/officeDocument/2006/relationships/hyperlink" Target="https://in.tradingview.com/chart/Cgv3Jm6J/?symbol=NSE%3AARIHANTSUP" TargetMode="External"/><Relationship Id="rId148" Type="http://schemas.openxmlformats.org/officeDocument/2006/relationships/hyperlink" Target="https://in.tradingview.com/chart/Cgv3Jm6J/?symbol=NSE%3AARIHANTCAP" TargetMode="External"/><Relationship Id="rId143" Type="http://schemas.openxmlformats.org/officeDocument/2006/relationships/hyperlink" Target="https://in.tradingview.com/chart/Cgv3Jm6J/?symbol=NSE%3AARCHIDPLY" TargetMode="External"/><Relationship Id="rId142" Type="http://schemas.openxmlformats.org/officeDocument/2006/relationships/hyperlink" Target="https://in.tradingview.com/chart/Cgv3Jm6J/?symbol=NSE%3AAPTUS" TargetMode="External"/><Relationship Id="rId141" Type="http://schemas.openxmlformats.org/officeDocument/2006/relationships/hyperlink" Target="https://in.tradingview.com/chart/Cgv3Jm6J/?symbol=NSE%3AAPTECHT" TargetMode="External"/><Relationship Id="rId140" Type="http://schemas.openxmlformats.org/officeDocument/2006/relationships/hyperlink" Target="https://in.tradingview.com/chart/Cgv3Jm6J/?symbol=NSE%3AAPOLSINHOT" TargetMode="External"/><Relationship Id="rId147" Type="http://schemas.openxmlformats.org/officeDocument/2006/relationships/hyperlink" Target="https://in.tradingview.com/chart/Cgv3Jm6J/?symbol=NSE%3AARIES" TargetMode="External"/><Relationship Id="rId146" Type="http://schemas.openxmlformats.org/officeDocument/2006/relationships/hyperlink" Target="https://in.tradingview.com/chart/Cgv3Jm6J/?symbol=NSE%3AARENTERP" TargetMode="External"/><Relationship Id="rId145" Type="http://schemas.openxmlformats.org/officeDocument/2006/relationships/hyperlink" Target="https://in.tradingview.com/chart/Cgv3Jm6J/?symbol=NSE%3AARE_M" TargetMode="External"/><Relationship Id="rId144" Type="http://schemas.openxmlformats.org/officeDocument/2006/relationships/hyperlink" Target="https://in.tradingview.com/chart/Cgv3Jm6J/?symbol=NSE%3AARCHIES" TargetMode="External"/><Relationship Id="rId139" Type="http://schemas.openxmlformats.org/officeDocument/2006/relationships/hyperlink" Target="https://in.tradingview.com/chart/Cgv3Jm6J/?symbol=NSE%3AAPOLLOTYRE" TargetMode="External"/><Relationship Id="rId138" Type="http://schemas.openxmlformats.org/officeDocument/2006/relationships/hyperlink" Target="https://in.tradingview.com/chart/Cgv3Jm6J/?symbol=NSE%3AAPOLLOPIPE" TargetMode="External"/><Relationship Id="rId137" Type="http://schemas.openxmlformats.org/officeDocument/2006/relationships/hyperlink" Target="https://in.tradingview.com/chart/Cgv3Jm6J/?symbol=NSE%3AAPOLLOHOSP" TargetMode="External"/><Relationship Id="rId132" Type="http://schemas.openxmlformats.org/officeDocument/2006/relationships/hyperlink" Target="https://in.tradingview.com/chart/Cgv3Jm6J/?symbol=NSE%3AAPCOTEXIND" TargetMode="External"/><Relationship Id="rId131" Type="http://schemas.openxmlformats.org/officeDocument/2006/relationships/hyperlink" Target="https://in.tradingview.com/chart/Cgv3Jm6J/?symbol=NSE%3AAPCL" TargetMode="External"/><Relationship Id="rId130" Type="http://schemas.openxmlformats.org/officeDocument/2006/relationships/hyperlink" Target="https://in.tradingview.com/chart/Cgv3Jm6J/?symbol=NSE%3AAPARINDS" TargetMode="External"/><Relationship Id="rId136" Type="http://schemas.openxmlformats.org/officeDocument/2006/relationships/hyperlink" Target="https://in.tradingview.com/chart/Cgv3Jm6J/?symbol=NSE%3AAPOLLO" TargetMode="External"/><Relationship Id="rId135" Type="http://schemas.openxmlformats.org/officeDocument/2006/relationships/hyperlink" Target="https://in.tradingview.com/chart/Cgv3Jm6J/?symbol=NSE%3AAPLLTD" TargetMode="External"/><Relationship Id="rId134" Type="http://schemas.openxmlformats.org/officeDocument/2006/relationships/hyperlink" Target="https://in.tradingview.com/chart/Cgv3Jm6J/?symbol=NSE%3AAPLAPOLLO" TargetMode="External"/><Relationship Id="rId133" Type="http://schemas.openxmlformats.org/officeDocument/2006/relationships/hyperlink" Target="https://in.tradingview.com/chart/Cgv3Jm6J/?symbol=NSE%3AAPEX" TargetMode="External"/><Relationship Id="rId172" Type="http://schemas.openxmlformats.org/officeDocument/2006/relationships/hyperlink" Target="https://in.tradingview.com/chart/Cgv3Jm6J/?symbol=NSE%3AASIANPAINT" TargetMode="External"/><Relationship Id="rId171" Type="http://schemas.openxmlformats.org/officeDocument/2006/relationships/hyperlink" Target="https://in.tradingview.com/chart/Cgv3Jm6J/?symbol=NSE%3AASIANHOTNR" TargetMode="External"/><Relationship Id="rId170" Type="http://schemas.openxmlformats.org/officeDocument/2006/relationships/hyperlink" Target="https://in.tradingview.com/chart/Cgv3Jm6J/?symbol=NSE%3AASIANENE" TargetMode="External"/><Relationship Id="rId165" Type="http://schemas.openxmlformats.org/officeDocument/2006/relationships/hyperlink" Target="https://in.tradingview.com/chart/Cgv3Jm6J/?symbol=NSE%3AASHIANA" TargetMode="External"/><Relationship Id="rId164" Type="http://schemas.openxmlformats.org/officeDocument/2006/relationships/hyperlink" Target="https://in.tradingview.com/chart/Cgv3Jm6J/?symbol=NSE%3AASHAPURMIN" TargetMode="External"/><Relationship Id="rId163" Type="http://schemas.openxmlformats.org/officeDocument/2006/relationships/hyperlink" Target="https://in.tradingview.com/chart/Cgv3Jm6J/?symbol=NSE%3AASALCBR" TargetMode="External"/><Relationship Id="rId162" Type="http://schemas.openxmlformats.org/officeDocument/2006/relationships/hyperlink" Target="https://in.tradingview.com/chart/Cgv3Jm6J/?symbol=NSE%3AASAL" TargetMode="External"/><Relationship Id="rId169" Type="http://schemas.openxmlformats.org/officeDocument/2006/relationships/hyperlink" Target="https://in.tradingview.com/chart/Cgv3Jm6J/?symbol=NSE%3AASHOKLEY" TargetMode="External"/><Relationship Id="rId168" Type="http://schemas.openxmlformats.org/officeDocument/2006/relationships/hyperlink" Target="https://in.tradingview.com/chart/Cgv3Jm6J/?symbol=NSE%3AASHOKAMET" TargetMode="External"/><Relationship Id="rId167" Type="http://schemas.openxmlformats.org/officeDocument/2006/relationships/hyperlink" Target="https://in.tradingview.com/chart/Cgv3Jm6J/?symbol=NSE%3AASHOKA" TargetMode="External"/><Relationship Id="rId166" Type="http://schemas.openxmlformats.org/officeDocument/2006/relationships/hyperlink" Target="https://in.tradingview.com/chart/Cgv3Jm6J/?symbol=NSE%3AASHIMASYN" TargetMode="External"/><Relationship Id="rId161" Type="http://schemas.openxmlformats.org/officeDocument/2006/relationships/hyperlink" Target="https://in.tradingview.com/chart/Cgv3Jm6J/?symbol=NSE%3AASAHISONG" TargetMode="External"/><Relationship Id="rId160" Type="http://schemas.openxmlformats.org/officeDocument/2006/relationships/hyperlink" Target="https://in.tradingview.com/chart/Cgv3Jm6J/?symbol=NSE%3AASAHIINDIA" TargetMode="External"/><Relationship Id="rId159" Type="http://schemas.openxmlformats.org/officeDocument/2006/relationships/hyperlink" Target="https://in.tradingview.com/chart/Cgv3Jm6J/?symbol=NSE%3AARVSMART" TargetMode="External"/><Relationship Id="rId154" Type="http://schemas.openxmlformats.org/officeDocument/2006/relationships/hyperlink" Target="https://in.tradingview.com/chart/Cgv3Jm6J/?symbol=NSE%3AARTEMISMED" TargetMode="External"/><Relationship Id="rId153" Type="http://schemas.openxmlformats.org/officeDocument/2006/relationships/hyperlink" Target="https://in.tradingview.com/chart/Cgv3Jm6J/?symbol=NSE%3AARROWGREEN" TargetMode="External"/><Relationship Id="rId152" Type="http://schemas.openxmlformats.org/officeDocument/2006/relationships/hyperlink" Target="https://in.tradingview.com/chart/Cgv3Jm6J/?symbol=NSE%3AAROGRANITE" TargetMode="External"/><Relationship Id="rId151" Type="http://schemas.openxmlformats.org/officeDocument/2006/relationships/hyperlink" Target="https://in.tradingview.com/chart/Cgv3Jm6J/?symbol=NSE%3AARMANFIN" TargetMode="External"/><Relationship Id="rId158" Type="http://schemas.openxmlformats.org/officeDocument/2006/relationships/hyperlink" Target="https://in.tradingview.com/chart/Cgv3Jm6J/?symbol=NSE%3AARVINDFASN" TargetMode="External"/><Relationship Id="rId157" Type="http://schemas.openxmlformats.org/officeDocument/2006/relationships/hyperlink" Target="https://in.tradingview.com/chart/Cgv3Jm6J/?symbol=NSE%3AARVIND" TargetMode="External"/><Relationship Id="rId156" Type="http://schemas.openxmlformats.org/officeDocument/2006/relationships/hyperlink" Target="https://in.tradingview.com/chart/Cgv3Jm6J/?symbol=NSE%3AARVEE" TargetMode="External"/><Relationship Id="rId155" Type="http://schemas.openxmlformats.org/officeDocument/2006/relationships/hyperlink" Target="https://in.tradingview.com/chart/Cgv3Jm6J/?symbol=NSE%3AARTNIRMAN" TargetMode="External"/><Relationship Id="rId1510" Type="http://schemas.openxmlformats.org/officeDocument/2006/relationships/hyperlink" Target="https://in.tradingview.com/chart/Cgv3Jm6J/?symbol=NSE%3APEARLPOLY" TargetMode="External"/><Relationship Id="rId1511" Type="http://schemas.openxmlformats.org/officeDocument/2006/relationships/hyperlink" Target="https://in.tradingview.com/chart/Cgv3Jm6J/?symbol=NSE%3APEL" TargetMode="External"/><Relationship Id="rId1512" Type="http://schemas.openxmlformats.org/officeDocument/2006/relationships/hyperlink" Target="https://in.tradingview.com/chart/Cgv3Jm6J/?symbol=NSE%3APENIND" TargetMode="External"/><Relationship Id="rId1513" Type="http://schemas.openxmlformats.org/officeDocument/2006/relationships/hyperlink" Target="https://in.tradingview.com/chart/Cgv3Jm6J/?symbol=NSE%3APERSISTENT" TargetMode="External"/><Relationship Id="rId1514" Type="http://schemas.openxmlformats.org/officeDocument/2006/relationships/hyperlink" Target="https://in.tradingview.com/chart/Cgv3Jm6J/?symbol=NSE%3APETRONET" TargetMode="External"/><Relationship Id="rId1515" Type="http://schemas.openxmlformats.org/officeDocument/2006/relationships/hyperlink" Target="https://in.tradingview.com/chart/Cgv3Jm6J/?symbol=NSE%3APFC" TargetMode="External"/><Relationship Id="rId1516" Type="http://schemas.openxmlformats.org/officeDocument/2006/relationships/hyperlink" Target="https://in.tradingview.com/chart/Cgv3Jm6J/?symbol=NSE%3APFIZER" TargetMode="External"/><Relationship Id="rId1517" Type="http://schemas.openxmlformats.org/officeDocument/2006/relationships/hyperlink" Target="https://in.tradingview.com/chart/Cgv3Jm6J/?symbol=NSE%3APFOCUS" TargetMode="External"/><Relationship Id="rId1518" Type="http://schemas.openxmlformats.org/officeDocument/2006/relationships/hyperlink" Target="https://in.tradingview.com/chart/Cgv3Jm6J/?symbol=NSE%3APFS" TargetMode="External"/><Relationship Id="rId1519" Type="http://schemas.openxmlformats.org/officeDocument/2006/relationships/hyperlink" Target="https://in.tradingview.com/chart/Cgv3Jm6J/?symbol=NSE%3APGEL" TargetMode="External"/><Relationship Id="rId1500" Type="http://schemas.openxmlformats.org/officeDocument/2006/relationships/hyperlink" Target="https://in.tradingview.com/chart/Cgv3Jm6J/?symbol=NSE%3APASUPTAC" TargetMode="External"/><Relationship Id="rId1501" Type="http://schemas.openxmlformats.org/officeDocument/2006/relationships/hyperlink" Target="https://in.tradingview.com/chart/Cgv3Jm6J/?symbol=NSE%3APATANJALI" TargetMode="External"/><Relationship Id="rId1502" Type="http://schemas.openxmlformats.org/officeDocument/2006/relationships/hyperlink" Target="https://in.tradingview.com/chart/Cgv3Jm6J/?symbol=NSE%3APATELENG" TargetMode="External"/><Relationship Id="rId1503" Type="http://schemas.openxmlformats.org/officeDocument/2006/relationships/hyperlink" Target="https://in.tradingview.com/chart/Cgv3Jm6J/?symbol=NSE%3APATINTLOG" TargetMode="External"/><Relationship Id="rId1504" Type="http://schemas.openxmlformats.org/officeDocument/2006/relationships/hyperlink" Target="https://in.tradingview.com/chart/Cgv3Jm6J/?symbol=NSE%3APAVNAIND" TargetMode="External"/><Relationship Id="rId1505" Type="http://schemas.openxmlformats.org/officeDocument/2006/relationships/hyperlink" Target="https://in.tradingview.com/chart/Cgv3Jm6J/?symbol=NSE%3APAYTM" TargetMode="External"/><Relationship Id="rId1506" Type="http://schemas.openxmlformats.org/officeDocument/2006/relationships/hyperlink" Target="https://in.tradingview.com/chart/Cgv3Jm6J/?symbol=NSE%3APCBL" TargetMode="External"/><Relationship Id="rId1507" Type="http://schemas.openxmlformats.org/officeDocument/2006/relationships/hyperlink" Target="https://in.tradingview.com/chart/Cgv3Jm6J/?symbol=NSE%3APCJEWELLER" TargetMode="External"/><Relationship Id="rId1508" Type="http://schemas.openxmlformats.org/officeDocument/2006/relationships/hyperlink" Target="https://in.tradingview.com/chart/Cgv3Jm6J/?symbol=NSE%3APDMJEPAPER" TargetMode="External"/><Relationship Id="rId1509" Type="http://schemas.openxmlformats.org/officeDocument/2006/relationships/hyperlink" Target="https://in.tradingview.com/chart/Cgv3Jm6J/?symbol=NSE%3APDSL" TargetMode="External"/><Relationship Id="rId1576" Type="http://schemas.openxmlformats.org/officeDocument/2006/relationships/hyperlink" Target="https://in.tradingview.com/chart/Cgv3Jm6J/?symbol=NSE%3APRIVISCL" TargetMode="External"/><Relationship Id="rId1577" Type="http://schemas.openxmlformats.org/officeDocument/2006/relationships/hyperlink" Target="https://in.tradingview.com/chart/Cgv3Jm6J/?symbol=NSE%3APROTEAN" TargetMode="External"/><Relationship Id="rId1578" Type="http://schemas.openxmlformats.org/officeDocument/2006/relationships/hyperlink" Target="https://in.tradingview.com/chart/Cgv3Jm6J/?symbol=NSE%3APROZONER" TargetMode="External"/><Relationship Id="rId1579" Type="http://schemas.openxmlformats.org/officeDocument/2006/relationships/hyperlink" Target="https://in.tradingview.com/chart/Cgv3Jm6J/?symbol=NSE%3APRSMJOHNSN" TargetMode="External"/><Relationship Id="rId987" Type="http://schemas.openxmlformats.org/officeDocument/2006/relationships/hyperlink" Target="https://in.tradingview.com/chart/Cgv3Jm6J/?symbol=NSE%3AJINDALSTEL" TargetMode="External"/><Relationship Id="rId986" Type="http://schemas.openxmlformats.org/officeDocument/2006/relationships/hyperlink" Target="https://in.tradingview.com/chart/Cgv3Jm6J/?symbol=NSE%3AJINDALSAW" TargetMode="External"/><Relationship Id="rId985" Type="http://schemas.openxmlformats.org/officeDocument/2006/relationships/hyperlink" Target="https://in.tradingview.com/chart/Cgv3Jm6J/?symbol=NSE%3AJINDALPOLY" TargetMode="External"/><Relationship Id="rId984" Type="http://schemas.openxmlformats.org/officeDocument/2006/relationships/hyperlink" Target="https://in.tradingview.com/chart/Cgv3Jm6J/?symbol=NSE%3AJINDALPHOT" TargetMode="External"/><Relationship Id="rId989" Type="http://schemas.openxmlformats.org/officeDocument/2006/relationships/hyperlink" Target="https://in.tradingview.com/chart/Cgv3Jm6J/?symbol=NSE%3AJINDWORLD" TargetMode="External"/><Relationship Id="rId988" Type="http://schemas.openxmlformats.org/officeDocument/2006/relationships/hyperlink" Target="https://in.tradingview.com/chart/Cgv3Jm6J/?symbol=NSE%3AJINDRILL" TargetMode="External"/><Relationship Id="rId1570" Type="http://schemas.openxmlformats.org/officeDocument/2006/relationships/hyperlink" Target="https://in.tradingview.com/chart/Cgv3Jm6J/?symbol=NSE%3APRESTIGE" TargetMode="External"/><Relationship Id="rId1571" Type="http://schemas.openxmlformats.org/officeDocument/2006/relationships/hyperlink" Target="https://in.tradingview.com/chart/Cgv3Jm6J/?symbol=NSE%3APRICOLLTD" TargetMode="External"/><Relationship Id="rId983" Type="http://schemas.openxmlformats.org/officeDocument/2006/relationships/hyperlink" Target="https://in.tradingview.com/chart/Cgv3Jm6J/?symbol=NSE%3AJHS" TargetMode="External"/><Relationship Id="rId1572" Type="http://schemas.openxmlformats.org/officeDocument/2006/relationships/hyperlink" Target="https://in.tradingview.com/chart/Cgv3Jm6J/?symbol=NSE%3APRIMESECU" TargetMode="External"/><Relationship Id="rId982" Type="http://schemas.openxmlformats.org/officeDocument/2006/relationships/hyperlink" Target="https://in.tradingview.com/chart/Cgv3Jm6J/?symbol=NSE%3AJGCHEM" TargetMode="External"/><Relationship Id="rId1573" Type="http://schemas.openxmlformats.org/officeDocument/2006/relationships/hyperlink" Target="https://in.tradingview.com/chart/Cgv3Jm6J/?symbol=NSE%3APRINCEPIPE" TargetMode="External"/><Relationship Id="rId981" Type="http://schemas.openxmlformats.org/officeDocument/2006/relationships/hyperlink" Target="https://in.tradingview.com/chart/Cgv3Jm6J/?symbol=NSE%3AJETFREIGHT" TargetMode="External"/><Relationship Id="rId1574" Type="http://schemas.openxmlformats.org/officeDocument/2006/relationships/hyperlink" Target="https://in.tradingview.com/chart/Cgv3Jm6J/?symbol=NSE%3APRITI" TargetMode="External"/><Relationship Id="rId980" Type="http://schemas.openxmlformats.org/officeDocument/2006/relationships/hyperlink" Target="https://in.tradingview.com/chart/Cgv3Jm6J/?symbol=NSE%3AJCHAC" TargetMode="External"/><Relationship Id="rId1575" Type="http://schemas.openxmlformats.org/officeDocument/2006/relationships/hyperlink" Target="https://in.tradingview.com/chart/Cgv3Jm6J/?symbol=NSE%3APRITIKAUTO" TargetMode="External"/><Relationship Id="rId1565" Type="http://schemas.openxmlformats.org/officeDocument/2006/relationships/hyperlink" Target="https://in.tradingview.com/chart/Cgv3Jm6J/?symbol=NSE%3APRECWIRE" TargetMode="External"/><Relationship Id="rId1566" Type="http://schemas.openxmlformats.org/officeDocument/2006/relationships/hyperlink" Target="https://in.tradingview.com/chart/Cgv3Jm6J/?symbol=NSE%3APREMEXPLN" TargetMode="External"/><Relationship Id="rId1567" Type="http://schemas.openxmlformats.org/officeDocument/2006/relationships/hyperlink" Target="https://in.tradingview.com/chart/Cgv3Jm6J/?symbol=NSE%3APREMIER" TargetMode="External"/><Relationship Id="rId1568" Type="http://schemas.openxmlformats.org/officeDocument/2006/relationships/hyperlink" Target="https://in.tradingview.com/chart/Cgv3Jm6J/?symbol=NSE%3APREMIERENE" TargetMode="External"/><Relationship Id="rId1569" Type="http://schemas.openxmlformats.org/officeDocument/2006/relationships/hyperlink" Target="https://in.tradingview.com/chart/Cgv3Jm6J/?symbol=NSE%3APREMIERPOL" TargetMode="External"/><Relationship Id="rId976" Type="http://schemas.openxmlformats.org/officeDocument/2006/relationships/hyperlink" Target="https://in.tradingview.com/chart/Cgv3Jm6J/?symbol=NSE%3AJAYNECOIND" TargetMode="External"/><Relationship Id="rId975" Type="http://schemas.openxmlformats.org/officeDocument/2006/relationships/hyperlink" Target="https://in.tradingview.com/chart/Cgv3Jm6J/?symbol=NSE%3AJAYBARMARU" TargetMode="External"/><Relationship Id="rId974" Type="http://schemas.openxmlformats.org/officeDocument/2006/relationships/hyperlink" Target="https://in.tradingview.com/chart/Cgv3Jm6J/?symbol=NSE%3AJAYAGROGN" TargetMode="External"/><Relationship Id="rId973" Type="http://schemas.openxmlformats.org/officeDocument/2006/relationships/hyperlink" Target="https://in.tradingview.com/chart/Cgv3Jm6J/?symbol=NSE%3AJASH" TargetMode="External"/><Relationship Id="rId979" Type="http://schemas.openxmlformats.org/officeDocument/2006/relationships/hyperlink" Target="https://in.tradingview.com/chart/Cgv3Jm6J/?symbol=NSE%3AJBMA" TargetMode="External"/><Relationship Id="rId978" Type="http://schemas.openxmlformats.org/officeDocument/2006/relationships/hyperlink" Target="https://in.tradingview.com/chart/Cgv3Jm6J/?symbol=NSE%3AJBCHEPHARM" TargetMode="External"/><Relationship Id="rId977" Type="http://schemas.openxmlformats.org/officeDocument/2006/relationships/hyperlink" Target="https://in.tradingview.com/chart/Cgv3Jm6J/?symbol=NSE%3AJAYSREETEA" TargetMode="External"/><Relationship Id="rId1560" Type="http://schemas.openxmlformats.org/officeDocument/2006/relationships/hyperlink" Target="https://in.tradingview.com/chart/Cgv3Jm6J/?symbol=NSE%3APRAKASH" TargetMode="External"/><Relationship Id="rId972" Type="http://schemas.openxmlformats.org/officeDocument/2006/relationships/hyperlink" Target="https://in.tradingview.com/chart/Cgv3Jm6J/?symbol=NSE%3AJAMNAAUTO" TargetMode="External"/><Relationship Id="rId1561" Type="http://schemas.openxmlformats.org/officeDocument/2006/relationships/hyperlink" Target="https://in.tradingview.com/chart/Cgv3Jm6J/?symbol=NSE%3APRAKASHSTL" TargetMode="External"/><Relationship Id="rId971" Type="http://schemas.openxmlformats.org/officeDocument/2006/relationships/hyperlink" Target="https://in.tradingview.com/chart/Cgv3Jm6J/?symbol=NSE%3AJAIPURKURT" TargetMode="External"/><Relationship Id="rId1562" Type="http://schemas.openxmlformats.org/officeDocument/2006/relationships/hyperlink" Target="https://in.tradingview.com/chart/Cgv3Jm6J/?symbol=NSE%3APRAXIS" TargetMode="External"/><Relationship Id="rId970" Type="http://schemas.openxmlformats.org/officeDocument/2006/relationships/hyperlink" Target="https://in.tradingview.com/chart/Cgv3Jm6J/?symbol=NSE%3AJAICORPLTD" TargetMode="External"/><Relationship Id="rId1563" Type="http://schemas.openxmlformats.org/officeDocument/2006/relationships/hyperlink" Target="https://in.tradingview.com/chart/Cgv3Jm6J/?symbol=NSE%3APRECAM" TargetMode="External"/><Relationship Id="rId1564" Type="http://schemas.openxmlformats.org/officeDocument/2006/relationships/hyperlink" Target="https://in.tradingview.com/chart/Cgv3Jm6J/?symbol=NSE%3APRECOT" TargetMode="External"/><Relationship Id="rId1598" Type="http://schemas.openxmlformats.org/officeDocument/2006/relationships/hyperlink" Target="https://in.tradingview.com/chart/Cgv3Jm6J/?symbol=NSE%3AQGOLDHALF" TargetMode="External"/><Relationship Id="rId1599" Type="http://schemas.openxmlformats.org/officeDocument/2006/relationships/hyperlink" Target="https://in.tradingview.com/chart/Cgv3Jm6J/?symbol=NSE%3AQNIFTY" TargetMode="External"/><Relationship Id="rId1590" Type="http://schemas.openxmlformats.org/officeDocument/2006/relationships/hyperlink" Target="https://in.tradingview.com/chart/Cgv3Jm6J/?symbol=NSE%3APUNJABCHEM" TargetMode="External"/><Relationship Id="rId1591" Type="http://schemas.openxmlformats.org/officeDocument/2006/relationships/hyperlink" Target="https://in.tradingview.com/chart/Cgv3Jm6J/?symbol=NSE%3APURVA" TargetMode="External"/><Relationship Id="rId1592" Type="http://schemas.openxmlformats.org/officeDocument/2006/relationships/hyperlink" Target="https://in.tradingview.com/chart/Cgv3Jm6J/?symbol=NSE%3APVP" TargetMode="External"/><Relationship Id="rId1593" Type="http://schemas.openxmlformats.org/officeDocument/2006/relationships/hyperlink" Target="https://in.tradingview.com/chart/Cgv3Jm6J/?symbol=NSE%3APVRINOX" TargetMode="External"/><Relationship Id="rId1594" Type="http://schemas.openxmlformats.org/officeDocument/2006/relationships/hyperlink" Target="https://in.tradingview.com/chart/Cgv3Jm6J/?symbol=NSE%3APVSL" TargetMode="External"/><Relationship Id="rId1595" Type="http://schemas.openxmlformats.org/officeDocument/2006/relationships/hyperlink" Target="https://in.tradingview.com/chart/Cgv3Jm6J/?symbol=NSE%3APVTBANIETF" TargetMode="External"/><Relationship Id="rId1596" Type="http://schemas.openxmlformats.org/officeDocument/2006/relationships/hyperlink" Target="https://in.tradingview.com/chart/Cgv3Jm6J/?symbol=NSE%3APVTBANKADD" TargetMode="External"/><Relationship Id="rId1597" Type="http://schemas.openxmlformats.org/officeDocument/2006/relationships/hyperlink" Target="https://in.tradingview.com/chart/Cgv3Jm6J/?symbol=NSE%3APYRAMID" TargetMode="External"/><Relationship Id="rId1587" Type="http://schemas.openxmlformats.org/officeDocument/2006/relationships/hyperlink" Target="https://in.tradingview.com/chart/Cgv3Jm6J/?symbol=NSE%3APTC" TargetMode="External"/><Relationship Id="rId1588" Type="http://schemas.openxmlformats.org/officeDocument/2006/relationships/hyperlink" Target="https://in.tradingview.com/chart/Cgv3Jm6J/?symbol=NSE%3APTCIL" TargetMode="External"/><Relationship Id="rId1589" Type="http://schemas.openxmlformats.org/officeDocument/2006/relationships/hyperlink" Target="https://in.tradingview.com/chart/Cgv3Jm6J/?symbol=NSE%3APTL" TargetMode="External"/><Relationship Id="rId998" Type="http://schemas.openxmlformats.org/officeDocument/2006/relationships/hyperlink" Target="https://in.tradingview.com/chart/Cgv3Jm6J/?symbol=NSE%3AJKTYRE" TargetMode="External"/><Relationship Id="rId997" Type="http://schemas.openxmlformats.org/officeDocument/2006/relationships/hyperlink" Target="https://in.tradingview.com/chart/Cgv3Jm6J/?symbol=NSE%3AJKPAPER" TargetMode="External"/><Relationship Id="rId996" Type="http://schemas.openxmlformats.org/officeDocument/2006/relationships/hyperlink" Target="https://in.tradingview.com/chart/Cgv3Jm6J/?symbol=NSE%3AJKLAKSHMI" TargetMode="External"/><Relationship Id="rId995" Type="http://schemas.openxmlformats.org/officeDocument/2006/relationships/hyperlink" Target="https://in.tradingview.com/chart/Cgv3Jm6J/?symbol=NSE%3AJKIL" TargetMode="External"/><Relationship Id="rId999" Type="http://schemas.openxmlformats.org/officeDocument/2006/relationships/hyperlink" Target="https://in.tradingview.com/chart/Cgv3Jm6J/?symbol=NSE%3AJLHL" TargetMode="External"/><Relationship Id="rId990" Type="http://schemas.openxmlformats.org/officeDocument/2006/relationships/hyperlink" Target="https://in.tradingview.com/chart/Cgv3Jm6J/?symbol=NSE%3AJIOFIN" TargetMode="External"/><Relationship Id="rId1580" Type="http://schemas.openxmlformats.org/officeDocument/2006/relationships/hyperlink" Target="https://in.tradingview.com/chart/Cgv3Jm6J/?symbol=NSE%3APRUDENT" TargetMode="External"/><Relationship Id="rId1581" Type="http://schemas.openxmlformats.org/officeDocument/2006/relationships/hyperlink" Target="https://in.tradingview.com/chart/Cgv3Jm6J/?symbol=NSE%3APSB" TargetMode="External"/><Relationship Id="rId1582" Type="http://schemas.openxmlformats.org/officeDocument/2006/relationships/hyperlink" Target="https://in.tradingview.com/chart/Cgv3Jm6J/?symbol=NSE%3APSPPROJECT" TargetMode="External"/><Relationship Id="rId994" Type="http://schemas.openxmlformats.org/officeDocument/2006/relationships/hyperlink" Target="https://in.tradingview.com/chart/Cgv3Jm6J/?symbol=NSE%3AJKCEMENT" TargetMode="External"/><Relationship Id="rId1583" Type="http://schemas.openxmlformats.org/officeDocument/2006/relationships/hyperlink" Target="https://in.tradingview.com/chart/Cgv3Jm6J/?symbol=NSE%3APSUBANK" TargetMode="External"/><Relationship Id="rId993" Type="http://schemas.openxmlformats.org/officeDocument/2006/relationships/hyperlink" Target="https://in.tradingview.com/chart/Cgv3Jm6J/?symbol=NSE%3AJITFINFRA" TargetMode="External"/><Relationship Id="rId1584" Type="http://schemas.openxmlformats.org/officeDocument/2006/relationships/hyperlink" Target="https://in.tradingview.com/chart/Cgv3Jm6J/?symbol=NSE%3APSUBANKADD" TargetMode="External"/><Relationship Id="rId992" Type="http://schemas.openxmlformats.org/officeDocument/2006/relationships/hyperlink" Target="https://in.tradingview.com/chart/Cgv3Jm6J/?symbol=NSE%3AJISLJALEQS" TargetMode="External"/><Relationship Id="rId1585" Type="http://schemas.openxmlformats.org/officeDocument/2006/relationships/hyperlink" Target="https://in.tradingview.com/chart/Cgv3Jm6J/?symbol=NSE%3APSUBNKBEES" TargetMode="External"/><Relationship Id="rId991" Type="http://schemas.openxmlformats.org/officeDocument/2006/relationships/hyperlink" Target="https://in.tradingview.com/chart/Cgv3Jm6J/?symbol=NSE%3AJISLDVREQS" TargetMode="External"/><Relationship Id="rId1586" Type="http://schemas.openxmlformats.org/officeDocument/2006/relationships/hyperlink" Target="https://in.tradingview.com/chart/Cgv3Jm6J/?symbol=NSE%3APSUBNKIETF" TargetMode="External"/><Relationship Id="rId1532" Type="http://schemas.openxmlformats.org/officeDocument/2006/relationships/hyperlink" Target="https://in.tradingview.com/chart/Cgv3Jm6J/?symbol=NSE%3APIXTRANS" TargetMode="External"/><Relationship Id="rId1533" Type="http://schemas.openxmlformats.org/officeDocument/2006/relationships/hyperlink" Target="https://in.tradingview.com/chart/Cgv3Jm6J/?symbol=NSE%3APKTEA" TargetMode="External"/><Relationship Id="rId1534" Type="http://schemas.openxmlformats.org/officeDocument/2006/relationships/hyperlink" Target="https://in.tradingview.com/chart/Cgv3Jm6J/?symbol=NSE%3APLASTIBLEN" TargetMode="External"/><Relationship Id="rId1535" Type="http://schemas.openxmlformats.org/officeDocument/2006/relationships/hyperlink" Target="https://in.tradingview.com/chart/Cgv3Jm6J/?symbol=NSE%3APLATIND" TargetMode="External"/><Relationship Id="rId1536" Type="http://schemas.openxmlformats.org/officeDocument/2006/relationships/hyperlink" Target="https://in.tradingview.com/chart/Cgv3Jm6J/?symbol=NSE%3APLAZACABLE" TargetMode="External"/><Relationship Id="rId1537" Type="http://schemas.openxmlformats.org/officeDocument/2006/relationships/hyperlink" Target="https://in.tradingview.com/chart/Cgv3Jm6J/?symbol=NSE%3APNB" TargetMode="External"/><Relationship Id="rId1538" Type="http://schemas.openxmlformats.org/officeDocument/2006/relationships/hyperlink" Target="https://in.tradingview.com/chart/Cgv3Jm6J/?symbol=NSE%3APNBGILTS" TargetMode="External"/><Relationship Id="rId1539" Type="http://schemas.openxmlformats.org/officeDocument/2006/relationships/hyperlink" Target="https://in.tradingview.com/chart/Cgv3Jm6J/?symbol=NSE%3APNBHOUSING" TargetMode="External"/><Relationship Id="rId949" Type="http://schemas.openxmlformats.org/officeDocument/2006/relationships/hyperlink" Target="https://in.tradingview.com/chart/Cgv3Jm6J/?symbol=NSE%3AISFT" TargetMode="External"/><Relationship Id="rId948" Type="http://schemas.openxmlformats.org/officeDocument/2006/relationships/hyperlink" Target="https://in.tradingview.com/chart/Cgv3Jm6J/?symbol=NSE%3AIRMENERGY" TargetMode="External"/><Relationship Id="rId943" Type="http://schemas.openxmlformats.org/officeDocument/2006/relationships/hyperlink" Target="https://in.tradingview.com/chart/Cgv3Jm6J/?symbol=NSE%3AIRCON" TargetMode="External"/><Relationship Id="rId942" Type="http://schemas.openxmlformats.org/officeDocument/2006/relationships/hyperlink" Target="https://in.tradingview.com/chart/Cgv3Jm6J/?symbol=NSE%3AIRB" TargetMode="External"/><Relationship Id="rId941" Type="http://schemas.openxmlformats.org/officeDocument/2006/relationships/hyperlink" Target="https://in.tradingview.com/chart/Cgv3Jm6J/?symbol=NSE%3AIPL" TargetMode="External"/><Relationship Id="rId940" Type="http://schemas.openxmlformats.org/officeDocument/2006/relationships/hyperlink" Target="https://in.tradingview.com/chart/Cgv3Jm6J/?symbol=NSE%3AIPCALAB" TargetMode="External"/><Relationship Id="rId947" Type="http://schemas.openxmlformats.org/officeDocument/2006/relationships/hyperlink" Target="https://in.tradingview.com/chart/Cgv3Jm6J/?symbol=NSE%3AIRISDOREME" TargetMode="External"/><Relationship Id="rId946" Type="http://schemas.openxmlformats.org/officeDocument/2006/relationships/hyperlink" Target="https://in.tradingview.com/chart/Cgv3Jm6J/?symbol=NSE%3AIRFC" TargetMode="External"/><Relationship Id="rId945" Type="http://schemas.openxmlformats.org/officeDocument/2006/relationships/hyperlink" Target="https://in.tradingview.com/chart/Cgv3Jm6J/?symbol=NSE%3AIREDA" TargetMode="External"/><Relationship Id="rId944" Type="http://schemas.openxmlformats.org/officeDocument/2006/relationships/hyperlink" Target="https://in.tradingview.com/chart/Cgv3Jm6J/?symbol=NSE%3AIRCTC" TargetMode="External"/><Relationship Id="rId1530" Type="http://schemas.openxmlformats.org/officeDocument/2006/relationships/hyperlink" Target="https://in.tradingview.com/chart/Cgv3Jm6J/?symbol=NSE%3APIONEEREMB" TargetMode="External"/><Relationship Id="rId1531" Type="http://schemas.openxmlformats.org/officeDocument/2006/relationships/hyperlink" Target="https://in.tradingview.com/chart/Cgv3Jm6J/?symbol=NSE%3APITTIENG" TargetMode="External"/><Relationship Id="rId1521" Type="http://schemas.openxmlformats.org/officeDocument/2006/relationships/hyperlink" Target="https://in.tradingview.com/chart/Cgv3Jm6J/?symbol=NSE%3APGHL" TargetMode="External"/><Relationship Id="rId1522" Type="http://schemas.openxmlformats.org/officeDocument/2006/relationships/hyperlink" Target="https://in.tradingview.com/chart/Cgv3Jm6J/?symbol=NSE%3APGIL" TargetMode="External"/><Relationship Id="rId1523" Type="http://schemas.openxmlformats.org/officeDocument/2006/relationships/hyperlink" Target="https://in.tradingview.com/chart/Cgv3Jm6J/?symbol=NSE%3APHARMABEES" TargetMode="External"/><Relationship Id="rId1524" Type="http://schemas.openxmlformats.org/officeDocument/2006/relationships/hyperlink" Target="https://in.tradingview.com/chart/Cgv3Jm6J/?symbol=NSE%3APHOENIXLTD" TargetMode="External"/><Relationship Id="rId1525" Type="http://schemas.openxmlformats.org/officeDocument/2006/relationships/hyperlink" Target="https://in.tradingview.com/chart/Cgv3Jm6J/?symbol=NSE%3APIDILITIND" TargetMode="External"/><Relationship Id="rId1526" Type="http://schemas.openxmlformats.org/officeDocument/2006/relationships/hyperlink" Target="https://in.tradingview.com/chart/Cgv3Jm6J/?symbol=NSE%3APIGL" TargetMode="External"/><Relationship Id="rId1527" Type="http://schemas.openxmlformats.org/officeDocument/2006/relationships/hyperlink" Target="https://in.tradingview.com/chart/Cgv3Jm6J/?symbol=NSE%3APIIND" TargetMode="External"/><Relationship Id="rId1528" Type="http://schemas.openxmlformats.org/officeDocument/2006/relationships/hyperlink" Target="https://in.tradingview.com/chart/Cgv3Jm6J/?symbol=NSE%3APILANIINVS" TargetMode="External"/><Relationship Id="rId1529" Type="http://schemas.openxmlformats.org/officeDocument/2006/relationships/hyperlink" Target="https://in.tradingview.com/chart/Cgv3Jm6J/?symbol=NSE%3APILITA" TargetMode="External"/><Relationship Id="rId939" Type="http://schemas.openxmlformats.org/officeDocument/2006/relationships/hyperlink" Target="https://in.tradingview.com/chart/Cgv3Jm6J/?symbol=NSE%3AIONEXCHANG" TargetMode="External"/><Relationship Id="rId938" Type="http://schemas.openxmlformats.org/officeDocument/2006/relationships/hyperlink" Target="https://in.tradingview.com/chart/Cgv3Jm6J/?symbol=NSE%3AIOLCP" TargetMode="External"/><Relationship Id="rId937" Type="http://schemas.openxmlformats.org/officeDocument/2006/relationships/hyperlink" Target="https://in.tradingview.com/chart/Cgv3Jm6J/?symbol=NSE%3AIOC" TargetMode="External"/><Relationship Id="rId932" Type="http://schemas.openxmlformats.org/officeDocument/2006/relationships/hyperlink" Target="https://in.tradingview.com/chart/Cgv3Jm6J/?symbol=NSE%3AINTENTECH" TargetMode="External"/><Relationship Id="rId931" Type="http://schemas.openxmlformats.org/officeDocument/2006/relationships/hyperlink" Target="https://in.tradingview.com/chart/Cgv3Jm6J/?symbol=NSE%3AINTELLECT" TargetMode="External"/><Relationship Id="rId930" Type="http://schemas.openxmlformats.org/officeDocument/2006/relationships/hyperlink" Target="https://in.tradingview.com/chart/Cgv3Jm6J/?symbol=NSE%3AINSPIRISYS" TargetMode="External"/><Relationship Id="rId936" Type="http://schemas.openxmlformats.org/officeDocument/2006/relationships/hyperlink" Target="https://in.tradingview.com/chart/Cgv3Jm6J/?symbol=NSE%3AIOB" TargetMode="External"/><Relationship Id="rId935" Type="http://schemas.openxmlformats.org/officeDocument/2006/relationships/hyperlink" Target="https://in.tradingview.com/chart/Cgv3Jm6J/?symbol=NSE%3AINVENTURE" TargetMode="External"/><Relationship Id="rId934" Type="http://schemas.openxmlformats.org/officeDocument/2006/relationships/hyperlink" Target="https://in.tradingview.com/chart/Cgv3Jm6J/?symbol=NSE%3AINTLCONV" TargetMode="External"/><Relationship Id="rId933" Type="http://schemas.openxmlformats.org/officeDocument/2006/relationships/hyperlink" Target="https://in.tradingview.com/chart/Cgv3Jm6J/?symbol=NSE%3AINTERARCH" TargetMode="External"/><Relationship Id="rId1520" Type="http://schemas.openxmlformats.org/officeDocument/2006/relationships/hyperlink" Target="https://in.tradingview.com/chart/Cgv3Jm6J/?symbol=NSE%3APGHH" TargetMode="External"/><Relationship Id="rId1554" Type="http://schemas.openxmlformats.org/officeDocument/2006/relationships/hyperlink" Target="https://in.tradingview.com/chart/Cgv3Jm6J/?symbol=NSE%3APOWERMECH" TargetMode="External"/><Relationship Id="rId1555" Type="http://schemas.openxmlformats.org/officeDocument/2006/relationships/hyperlink" Target="https://in.tradingview.com/chart/Cgv3Jm6J/?symbol=NSE%3APPAP" TargetMode="External"/><Relationship Id="rId1556" Type="http://schemas.openxmlformats.org/officeDocument/2006/relationships/hyperlink" Target="https://in.tradingview.com/chart/Cgv3Jm6J/?symbol=NSE%3APPL" TargetMode="External"/><Relationship Id="rId1557" Type="http://schemas.openxmlformats.org/officeDocument/2006/relationships/hyperlink" Target="https://in.tradingview.com/chart/Cgv3Jm6J/?symbol=NSE%3APPLPHARMA" TargetMode="External"/><Relationship Id="rId1558" Type="http://schemas.openxmlformats.org/officeDocument/2006/relationships/hyperlink" Target="https://in.tradingview.com/chart/Cgv3Jm6J/?symbol=NSE%3APRAENG" TargetMode="External"/><Relationship Id="rId1559" Type="http://schemas.openxmlformats.org/officeDocument/2006/relationships/hyperlink" Target="https://in.tradingview.com/chart/Cgv3Jm6J/?symbol=NSE%3APRAJIND" TargetMode="External"/><Relationship Id="rId965" Type="http://schemas.openxmlformats.org/officeDocument/2006/relationships/hyperlink" Target="https://in.tradingview.com/chart/Cgv3Jm6J/?symbol=NSE%3AIXIGO" TargetMode="External"/><Relationship Id="rId964" Type="http://schemas.openxmlformats.org/officeDocument/2006/relationships/hyperlink" Target="https://in.tradingview.com/chart/Cgv3Jm6J/?symbol=NSE%3AIVZINNIFTY" TargetMode="External"/><Relationship Id="rId963" Type="http://schemas.openxmlformats.org/officeDocument/2006/relationships/hyperlink" Target="https://in.tradingview.com/chart/Cgv3Jm6J/?symbol=NSE%3AIVZINGOLD" TargetMode="External"/><Relationship Id="rId962" Type="http://schemas.openxmlformats.org/officeDocument/2006/relationships/hyperlink" Target="https://in.tradingview.com/chart/Cgv3Jm6J/?symbol=NSE%3AIVP" TargetMode="External"/><Relationship Id="rId969" Type="http://schemas.openxmlformats.org/officeDocument/2006/relationships/hyperlink" Target="https://in.tradingview.com/chart/Cgv3Jm6J/?symbol=NSE%3AJAIBALAJI" TargetMode="External"/><Relationship Id="rId968" Type="http://schemas.openxmlformats.org/officeDocument/2006/relationships/hyperlink" Target="https://in.tradingview.com/chart/Cgv3Jm6J/?symbol=NSE%3AJAGSNPHARM" TargetMode="External"/><Relationship Id="rId967" Type="http://schemas.openxmlformats.org/officeDocument/2006/relationships/hyperlink" Target="https://in.tradingview.com/chart/Cgv3Jm6J/?symbol=NSE%3AJAGRAN" TargetMode="External"/><Relationship Id="rId966" Type="http://schemas.openxmlformats.org/officeDocument/2006/relationships/hyperlink" Target="https://in.tradingview.com/chart/Cgv3Jm6J/?symbol=NSE%3AJ_KBANK" TargetMode="External"/><Relationship Id="rId961" Type="http://schemas.openxmlformats.org/officeDocument/2006/relationships/hyperlink" Target="https://in.tradingview.com/chart/Cgv3Jm6J/?symbol=NSE%3AIVC" TargetMode="External"/><Relationship Id="rId1550" Type="http://schemas.openxmlformats.org/officeDocument/2006/relationships/hyperlink" Target="https://in.tradingview.com/chart/Cgv3Jm6J/?symbol=NSE%3APONNIERODE" TargetMode="External"/><Relationship Id="rId960" Type="http://schemas.openxmlformats.org/officeDocument/2006/relationships/hyperlink" Target="https://in.tradingview.com/chart/Cgv3Jm6J/?symbol=NSE%3AITIETF" TargetMode="External"/><Relationship Id="rId1551" Type="http://schemas.openxmlformats.org/officeDocument/2006/relationships/hyperlink" Target="https://in.tradingview.com/chart/Cgv3Jm6J/?symbol=NSE%3APOONAWALLA" TargetMode="External"/><Relationship Id="rId1552" Type="http://schemas.openxmlformats.org/officeDocument/2006/relationships/hyperlink" Target="https://in.tradingview.com/chart/Cgv3Jm6J/?symbol=NSE%3APOWERGRID" TargetMode="External"/><Relationship Id="rId1553" Type="http://schemas.openxmlformats.org/officeDocument/2006/relationships/hyperlink" Target="https://in.tradingview.com/chart/Cgv3Jm6J/?symbol=NSE%3APOWERINDIA" TargetMode="External"/><Relationship Id="rId1543" Type="http://schemas.openxmlformats.org/officeDocument/2006/relationships/hyperlink" Target="https://in.tradingview.com/chart/Cgv3Jm6J/?symbol=NSE%3APOCL" TargetMode="External"/><Relationship Id="rId1544" Type="http://schemas.openxmlformats.org/officeDocument/2006/relationships/hyperlink" Target="https://in.tradingview.com/chart/Cgv3Jm6J/?symbol=NSE%3APODDARMENT" TargetMode="External"/><Relationship Id="rId1545" Type="http://schemas.openxmlformats.org/officeDocument/2006/relationships/hyperlink" Target="https://in.tradingview.com/chart/Cgv3Jm6J/?symbol=NSE%3APOKARNA" TargetMode="External"/><Relationship Id="rId1546" Type="http://schemas.openxmlformats.org/officeDocument/2006/relationships/hyperlink" Target="https://in.tradingview.com/chart/Cgv3Jm6J/?symbol=NSE%3APOLICYBZR" TargetMode="External"/><Relationship Id="rId1547" Type="http://schemas.openxmlformats.org/officeDocument/2006/relationships/hyperlink" Target="https://in.tradingview.com/chart/Cgv3Jm6J/?symbol=NSE%3APOLYCAB" TargetMode="External"/><Relationship Id="rId1548" Type="http://schemas.openxmlformats.org/officeDocument/2006/relationships/hyperlink" Target="https://in.tradingview.com/chart/Cgv3Jm6J/?symbol=NSE%3APOLYMED" TargetMode="External"/><Relationship Id="rId1549" Type="http://schemas.openxmlformats.org/officeDocument/2006/relationships/hyperlink" Target="https://in.tradingview.com/chart/Cgv3Jm6J/?symbol=NSE%3APOLYPLEX" TargetMode="External"/><Relationship Id="rId959" Type="http://schemas.openxmlformats.org/officeDocument/2006/relationships/hyperlink" Target="https://in.tradingview.com/chart/Cgv3Jm6J/?symbol=NSE%3AITI" TargetMode="External"/><Relationship Id="rId954" Type="http://schemas.openxmlformats.org/officeDocument/2006/relationships/hyperlink" Target="https://in.tradingview.com/chart/Cgv3Jm6J/?symbol=NSE%3AITCHOTELS" TargetMode="External"/><Relationship Id="rId953" Type="http://schemas.openxmlformats.org/officeDocument/2006/relationships/hyperlink" Target="https://in.tradingview.com/chart/Cgv3Jm6J/?symbol=NSE%3AITC" TargetMode="External"/><Relationship Id="rId952" Type="http://schemas.openxmlformats.org/officeDocument/2006/relationships/hyperlink" Target="https://in.tradingview.com/chart/Cgv3Jm6J/?symbol=NSE%3AITBEES" TargetMode="External"/><Relationship Id="rId951" Type="http://schemas.openxmlformats.org/officeDocument/2006/relationships/hyperlink" Target="https://in.tradingview.com/chart/Cgv3Jm6J/?symbol=NSE%3AIT" TargetMode="External"/><Relationship Id="rId958" Type="http://schemas.openxmlformats.org/officeDocument/2006/relationships/hyperlink" Target="https://in.tradingview.com/chart/Cgv3Jm6J/?symbol=NSE%3AITETFADD" TargetMode="External"/><Relationship Id="rId957" Type="http://schemas.openxmlformats.org/officeDocument/2006/relationships/hyperlink" Target="https://in.tradingview.com/chart/Cgv3Jm6J/?symbol=NSE%3AITETF" TargetMode="External"/><Relationship Id="rId956" Type="http://schemas.openxmlformats.org/officeDocument/2006/relationships/hyperlink" Target="https://in.tradingview.com/chart/Cgv3Jm6J/?symbol=NSE%3AITDCEM" TargetMode="External"/><Relationship Id="rId955" Type="http://schemas.openxmlformats.org/officeDocument/2006/relationships/hyperlink" Target="https://in.tradingview.com/chart/Cgv3Jm6J/?symbol=NSE%3AITDC" TargetMode="External"/><Relationship Id="rId950" Type="http://schemas.openxmlformats.org/officeDocument/2006/relationships/hyperlink" Target="https://in.tradingview.com/chart/Cgv3Jm6J/?symbol=NSE%3AISGEC" TargetMode="External"/><Relationship Id="rId1540" Type="http://schemas.openxmlformats.org/officeDocument/2006/relationships/hyperlink" Target="https://in.tradingview.com/chart/Cgv3Jm6J/?symbol=NSE%3APNC" TargetMode="External"/><Relationship Id="rId1541" Type="http://schemas.openxmlformats.org/officeDocument/2006/relationships/hyperlink" Target="https://in.tradingview.com/chart/Cgv3Jm6J/?symbol=NSE%3APNCINFRA" TargetMode="External"/><Relationship Id="rId1542" Type="http://schemas.openxmlformats.org/officeDocument/2006/relationships/hyperlink" Target="https://in.tradingview.com/chart/Cgv3Jm6J/?symbol=NSE%3APNGJL" TargetMode="External"/><Relationship Id="rId2027" Type="http://schemas.openxmlformats.org/officeDocument/2006/relationships/hyperlink" Target="https://in.tradingview.com/chart/Cgv3Jm6J/?symbol=NSE%3ATIINDIA" TargetMode="External"/><Relationship Id="rId2028" Type="http://schemas.openxmlformats.org/officeDocument/2006/relationships/hyperlink" Target="https://in.tradingview.com/chart/Cgv3Jm6J/?symbol=NSE%3ATIJARIA" TargetMode="External"/><Relationship Id="rId2029" Type="http://schemas.openxmlformats.org/officeDocument/2006/relationships/hyperlink" Target="https://in.tradingview.com/chart/Cgv3Jm6J/?symbol=NSE%3ATIL" TargetMode="External"/><Relationship Id="rId107" Type="http://schemas.openxmlformats.org/officeDocument/2006/relationships/hyperlink" Target="https://in.tradingview.com/chart/Cgv3Jm6J/?symbol=NSE%3AALPSINDUS" TargetMode="External"/><Relationship Id="rId106" Type="http://schemas.openxmlformats.org/officeDocument/2006/relationships/hyperlink" Target="https://in.tradingview.com/chart/Cgv3Jm6J/?symbol=NSE%3AALPL30IETF" TargetMode="External"/><Relationship Id="rId105" Type="http://schemas.openxmlformats.org/officeDocument/2006/relationships/hyperlink" Target="https://in.tradingview.com/chart/Cgv3Jm6J/?symbol=NSE%3AALPHAGEO" TargetMode="External"/><Relationship Id="rId104" Type="http://schemas.openxmlformats.org/officeDocument/2006/relationships/hyperlink" Target="https://in.tradingview.com/chart/Cgv3Jm6J/?symbol=NSE%3AALPHAETF" TargetMode="External"/><Relationship Id="rId109" Type="http://schemas.openxmlformats.org/officeDocument/2006/relationships/hyperlink" Target="https://in.tradingview.com/chart/Cgv3Jm6J/?symbol=NSE%3AAMBICAAGAR" TargetMode="External"/><Relationship Id="rId108" Type="http://schemas.openxmlformats.org/officeDocument/2006/relationships/hyperlink" Target="https://in.tradingview.com/chart/Cgv3Jm6J/?symbol=NSE%3AAMBER" TargetMode="External"/><Relationship Id="rId2020" Type="http://schemas.openxmlformats.org/officeDocument/2006/relationships/hyperlink" Target="https://in.tradingview.com/chart/Cgv3Jm6J/?symbol=NSE%3ATHERMAX" TargetMode="External"/><Relationship Id="rId2021" Type="http://schemas.openxmlformats.org/officeDocument/2006/relationships/hyperlink" Target="https://in.tradingview.com/chart/Cgv3Jm6J/?symbol=NSE%3ATHOMASCOOK" TargetMode="External"/><Relationship Id="rId2022" Type="http://schemas.openxmlformats.org/officeDocument/2006/relationships/hyperlink" Target="https://in.tradingview.com/chart/Cgv3Jm6J/?symbol=NSE%3ATHOMASCOTT" TargetMode="External"/><Relationship Id="rId103" Type="http://schemas.openxmlformats.org/officeDocument/2006/relationships/hyperlink" Target="https://in.tradingview.com/chart/Cgv3Jm6J/?symbol=NSE%3AALPHA" TargetMode="External"/><Relationship Id="rId2023" Type="http://schemas.openxmlformats.org/officeDocument/2006/relationships/hyperlink" Target="https://in.tradingview.com/chart/Cgv3Jm6J/?symbol=NSE%3ATHYROCARE" TargetMode="External"/><Relationship Id="rId102" Type="http://schemas.openxmlformats.org/officeDocument/2006/relationships/hyperlink" Target="https://in.tradingview.com/chart/Cgv3Jm6J/?symbol=NSE%3AALPA" TargetMode="External"/><Relationship Id="rId2024" Type="http://schemas.openxmlformats.org/officeDocument/2006/relationships/hyperlink" Target="https://in.tradingview.com/chart/Cgv3Jm6J/?symbol=NSE%3ATI" TargetMode="External"/><Relationship Id="rId101" Type="http://schemas.openxmlformats.org/officeDocument/2006/relationships/hyperlink" Target="https://in.tradingview.com/chart/Cgv3Jm6J/?symbol=NSE%3AALOKINDS" TargetMode="External"/><Relationship Id="rId2025" Type="http://schemas.openxmlformats.org/officeDocument/2006/relationships/hyperlink" Target="https://in.tradingview.com/chart/Cgv3Jm6J/?symbol=NSE%3ATICL" TargetMode="External"/><Relationship Id="rId100" Type="http://schemas.openxmlformats.org/officeDocument/2006/relationships/hyperlink" Target="https://in.tradingview.com/chart/Cgv3Jm6J/?symbol=NSE%3AALMONDZ" TargetMode="External"/><Relationship Id="rId2026" Type="http://schemas.openxmlformats.org/officeDocument/2006/relationships/hyperlink" Target="https://in.tradingview.com/chart/Cgv3Jm6J/?symbol=NSE%3ATIIL" TargetMode="External"/><Relationship Id="rId2016" Type="http://schemas.openxmlformats.org/officeDocument/2006/relationships/hyperlink" Target="https://in.tradingview.com/chart/Cgv3Jm6J/?symbol=NSE%3ATHANGAMAYL" TargetMode="External"/><Relationship Id="rId2017" Type="http://schemas.openxmlformats.org/officeDocument/2006/relationships/hyperlink" Target="https://in.tradingview.com/chart/Cgv3Jm6J/?symbol=NSE%3ATHEINVEST" TargetMode="External"/><Relationship Id="rId2018" Type="http://schemas.openxmlformats.org/officeDocument/2006/relationships/hyperlink" Target="https://in.tradingview.com/chart/Cgv3Jm6J/?symbol=NSE%3ATHEJO" TargetMode="External"/><Relationship Id="rId2019" Type="http://schemas.openxmlformats.org/officeDocument/2006/relationships/hyperlink" Target="https://in.tradingview.com/chart/Cgv3Jm6J/?symbol=NSE%3ATHEMISMED" TargetMode="External"/><Relationship Id="rId2010" Type="http://schemas.openxmlformats.org/officeDocument/2006/relationships/hyperlink" Target="https://in.tradingview.com/chart/Cgv3Jm6J/?symbol=NSE%3ATEMBO" TargetMode="External"/><Relationship Id="rId2011" Type="http://schemas.openxmlformats.org/officeDocument/2006/relationships/hyperlink" Target="https://in.tradingview.com/chart/Cgv3Jm6J/?symbol=NSE%3ATEXINFRA" TargetMode="External"/><Relationship Id="rId2012" Type="http://schemas.openxmlformats.org/officeDocument/2006/relationships/hyperlink" Target="https://in.tradingview.com/chart/Cgv3Jm6J/?symbol=NSE%3ATEXMOPIPES" TargetMode="External"/><Relationship Id="rId2013" Type="http://schemas.openxmlformats.org/officeDocument/2006/relationships/hyperlink" Target="https://in.tradingview.com/chart/Cgv3Jm6J/?symbol=NSE%3ATEXRAIL" TargetMode="External"/><Relationship Id="rId2014" Type="http://schemas.openxmlformats.org/officeDocument/2006/relationships/hyperlink" Target="https://in.tradingview.com/chart/Cgv3Jm6J/?symbol=NSE%3ATFCILTD" TargetMode="External"/><Relationship Id="rId2015" Type="http://schemas.openxmlformats.org/officeDocument/2006/relationships/hyperlink" Target="https://in.tradingview.com/chart/Cgv3Jm6J/?symbol=NSE%3ATGBHOTELS" TargetMode="External"/><Relationship Id="rId2049" Type="http://schemas.openxmlformats.org/officeDocument/2006/relationships/hyperlink" Target="https://in.tradingview.com/chart/Cgv3Jm6J/?symbol=NSE%3ATOTAL" TargetMode="External"/><Relationship Id="rId129" Type="http://schemas.openxmlformats.org/officeDocument/2006/relationships/hyperlink" Target="https://in.tradingview.com/chart/Cgv3Jm6J/?symbol=NSE%3AAONETOTAL" TargetMode="External"/><Relationship Id="rId128" Type="http://schemas.openxmlformats.org/officeDocument/2006/relationships/hyperlink" Target="https://in.tradingview.com/chart/Cgv3Jm6J/?symbol=NSE%3AANURAS" TargetMode="External"/><Relationship Id="rId127" Type="http://schemas.openxmlformats.org/officeDocument/2006/relationships/hyperlink" Target="https://in.tradingview.com/chart/Cgv3Jm6J/?symbol=NSE%3AANUP" TargetMode="External"/><Relationship Id="rId126" Type="http://schemas.openxmlformats.org/officeDocument/2006/relationships/hyperlink" Target="https://in.tradingview.com/chart/Cgv3Jm6J/?symbol=NSE%3AANUHPHR" TargetMode="External"/><Relationship Id="rId2040" Type="http://schemas.openxmlformats.org/officeDocument/2006/relationships/hyperlink" Target="https://in.tradingview.com/chart/Cgv3Jm6J/?symbol=NSE%3ATNPETRO" TargetMode="External"/><Relationship Id="rId121" Type="http://schemas.openxmlformats.org/officeDocument/2006/relationships/hyperlink" Target="https://in.tradingview.com/chart/Cgv3Jm6J/?symbol=NSE%3AANGELONE" TargetMode="External"/><Relationship Id="rId2041" Type="http://schemas.openxmlformats.org/officeDocument/2006/relationships/hyperlink" Target="https://in.tradingview.com/chart/Cgv3Jm6J/?symbol=NSE%3ATNPL" TargetMode="External"/><Relationship Id="rId120" Type="http://schemas.openxmlformats.org/officeDocument/2006/relationships/hyperlink" Target="https://in.tradingview.com/chart/Cgv3Jm6J/?symbol=NSE%3AANDHRSUGAR" TargetMode="External"/><Relationship Id="rId2042" Type="http://schemas.openxmlformats.org/officeDocument/2006/relationships/hyperlink" Target="https://in.tradingview.com/chart/Cgv3Jm6J/?symbol=NSE%3ATNTELE" TargetMode="External"/><Relationship Id="rId2043" Type="http://schemas.openxmlformats.org/officeDocument/2006/relationships/hyperlink" Target="https://in.tradingview.com/chart/Cgv3Jm6J/?symbol=NSE%3ATOKYOPLAST" TargetMode="External"/><Relationship Id="rId2044" Type="http://schemas.openxmlformats.org/officeDocument/2006/relationships/hyperlink" Target="https://in.tradingview.com/chart/Cgv3Jm6J/?symbol=NSE%3ATOLINS" TargetMode="External"/><Relationship Id="rId125" Type="http://schemas.openxmlformats.org/officeDocument/2006/relationships/hyperlink" Target="https://in.tradingview.com/chart/Cgv3Jm6J/?symbol=NSE%3AANTGRAPHIC" TargetMode="External"/><Relationship Id="rId2045" Type="http://schemas.openxmlformats.org/officeDocument/2006/relationships/hyperlink" Target="https://in.tradingview.com/chart/Cgv3Jm6J/?symbol=NSE%3ATOP100CASE" TargetMode="External"/><Relationship Id="rId124" Type="http://schemas.openxmlformats.org/officeDocument/2006/relationships/hyperlink" Target="https://in.tradingview.com/chart/Cgv3Jm6J/?symbol=NSE%3AANSALAPI" TargetMode="External"/><Relationship Id="rId2046" Type="http://schemas.openxmlformats.org/officeDocument/2006/relationships/hyperlink" Target="https://in.tradingview.com/chart/Cgv3Jm6J/?symbol=NSE%3ATOP10ADD" TargetMode="External"/><Relationship Id="rId123" Type="http://schemas.openxmlformats.org/officeDocument/2006/relationships/hyperlink" Target="https://in.tradingview.com/chart/Cgv3Jm6J/?symbol=NSE%3AANMOL" TargetMode="External"/><Relationship Id="rId2047" Type="http://schemas.openxmlformats.org/officeDocument/2006/relationships/hyperlink" Target="https://in.tradingview.com/chart/Cgv3Jm6J/?symbol=NSE%3ATORNTPHARM" TargetMode="External"/><Relationship Id="rId122" Type="http://schemas.openxmlformats.org/officeDocument/2006/relationships/hyperlink" Target="https://in.tradingview.com/chart/Cgv3Jm6J/?symbol=NSE%3AANIKINDS" TargetMode="External"/><Relationship Id="rId2048" Type="http://schemas.openxmlformats.org/officeDocument/2006/relationships/hyperlink" Target="https://in.tradingview.com/chart/Cgv3Jm6J/?symbol=NSE%3ATORNTPOWER" TargetMode="External"/><Relationship Id="rId2038" Type="http://schemas.openxmlformats.org/officeDocument/2006/relationships/hyperlink" Target="https://in.tradingview.com/chart/Cgv3Jm6J/?symbol=NSE%3ATMB" TargetMode="External"/><Relationship Id="rId2039" Type="http://schemas.openxmlformats.org/officeDocument/2006/relationships/hyperlink" Target="https://in.tradingview.com/chart/Cgv3Jm6J/?symbol=NSE%3ATNIDETF" TargetMode="External"/><Relationship Id="rId118" Type="http://schemas.openxmlformats.org/officeDocument/2006/relationships/hyperlink" Target="https://in.tradingview.com/chart/Cgv3Jm6J/?symbol=NSE%3AANANTRAJ" TargetMode="External"/><Relationship Id="rId117" Type="http://schemas.openxmlformats.org/officeDocument/2006/relationships/hyperlink" Target="https://in.tradingview.com/chart/Cgv3Jm6J/?symbol=NSE%3AANANDRATHI" TargetMode="External"/><Relationship Id="rId116" Type="http://schemas.openxmlformats.org/officeDocument/2006/relationships/hyperlink" Target="https://in.tradingview.com/chart/Cgv3Jm6J/?symbol=NSE%3AAMRUTANJAN" TargetMode="External"/><Relationship Id="rId115" Type="http://schemas.openxmlformats.org/officeDocument/2006/relationships/hyperlink" Target="https://in.tradingview.com/chart/Cgv3Jm6J/?symbol=NSE%3AAMNPLST" TargetMode="External"/><Relationship Id="rId119" Type="http://schemas.openxmlformats.org/officeDocument/2006/relationships/hyperlink" Target="https://in.tradingview.com/chart/Cgv3Jm6J/?symbol=NSE%3AANDHRAPAP" TargetMode="External"/><Relationship Id="rId110" Type="http://schemas.openxmlformats.org/officeDocument/2006/relationships/hyperlink" Target="https://in.tradingview.com/chart/Cgv3Jm6J/?symbol=NSE%3AAMBIKCO" TargetMode="External"/><Relationship Id="rId2030" Type="http://schemas.openxmlformats.org/officeDocument/2006/relationships/hyperlink" Target="https://in.tradingview.com/chart/Cgv3Jm6J/?symbol=NSE%3ATIMESGTY" TargetMode="External"/><Relationship Id="rId2031" Type="http://schemas.openxmlformats.org/officeDocument/2006/relationships/hyperlink" Target="https://in.tradingview.com/chart/Cgv3Jm6J/?symbol=NSE%3ATIMETECHNO" TargetMode="External"/><Relationship Id="rId2032" Type="http://schemas.openxmlformats.org/officeDocument/2006/relationships/hyperlink" Target="https://in.tradingview.com/chart/Cgv3Jm6J/?symbol=NSE%3ATIMKEN" TargetMode="External"/><Relationship Id="rId2033" Type="http://schemas.openxmlformats.org/officeDocument/2006/relationships/hyperlink" Target="https://in.tradingview.com/chart/Cgv3Jm6J/?symbol=NSE%3ATIPSFILMS" TargetMode="External"/><Relationship Id="rId114" Type="http://schemas.openxmlformats.org/officeDocument/2006/relationships/hyperlink" Target="https://in.tradingview.com/chart/Cgv3Jm6J/?symbol=NSE%3AAMJLAND" TargetMode="External"/><Relationship Id="rId2034" Type="http://schemas.openxmlformats.org/officeDocument/2006/relationships/hyperlink" Target="https://in.tradingview.com/chart/Cgv3Jm6J/?symbol=NSE%3ATIPSMUSIC" TargetMode="External"/><Relationship Id="rId113" Type="http://schemas.openxmlformats.org/officeDocument/2006/relationships/hyperlink" Target="https://in.tradingview.com/chart/Cgv3Jm6J/?symbol=NSE%3AACUTAAS" TargetMode="External"/><Relationship Id="rId2035" Type="http://schemas.openxmlformats.org/officeDocument/2006/relationships/hyperlink" Target="https://in.tradingview.com/chart/Cgv3Jm6J/?symbol=NSE%3ATIRUMALCHM" TargetMode="External"/><Relationship Id="rId112" Type="http://schemas.openxmlformats.org/officeDocument/2006/relationships/hyperlink" Target="https://in.tradingview.com/chart/Cgv3Jm6J/?symbol=NSE%3AAMDIND" TargetMode="External"/><Relationship Id="rId2036" Type="http://schemas.openxmlformats.org/officeDocument/2006/relationships/hyperlink" Target="https://in.tradingview.com/chart/Cgv3Jm6J/?symbol=NSE%3ATITAGARH" TargetMode="External"/><Relationship Id="rId111" Type="http://schemas.openxmlformats.org/officeDocument/2006/relationships/hyperlink" Target="https://in.tradingview.com/chart/Cgv3Jm6J/?symbol=NSE%3AAMBUJACEM" TargetMode="External"/><Relationship Id="rId2037" Type="http://schemas.openxmlformats.org/officeDocument/2006/relationships/hyperlink" Target="https://in.tradingview.com/chart/Cgv3Jm6J/?symbol=NSE%3ATITAN" TargetMode="External"/><Relationship Id="rId2005" Type="http://schemas.openxmlformats.org/officeDocument/2006/relationships/hyperlink" Target="https://in.tradingview.com/chart/Cgv3Jm6J/?symbol=NSE%3ATECHM" TargetMode="External"/><Relationship Id="rId2006" Type="http://schemas.openxmlformats.org/officeDocument/2006/relationships/hyperlink" Target="https://in.tradingview.com/chart/Cgv3Jm6J/?symbol=NSE%3ATECHNOE" TargetMode="External"/><Relationship Id="rId2007" Type="http://schemas.openxmlformats.org/officeDocument/2006/relationships/hyperlink" Target="https://in.tradingview.com/chart/Cgv3Jm6J/?symbol=NSE%3ATECILCHEM" TargetMode="External"/><Relationship Id="rId2008" Type="http://schemas.openxmlformats.org/officeDocument/2006/relationships/hyperlink" Target="https://in.tradingview.com/chart/Cgv3Jm6J/?symbol=NSE%3ATEGA" TargetMode="External"/><Relationship Id="rId2009" Type="http://schemas.openxmlformats.org/officeDocument/2006/relationships/hyperlink" Target="https://in.tradingview.com/chart/Cgv3Jm6J/?symbol=NSE%3ATEJASNET" TargetMode="External"/><Relationship Id="rId2000" Type="http://schemas.openxmlformats.org/officeDocument/2006/relationships/hyperlink" Target="https://in.tradingview.com/chart/Cgv3Jm6J/?symbol=NSE%3ATCPLPACK" TargetMode="External"/><Relationship Id="rId2001" Type="http://schemas.openxmlformats.org/officeDocument/2006/relationships/hyperlink" Target="https://in.tradingview.com/chart/Cgv3Jm6J/?symbol=NSE%3ATCS" TargetMode="External"/><Relationship Id="rId2002" Type="http://schemas.openxmlformats.org/officeDocument/2006/relationships/hyperlink" Target="https://in.tradingview.com/chart/Cgv3Jm6J/?symbol=NSE%3ATDPOWERSYS" TargetMode="External"/><Relationship Id="rId2003" Type="http://schemas.openxmlformats.org/officeDocument/2006/relationships/hyperlink" Target="https://in.tradingview.com/chart/Cgv3Jm6J/?symbol=NSE%3ATEAMLEASE" TargetMode="External"/><Relationship Id="rId2004" Type="http://schemas.openxmlformats.org/officeDocument/2006/relationships/hyperlink" Target="https://in.tradingview.com/chart/Cgv3Jm6J/?symbol=NSE%3ATECH" TargetMode="External"/><Relationship Id="rId2090" Type="http://schemas.openxmlformats.org/officeDocument/2006/relationships/hyperlink" Target="https://in.tradingview.com/chart/Cgv3Jm6J/?symbol=NSE%3AUNICHEMLAB" TargetMode="External"/><Relationship Id="rId2091" Type="http://schemas.openxmlformats.org/officeDocument/2006/relationships/hyperlink" Target="https://in.tradingview.com/chart/Cgv3Jm6J/?symbol=NSE%3AUNIDT" TargetMode="External"/><Relationship Id="rId2092" Type="http://schemas.openxmlformats.org/officeDocument/2006/relationships/hyperlink" Target="https://in.tradingview.com/chart/Cgv3Jm6J/?symbol=NSE%3AUNIECOM" TargetMode="External"/><Relationship Id="rId2093" Type="http://schemas.openxmlformats.org/officeDocument/2006/relationships/hyperlink" Target="https://in.tradingview.com/chart/Cgv3Jm6J/?symbol=NSE%3AUNIENTER" TargetMode="External"/><Relationship Id="rId2094" Type="http://schemas.openxmlformats.org/officeDocument/2006/relationships/hyperlink" Target="https://in.tradingview.com/chart/Cgv3Jm6J/?symbol=NSE%3AUNIINFO" TargetMode="External"/><Relationship Id="rId2095" Type="http://schemas.openxmlformats.org/officeDocument/2006/relationships/hyperlink" Target="https://in.tradingview.com/chart/Cgv3Jm6J/?symbol=NSE%3AUNIMECH" TargetMode="External"/><Relationship Id="rId2096" Type="http://schemas.openxmlformats.org/officeDocument/2006/relationships/hyperlink" Target="https://in.tradingview.com/chart/Cgv3Jm6J/?symbol=NSE%3AUNIONBANK" TargetMode="External"/><Relationship Id="rId2097" Type="http://schemas.openxmlformats.org/officeDocument/2006/relationships/hyperlink" Target="https://in.tradingview.com/chart/Cgv3Jm6J/?symbol=NSE%3AUNIONGOLD" TargetMode="External"/><Relationship Id="rId2098" Type="http://schemas.openxmlformats.org/officeDocument/2006/relationships/hyperlink" Target="https://in.tradingview.com/chart/Cgv3Jm6J/?symbol=NSE%3AUNIPARTS" TargetMode="External"/><Relationship Id="rId2099" Type="http://schemas.openxmlformats.org/officeDocument/2006/relationships/hyperlink" Target="https://in.tradingview.com/chart/Cgv3Jm6J/?symbol=NSE%3AUNITDSPR" TargetMode="External"/><Relationship Id="rId2060" Type="http://schemas.openxmlformats.org/officeDocument/2006/relationships/hyperlink" Target="https://in.tradingview.com/chart/Cgv3Jm6J/?symbol=NSE%3ATRF" TargetMode="External"/><Relationship Id="rId2061" Type="http://schemas.openxmlformats.org/officeDocument/2006/relationships/hyperlink" Target="https://in.tradingview.com/chart/Cgv3Jm6J/?symbol=NSE%3ATRIDENT" TargetMode="External"/><Relationship Id="rId2062" Type="http://schemas.openxmlformats.org/officeDocument/2006/relationships/hyperlink" Target="https://in.tradingview.com/chart/Cgv3Jm6J/?symbol=NSE%3ATRIGYN" TargetMode="External"/><Relationship Id="rId2063" Type="http://schemas.openxmlformats.org/officeDocument/2006/relationships/hyperlink" Target="https://in.tradingview.com/chart/Cgv3Jm6J/?symbol=NSE%3ATRITURBINE" TargetMode="External"/><Relationship Id="rId2064" Type="http://schemas.openxmlformats.org/officeDocument/2006/relationships/hyperlink" Target="https://in.tradingview.com/chart/Cgv3Jm6J/?symbol=NSE%3ATRIVENI" TargetMode="External"/><Relationship Id="rId2065" Type="http://schemas.openxmlformats.org/officeDocument/2006/relationships/hyperlink" Target="https://in.tradingview.com/chart/Cgv3Jm6J/?symbol=NSE%3ATRU" TargetMode="External"/><Relationship Id="rId2066" Type="http://schemas.openxmlformats.org/officeDocument/2006/relationships/hyperlink" Target="https://in.tradingview.com/chart/Cgv3Jm6J/?symbol=NSE%3ATTKHLTCARE" TargetMode="External"/><Relationship Id="rId2067" Type="http://schemas.openxmlformats.org/officeDocument/2006/relationships/hyperlink" Target="https://in.tradingview.com/chart/Cgv3Jm6J/?symbol=NSE%3ATTKPRESTIG" TargetMode="External"/><Relationship Id="rId2068" Type="http://schemas.openxmlformats.org/officeDocument/2006/relationships/hyperlink" Target="https://in.tradingview.com/chart/Cgv3Jm6J/?symbol=NSE%3ATTL" TargetMode="External"/><Relationship Id="rId2069" Type="http://schemas.openxmlformats.org/officeDocument/2006/relationships/hyperlink" Target="https://in.tradingview.com/chart/Cgv3Jm6J/?symbol=NSE%3ATTML" TargetMode="External"/><Relationship Id="rId2050" Type="http://schemas.openxmlformats.org/officeDocument/2006/relationships/hyperlink" Target="https://in.tradingview.com/chart/Cgv3Jm6J/?symbol=NSE%3ATOUCHWOOD" TargetMode="External"/><Relationship Id="rId2051" Type="http://schemas.openxmlformats.org/officeDocument/2006/relationships/hyperlink" Target="https://in.tradingview.com/chart/Cgv3Jm6J/?symbol=NSE%3ATPHQ" TargetMode="External"/><Relationship Id="rId2052" Type="http://schemas.openxmlformats.org/officeDocument/2006/relationships/hyperlink" Target="https://in.tradingview.com/chart/Cgv3Jm6J/?symbol=NSE%3ATPLPLASTEH" TargetMode="External"/><Relationship Id="rId2053" Type="http://schemas.openxmlformats.org/officeDocument/2006/relationships/hyperlink" Target="https://in.tradingview.com/chart/Cgv3Jm6J/?symbol=NSE%3ATRACXN" TargetMode="External"/><Relationship Id="rId2054" Type="http://schemas.openxmlformats.org/officeDocument/2006/relationships/hyperlink" Target="https://in.tradingview.com/chart/Cgv3Jm6J/?symbol=NSE%3ATRANSRAILL" TargetMode="External"/><Relationship Id="rId2055" Type="http://schemas.openxmlformats.org/officeDocument/2006/relationships/hyperlink" Target="https://in.tradingview.com/chart/Cgv3Jm6J/?symbol=NSE%3ATRANSWORLD" TargetMode="External"/><Relationship Id="rId2056" Type="http://schemas.openxmlformats.org/officeDocument/2006/relationships/hyperlink" Target="https://in.tradingview.com/chart/Cgv3Jm6J/?symbol=NSE%3ATREEHOUSE" TargetMode="External"/><Relationship Id="rId2057" Type="http://schemas.openxmlformats.org/officeDocument/2006/relationships/hyperlink" Target="https://in.tradingview.com/chart/Cgv3Jm6J/?symbol=NSE%3ATREJHARA" TargetMode="External"/><Relationship Id="rId2058" Type="http://schemas.openxmlformats.org/officeDocument/2006/relationships/hyperlink" Target="https://in.tradingview.com/chart/Cgv3Jm6J/?symbol=NSE%3ATREL" TargetMode="External"/><Relationship Id="rId2059" Type="http://schemas.openxmlformats.org/officeDocument/2006/relationships/hyperlink" Target="https://in.tradingview.com/chart/Cgv3Jm6J/?symbol=NSE%3ATRENT" TargetMode="External"/><Relationship Id="rId2080" Type="http://schemas.openxmlformats.org/officeDocument/2006/relationships/hyperlink" Target="https://in.tradingview.com/chart/Cgv3Jm6J/?symbol=NSE%3AUDS" TargetMode="External"/><Relationship Id="rId2081" Type="http://schemas.openxmlformats.org/officeDocument/2006/relationships/hyperlink" Target="https://in.tradingview.com/chart/Cgv3Jm6J/?symbol=NSE%3AUFLEX" TargetMode="External"/><Relationship Id="rId2082" Type="http://schemas.openxmlformats.org/officeDocument/2006/relationships/hyperlink" Target="https://in.tradingview.com/chart/Cgv3Jm6J/?symbol=NSE%3AUFO" TargetMode="External"/><Relationship Id="rId2083" Type="http://schemas.openxmlformats.org/officeDocument/2006/relationships/hyperlink" Target="https://in.tradingview.com/chart/Cgv3Jm6J/?symbol=NSE%3AUGARSUGAR" TargetMode="External"/><Relationship Id="rId2084" Type="http://schemas.openxmlformats.org/officeDocument/2006/relationships/hyperlink" Target="https://in.tradingview.com/chart/Cgv3Jm6J/?symbol=NSE%3AUGROCAP" TargetMode="External"/><Relationship Id="rId2085" Type="http://schemas.openxmlformats.org/officeDocument/2006/relationships/hyperlink" Target="https://in.tradingview.com/chart/Cgv3Jm6J/?symbol=NSE%3AUJJIVANSFB" TargetMode="External"/><Relationship Id="rId2086" Type="http://schemas.openxmlformats.org/officeDocument/2006/relationships/hyperlink" Target="https://in.tradingview.com/chart/Cgv3Jm6J/?symbol=NSE%3AULTRACEMCO" TargetMode="External"/><Relationship Id="rId2087" Type="http://schemas.openxmlformats.org/officeDocument/2006/relationships/hyperlink" Target="https://in.tradingview.com/chart/Cgv3Jm6J/?symbol=NSE%3AUMAEXPORTS" TargetMode="External"/><Relationship Id="rId2088" Type="http://schemas.openxmlformats.org/officeDocument/2006/relationships/hyperlink" Target="https://in.tradingview.com/chart/Cgv3Jm6J/?symbol=NSE%3AUMANGDAIRY" TargetMode="External"/><Relationship Id="rId2089" Type="http://schemas.openxmlformats.org/officeDocument/2006/relationships/hyperlink" Target="https://in.tradingview.com/chart/Cgv3Jm6J/?symbol=NSE%3AUMESLTD" TargetMode="External"/><Relationship Id="rId2070" Type="http://schemas.openxmlformats.org/officeDocument/2006/relationships/hyperlink" Target="https://in.tradingview.com/chart/Cgv3Jm6J/?symbol=NSE%3ATVSELECT" TargetMode="External"/><Relationship Id="rId2071" Type="http://schemas.openxmlformats.org/officeDocument/2006/relationships/hyperlink" Target="https://in.tradingview.com/chart/Cgv3Jm6J/?symbol=NSE%3ATVSHLTD" TargetMode="External"/><Relationship Id="rId2072" Type="http://schemas.openxmlformats.org/officeDocument/2006/relationships/hyperlink" Target="https://in.tradingview.com/chart/Cgv3Jm6J/?symbol=NSE%3ATVSMOTOR" TargetMode="External"/><Relationship Id="rId2073" Type="http://schemas.openxmlformats.org/officeDocument/2006/relationships/hyperlink" Target="https://in.tradingview.com/chart/Cgv3Jm6J/?symbol=NSE%3ATVSSCS" TargetMode="External"/><Relationship Id="rId2074" Type="http://schemas.openxmlformats.org/officeDocument/2006/relationships/hyperlink" Target="https://in.tradingview.com/chart/Cgv3Jm6J/?symbol=NSE%3ATVSSRICHAK" TargetMode="External"/><Relationship Id="rId2075" Type="http://schemas.openxmlformats.org/officeDocument/2006/relationships/hyperlink" Target="https://in.tradingview.com/chart/Cgv3Jm6J/?symbol=NSE%3ATVTODAY" TargetMode="External"/><Relationship Id="rId2076" Type="http://schemas.openxmlformats.org/officeDocument/2006/relationships/hyperlink" Target="https://in.tradingview.com/chart/Cgv3Jm6J/?symbol=NSE%3AUBL" TargetMode="External"/><Relationship Id="rId2077" Type="http://schemas.openxmlformats.org/officeDocument/2006/relationships/hyperlink" Target="https://in.tradingview.com/chart/Cgv3Jm6J/?symbol=NSE%3AUCAL" TargetMode="External"/><Relationship Id="rId2078" Type="http://schemas.openxmlformats.org/officeDocument/2006/relationships/hyperlink" Target="https://in.tradingview.com/chart/Cgv3Jm6J/?symbol=NSE%3AUCOBANK" TargetMode="External"/><Relationship Id="rId2079" Type="http://schemas.openxmlformats.org/officeDocument/2006/relationships/hyperlink" Target="https://in.tradingview.com/chart/Cgv3Jm6J/?symbol=NSE%3AUDAICEMENT" TargetMode="External"/><Relationship Id="rId1610" Type="http://schemas.openxmlformats.org/officeDocument/2006/relationships/hyperlink" Target="https://in.tradingview.com/chart/Cgv3Jm6J/?symbol=NSE%3ARADICO" TargetMode="External"/><Relationship Id="rId1611" Type="http://schemas.openxmlformats.org/officeDocument/2006/relationships/hyperlink" Target="https://in.tradingview.com/chart/Cgv3Jm6J/?symbol=NSE%3ARADIOCITY" TargetMode="External"/><Relationship Id="rId1612" Type="http://schemas.openxmlformats.org/officeDocument/2006/relationships/hyperlink" Target="https://in.tradingview.com/chart/Cgv3Jm6J/?symbol=NSE%3ARAILTEL" TargetMode="External"/><Relationship Id="rId1613" Type="http://schemas.openxmlformats.org/officeDocument/2006/relationships/hyperlink" Target="https://in.tradingview.com/chart/Cgv3Jm6J/?symbol=NSE%3ARAIN" TargetMode="External"/><Relationship Id="rId1614" Type="http://schemas.openxmlformats.org/officeDocument/2006/relationships/hyperlink" Target="https://in.tradingview.com/chart/Cgv3Jm6J/?symbol=NSE%3ARAINBOW" TargetMode="External"/><Relationship Id="rId1615" Type="http://schemas.openxmlformats.org/officeDocument/2006/relationships/hyperlink" Target="https://in.tradingview.com/chart/Cgv3Jm6J/?symbol=NSE%3ARAJESHEXPO" TargetMode="External"/><Relationship Id="rId1616" Type="http://schemas.openxmlformats.org/officeDocument/2006/relationships/hyperlink" Target="https://in.tradingview.com/chart/Cgv3Jm6J/?symbol=NSE%3ARAJMET" TargetMode="External"/><Relationship Id="rId907" Type="http://schemas.openxmlformats.org/officeDocument/2006/relationships/hyperlink" Target="https://in.tradingview.com/chart/Cgv3Jm6J/?symbol=NSE%3AINDORAMA" TargetMode="External"/><Relationship Id="rId1617" Type="http://schemas.openxmlformats.org/officeDocument/2006/relationships/hyperlink" Target="https://in.tradingview.com/chart/Cgv3Jm6J/?symbol=NSE%3ARAJRATAN" TargetMode="External"/><Relationship Id="rId906" Type="http://schemas.openxmlformats.org/officeDocument/2006/relationships/hyperlink" Target="https://in.tradingview.com/chart/Cgv3Jm6J/?symbol=NSE%3AINDOFARM" TargetMode="External"/><Relationship Id="rId1618" Type="http://schemas.openxmlformats.org/officeDocument/2006/relationships/hyperlink" Target="https://in.tradingview.com/chart/Cgv3Jm6J/?symbol=NSE%3ARAJRILTD" TargetMode="External"/><Relationship Id="rId905" Type="http://schemas.openxmlformats.org/officeDocument/2006/relationships/hyperlink" Target="https://in.tradingview.com/chart/Cgv3Jm6J/?symbol=NSE%3AINDOCO" TargetMode="External"/><Relationship Id="rId1619" Type="http://schemas.openxmlformats.org/officeDocument/2006/relationships/hyperlink" Target="https://in.tradingview.com/chart/Cgv3Jm6J/?symbol=NSE%3ARAJSREESUG" TargetMode="External"/><Relationship Id="rId904" Type="http://schemas.openxmlformats.org/officeDocument/2006/relationships/hyperlink" Target="https://in.tradingview.com/chart/Cgv3Jm6J/?symbol=NSE%3AINDOBORAX" TargetMode="External"/><Relationship Id="rId909" Type="http://schemas.openxmlformats.org/officeDocument/2006/relationships/hyperlink" Target="https://in.tradingview.com/chart/Cgv3Jm6J/?symbol=NSE%3AINDOTECH" TargetMode="External"/><Relationship Id="rId908" Type="http://schemas.openxmlformats.org/officeDocument/2006/relationships/hyperlink" Target="https://in.tradingview.com/chart/Cgv3Jm6J/?symbol=NSE%3AINDOSTAR" TargetMode="External"/><Relationship Id="rId903" Type="http://schemas.openxmlformats.org/officeDocument/2006/relationships/hyperlink" Target="https://in.tradingview.com/chart/Cgv3Jm6J/?symbol=NSE%3AINDOAMIN" TargetMode="External"/><Relationship Id="rId902" Type="http://schemas.openxmlformats.org/officeDocument/2006/relationships/hyperlink" Target="https://in.tradingview.com/chart/Cgv3Jm6J/?symbol=NSE%3AINDNIPPON" TargetMode="External"/><Relationship Id="rId901" Type="http://schemas.openxmlformats.org/officeDocument/2006/relationships/hyperlink" Target="https://in.tradingview.com/chart/Cgv3Jm6J/?symbol=NSE%3AINDIGOPNTS" TargetMode="External"/><Relationship Id="rId900" Type="http://schemas.openxmlformats.org/officeDocument/2006/relationships/hyperlink" Target="https://in.tradingview.com/chart/Cgv3Jm6J/?symbol=NSE%3AINDIGO" TargetMode="External"/><Relationship Id="rId1600" Type="http://schemas.openxmlformats.org/officeDocument/2006/relationships/hyperlink" Target="https://in.tradingview.com/chart/Cgv3Jm6J/?symbol=NSE%3AQPOWER" TargetMode="External"/><Relationship Id="rId1601" Type="http://schemas.openxmlformats.org/officeDocument/2006/relationships/hyperlink" Target="https://in.tradingview.com/chart/Cgv3Jm6J/?symbol=NSE%3AQUADFUTURE" TargetMode="External"/><Relationship Id="rId1602" Type="http://schemas.openxmlformats.org/officeDocument/2006/relationships/hyperlink" Target="https://in.tradingview.com/chart/Cgv3Jm6J/?symbol=NSE%3AQUAL30IETF" TargetMode="External"/><Relationship Id="rId1603" Type="http://schemas.openxmlformats.org/officeDocument/2006/relationships/hyperlink" Target="https://in.tradingview.com/chart/Cgv3Jm6J/?symbol=NSE%3AQUESS" TargetMode="External"/><Relationship Id="rId1604" Type="http://schemas.openxmlformats.org/officeDocument/2006/relationships/hyperlink" Target="https://in.tradingview.com/chart/Cgv3Jm6J/?symbol=NSE%3AQUICKHEAL" TargetMode="External"/><Relationship Id="rId1605" Type="http://schemas.openxmlformats.org/officeDocument/2006/relationships/hyperlink" Target="https://in.tradingview.com/chart/Cgv3Jm6J/?symbol=NSE%3ARACE" TargetMode="External"/><Relationship Id="rId1606" Type="http://schemas.openxmlformats.org/officeDocument/2006/relationships/hyperlink" Target="https://in.tradingview.com/chart/Cgv3Jm6J/?symbol=NSE%3ARACLGEAR" TargetMode="External"/><Relationship Id="rId1607" Type="http://schemas.openxmlformats.org/officeDocument/2006/relationships/hyperlink" Target="https://in.tradingview.com/chart/Cgv3Jm6J/?symbol=NSE%3ARADAAN" TargetMode="External"/><Relationship Id="rId1608" Type="http://schemas.openxmlformats.org/officeDocument/2006/relationships/hyperlink" Target="https://in.tradingview.com/chart/Cgv3Jm6J/?symbol=NSE%3ARADHIKAJWE" TargetMode="External"/><Relationship Id="rId1609" Type="http://schemas.openxmlformats.org/officeDocument/2006/relationships/hyperlink" Target="https://in.tradingview.com/chart/Cgv3Jm6J/?symbol=NSE%3ARADIANTCMS" TargetMode="External"/><Relationship Id="rId1631" Type="http://schemas.openxmlformats.org/officeDocument/2006/relationships/hyperlink" Target="https://in.tradingview.com/chart/Cgv3Jm6J/?symbol=NSE%3ARANEHOLDIN" TargetMode="External"/><Relationship Id="rId1632" Type="http://schemas.openxmlformats.org/officeDocument/2006/relationships/hyperlink" Target="https://in.tradingview.com/chart/Cgv3Jm6J/?symbol=NSE%3ARATEGAIN" TargetMode="External"/><Relationship Id="rId1633" Type="http://schemas.openxmlformats.org/officeDocument/2006/relationships/hyperlink" Target="https://in.tradingview.com/chart/Cgv3Jm6J/?symbol=NSE%3ARATNAMANI" TargetMode="External"/><Relationship Id="rId1634" Type="http://schemas.openxmlformats.org/officeDocument/2006/relationships/hyperlink" Target="https://in.tradingview.com/chart/Cgv3Jm6J/?symbol=NSE%3ARATNAVEER" TargetMode="External"/><Relationship Id="rId1635" Type="http://schemas.openxmlformats.org/officeDocument/2006/relationships/hyperlink" Target="https://in.tradingview.com/chart/Cgv3Jm6J/?symbol=NSE%3ARAYMOND" TargetMode="External"/><Relationship Id="rId1636" Type="http://schemas.openxmlformats.org/officeDocument/2006/relationships/hyperlink" Target="https://in.tradingview.com/chart/Cgv3Jm6J/?symbol=NSE%3ARAYMONDLSL" TargetMode="External"/><Relationship Id="rId1637" Type="http://schemas.openxmlformats.org/officeDocument/2006/relationships/hyperlink" Target="https://in.tradingview.com/chart/Cgv3Jm6J/?symbol=NSE%3ARBA" TargetMode="External"/><Relationship Id="rId1638" Type="http://schemas.openxmlformats.org/officeDocument/2006/relationships/hyperlink" Target="https://in.tradingview.com/chart/Cgv3Jm6J/?symbol=NSE%3ARBLBANK" TargetMode="External"/><Relationship Id="rId929" Type="http://schemas.openxmlformats.org/officeDocument/2006/relationships/hyperlink" Target="https://in.tradingview.com/chart/Cgv3Jm6J/?symbol=NSE%3AINSECTICID" TargetMode="External"/><Relationship Id="rId1639" Type="http://schemas.openxmlformats.org/officeDocument/2006/relationships/hyperlink" Target="https://in.tradingview.com/chart/Cgv3Jm6J/?symbol=NSE%3ARBZJEWEL" TargetMode="External"/><Relationship Id="rId928" Type="http://schemas.openxmlformats.org/officeDocument/2006/relationships/hyperlink" Target="https://in.tradingview.com/chart/Cgv3Jm6J/?symbol=NSE%3AINOXWIND" TargetMode="External"/><Relationship Id="rId927" Type="http://schemas.openxmlformats.org/officeDocument/2006/relationships/hyperlink" Target="https://in.tradingview.com/chart/Cgv3Jm6J/?symbol=NSE%3AINOXINDIA" TargetMode="External"/><Relationship Id="rId926" Type="http://schemas.openxmlformats.org/officeDocument/2006/relationships/hyperlink" Target="https://in.tradingview.com/chart/Cgv3Jm6J/?symbol=NSE%3AINOXGREEN" TargetMode="External"/><Relationship Id="rId921" Type="http://schemas.openxmlformats.org/officeDocument/2006/relationships/hyperlink" Target="https://in.tradingview.com/chart/Cgv3Jm6J/?symbol=NSE%3AINFRAIETF" TargetMode="External"/><Relationship Id="rId920" Type="http://schemas.openxmlformats.org/officeDocument/2006/relationships/hyperlink" Target="https://in.tradingview.com/chart/Cgv3Jm6J/?symbol=NSE%3AINFRABEES" TargetMode="External"/><Relationship Id="rId925" Type="http://schemas.openxmlformats.org/officeDocument/2006/relationships/hyperlink" Target="https://in.tradingview.com/chart/Cgv3Jm6J/?symbol=NSE%3AINNOVANA" TargetMode="External"/><Relationship Id="rId924" Type="http://schemas.openxmlformats.org/officeDocument/2006/relationships/hyperlink" Target="https://in.tradingview.com/chart/Cgv3Jm6J/?symbol=NSE%3AINNOVACAP" TargetMode="External"/><Relationship Id="rId923" Type="http://schemas.openxmlformats.org/officeDocument/2006/relationships/hyperlink" Target="https://in.tradingview.com/chart/Cgv3Jm6J/?symbol=NSE%3AINGERRAND" TargetMode="External"/><Relationship Id="rId922" Type="http://schemas.openxmlformats.org/officeDocument/2006/relationships/hyperlink" Target="https://in.tradingview.com/chart/Cgv3Jm6J/?symbol=NSE%3AINFY" TargetMode="External"/><Relationship Id="rId1630" Type="http://schemas.openxmlformats.org/officeDocument/2006/relationships/hyperlink" Target="https://in.tradingview.com/chart/Cgv3Jm6J/?symbol=NSE%3ARANASUG" TargetMode="External"/><Relationship Id="rId1620" Type="http://schemas.openxmlformats.org/officeDocument/2006/relationships/hyperlink" Target="https://in.tradingview.com/chart/Cgv3Jm6J/?symbol=NSE%3ARAJTV" TargetMode="External"/><Relationship Id="rId1621" Type="http://schemas.openxmlformats.org/officeDocument/2006/relationships/hyperlink" Target="https://in.tradingview.com/chart/Cgv3Jm6J/?symbol=NSE%3ARALLIS" TargetMode="External"/><Relationship Id="rId1622" Type="http://schemas.openxmlformats.org/officeDocument/2006/relationships/hyperlink" Target="https://in.tradingview.com/chart/Cgv3Jm6J/?symbol=NSE%3ARAMANEWS" TargetMode="External"/><Relationship Id="rId1623" Type="http://schemas.openxmlformats.org/officeDocument/2006/relationships/hyperlink" Target="https://in.tradingview.com/chart/Cgv3Jm6J/?symbol=NSE%3ARAMAPHO" TargetMode="External"/><Relationship Id="rId1624" Type="http://schemas.openxmlformats.org/officeDocument/2006/relationships/hyperlink" Target="https://in.tradingview.com/chart/Cgv3Jm6J/?symbol=NSE%3ARAMASTEEL" TargetMode="External"/><Relationship Id="rId1625" Type="http://schemas.openxmlformats.org/officeDocument/2006/relationships/hyperlink" Target="https://in.tradingview.com/chart/Cgv3Jm6J/?symbol=NSE%3ARAMCOCEM" TargetMode="External"/><Relationship Id="rId1626" Type="http://schemas.openxmlformats.org/officeDocument/2006/relationships/hyperlink" Target="https://in.tradingview.com/chart/Cgv3Jm6J/?symbol=NSE%3ARAMCOIND" TargetMode="External"/><Relationship Id="rId1627" Type="http://schemas.openxmlformats.org/officeDocument/2006/relationships/hyperlink" Target="https://in.tradingview.com/chart/Cgv3Jm6J/?symbol=NSE%3ARAMCOSYS" TargetMode="External"/><Relationship Id="rId918" Type="http://schemas.openxmlformats.org/officeDocument/2006/relationships/hyperlink" Target="https://in.tradingview.com/chart/Cgv3Jm6J/?symbol=NSE%3AINFOBEAN" TargetMode="External"/><Relationship Id="rId1628" Type="http://schemas.openxmlformats.org/officeDocument/2006/relationships/hyperlink" Target="https://in.tradingview.com/chart/Cgv3Jm6J/?symbol=NSE%3ARAMKY" TargetMode="External"/><Relationship Id="rId917" Type="http://schemas.openxmlformats.org/officeDocument/2006/relationships/hyperlink" Target="https://in.tradingview.com/chart/Cgv3Jm6J/?symbol=NSE%3AINFIBEAM" TargetMode="External"/><Relationship Id="rId1629" Type="http://schemas.openxmlformats.org/officeDocument/2006/relationships/hyperlink" Target="https://in.tradingview.com/chart/Cgv3Jm6J/?symbol=NSE%3ARAMRAT" TargetMode="External"/><Relationship Id="rId916" Type="http://schemas.openxmlformats.org/officeDocument/2006/relationships/hyperlink" Target="https://in.tradingview.com/chart/Cgv3Jm6J/?symbol=NSE%3AINDUSTOWER" TargetMode="External"/><Relationship Id="rId915" Type="http://schemas.openxmlformats.org/officeDocument/2006/relationships/hyperlink" Target="https://in.tradingview.com/chart/Cgv3Jm6J/?symbol=NSE%3AINDUSINDBK" TargetMode="External"/><Relationship Id="rId919" Type="http://schemas.openxmlformats.org/officeDocument/2006/relationships/hyperlink" Target="https://in.tradingview.com/chart/Cgv3Jm6J/?symbol=NSE%3AINFOMEDIA" TargetMode="External"/><Relationship Id="rId910" Type="http://schemas.openxmlformats.org/officeDocument/2006/relationships/hyperlink" Target="https://in.tradingview.com/chart/Cgv3Jm6J/?symbol=NSE%3AINDOTHAI" TargetMode="External"/><Relationship Id="rId914" Type="http://schemas.openxmlformats.org/officeDocument/2006/relationships/hyperlink" Target="https://in.tradingview.com/chart/Cgv3Jm6J/?symbol=NSE%3AINDTERRAIN" TargetMode="External"/><Relationship Id="rId913" Type="http://schemas.openxmlformats.org/officeDocument/2006/relationships/hyperlink" Target="https://in.tradingview.com/chart/Cgv3Jm6J/?symbol=NSE%3AINDRAMEDCO" TargetMode="External"/><Relationship Id="rId912" Type="http://schemas.openxmlformats.org/officeDocument/2006/relationships/hyperlink" Target="https://in.tradingview.com/chart/Cgv3Jm6J/?symbol=NSE%3AINDOWIND" TargetMode="External"/><Relationship Id="rId911" Type="http://schemas.openxmlformats.org/officeDocument/2006/relationships/hyperlink" Target="https://in.tradingview.com/chart/Cgv3Jm6J/?symbol=NSE%3AINDOUS" TargetMode="External"/><Relationship Id="rId1697" Type="http://schemas.openxmlformats.org/officeDocument/2006/relationships/hyperlink" Target="https://in.tradingview.com/chart/Cgv3Jm6J/?symbol=NSE%3ARUBFILA" TargetMode="External"/><Relationship Id="rId1698" Type="http://schemas.openxmlformats.org/officeDocument/2006/relationships/hyperlink" Target="https://in.tradingview.com/chart/Cgv3Jm6J/?symbol=NSE%3ARUBYMILLS" TargetMode="External"/><Relationship Id="rId1699" Type="http://schemas.openxmlformats.org/officeDocument/2006/relationships/hyperlink" Target="https://in.tradingview.com/chart/Cgv3Jm6J/?symbol=NSE%3ARUCHINFRA" TargetMode="External"/><Relationship Id="rId866" Type="http://schemas.openxmlformats.org/officeDocument/2006/relationships/hyperlink" Target="https://in.tradingview.com/chart/Cgv3Jm6J/?symbol=NSE%3AIDEAFORGE" TargetMode="External"/><Relationship Id="rId865" Type="http://schemas.openxmlformats.org/officeDocument/2006/relationships/hyperlink" Target="https://in.tradingview.com/chart/Cgv3Jm6J/?symbol=NSE%3AIDEA" TargetMode="External"/><Relationship Id="rId864" Type="http://schemas.openxmlformats.org/officeDocument/2006/relationships/hyperlink" Target="https://in.tradingview.com/chart/Cgv3Jm6J/?symbol=NSE%3AIDBI" TargetMode="External"/><Relationship Id="rId863" Type="http://schemas.openxmlformats.org/officeDocument/2006/relationships/hyperlink" Target="https://in.tradingview.com/chart/Cgv3Jm6J/?symbol=NSE%3AICRA" TargetMode="External"/><Relationship Id="rId869" Type="http://schemas.openxmlformats.org/officeDocument/2006/relationships/hyperlink" Target="https://in.tradingview.com/chart/Cgv3Jm6J/?symbol=NSE%3AIEX" TargetMode="External"/><Relationship Id="rId868" Type="http://schemas.openxmlformats.org/officeDocument/2006/relationships/hyperlink" Target="https://in.tradingview.com/chart/Cgv3Jm6J/?symbol=NSE%3AIDFNIFTYET" TargetMode="External"/><Relationship Id="rId867" Type="http://schemas.openxmlformats.org/officeDocument/2006/relationships/hyperlink" Target="https://in.tradingview.com/chart/Cgv3Jm6J/?symbol=NSE%3AIDFCFIRSTB" TargetMode="External"/><Relationship Id="rId1690" Type="http://schemas.openxmlformats.org/officeDocument/2006/relationships/hyperlink" Target="https://in.tradingview.com/chart/Cgv3Jm6J/?symbol=NSE%3ARPTECH" TargetMode="External"/><Relationship Id="rId1691" Type="http://schemas.openxmlformats.org/officeDocument/2006/relationships/hyperlink" Target="https://in.tradingview.com/chart/Cgv3Jm6J/?symbol=NSE%3ARRKABEL" TargetMode="External"/><Relationship Id="rId1692" Type="http://schemas.openxmlformats.org/officeDocument/2006/relationships/hyperlink" Target="https://in.tradingview.com/chart/Cgv3Jm6J/?symbol=NSE%3ARSSOFTWARE" TargetMode="External"/><Relationship Id="rId862" Type="http://schemas.openxmlformats.org/officeDocument/2006/relationships/hyperlink" Target="https://in.tradingview.com/chart/Cgv3Jm6J/?symbol=NSE%3AICIL" TargetMode="External"/><Relationship Id="rId1693" Type="http://schemas.openxmlformats.org/officeDocument/2006/relationships/hyperlink" Target="https://in.tradingview.com/chart/Cgv3Jm6J/?symbol=NSE%3ARSWM" TargetMode="External"/><Relationship Id="rId861" Type="http://schemas.openxmlformats.org/officeDocument/2006/relationships/hyperlink" Target="https://in.tradingview.com/chart/Cgv3Jm6J/?symbol=NSE%3AICICIPRULI" TargetMode="External"/><Relationship Id="rId1694" Type="http://schemas.openxmlformats.org/officeDocument/2006/relationships/hyperlink" Target="https://in.tradingview.com/chart/Cgv3Jm6J/?symbol=NSE%3ARSYSTEMS" TargetMode="External"/><Relationship Id="rId860" Type="http://schemas.openxmlformats.org/officeDocument/2006/relationships/hyperlink" Target="https://in.tradingview.com/chart/Cgv3Jm6J/?symbol=NSE%3AICICIGI" TargetMode="External"/><Relationship Id="rId1695" Type="http://schemas.openxmlformats.org/officeDocument/2006/relationships/hyperlink" Target="https://in.tradingview.com/chart/Cgv3Jm6J/?symbol=NSE%3ARTNINDIA" TargetMode="External"/><Relationship Id="rId1696" Type="http://schemas.openxmlformats.org/officeDocument/2006/relationships/hyperlink" Target="https://in.tradingview.com/chart/Cgv3Jm6J/?symbol=NSE%3ARTNPOWER" TargetMode="External"/><Relationship Id="rId1686" Type="http://schemas.openxmlformats.org/officeDocument/2006/relationships/hyperlink" Target="https://in.tradingview.com/chart/Cgv3Jm6J/?symbol=NSE%3ARPOWER" TargetMode="External"/><Relationship Id="rId1687" Type="http://schemas.openxmlformats.org/officeDocument/2006/relationships/hyperlink" Target="https://in.tradingview.com/chart/Cgv3Jm6J/?symbol=NSE%3ARPPINFRA" TargetMode="External"/><Relationship Id="rId1688" Type="http://schemas.openxmlformats.org/officeDocument/2006/relationships/hyperlink" Target="https://in.tradingview.com/chart/Cgv3Jm6J/?symbol=NSE%3ARPPL" TargetMode="External"/><Relationship Id="rId1689" Type="http://schemas.openxmlformats.org/officeDocument/2006/relationships/hyperlink" Target="https://in.tradingview.com/chart/Cgv3Jm6J/?symbol=NSE%3ARPSGVENT" TargetMode="External"/><Relationship Id="rId855" Type="http://schemas.openxmlformats.org/officeDocument/2006/relationships/hyperlink" Target="https://in.tradingview.com/chart/Cgv3Jm6J/?symbol=NSE%3AHYUNDAI" TargetMode="External"/><Relationship Id="rId854" Type="http://schemas.openxmlformats.org/officeDocument/2006/relationships/hyperlink" Target="https://in.tradingview.com/chart/Cgv3Jm6J/?symbol=NSE%3AHYBRIDFIN" TargetMode="External"/><Relationship Id="rId853" Type="http://schemas.openxmlformats.org/officeDocument/2006/relationships/hyperlink" Target="https://in.tradingview.com/chart/Cgv3Jm6J/?symbol=NSE%3AHUHTAMAKI" TargetMode="External"/><Relationship Id="rId852" Type="http://schemas.openxmlformats.org/officeDocument/2006/relationships/hyperlink" Target="https://in.tradingview.com/chart/Cgv3Jm6J/?symbol=NSE%3AHUDCO" TargetMode="External"/><Relationship Id="rId859" Type="http://schemas.openxmlformats.org/officeDocument/2006/relationships/hyperlink" Target="https://in.tradingview.com/chart/Cgv3Jm6J/?symbol=NSE%3AICICIBANK" TargetMode="External"/><Relationship Id="rId858" Type="http://schemas.openxmlformats.org/officeDocument/2006/relationships/hyperlink" Target="https://in.tradingview.com/chart/Cgv3Jm6J/?symbol=NSE%3AICICIB22" TargetMode="External"/><Relationship Id="rId857" Type="http://schemas.openxmlformats.org/officeDocument/2006/relationships/hyperlink" Target="https://in.tradingview.com/chart/Cgv3Jm6J/?symbol=NSE%3AICEMAKE" TargetMode="External"/><Relationship Id="rId856" Type="http://schemas.openxmlformats.org/officeDocument/2006/relationships/hyperlink" Target="https://in.tradingview.com/chart/Cgv3Jm6J/?symbol=NSE%3AICDSLTD" TargetMode="External"/><Relationship Id="rId1680" Type="http://schemas.openxmlformats.org/officeDocument/2006/relationships/hyperlink" Target="https://in.tradingview.com/chart/Cgv3Jm6J/?symbol=NSE%3AROSSELLIND" TargetMode="External"/><Relationship Id="rId1681" Type="http://schemas.openxmlformats.org/officeDocument/2006/relationships/hyperlink" Target="https://in.tradingview.com/chart/Cgv3Jm6J/?symbol=NSE%3AROSSTECH" TargetMode="External"/><Relationship Id="rId851" Type="http://schemas.openxmlformats.org/officeDocument/2006/relationships/hyperlink" Target="https://in.tradingview.com/chart/Cgv3Jm6J/?symbol=NSE%3AHUBTOWN" TargetMode="External"/><Relationship Id="rId1682" Type="http://schemas.openxmlformats.org/officeDocument/2006/relationships/hyperlink" Target="https://in.tradingview.com/chart/Cgv3Jm6J/?symbol=NSE%3AROTO" TargetMode="External"/><Relationship Id="rId850" Type="http://schemas.openxmlformats.org/officeDocument/2006/relationships/hyperlink" Target="https://in.tradingview.com/chart/Cgv3Jm6J/?symbol=NSE%3AHTMEDIA" TargetMode="External"/><Relationship Id="rId1683" Type="http://schemas.openxmlformats.org/officeDocument/2006/relationships/hyperlink" Target="https://in.tradingview.com/chart/Cgv3Jm6J/?symbol=NSE%3AROUTE" TargetMode="External"/><Relationship Id="rId1684" Type="http://schemas.openxmlformats.org/officeDocument/2006/relationships/hyperlink" Target="https://in.tradingview.com/chart/Cgv3Jm6J/?symbol=NSE%3ARPEL" TargetMode="External"/><Relationship Id="rId1685" Type="http://schemas.openxmlformats.org/officeDocument/2006/relationships/hyperlink" Target="https://in.tradingview.com/chart/Cgv3Jm6J/?symbol=NSE%3ARPGLIFE" TargetMode="External"/><Relationship Id="rId888" Type="http://schemas.openxmlformats.org/officeDocument/2006/relationships/hyperlink" Target="https://in.tradingview.com/chart/Cgv3Jm6J/?symbol=NSE%3AIMPEXFERRO" TargetMode="External"/><Relationship Id="rId887" Type="http://schemas.openxmlformats.org/officeDocument/2006/relationships/hyperlink" Target="https://in.tradingview.com/chart/Cgv3Jm6J/?symbol=NSE%3AIMPAL" TargetMode="External"/><Relationship Id="rId886" Type="http://schemas.openxmlformats.org/officeDocument/2006/relationships/hyperlink" Target="https://in.tradingview.com/chart/Cgv3Jm6J/?symbol=NSE%3AIMFA" TargetMode="External"/><Relationship Id="rId885" Type="http://schemas.openxmlformats.org/officeDocument/2006/relationships/hyperlink" Target="https://in.tradingview.com/chart/Cgv3Jm6J/?symbol=NSE%3AIMAGICAA" TargetMode="External"/><Relationship Id="rId889" Type="http://schemas.openxmlformats.org/officeDocument/2006/relationships/hyperlink" Target="https://in.tradingview.com/chart/Cgv3Jm6J/?symbol=NSE%3AINCREDIBLE" TargetMode="External"/><Relationship Id="rId880" Type="http://schemas.openxmlformats.org/officeDocument/2006/relationships/hyperlink" Target="https://in.tradingview.com/chart/Cgv3Jm6J/?symbol=NSE%3AIITL" TargetMode="External"/><Relationship Id="rId884" Type="http://schemas.openxmlformats.org/officeDocument/2006/relationships/hyperlink" Target="https://in.tradingview.com/chart/Cgv3Jm6J/?symbol=NSE%3AIL_FSTRANS" TargetMode="External"/><Relationship Id="rId883" Type="http://schemas.openxmlformats.org/officeDocument/2006/relationships/hyperlink" Target="https://in.tradingview.com/chart/Cgv3Jm6J/?symbol=NSE%3AIL_FSENGG" TargetMode="External"/><Relationship Id="rId882" Type="http://schemas.openxmlformats.org/officeDocument/2006/relationships/hyperlink" Target="https://in.tradingview.com/chart/Cgv3Jm6J/?symbol=NSE%3AIKS" TargetMode="External"/><Relationship Id="rId881" Type="http://schemas.openxmlformats.org/officeDocument/2006/relationships/hyperlink" Target="https://in.tradingview.com/chart/Cgv3Jm6J/?symbol=NSE%3AIKIO" TargetMode="External"/><Relationship Id="rId877" Type="http://schemas.openxmlformats.org/officeDocument/2006/relationships/hyperlink" Target="https://in.tradingview.com/chart/Cgv3Jm6J/?symbol=NSE%3AIGPL" TargetMode="External"/><Relationship Id="rId876" Type="http://schemas.openxmlformats.org/officeDocument/2006/relationships/hyperlink" Target="https://in.tradingview.com/chart/Cgv3Jm6J/?symbol=NSE%3AIGL" TargetMode="External"/><Relationship Id="rId875" Type="http://schemas.openxmlformats.org/officeDocument/2006/relationships/hyperlink" Target="https://in.tradingview.com/chart/Cgv3Jm6J/?symbol=NSE%3AIGIL" TargetMode="External"/><Relationship Id="rId874" Type="http://schemas.openxmlformats.org/officeDocument/2006/relationships/hyperlink" Target="https://in.tradingview.com/chart/Cgv3Jm6J/?symbol=NSE%3AIGARASHI" TargetMode="External"/><Relationship Id="rId879" Type="http://schemas.openxmlformats.org/officeDocument/2006/relationships/hyperlink" Target="https://in.tradingview.com/chart/Cgv3Jm6J/?symbol=NSE%3AIIFLCAPS" TargetMode="External"/><Relationship Id="rId878" Type="http://schemas.openxmlformats.org/officeDocument/2006/relationships/hyperlink" Target="https://in.tradingview.com/chart/Cgv3Jm6J/?symbol=NSE%3AIIFL" TargetMode="External"/><Relationship Id="rId873" Type="http://schemas.openxmlformats.org/officeDocument/2006/relationships/hyperlink" Target="https://in.tradingview.com/chart/Cgv3Jm6J/?symbol=NSE%3AIFGLEXPOR" TargetMode="External"/><Relationship Id="rId872" Type="http://schemas.openxmlformats.org/officeDocument/2006/relationships/hyperlink" Target="https://in.tradingview.com/chart/Cgv3Jm6J/?symbol=NSE%3AIFCI" TargetMode="External"/><Relationship Id="rId871" Type="http://schemas.openxmlformats.org/officeDocument/2006/relationships/hyperlink" Target="https://in.tradingview.com/chart/Cgv3Jm6J/?symbol=NSE%3AIFBIND" TargetMode="External"/><Relationship Id="rId870" Type="http://schemas.openxmlformats.org/officeDocument/2006/relationships/hyperlink" Target="https://in.tradingview.com/chart/Cgv3Jm6J/?symbol=NSE%3AIFBAGRO" TargetMode="External"/><Relationship Id="rId1653" Type="http://schemas.openxmlformats.org/officeDocument/2006/relationships/hyperlink" Target="https://in.tradingview.com/chart/Cgv3Jm6J/?symbol=NSE%3AREMSONSIND" TargetMode="External"/><Relationship Id="rId1654" Type="http://schemas.openxmlformats.org/officeDocument/2006/relationships/hyperlink" Target="https://in.tradingview.com/chart/Cgv3Jm6J/?symbol=NSE%3ARENUKA" TargetMode="External"/><Relationship Id="rId1655" Type="http://schemas.openxmlformats.org/officeDocument/2006/relationships/hyperlink" Target="https://in.tradingview.com/chart/Cgv3Jm6J/?symbol=NSE%3AREPCOHOME" TargetMode="External"/><Relationship Id="rId1656" Type="http://schemas.openxmlformats.org/officeDocument/2006/relationships/hyperlink" Target="https://in.tradingview.com/chart/Cgv3Jm6J/?symbol=NSE%3AREPL" TargetMode="External"/><Relationship Id="rId1657" Type="http://schemas.openxmlformats.org/officeDocument/2006/relationships/hyperlink" Target="https://in.tradingview.com/chart/Cgv3Jm6J/?symbol=NSE%3AREPRO" TargetMode="External"/><Relationship Id="rId1658" Type="http://schemas.openxmlformats.org/officeDocument/2006/relationships/hyperlink" Target="https://in.tradingview.com/chart/Cgv3Jm6J/?symbol=NSE%3ARESPONIND" TargetMode="External"/><Relationship Id="rId1659" Type="http://schemas.openxmlformats.org/officeDocument/2006/relationships/hyperlink" Target="https://in.tradingview.com/chart/Cgv3Jm6J/?symbol=NSE%3ARETAIL" TargetMode="External"/><Relationship Id="rId829" Type="http://schemas.openxmlformats.org/officeDocument/2006/relationships/hyperlink" Target="https://in.tradingview.com/chart/Cgv3Jm6J/?symbol=NSE%3AHINDZINC" TargetMode="External"/><Relationship Id="rId828" Type="http://schemas.openxmlformats.org/officeDocument/2006/relationships/hyperlink" Target="https://in.tradingview.com/chart/Cgv3Jm6J/?symbol=NSE%3AHINDWAREAP" TargetMode="External"/><Relationship Id="rId827" Type="http://schemas.openxmlformats.org/officeDocument/2006/relationships/hyperlink" Target="https://in.tradingview.com/chart/Cgv3Jm6J/?symbol=NSE%3AHINDUNILVR" TargetMode="External"/><Relationship Id="rId822" Type="http://schemas.openxmlformats.org/officeDocument/2006/relationships/hyperlink" Target="https://in.tradingview.com/chart/Cgv3Jm6J/?symbol=NSE%3AHINDCOMPOS" TargetMode="External"/><Relationship Id="rId821" Type="http://schemas.openxmlformats.org/officeDocument/2006/relationships/hyperlink" Target="https://in.tradingview.com/chart/Cgv3Jm6J/?symbol=NSE%3AHINDALCO" TargetMode="External"/><Relationship Id="rId820" Type="http://schemas.openxmlformats.org/officeDocument/2006/relationships/hyperlink" Target="https://in.tradingview.com/chart/Cgv3Jm6J/?symbol=NSE%3AHIMATSEIDE" TargetMode="External"/><Relationship Id="rId826" Type="http://schemas.openxmlformats.org/officeDocument/2006/relationships/hyperlink" Target="https://in.tradingview.com/chart/Cgv3Jm6J/?symbol=NSE%3AHINDPETRO" TargetMode="External"/><Relationship Id="rId825" Type="http://schemas.openxmlformats.org/officeDocument/2006/relationships/hyperlink" Target="https://in.tradingview.com/chart/Cgv3Jm6J/?symbol=NSE%3AHINDOILEXP" TargetMode="External"/><Relationship Id="rId824" Type="http://schemas.openxmlformats.org/officeDocument/2006/relationships/hyperlink" Target="https://in.tradingview.com/chart/Cgv3Jm6J/?symbol=NSE%3AHINDCOPPER" TargetMode="External"/><Relationship Id="rId823" Type="http://schemas.openxmlformats.org/officeDocument/2006/relationships/hyperlink" Target="https://in.tradingview.com/chart/Cgv3Jm6J/?symbol=NSE%3AHINDCON" TargetMode="External"/><Relationship Id="rId1650" Type="http://schemas.openxmlformats.org/officeDocument/2006/relationships/hyperlink" Target="https://in.tradingview.com/chart/Cgv3Jm6J/?symbol=NSE%3ARELIGARE" TargetMode="External"/><Relationship Id="rId1651" Type="http://schemas.openxmlformats.org/officeDocument/2006/relationships/hyperlink" Target="https://in.tradingview.com/chart/Cgv3Jm6J/?symbol=NSE%3ARELINFRA" TargetMode="External"/><Relationship Id="rId1652" Type="http://schemas.openxmlformats.org/officeDocument/2006/relationships/hyperlink" Target="https://in.tradingview.com/chart/Cgv3Jm6J/?symbol=NSE%3ARELTD" TargetMode="External"/><Relationship Id="rId1642" Type="http://schemas.openxmlformats.org/officeDocument/2006/relationships/hyperlink" Target="https://in.tradingview.com/chart/Cgv3Jm6J/?symbol=NSE%3AREDINGTON" TargetMode="External"/><Relationship Id="rId1643" Type="http://schemas.openxmlformats.org/officeDocument/2006/relationships/hyperlink" Target="https://in.tradingview.com/chart/Cgv3Jm6J/?symbol=NSE%3AREDTAPE" TargetMode="External"/><Relationship Id="rId1644" Type="http://schemas.openxmlformats.org/officeDocument/2006/relationships/hyperlink" Target="https://in.tradingview.com/chart/Cgv3Jm6J/?symbol=NSE%3AREFEX" TargetMode="External"/><Relationship Id="rId1645" Type="http://schemas.openxmlformats.org/officeDocument/2006/relationships/hyperlink" Target="https://in.tradingview.com/chart/Cgv3Jm6J/?symbol=NSE%3AREGENCERAM" TargetMode="External"/><Relationship Id="rId1646" Type="http://schemas.openxmlformats.org/officeDocument/2006/relationships/hyperlink" Target="https://in.tradingview.com/chart/Cgv3Jm6J/?symbol=NSE%3ARELAXO" TargetMode="External"/><Relationship Id="rId1647" Type="http://schemas.openxmlformats.org/officeDocument/2006/relationships/hyperlink" Target="https://in.tradingview.com/chart/Cgv3Jm6J/?symbol=NSE%3ARELCHEMQ" TargetMode="External"/><Relationship Id="rId1648" Type="http://schemas.openxmlformats.org/officeDocument/2006/relationships/hyperlink" Target="https://in.tradingview.com/chart/Cgv3Jm6J/?symbol=NSE%3ARELIABLE" TargetMode="External"/><Relationship Id="rId1649" Type="http://schemas.openxmlformats.org/officeDocument/2006/relationships/hyperlink" Target="https://in.tradingview.com/chart/Cgv3Jm6J/?symbol=NSE%3ARELIANCE" TargetMode="External"/><Relationship Id="rId819" Type="http://schemas.openxmlformats.org/officeDocument/2006/relationships/hyperlink" Target="https://in.tradingview.com/chart/Cgv3Jm6J/?symbol=NSE%3AHILTON" TargetMode="External"/><Relationship Id="rId818" Type="http://schemas.openxmlformats.org/officeDocument/2006/relationships/hyperlink" Target="https://in.tradingview.com/chart/Cgv3Jm6J/?symbol=NSE%3AHIKAL" TargetMode="External"/><Relationship Id="rId817" Type="http://schemas.openxmlformats.org/officeDocument/2006/relationships/hyperlink" Target="https://in.tradingview.com/chart/Cgv3Jm6J/?symbol=NSE%3AHGS" TargetMode="External"/><Relationship Id="rId816" Type="http://schemas.openxmlformats.org/officeDocument/2006/relationships/hyperlink" Target="https://in.tradingview.com/chart/Cgv3Jm6J/?symbol=NSE%3AHGINFRA" TargetMode="External"/><Relationship Id="rId811" Type="http://schemas.openxmlformats.org/officeDocument/2006/relationships/hyperlink" Target="https://in.tradingview.com/chart/Cgv3Jm6J/?symbol=NSE%3AHESTERBIO" TargetMode="External"/><Relationship Id="rId810" Type="http://schemas.openxmlformats.org/officeDocument/2006/relationships/hyperlink" Target="https://in.tradingview.com/chart/Cgv3Jm6J/?symbol=NSE%3AHEROMOTOCO" TargetMode="External"/><Relationship Id="rId815" Type="http://schemas.openxmlformats.org/officeDocument/2006/relationships/hyperlink" Target="https://in.tradingview.com/chart/Cgv3Jm6J/?symbol=NSE%3AHFCL" TargetMode="External"/><Relationship Id="rId814" Type="http://schemas.openxmlformats.org/officeDocument/2006/relationships/hyperlink" Target="https://in.tradingview.com/chart/Cgv3Jm6J/?symbol=NSE%3AHEXT" TargetMode="External"/><Relationship Id="rId813" Type="http://schemas.openxmlformats.org/officeDocument/2006/relationships/hyperlink" Target="https://in.tradingview.com/chart/Cgv3Jm6J/?symbol=NSE%3AHEXATRADEX" TargetMode="External"/><Relationship Id="rId812" Type="http://schemas.openxmlformats.org/officeDocument/2006/relationships/hyperlink" Target="https://in.tradingview.com/chart/Cgv3Jm6J/?symbol=NSE%3AHEUBACHIND" TargetMode="External"/><Relationship Id="rId1640" Type="http://schemas.openxmlformats.org/officeDocument/2006/relationships/hyperlink" Target="https://in.tradingview.com/chart/Cgv3Jm6J/?symbol=NSE%3ARCF" TargetMode="External"/><Relationship Id="rId1641" Type="http://schemas.openxmlformats.org/officeDocument/2006/relationships/hyperlink" Target="https://in.tradingview.com/chart/Cgv3Jm6J/?symbol=NSE%3ARECLTD" TargetMode="External"/><Relationship Id="rId1675" Type="http://schemas.openxmlformats.org/officeDocument/2006/relationships/hyperlink" Target="https://in.tradingview.com/chart/Cgv3Jm6J/?symbol=NSE%3AROLEXRINGS" TargetMode="External"/><Relationship Id="rId1676" Type="http://schemas.openxmlformats.org/officeDocument/2006/relationships/hyperlink" Target="https://in.tradingview.com/chart/Cgv3Jm6J/?symbol=NSE%3AROLLT" TargetMode="External"/><Relationship Id="rId1677" Type="http://schemas.openxmlformats.org/officeDocument/2006/relationships/hyperlink" Target="https://in.tradingview.com/chart/Cgv3Jm6J/?symbol=NSE%3AROLTA" TargetMode="External"/><Relationship Id="rId1678" Type="http://schemas.openxmlformats.org/officeDocument/2006/relationships/hyperlink" Target="https://in.tradingview.com/chart/Cgv3Jm6J/?symbol=NSE%3AROML" TargetMode="External"/><Relationship Id="rId1679" Type="http://schemas.openxmlformats.org/officeDocument/2006/relationships/hyperlink" Target="https://in.tradingview.com/chart/Cgv3Jm6J/?symbol=NSE%3AROSSARI" TargetMode="External"/><Relationship Id="rId849" Type="http://schemas.openxmlformats.org/officeDocument/2006/relationships/hyperlink" Target="https://in.tradingview.com/chart/Cgv3Jm6J/?symbol=NSE%3AHSCL" TargetMode="External"/><Relationship Id="rId844" Type="http://schemas.openxmlformats.org/officeDocument/2006/relationships/hyperlink" Target="https://in.tradingview.com/chart/Cgv3Jm6J/?symbol=NSE%3AHONAUT" TargetMode="External"/><Relationship Id="rId843" Type="http://schemas.openxmlformats.org/officeDocument/2006/relationships/hyperlink" Target="https://in.tradingview.com/chart/Cgv3Jm6J/?symbol=NSE%3AHONASA" TargetMode="External"/><Relationship Id="rId842" Type="http://schemas.openxmlformats.org/officeDocument/2006/relationships/hyperlink" Target="https://in.tradingview.com/chart/Cgv3Jm6J/?symbol=NSE%3AHOMEFIRST" TargetMode="External"/><Relationship Id="rId841" Type="http://schemas.openxmlformats.org/officeDocument/2006/relationships/hyperlink" Target="https://in.tradingview.com/chart/Cgv3Jm6J/?symbol=NSE%3AHNGSNGBEES" TargetMode="External"/><Relationship Id="rId848" Type="http://schemas.openxmlformats.org/officeDocument/2006/relationships/hyperlink" Target="https://in.tradingview.com/chart/Cgv3Jm6J/?symbol=NSE%3AHPL" TargetMode="External"/><Relationship Id="rId847" Type="http://schemas.openxmlformats.org/officeDocument/2006/relationships/hyperlink" Target="https://in.tradingview.com/chart/Cgv3Jm6J/?symbol=NSE%3AHPIL" TargetMode="External"/><Relationship Id="rId846" Type="http://schemas.openxmlformats.org/officeDocument/2006/relationships/hyperlink" Target="https://in.tradingview.com/chart/Cgv3Jm6J/?symbol=NSE%3AHPAL" TargetMode="External"/><Relationship Id="rId845" Type="http://schemas.openxmlformats.org/officeDocument/2006/relationships/hyperlink" Target="https://in.tradingview.com/chart/Cgv3Jm6J/?symbol=NSE%3AHONDAPOWER" TargetMode="External"/><Relationship Id="rId1670" Type="http://schemas.openxmlformats.org/officeDocument/2006/relationships/hyperlink" Target="https://in.tradingview.com/chart/Cgv3Jm6J/?symbol=NSE%3ARKEC" TargetMode="External"/><Relationship Id="rId840" Type="http://schemas.openxmlformats.org/officeDocument/2006/relationships/hyperlink" Target="https://in.tradingview.com/chart/Cgv3Jm6J/?symbol=NSE%3AHNDFDS" TargetMode="External"/><Relationship Id="rId1671" Type="http://schemas.openxmlformats.org/officeDocument/2006/relationships/hyperlink" Target="https://in.tradingview.com/chart/Cgv3Jm6J/?symbol=NSE%3ARKFORGE" TargetMode="External"/><Relationship Id="rId1672" Type="http://schemas.openxmlformats.org/officeDocument/2006/relationships/hyperlink" Target="https://in.tradingview.com/chart/Cgv3Jm6J/?symbol=NSE%3ARKSWAMY" TargetMode="External"/><Relationship Id="rId1673" Type="http://schemas.openxmlformats.org/officeDocument/2006/relationships/hyperlink" Target="https://in.tradingview.com/chart/Cgv3Jm6J/?symbol=NSE%3ARML" TargetMode="External"/><Relationship Id="rId1674" Type="http://schemas.openxmlformats.org/officeDocument/2006/relationships/hyperlink" Target="https://in.tradingview.com/chart/Cgv3Jm6J/?symbol=NSE%3AROHLTD" TargetMode="External"/><Relationship Id="rId1664" Type="http://schemas.openxmlformats.org/officeDocument/2006/relationships/hyperlink" Target="https://in.tradingview.com/chart/Cgv3Jm6J/?symbol=NSE%3ARICOAUTO" TargetMode="External"/><Relationship Id="rId1665" Type="http://schemas.openxmlformats.org/officeDocument/2006/relationships/hyperlink" Target="https://in.tradingview.com/chart/Cgv3Jm6J/?symbol=NSE%3ARIIL" TargetMode="External"/><Relationship Id="rId1666" Type="http://schemas.openxmlformats.org/officeDocument/2006/relationships/hyperlink" Target="https://in.tradingview.com/chart/Cgv3Jm6J/?symbol=NSE%3ARISHABH" TargetMode="External"/><Relationship Id="rId1667" Type="http://schemas.openxmlformats.org/officeDocument/2006/relationships/hyperlink" Target="https://in.tradingview.com/chart/Cgv3Jm6J/?symbol=NSE%3ARITCO" TargetMode="External"/><Relationship Id="rId1668" Type="http://schemas.openxmlformats.org/officeDocument/2006/relationships/hyperlink" Target="https://in.tradingview.com/chart/Cgv3Jm6J/?symbol=NSE%3ARITES" TargetMode="External"/><Relationship Id="rId1669" Type="http://schemas.openxmlformats.org/officeDocument/2006/relationships/hyperlink" Target="https://in.tradingview.com/chart/Cgv3Jm6J/?symbol=NSE%3ARKDL" TargetMode="External"/><Relationship Id="rId839" Type="http://schemas.openxmlformats.org/officeDocument/2006/relationships/hyperlink" Target="https://in.tradingview.com/chart/Cgv3Jm6J/?symbol=NSE%3AHMVL" TargetMode="External"/><Relationship Id="rId838" Type="http://schemas.openxmlformats.org/officeDocument/2006/relationships/hyperlink" Target="https://in.tradingview.com/chart/Cgv3Jm6J/?symbol=NSE%3AHMT" TargetMode="External"/><Relationship Id="rId833" Type="http://schemas.openxmlformats.org/officeDocument/2006/relationships/hyperlink" Target="https://in.tradingview.com/chart/Cgv3Jm6J/?symbol=NSE%3AHITECHCORP" TargetMode="External"/><Relationship Id="rId832" Type="http://schemas.openxmlformats.org/officeDocument/2006/relationships/hyperlink" Target="https://in.tradingview.com/chart/Cgv3Jm6J/?symbol=NSE%3AHITECH" TargetMode="External"/><Relationship Id="rId831" Type="http://schemas.openxmlformats.org/officeDocument/2006/relationships/hyperlink" Target="https://in.tradingview.com/chart/Cgv3Jm6J/?symbol=NSE%3AHISARMETAL" TargetMode="External"/><Relationship Id="rId830" Type="http://schemas.openxmlformats.org/officeDocument/2006/relationships/hyperlink" Target="https://in.tradingview.com/chart/Cgv3Jm6J/?symbol=NSE%3AHIRECT" TargetMode="External"/><Relationship Id="rId837" Type="http://schemas.openxmlformats.org/officeDocument/2006/relationships/hyperlink" Target="https://in.tradingview.com/chart/Cgv3Jm6J/?symbol=NSE%3AHMAAGRO" TargetMode="External"/><Relationship Id="rId836" Type="http://schemas.openxmlformats.org/officeDocument/2006/relationships/hyperlink" Target="https://in.tradingview.com/chart/Cgv3Jm6J/?symbol=NSE%3AHLVLTD" TargetMode="External"/><Relationship Id="rId835" Type="http://schemas.openxmlformats.org/officeDocument/2006/relationships/hyperlink" Target="https://in.tradingview.com/chart/Cgv3Jm6J/?symbol=NSE%3AHLEGLAS" TargetMode="External"/><Relationship Id="rId834" Type="http://schemas.openxmlformats.org/officeDocument/2006/relationships/hyperlink" Target="https://in.tradingview.com/chart/Cgv3Jm6J/?symbol=NSE%3AHITECHGEAR" TargetMode="External"/><Relationship Id="rId1660" Type="http://schemas.openxmlformats.org/officeDocument/2006/relationships/hyperlink" Target="https://in.tradingview.com/chart/Cgv3Jm6J/?symbol=NSE%3ARGL" TargetMode="External"/><Relationship Id="rId1661" Type="http://schemas.openxmlformats.org/officeDocument/2006/relationships/hyperlink" Target="https://in.tradingview.com/chart/Cgv3Jm6J/?symbol=NSE%3ARHFL" TargetMode="External"/><Relationship Id="rId1662" Type="http://schemas.openxmlformats.org/officeDocument/2006/relationships/hyperlink" Target="https://in.tradingview.com/chart/Cgv3Jm6J/?symbol=NSE%3ARHIM" TargetMode="External"/><Relationship Id="rId1663" Type="http://schemas.openxmlformats.org/officeDocument/2006/relationships/hyperlink" Target="https://in.tradingview.com/chart/Cgv3Jm6J/?symbol=NSE%3ARHL" TargetMode="External"/><Relationship Id="rId2148" Type="http://schemas.openxmlformats.org/officeDocument/2006/relationships/hyperlink" Target="https://in.tradingview.com/chart/Cgv3Jm6J/?symbol=NSE%3AVIJAYA" TargetMode="External"/><Relationship Id="rId2149" Type="http://schemas.openxmlformats.org/officeDocument/2006/relationships/hyperlink" Target="https://in.tradingview.com/chart/Cgv3Jm6J/?symbol=NSE%3AVIJIFIN" TargetMode="External"/><Relationship Id="rId2140" Type="http://schemas.openxmlformats.org/officeDocument/2006/relationships/hyperlink" Target="https://in.tradingview.com/chart/Cgv3Jm6J/?symbol=NSE%3AVENUSREM" TargetMode="External"/><Relationship Id="rId2141" Type="http://schemas.openxmlformats.org/officeDocument/2006/relationships/hyperlink" Target="https://in.tradingview.com/chart/Cgv3Jm6J/?symbol=NSE%3AVERANDA" TargetMode="External"/><Relationship Id="rId2142" Type="http://schemas.openxmlformats.org/officeDocument/2006/relationships/hyperlink" Target="https://in.tradingview.com/chart/Cgv3Jm6J/?symbol=NSE%3AVESUVIUS" TargetMode="External"/><Relationship Id="rId2143" Type="http://schemas.openxmlformats.org/officeDocument/2006/relationships/hyperlink" Target="https://in.tradingview.com/chart/Cgv3Jm6J/?symbol=NSE%3AVETO" TargetMode="External"/><Relationship Id="rId2144" Type="http://schemas.openxmlformats.org/officeDocument/2006/relationships/hyperlink" Target="https://in.tradingview.com/chart/Cgv3Jm6J/?symbol=NSE%3AVGUARD" TargetMode="External"/><Relationship Id="rId2145" Type="http://schemas.openxmlformats.org/officeDocument/2006/relationships/hyperlink" Target="https://in.tradingview.com/chart/Cgv3Jm6J/?symbol=NSE%3AVHL" TargetMode="External"/><Relationship Id="rId2146" Type="http://schemas.openxmlformats.org/officeDocument/2006/relationships/hyperlink" Target="https://in.tradingview.com/chart/Cgv3Jm6J/?symbol=NSE%3AVHLTD" TargetMode="External"/><Relationship Id="rId2147" Type="http://schemas.openxmlformats.org/officeDocument/2006/relationships/hyperlink" Target="https://in.tradingview.com/chart/Cgv3Jm6J/?symbol=NSE%3AVIDHIING" TargetMode="External"/><Relationship Id="rId2137" Type="http://schemas.openxmlformats.org/officeDocument/2006/relationships/hyperlink" Target="https://in.tradingview.com/chart/Cgv3Jm6J/?symbol=NSE%3AVENKEYS" TargetMode="External"/><Relationship Id="rId2138" Type="http://schemas.openxmlformats.org/officeDocument/2006/relationships/hyperlink" Target="https://in.tradingview.com/chart/Cgv3Jm6J/?symbol=NSE%3AVENTIVE" TargetMode="External"/><Relationship Id="rId2139" Type="http://schemas.openxmlformats.org/officeDocument/2006/relationships/hyperlink" Target="https://in.tradingview.com/chart/Cgv3Jm6J/?symbol=NSE%3AVENUSPIPES" TargetMode="External"/><Relationship Id="rId2130" Type="http://schemas.openxmlformats.org/officeDocument/2006/relationships/hyperlink" Target="https://in.tradingview.com/chart/Cgv3Jm6J/?symbol=NSE%3AVARROC" TargetMode="External"/><Relationship Id="rId2131" Type="http://schemas.openxmlformats.org/officeDocument/2006/relationships/hyperlink" Target="https://in.tradingview.com/chart/Cgv3Jm6J/?symbol=NSE%3AVASCONEQ" TargetMode="External"/><Relationship Id="rId2132" Type="http://schemas.openxmlformats.org/officeDocument/2006/relationships/hyperlink" Target="https://in.tradingview.com/chart/Cgv3Jm6J/?symbol=NSE%3AVASWANI" TargetMode="External"/><Relationship Id="rId2133" Type="http://schemas.openxmlformats.org/officeDocument/2006/relationships/hyperlink" Target="https://in.tradingview.com/chart/Cgv3Jm6J/?symbol=NSE%3AVBL" TargetMode="External"/><Relationship Id="rId2134" Type="http://schemas.openxmlformats.org/officeDocument/2006/relationships/hyperlink" Target="https://in.tradingview.com/chart/Cgv3Jm6J/?symbol=NSE%3AVCL" TargetMode="External"/><Relationship Id="rId2135" Type="http://schemas.openxmlformats.org/officeDocument/2006/relationships/hyperlink" Target="https://in.tradingview.com/chart/Cgv3Jm6J/?symbol=NSE%3AVEDL" TargetMode="External"/><Relationship Id="rId2136" Type="http://schemas.openxmlformats.org/officeDocument/2006/relationships/hyperlink" Target="https://in.tradingview.com/chart/Cgv3Jm6J/?symbol=NSE%3AVEEDOL" TargetMode="External"/><Relationship Id="rId2160" Type="http://schemas.openxmlformats.org/officeDocument/2006/relationships/hyperlink" Target="https://in.tradingview.com/chart/Cgv3Jm6J/?symbol=NSE%3AVIRINCHI" TargetMode="External"/><Relationship Id="rId2161" Type="http://schemas.openxmlformats.org/officeDocument/2006/relationships/hyperlink" Target="https://in.tradingview.com/chart/Cgv3Jm6J/?symbol=NSE%3AVISAKAIND" TargetMode="External"/><Relationship Id="rId2162" Type="http://schemas.openxmlformats.org/officeDocument/2006/relationships/hyperlink" Target="https://in.tradingview.com/chart/Cgv3Jm6J/?symbol=NSE%3AVISASTEEL" TargetMode="External"/><Relationship Id="rId2163" Type="http://schemas.openxmlformats.org/officeDocument/2006/relationships/hyperlink" Target="https://in.tradingview.com/chart/Cgv3Jm6J/?symbol=NSE%3AVISHNU" TargetMode="External"/><Relationship Id="rId2164" Type="http://schemas.openxmlformats.org/officeDocument/2006/relationships/hyperlink" Target="https://in.tradingview.com/chart/Cgv3Jm6J/?symbol=NSE%3AVISHWARAJ" TargetMode="External"/><Relationship Id="rId2165" Type="http://schemas.openxmlformats.org/officeDocument/2006/relationships/hyperlink" Target="https://in.tradingview.com/chart/Cgv3Jm6J/?symbol=NSE%3AVIVIDHA" TargetMode="External"/><Relationship Id="rId2166" Type="http://schemas.openxmlformats.org/officeDocument/2006/relationships/hyperlink" Target="https://in.tradingview.com/chart/Cgv3Jm6J/?symbol=NSE%3AVLEGOV" TargetMode="External"/><Relationship Id="rId2167" Type="http://schemas.openxmlformats.org/officeDocument/2006/relationships/hyperlink" Target="https://in.tradingview.com/chart/Cgv3Jm6J/?symbol=NSE%3AVLSFINANCE" TargetMode="External"/><Relationship Id="rId2168" Type="http://schemas.openxmlformats.org/officeDocument/2006/relationships/hyperlink" Target="https://in.tradingview.com/chart/Cgv3Jm6J/?symbol=NSE%3AVMART" TargetMode="External"/><Relationship Id="rId2169" Type="http://schemas.openxmlformats.org/officeDocument/2006/relationships/hyperlink" Target="https://in.tradingview.com/chart/Cgv3Jm6J/?symbol=NSE%3AVMM" TargetMode="External"/><Relationship Id="rId2159" Type="http://schemas.openxmlformats.org/officeDocument/2006/relationships/hyperlink" Target="https://in.tradingview.com/chart/Cgv3Jm6J/?symbol=NSE%3AVIPIND" TargetMode="External"/><Relationship Id="rId2150" Type="http://schemas.openxmlformats.org/officeDocument/2006/relationships/hyperlink" Target="https://in.tradingview.com/chart/Cgv3Jm6J/?symbol=NSE%3AVIKASECO" TargetMode="External"/><Relationship Id="rId2151" Type="http://schemas.openxmlformats.org/officeDocument/2006/relationships/hyperlink" Target="https://in.tradingview.com/chart/Cgv3Jm6J/?symbol=NSE%3AVIKASLIFE" TargetMode="External"/><Relationship Id="rId2152" Type="http://schemas.openxmlformats.org/officeDocument/2006/relationships/hyperlink" Target="https://in.tradingview.com/chart/Cgv3Jm6J/?symbol=NSE%3AVIMTALABS" TargetMode="External"/><Relationship Id="rId2153" Type="http://schemas.openxmlformats.org/officeDocument/2006/relationships/hyperlink" Target="https://in.tradingview.com/chart/Cgv3Jm6J/?symbol=NSE%3AVINATIORGA" TargetMode="External"/><Relationship Id="rId2154" Type="http://schemas.openxmlformats.org/officeDocument/2006/relationships/hyperlink" Target="https://in.tradingview.com/chart/Cgv3Jm6J/?symbol=NSE%3AVINCOFE" TargetMode="External"/><Relationship Id="rId2155" Type="http://schemas.openxmlformats.org/officeDocument/2006/relationships/hyperlink" Target="https://in.tradingview.com/chart/Cgv3Jm6J/?symbol=NSE%3AVINDHYATEL" TargetMode="External"/><Relationship Id="rId2156" Type="http://schemas.openxmlformats.org/officeDocument/2006/relationships/hyperlink" Target="https://in.tradingview.com/chart/Cgv3Jm6J/?symbol=NSE%3AVINEETLAB" TargetMode="External"/><Relationship Id="rId2157" Type="http://schemas.openxmlformats.org/officeDocument/2006/relationships/hyperlink" Target="https://in.tradingview.com/chart/Cgv3Jm6J/?symbol=NSE%3AVINYLINDIA" TargetMode="External"/><Relationship Id="rId2158" Type="http://schemas.openxmlformats.org/officeDocument/2006/relationships/hyperlink" Target="https://in.tradingview.com/chart/Cgv3Jm6J/?symbol=NSE%3AVIPCLOTHNG" TargetMode="External"/><Relationship Id="rId2104" Type="http://schemas.openxmlformats.org/officeDocument/2006/relationships/hyperlink" Target="https://in.tradingview.com/chart/Cgv3Jm6J/?symbol=NSE%3AUNIVCABLES" TargetMode="External"/><Relationship Id="rId2105" Type="http://schemas.openxmlformats.org/officeDocument/2006/relationships/hyperlink" Target="https://in.tradingview.com/chart/Cgv3Jm6J/?symbol=NSE%3AUNIVPHOTO" TargetMode="External"/><Relationship Id="rId2106" Type="http://schemas.openxmlformats.org/officeDocument/2006/relationships/hyperlink" Target="https://in.tradingview.com/chart/Cgv3Jm6J/?symbol=NSE%3AUNOMINDA" TargetMode="External"/><Relationship Id="rId2107" Type="http://schemas.openxmlformats.org/officeDocument/2006/relationships/hyperlink" Target="https://in.tradingview.com/chart/Cgv3Jm6J/?symbol=NSE%3AUPL" TargetMode="External"/><Relationship Id="rId2108" Type="http://schemas.openxmlformats.org/officeDocument/2006/relationships/hyperlink" Target="https://in.tradingview.com/chart/Cgv3Jm6J/?symbol=NSE%3AURAVIDEF" TargetMode="External"/><Relationship Id="rId2109" Type="http://schemas.openxmlformats.org/officeDocument/2006/relationships/hyperlink" Target="https://in.tradingview.com/chart/Cgv3Jm6J/?symbol=NSE%3AUSHAMART" TargetMode="External"/><Relationship Id="rId2100" Type="http://schemas.openxmlformats.org/officeDocument/2006/relationships/hyperlink" Target="https://in.tradingview.com/chart/Cgv3Jm6J/?symbol=NSE%3AUNITECH" TargetMode="External"/><Relationship Id="rId2101" Type="http://schemas.openxmlformats.org/officeDocument/2006/relationships/hyperlink" Target="https://in.tradingview.com/chart/Cgv3Jm6J/?symbol=NSE%3AUNITEDPOLY" TargetMode="External"/><Relationship Id="rId2102" Type="http://schemas.openxmlformats.org/officeDocument/2006/relationships/hyperlink" Target="https://in.tradingview.com/chart/Cgv3Jm6J/?symbol=NSE%3AUNITEDTEA" TargetMode="External"/><Relationship Id="rId2103" Type="http://schemas.openxmlformats.org/officeDocument/2006/relationships/hyperlink" Target="https://in.tradingview.com/chart/Cgv3Jm6J/?symbol=NSE%3AUNIVASTU" TargetMode="External"/><Relationship Id="rId899" Type="http://schemas.openxmlformats.org/officeDocument/2006/relationships/hyperlink" Target="https://in.tradingview.com/chart/Cgv3Jm6J/?symbol=NSE%3AINDIASHLTR" TargetMode="External"/><Relationship Id="rId898" Type="http://schemas.openxmlformats.org/officeDocument/2006/relationships/hyperlink" Target="https://in.tradingview.com/chart/Cgv3Jm6J/?symbol=NSE%3AINDIANHUME" TargetMode="External"/><Relationship Id="rId897" Type="http://schemas.openxmlformats.org/officeDocument/2006/relationships/hyperlink" Target="https://in.tradingview.com/chart/Cgv3Jm6J/?symbol=NSE%3AINDIANCARD" TargetMode="External"/><Relationship Id="rId896" Type="http://schemas.openxmlformats.org/officeDocument/2006/relationships/hyperlink" Target="https://in.tradingview.com/chart/Cgv3Jm6J/?symbol=NSE%3AINDIANB" TargetMode="External"/><Relationship Id="rId891" Type="http://schemas.openxmlformats.org/officeDocument/2006/relationships/hyperlink" Target="https://in.tradingview.com/chart/Cgv3Jm6J/?symbol=NSE%3AINDGN" TargetMode="External"/><Relationship Id="rId890" Type="http://schemas.openxmlformats.org/officeDocument/2006/relationships/hyperlink" Target="https://in.tradingview.com/chart/Cgv3Jm6J/?symbol=NSE%3AINDBANK" TargetMode="External"/><Relationship Id="rId895" Type="http://schemas.openxmlformats.org/officeDocument/2006/relationships/hyperlink" Target="https://in.tradingview.com/chart/Cgv3Jm6J/?symbol=NSE%3AINDIAMART" TargetMode="External"/><Relationship Id="rId894" Type="http://schemas.openxmlformats.org/officeDocument/2006/relationships/hyperlink" Target="https://in.tradingview.com/chart/Cgv3Jm6J/?symbol=NSE%3AINDIAGLYCO" TargetMode="External"/><Relationship Id="rId893" Type="http://schemas.openxmlformats.org/officeDocument/2006/relationships/hyperlink" Target="https://in.tradingview.com/chart/Cgv3Jm6J/?symbol=NSE%3AINDIACEM" TargetMode="External"/><Relationship Id="rId892" Type="http://schemas.openxmlformats.org/officeDocument/2006/relationships/hyperlink" Target="https://in.tradingview.com/chart/Cgv3Jm6J/?symbol=NSE%3AINDHOTEL" TargetMode="External"/><Relationship Id="rId2126" Type="http://schemas.openxmlformats.org/officeDocument/2006/relationships/hyperlink" Target="https://in.tradingview.com/chart/Cgv3Jm6J/?symbol=NSE%3AVALIANTLAB" TargetMode="External"/><Relationship Id="rId2127" Type="http://schemas.openxmlformats.org/officeDocument/2006/relationships/hyperlink" Target="https://in.tradingview.com/chart/Cgv3Jm6J/?symbol=NSE%3AVALIANTORG" TargetMode="External"/><Relationship Id="rId2128" Type="http://schemas.openxmlformats.org/officeDocument/2006/relationships/hyperlink" Target="https://in.tradingview.com/chart/Cgv3Jm6J/?symbol=NSE%3AVARDHACRLC" TargetMode="External"/><Relationship Id="rId2129" Type="http://schemas.openxmlformats.org/officeDocument/2006/relationships/hyperlink" Target="https://in.tradingview.com/chart/Cgv3Jm6J/?symbol=NSE%3AVARDMNPOLY" TargetMode="External"/><Relationship Id="rId2120" Type="http://schemas.openxmlformats.org/officeDocument/2006/relationships/hyperlink" Target="https://in.tradingview.com/chart/Cgv3Jm6J/?symbol=NSE%3AV2RETAIL" TargetMode="External"/><Relationship Id="rId2121" Type="http://schemas.openxmlformats.org/officeDocument/2006/relationships/hyperlink" Target="https://in.tradingview.com/chart/Cgv3Jm6J/?symbol=NSE%3AVADILALIND" TargetMode="External"/><Relationship Id="rId2122" Type="http://schemas.openxmlformats.org/officeDocument/2006/relationships/hyperlink" Target="https://in.tradingview.com/chart/Cgv3Jm6J/?symbol=NSE%3AVAIBHAVGBL" TargetMode="External"/><Relationship Id="rId2123" Type="http://schemas.openxmlformats.org/officeDocument/2006/relationships/hyperlink" Target="https://in.tradingview.com/chart/Cgv3Jm6J/?symbol=NSE%3AVAISHALI" TargetMode="External"/><Relationship Id="rId2124" Type="http://schemas.openxmlformats.org/officeDocument/2006/relationships/hyperlink" Target="https://in.tradingview.com/chart/Cgv3Jm6J/?symbol=NSE%3AVAKRANGEE" TargetMode="External"/><Relationship Id="rId2125" Type="http://schemas.openxmlformats.org/officeDocument/2006/relationships/hyperlink" Target="https://in.tradingview.com/chart/Cgv3Jm6J/?symbol=NSE%3AVAL30IETF" TargetMode="External"/><Relationship Id="rId2115" Type="http://schemas.openxmlformats.org/officeDocument/2006/relationships/hyperlink" Target="https://in.tradingview.com/chart/Cgv3Jm6J/?symbol=NSE%3AUTISENSETF" TargetMode="External"/><Relationship Id="rId2116" Type="http://schemas.openxmlformats.org/officeDocument/2006/relationships/hyperlink" Target="https://in.tradingview.com/chart/Cgv3Jm6J/?symbol=NSE%3AUTISXN50" TargetMode="External"/><Relationship Id="rId2117" Type="http://schemas.openxmlformats.org/officeDocument/2006/relationships/hyperlink" Target="https://in.tradingview.com/chart/Cgv3Jm6J/?symbol=NSE%3AUTKARSHBNK" TargetMode="External"/><Relationship Id="rId2118" Type="http://schemas.openxmlformats.org/officeDocument/2006/relationships/hyperlink" Target="https://in.tradingview.com/chart/Cgv3Jm6J/?symbol=NSE%3AUTTAMSUGAR" TargetMode="External"/><Relationship Id="rId2119" Type="http://schemas.openxmlformats.org/officeDocument/2006/relationships/hyperlink" Target="https://in.tradingview.com/chart/Cgv3Jm6J/?symbol=NSE%3AUYFINCORP" TargetMode="External"/><Relationship Id="rId2110" Type="http://schemas.openxmlformats.org/officeDocument/2006/relationships/hyperlink" Target="https://in.tradingview.com/chart/Cgv3Jm6J/?symbol=NSE%3AUSK" TargetMode="External"/><Relationship Id="rId2111" Type="http://schemas.openxmlformats.org/officeDocument/2006/relationships/hyperlink" Target="https://in.tradingview.com/chart/Cgv3Jm6J/?symbol=NSE%3AUTIAMC" TargetMode="External"/><Relationship Id="rId2112" Type="http://schemas.openxmlformats.org/officeDocument/2006/relationships/hyperlink" Target="https://in.tradingview.com/chart/Cgv3Jm6J/?symbol=NSE%3AUTIBANKETF" TargetMode="External"/><Relationship Id="rId2113" Type="http://schemas.openxmlformats.org/officeDocument/2006/relationships/hyperlink" Target="https://in.tradingview.com/chart/Cgv3Jm6J/?symbol=NSE%3AUTINEXT50" TargetMode="External"/><Relationship Id="rId2114" Type="http://schemas.openxmlformats.org/officeDocument/2006/relationships/hyperlink" Target="https://in.tradingview.com/chart/Cgv3Jm6J/?symbol=NSE%3AUTINIFTETF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bXJLby4L/?symbol=NSE%3A20MICRONS" TargetMode="External"/><Relationship Id="rId391" Type="http://schemas.openxmlformats.org/officeDocument/2006/relationships/hyperlink" Target="https://in.tradingview.com/chart/bXJLby4L/?symbol=NSE%3A20MICRONS" TargetMode="External"/><Relationship Id="rId390" Type="http://schemas.openxmlformats.org/officeDocument/2006/relationships/hyperlink" Target="https://in.tradingview.com/chart/bXJLby4L/?symbol=NSE%3A20MICRONS" TargetMode="External"/><Relationship Id="rId2180" Type="http://schemas.openxmlformats.org/officeDocument/2006/relationships/hyperlink" Target="https://in.tradingview.com/chart/bXJLby4L/?symbol=NSE%3A20MICRONS" TargetMode="External"/><Relationship Id="rId2181" Type="http://schemas.openxmlformats.org/officeDocument/2006/relationships/hyperlink" Target="https://in.tradingview.com/chart/bXJLby4L/?symbol=NSE%3A20MICRONS" TargetMode="External"/><Relationship Id="rId2182" Type="http://schemas.openxmlformats.org/officeDocument/2006/relationships/hyperlink" Target="https://in.tradingview.com/chart/bXJLby4L/?symbol=NSE%3A20MICRONS" TargetMode="External"/><Relationship Id="rId2183" Type="http://schemas.openxmlformats.org/officeDocument/2006/relationships/hyperlink" Target="https://in.tradingview.com/chart/bXJLby4L/?symbol=NSE%3A20MICRONS" TargetMode="External"/><Relationship Id="rId385" Type="http://schemas.openxmlformats.org/officeDocument/2006/relationships/hyperlink" Target="https://in.tradingview.com/chart/bXJLby4L/?symbol=NSE%3A20MICRONS" TargetMode="External"/><Relationship Id="rId2184" Type="http://schemas.openxmlformats.org/officeDocument/2006/relationships/hyperlink" Target="https://in.tradingview.com/chart/bXJLby4L/?symbol=NSE%3A20MICRONS" TargetMode="External"/><Relationship Id="rId384" Type="http://schemas.openxmlformats.org/officeDocument/2006/relationships/hyperlink" Target="https://in.tradingview.com/chart/bXJLby4L/?symbol=NSE%3A20MICRONS" TargetMode="External"/><Relationship Id="rId2185" Type="http://schemas.openxmlformats.org/officeDocument/2006/relationships/hyperlink" Target="https://in.tradingview.com/chart/bXJLby4L/?symbol=NSE%3A20MICRONS" TargetMode="External"/><Relationship Id="rId383" Type="http://schemas.openxmlformats.org/officeDocument/2006/relationships/hyperlink" Target="https://in.tradingview.com/chart/bXJLby4L/?symbol=NSE%3A20MICRONS" TargetMode="External"/><Relationship Id="rId2186" Type="http://schemas.openxmlformats.org/officeDocument/2006/relationships/hyperlink" Target="https://in.tradingview.com/chart/bXJLby4L/?symbol=NSE%3A20MICRONS" TargetMode="External"/><Relationship Id="rId382" Type="http://schemas.openxmlformats.org/officeDocument/2006/relationships/hyperlink" Target="https://in.tradingview.com/chart/bXJLby4L/?symbol=NSE%3A20MICRONS" TargetMode="External"/><Relationship Id="rId2187" Type="http://schemas.openxmlformats.org/officeDocument/2006/relationships/hyperlink" Target="https://in.tradingview.com/chart/bXJLby4L/?symbol=NSE%3A20MICRONS" TargetMode="External"/><Relationship Id="rId389" Type="http://schemas.openxmlformats.org/officeDocument/2006/relationships/hyperlink" Target="https://in.tradingview.com/chart/bXJLby4L/?symbol=NSE%3A20MICRONS" TargetMode="External"/><Relationship Id="rId2188" Type="http://schemas.openxmlformats.org/officeDocument/2006/relationships/hyperlink" Target="https://in.tradingview.com/chart/bXJLby4L/?symbol=NSE%3A20MICRONS" TargetMode="External"/><Relationship Id="rId388" Type="http://schemas.openxmlformats.org/officeDocument/2006/relationships/hyperlink" Target="https://in.tradingview.com/chart/bXJLby4L/?symbol=NSE%3A20MICRONS" TargetMode="External"/><Relationship Id="rId2189" Type="http://schemas.openxmlformats.org/officeDocument/2006/relationships/hyperlink" Target="https://in.tradingview.com/chart/bXJLby4L/?symbol=NSE%3A20MICRONS" TargetMode="External"/><Relationship Id="rId387" Type="http://schemas.openxmlformats.org/officeDocument/2006/relationships/hyperlink" Target="https://in.tradingview.com/chart/bXJLby4L/?symbol=NSE%3A20MICRONS" TargetMode="External"/><Relationship Id="rId386" Type="http://schemas.openxmlformats.org/officeDocument/2006/relationships/hyperlink" Target="https://in.tradingview.com/chart/bXJLby4L/?symbol=NSE%3A20MICRONS" TargetMode="External"/><Relationship Id="rId381" Type="http://schemas.openxmlformats.org/officeDocument/2006/relationships/hyperlink" Target="https://in.tradingview.com/chart/bXJLby4L/?symbol=NSE%3A20MICRONS" TargetMode="External"/><Relationship Id="rId380" Type="http://schemas.openxmlformats.org/officeDocument/2006/relationships/hyperlink" Target="https://in.tradingview.com/chart/bXJLby4L/?symbol=NSE%3A20MICRONS" TargetMode="External"/><Relationship Id="rId379" Type="http://schemas.openxmlformats.org/officeDocument/2006/relationships/hyperlink" Target="https://in.tradingview.com/chart/bXJLby4L/?symbol=NSE%3A20MICRONS" TargetMode="External"/><Relationship Id="rId2170" Type="http://schemas.openxmlformats.org/officeDocument/2006/relationships/hyperlink" Target="https://in.tradingview.com/chart/bXJLby4L/?symbol=NSE%3A20MICRONS" TargetMode="External"/><Relationship Id="rId2171" Type="http://schemas.openxmlformats.org/officeDocument/2006/relationships/hyperlink" Target="https://in.tradingview.com/chart/bXJLby4L/?symbol=NSE%3A20MICRONS" TargetMode="External"/><Relationship Id="rId2172" Type="http://schemas.openxmlformats.org/officeDocument/2006/relationships/hyperlink" Target="https://in.tradingview.com/chart/bXJLby4L/?symbol=NSE%3A20MICRONS" TargetMode="External"/><Relationship Id="rId374" Type="http://schemas.openxmlformats.org/officeDocument/2006/relationships/hyperlink" Target="https://in.tradingview.com/chart/bXJLby4L/?symbol=NSE%3A20MICRONS" TargetMode="External"/><Relationship Id="rId2173" Type="http://schemas.openxmlformats.org/officeDocument/2006/relationships/hyperlink" Target="https://in.tradingview.com/chart/bXJLby4L/?symbol=NSE%3A20MICRONS" TargetMode="External"/><Relationship Id="rId373" Type="http://schemas.openxmlformats.org/officeDocument/2006/relationships/hyperlink" Target="https://in.tradingview.com/chart/bXJLby4L/?symbol=NSE%3A20MICRONS" TargetMode="External"/><Relationship Id="rId2174" Type="http://schemas.openxmlformats.org/officeDocument/2006/relationships/hyperlink" Target="https://in.tradingview.com/chart/bXJLby4L/?symbol=NSE%3A20MICRONS" TargetMode="External"/><Relationship Id="rId372" Type="http://schemas.openxmlformats.org/officeDocument/2006/relationships/hyperlink" Target="https://in.tradingview.com/chart/bXJLby4L/?symbol=NSE%3A20MICRONS" TargetMode="External"/><Relationship Id="rId2175" Type="http://schemas.openxmlformats.org/officeDocument/2006/relationships/hyperlink" Target="https://in.tradingview.com/chart/bXJLby4L/?symbol=NSE%3A20MICRONS" TargetMode="External"/><Relationship Id="rId371" Type="http://schemas.openxmlformats.org/officeDocument/2006/relationships/hyperlink" Target="https://in.tradingview.com/chart/bXJLby4L/?symbol=NSE%3A20MICRONS" TargetMode="External"/><Relationship Id="rId2176" Type="http://schemas.openxmlformats.org/officeDocument/2006/relationships/hyperlink" Target="https://in.tradingview.com/chart/bXJLby4L/?symbol=NSE%3A20MICRONS" TargetMode="External"/><Relationship Id="rId378" Type="http://schemas.openxmlformats.org/officeDocument/2006/relationships/hyperlink" Target="https://in.tradingview.com/chart/bXJLby4L/?symbol=NSE%3A20MICRONS" TargetMode="External"/><Relationship Id="rId2177" Type="http://schemas.openxmlformats.org/officeDocument/2006/relationships/hyperlink" Target="https://in.tradingview.com/chart/bXJLby4L/?symbol=NSE%3A20MICRONS" TargetMode="External"/><Relationship Id="rId377" Type="http://schemas.openxmlformats.org/officeDocument/2006/relationships/hyperlink" Target="https://in.tradingview.com/chart/bXJLby4L/?symbol=NSE%3A20MICRONS" TargetMode="External"/><Relationship Id="rId2178" Type="http://schemas.openxmlformats.org/officeDocument/2006/relationships/hyperlink" Target="https://in.tradingview.com/chart/bXJLby4L/?symbol=NSE%3A20MICRONS" TargetMode="External"/><Relationship Id="rId376" Type="http://schemas.openxmlformats.org/officeDocument/2006/relationships/hyperlink" Target="https://in.tradingview.com/chart/bXJLby4L/?symbol=NSE%3A20MICRONS" TargetMode="External"/><Relationship Id="rId2179" Type="http://schemas.openxmlformats.org/officeDocument/2006/relationships/hyperlink" Target="https://in.tradingview.com/chart/bXJLby4L/?symbol=NSE%3A20MICRONS" TargetMode="External"/><Relationship Id="rId375" Type="http://schemas.openxmlformats.org/officeDocument/2006/relationships/hyperlink" Target="https://in.tradingview.com/chart/bXJLby4L/?symbol=NSE%3A20MICRONS" TargetMode="External"/><Relationship Id="rId2190" Type="http://schemas.openxmlformats.org/officeDocument/2006/relationships/hyperlink" Target="https://in.tradingview.com/chart/bXJLby4L/?symbol=NSE%3A20MICRONS" TargetMode="External"/><Relationship Id="rId2191" Type="http://schemas.openxmlformats.org/officeDocument/2006/relationships/hyperlink" Target="https://in.tradingview.com/chart/bXJLby4L/?symbol=NSE%3A20MICRONS" TargetMode="External"/><Relationship Id="rId2192" Type="http://schemas.openxmlformats.org/officeDocument/2006/relationships/hyperlink" Target="https://in.tradingview.com/chart/bXJLby4L/?symbol=NSE%3A20MICRONS" TargetMode="External"/><Relationship Id="rId2193" Type="http://schemas.openxmlformats.org/officeDocument/2006/relationships/hyperlink" Target="https://in.tradingview.com/chart/bXJLby4L/?symbol=NSE%3A20MICRONS" TargetMode="External"/><Relationship Id="rId2194" Type="http://schemas.openxmlformats.org/officeDocument/2006/relationships/hyperlink" Target="https://in.tradingview.com/chart/bXJLby4L/?symbol=NSE%3A20MICRONS" TargetMode="External"/><Relationship Id="rId396" Type="http://schemas.openxmlformats.org/officeDocument/2006/relationships/hyperlink" Target="https://in.tradingview.com/chart/bXJLby4L/?symbol=NSE%3A20MICRONS" TargetMode="External"/><Relationship Id="rId2195" Type="http://schemas.openxmlformats.org/officeDocument/2006/relationships/hyperlink" Target="https://in.tradingview.com/chart/bXJLby4L/?symbol=NSE%3A20MICRONS" TargetMode="External"/><Relationship Id="rId395" Type="http://schemas.openxmlformats.org/officeDocument/2006/relationships/hyperlink" Target="https://in.tradingview.com/chart/bXJLby4L/?symbol=NSE%3A20MICRONS" TargetMode="External"/><Relationship Id="rId2196" Type="http://schemas.openxmlformats.org/officeDocument/2006/relationships/hyperlink" Target="https://in.tradingview.com/chart/bXJLby4L/?symbol=NSE%3A20MICRONS" TargetMode="External"/><Relationship Id="rId394" Type="http://schemas.openxmlformats.org/officeDocument/2006/relationships/hyperlink" Target="https://in.tradingview.com/chart/bXJLby4L/?symbol=NSE%3A20MICRONS" TargetMode="External"/><Relationship Id="rId2197" Type="http://schemas.openxmlformats.org/officeDocument/2006/relationships/hyperlink" Target="https://in.tradingview.com/chart/bXJLby4L/?symbol=NSE%3A20MICRONS" TargetMode="External"/><Relationship Id="rId393" Type="http://schemas.openxmlformats.org/officeDocument/2006/relationships/hyperlink" Target="https://in.tradingview.com/chart/bXJLby4L/?symbol=NSE%3A20MICRONS" TargetMode="External"/><Relationship Id="rId2198" Type="http://schemas.openxmlformats.org/officeDocument/2006/relationships/hyperlink" Target="https://in.tradingview.com/chart/bXJLby4L/?symbol=NSE%3A20MICRONS" TargetMode="External"/><Relationship Id="rId2199" Type="http://schemas.openxmlformats.org/officeDocument/2006/relationships/hyperlink" Target="https://in.tradingview.com/chart/bXJLby4L/?symbol=NSE%3A20MICRONS" TargetMode="External"/><Relationship Id="rId399" Type="http://schemas.openxmlformats.org/officeDocument/2006/relationships/hyperlink" Target="https://in.tradingview.com/chart/bXJLby4L/?symbol=NSE%3A20MICRONS" TargetMode="External"/><Relationship Id="rId398" Type="http://schemas.openxmlformats.org/officeDocument/2006/relationships/hyperlink" Target="https://in.tradingview.com/chart/bXJLby4L/?symbol=NSE%3A20MICRONS" TargetMode="External"/><Relationship Id="rId397" Type="http://schemas.openxmlformats.org/officeDocument/2006/relationships/hyperlink" Target="https://in.tradingview.com/chart/bXJLby4L/?symbol=NSE%3A20MICRONS" TargetMode="External"/><Relationship Id="rId1730" Type="http://schemas.openxmlformats.org/officeDocument/2006/relationships/hyperlink" Target="https://in.tradingview.com/chart/bXJLby4L/?symbol=NSE%3A20MICRONS" TargetMode="External"/><Relationship Id="rId1731" Type="http://schemas.openxmlformats.org/officeDocument/2006/relationships/hyperlink" Target="https://in.tradingview.com/chart/bXJLby4L/?symbol=NSE%3A20MICRONS" TargetMode="External"/><Relationship Id="rId1732" Type="http://schemas.openxmlformats.org/officeDocument/2006/relationships/hyperlink" Target="https://in.tradingview.com/chart/bXJLby4L/?symbol=NSE%3A20MICRONS" TargetMode="External"/><Relationship Id="rId1733" Type="http://schemas.openxmlformats.org/officeDocument/2006/relationships/hyperlink" Target="https://in.tradingview.com/chart/bXJLby4L/?symbol=NSE%3A20MICRONS" TargetMode="External"/><Relationship Id="rId1734" Type="http://schemas.openxmlformats.org/officeDocument/2006/relationships/hyperlink" Target="https://in.tradingview.com/chart/bXJLby4L/?symbol=NSE%3A20MICRONS" TargetMode="External"/><Relationship Id="rId1735" Type="http://schemas.openxmlformats.org/officeDocument/2006/relationships/hyperlink" Target="https://in.tradingview.com/chart/bXJLby4L/?symbol=NSE%3A20MICRONS" TargetMode="External"/><Relationship Id="rId1736" Type="http://schemas.openxmlformats.org/officeDocument/2006/relationships/hyperlink" Target="https://in.tradingview.com/chart/bXJLby4L/?symbol=NSE%3A20MICRONS" TargetMode="External"/><Relationship Id="rId1737" Type="http://schemas.openxmlformats.org/officeDocument/2006/relationships/hyperlink" Target="https://in.tradingview.com/chart/bXJLby4L/?symbol=NSE%3A20MICRONS" TargetMode="External"/><Relationship Id="rId1738" Type="http://schemas.openxmlformats.org/officeDocument/2006/relationships/hyperlink" Target="https://in.tradingview.com/chart/bXJLby4L/?symbol=NSE%3A20MICRONS" TargetMode="External"/><Relationship Id="rId1739" Type="http://schemas.openxmlformats.org/officeDocument/2006/relationships/hyperlink" Target="https://in.tradingview.com/chart/bXJLby4L/?symbol=NSE%3A20MICRONS" TargetMode="External"/><Relationship Id="rId1720" Type="http://schemas.openxmlformats.org/officeDocument/2006/relationships/hyperlink" Target="https://in.tradingview.com/chart/bXJLby4L/?symbol=NSE%3A20MICRONS" TargetMode="External"/><Relationship Id="rId1721" Type="http://schemas.openxmlformats.org/officeDocument/2006/relationships/hyperlink" Target="https://in.tradingview.com/chart/bXJLby4L/?symbol=NSE%3A20MICRONS" TargetMode="External"/><Relationship Id="rId1722" Type="http://schemas.openxmlformats.org/officeDocument/2006/relationships/hyperlink" Target="https://in.tradingview.com/chart/bXJLby4L/?symbol=NSE%3A20MICRONS" TargetMode="External"/><Relationship Id="rId1723" Type="http://schemas.openxmlformats.org/officeDocument/2006/relationships/hyperlink" Target="https://in.tradingview.com/chart/bXJLby4L/?symbol=NSE%3A20MICRONS" TargetMode="External"/><Relationship Id="rId1724" Type="http://schemas.openxmlformats.org/officeDocument/2006/relationships/hyperlink" Target="https://in.tradingview.com/chart/bXJLby4L/?symbol=NSE%3A20MICRONS" TargetMode="External"/><Relationship Id="rId1725" Type="http://schemas.openxmlformats.org/officeDocument/2006/relationships/hyperlink" Target="https://in.tradingview.com/chart/bXJLby4L/?symbol=NSE%3A20MICRONS" TargetMode="External"/><Relationship Id="rId1726" Type="http://schemas.openxmlformats.org/officeDocument/2006/relationships/hyperlink" Target="https://in.tradingview.com/chart/bXJLby4L/?symbol=NSE%3A20MICRONS" TargetMode="External"/><Relationship Id="rId1727" Type="http://schemas.openxmlformats.org/officeDocument/2006/relationships/hyperlink" Target="https://in.tradingview.com/chart/bXJLby4L/?symbol=NSE%3A20MICRONS" TargetMode="External"/><Relationship Id="rId1728" Type="http://schemas.openxmlformats.org/officeDocument/2006/relationships/hyperlink" Target="https://in.tradingview.com/chart/bXJLby4L/?symbol=NSE%3A20MICRONS" TargetMode="External"/><Relationship Id="rId1729" Type="http://schemas.openxmlformats.org/officeDocument/2006/relationships/hyperlink" Target="https://in.tradingview.com/chart/bXJLby4L/?symbol=NSE%3A20MICRONS" TargetMode="External"/><Relationship Id="rId1752" Type="http://schemas.openxmlformats.org/officeDocument/2006/relationships/hyperlink" Target="https://in.tradingview.com/chart/bXJLby4L/?symbol=NSE%3A20MICRONS" TargetMode="External"/><Relationship Id="rId1753" Type="http://schemas.openxmlformats.org/officeDocument/2006/relationships/hyperlink" Target="https://in.tradingview.com/chart/bXJLby4L/?symbol=NSE%3A20MICRONS" TargetMode="External"/><Relationship Id="rId1754" Type="http://schemas.openxmlformats.org/officeDocument/2006/relationships/hyperlink" Target="https://in.tradingview.com/chart/bXJLby4L/?symbol=NSE%3A20MICRONS" TargetMode="External"/><Relationship Id="rId1755" Type="http://schemas.openxmlformats.org/officeDocument/2006/relationships/hyperlink" Target="https://in.tradingview.com/chart/bXJLby4L/?symbol=NSE%3A20MICRONS" TargetMode="External"/><Relationship Id="rId1756" Type="http://schemas.openxmlformats.org/officeDocument/2006/relationships/hyperlink" Target="https://in.tradingview.com/chart/bXJLby4L/?symbol=NSE%3A20MICRONS" TargetMode="External"/><Relationship Id="rId1757" Type="http://schemas.openxmlformats.org/officeDocument/2006/relationships/hyperlink" Target="https://in.tradingview.com/chart/bXJLby4L/?symbol=NSE%3A20MICRONS" TargetMode="External"/><Relationship Id="rId1758" Type="http://schemas.openxmlformats.org/officeDocument/2006/relationships/hyperlink" Target="https://in.tradingview.com/chart/bXJLby4L/?symbol=NSE%3A20MICRONS" TargetMode="External"/><Relationship Id="rId1759" Type="http://schemas.openxmlformats.org/officeDocument/2006/relationships/hyperlink" Target="https://in.tradingview.com/chart/bXJLby4L/?symbol=NSE%3A20MICRONS" TargetMode="External"/><Relationship Id="rId1750" Type="http://schemas.openxmlformats.org/officeDocument/2006/relationships/hyperlink" Target="https://in.tradingview.com/chart/bXJLby4L/?symbol=NSE%3A20MICRONS" TargetMode="External"/><Relationship Id="rId1751" Type="http://schemas.openxmlformats.org/officeDocument/2006/relationships/hyperlink" Target="https://in.tradingview.com/chart/bXJLby4L/?symbol=NSE%3A20MICRONS" TargetMode="External"/><Relationship Id="rId1741" Type="http://schemas.openxmlformats.org/officeDocument/2006/relationships/hyperlink" Target="https://in.tradingview.com/chart/bXJLby4L/?symbol=NSE%3A20MICRONS" TargetMode="External"/><Relationship Id="rId1742" Type="http://schemas.openxmlformats.org/officeDocument/2006/relationships/hyperlink" Target="https://in.tradingview.com/chart/bXJLby4L/?symbol=NSE%3A20MICRONS" TargetMode="External"/><Relationship Id="rId1743" Type="http://schemas.openxmlformats.org/officeDocument/2006/relationships/hyperlink" Target="https://in.tradingview.com/chart/bXJLby4L/?symbol=NSE%3A20MICRONS" TargetMode="External"/><Relationship Id="rId1744" Type="http://schemas.openxmlformats.org/officeDocument/2006/relationships/hyperlink" Target="https://in.tradingview.com/chart/bXJLby4L/?symbol=NSE%3A20MICRONS" TargetMode="External"/><Relationship Id="rId1745" Type="http://schemas.openxmlformats.org/officeDocument/2006/relationships/hyperlink" Target="https://in.tradingview.com/chart/bXJLby4L/?symbol=NSE%3A20MICRONS" TargetMode="External"/><Relationship Id="rId1746" Type="http://schemas.openxmlformats.org/officeDocument/2006/relationships/hyperlink" Target="https://in.tradingview.com/chart/bXJLby4L/?symbol=NSE%3A20MICRONS" TargetMode="External"/><Relationship Id="rId1747" Type="http://schemas.openxmlformats.org/officeDocument/2006/relationships/hyperlink" Target="https://in.tradingview.com/chart/bXJLby4L/?symbol=NSE%3A20MICRONS" TargetMode="External"/><Relationship Id="rId1748" Type="http://schemas.openxmlformats.org/officeDocument/2006/relationships/hyperlink" Target="https://in.tradingview.com/chart/bXJLby4L/?symbol=NSE%3A20MICRONS" TargetMode="External"/><Relationship Id="rId1749" Type="http://schemas.openxmlformats.org/officeDocument/2006/relationships/hyperlink" Target="https://in.tradingview.com/chart/bXJLby4L/?symbol=NSE%3A20MICRONS" TargetMode="External"/><Relationship Id="rId1740" Type="http://schemas.openxmlformats.org/officeDocument/2006/relationships/hyperlink" Target="https://in.tradingview.com/chart/bXJLby4L/?symbol=NSE%3A20MICRONS" TargetMode="External"/><Relationship Id="rId1710" Type="http://schemas.openxmlformats.org/officeDocument/2006/relationships/hyperlink" Target="https://in.tradingview.com/chart/bXJLby4L/?symbol=NSE%3A20MICRONS" TargetMode="External"/><Relationship Id="rId1711" Type="http://schemas.openxmlformats.org/officeDocument/2006/relationships/hyperlink" Target="https://in.tradingview.com/chart/bXJLby4L/?symbol=NSE%3A20MICRONS" TargetMode="External"/><Relationship Id="rId1712" Type="http://schemas.openxmlformats.org/officeDocument/2006/relationships/hyperlink" Target="https://in.tradingview.com/chart/bXJLby4L/?symbol=NSE%3A20MICRONS" TargetMode="External"/><Relationship Id="rId1713" Type="http://schemas.openxmlformats.org/officeDocument/2006/relationships/hyperlink" Target="https://in.tradingview.com/chart/bXJLby4L/?symbol=NSE%3A20MICRONS" TargetMode="External"/><Relationship Id="rId1714" Type="http://schemas.openxmlformats.org/officeDocument/2006/relationships/hyperlink" Target="https://in.tradingview.com/chart/bXJLby4L/?symbol=NSE%3A20MICRONS" TargetMode="External"/><Relationship Id="rId1715" Type="http://schemas.openxmlformats.org/officeDocument/2006/relationships/hyperlink" Target="https://in.tradingview.com/chart/bXJLby4L/?symbol=NSE%3A20MICRONS" TargetMode="External"/><Relationship Id="rId1716" Type="http://schemas.openxmlformats.org/officeDocument/2006/relationships/hyperlink" Target="https://in.tradingview.com/chart/bXJLby4L/?symbol=NSE%3A20MICRONS" TargetMode="External"/><Relationship Id="rId1717" Type="http://schemas.openxmlformats.org/officeDocument/2006/relationships/hyperlink" Target="https://in.tradingview.com/chart/bXJLby4L/?symbol=NSE%3A20MICRONS" TargetMode="External"/><Relationship Id="rId1718" Type="http://schemas.openxmlformats.org/officeDocument/2006/relationships/hyperlink" Target="https://in.tradingview.com/chart/bXJLby4L/?symbol=NSE%3A20MICRONS" TargetMode="External"/><Relationship Id="rId1719" Type="http://schemas.openxmlformats.org/officeDocument/2006/relationships/hyperlink" Target="https://in.tradingview.com/chart/bXJLby4L/?symbol=NSE%3A20MICRONS" TargetMode="External"/><Relationship Id="rId1700" Type="http://schemas.openxmlformats.org/officeDocument/2006/relationships/hyperlink" Target="https://in.tradingview.com/chart/bXJLby4L/?symbol=NSE%3A20MICRONS" TargetMode="External"/><Relationship Id="rId1701" Type="http://schemas.openxmlformats.org/officeDocument/2006/relationships/hyperlink" Target="https://in.tradingview.com/chart/bXJLby4L/?symbol=NSE%3A20MICRONS" TargetMode="External"/><Relationship Id="rId1702" Type="http://schemas.openxmlformats.org/officeDocument/2006/relationships/hyperlink" Target="https://in.tradingview.com/chart/bXJLby4L/?symbol=NSE%3A20MICRONS" TargetMode="External"/><Relationship Id="rId1703" Type="http://schemas.openxmlformats.org/officeDocument/2006/relationships/hyperlink" Target="https://in.tradingview.com/chart/bXJLby4L/?symbol=NSE%3A20MICRONS" TargetMode="External"/><Relationship Id="rId1704" Type="http://schemas.openxmlformats.org/officeDocument/2006/relationships/hyperlink" Target="https://in.tradingview.com/chart/bXJLby4L/?symbol=NSE%3A20MICRONS" TargetMode="External"/><Relationship Id="rId1705" Type="http://schemas.openxmlformats.org/officeDocument/2006/relationships/hyperlink" Target="https://in.tradingview.com/chart/bXJLby4L/?symbol=NSE%3A20MICRONS" TargetMode="External"/><Relationship Id="rId1706" Type="http://schemas.openxmlformats.org/officeDocument/2006/relationships/hyperlink" Target="https://in.tradingview.com/chart/bXJLby4L/?symbol=NSE%3A20MICRONS" TargetMode="External"/><Relationship Id="rId1707" Type="http://schemas.openxmlformats.org/officeDocument/2006/relationships/hyperlink" Target="https://in.tradingview.com/chart/bXJLby4L/?symbol=NSE%3A20MICRONS" TargetMode="External"/><Relationship Id="rId1708" Type="http://schemas.openxmlformats.org/officeDocument/2006/relationships/hyperlink" Target="https://in.tradingview.com/chart/bXJLby4L/?symbol=NSE%3A20MICRONS" TargetMode="External"/><Relationship Id="rId1709" Type="http://schemas.openxmlformats.org/officeDocument/2006/relationships/hyperlink" Target="https://in.tradingview.com/chart/bXJLby4L/?symbol=NSE%3A20MICRONS" TargetMode="External"/><Relationship Id="rId40" Type="http://schemas.openxmlformats.org/officeDocument/2006/relationships/hyperlink" Target="https://in.tradingview.com/chart/bXJLby4L/?symbol=NSE%3A20MICRONS" TargetMode="External"/><Relationship Id="rId42" Type="http://schemas.openxmlformats.org/officeDocument/2006/relationships/hyperlink" Target="https://in.tradingview.com/chart/bXJLby4L/?symbol=NSE%3A20MICRONS" TargetMode="External"/><Relationship Id="rId41" Type="http://schemas.openxmlformats.org/officeDocument/2006/relationships/hyperlink" Target="https://in.tradingview.com/chart/bXJLby4L/?symbol=NSE%3A20MICRONS" TargetMode="External"/><Relationship Id="rId44" Type="http://schemas.openxmlformats.org/officeDocument/2006/relationships/hyperlink" Target="https://in.tradingview.com/chart/bXJLby4L/?symbol=NSE%3A20MICRONS" TargetMode="External"/><Relationship Id="rId43" Type="http://schemas.openxmlformats.org/officeDocument/2006/relationships/hyperlink" Target="https://in.tradingview.com/chart/bXJLby4L/?symbol=NSE%3A20MICRONS" TargetMode="External"/><Relationship Id="rId46" Type="http://schemas.openxmlformats.org/officeDocument/2006/relationships/hyperlink" Target="https://in.tradingview.com/chart/bXJLby4L/?symbol=NSE%3A20MICRONS" TargetMode="External"/><Relationship Id="rId45" Type="http://schemas.openxmlformats.org/officeDocument/2006/relationships/hyperlink" Target="https://in.tradingview.com/chart/bXJLby4L/?symbol=NSE%3A20MICRONS" TargetMode="External"/><Relationship Id="rId48" Type="http://schemas.openxmlformats.org/officeDocument/2006/relationships/hyperlink" Target="https://in.tradingview.com/chart/bXJLby4L/?symbol=NSE%3A20MICRONS" TargetMode="External"/><Relationship Id="rId47" Type="http://schemas.openxmlformats.org/officeDocument/2006/relationships/hyperlink" Target="https://in.tradingview.com/chart/bXJLby4L/?symbol=NSE%3A20MICRONS" TargetMode="External"/><Relationship Id="rId49" Type="http://schemas.openxmlformats.org/officeDocument/2006/relationships/hyperlink" Target="https://in.tradingview.com/chart/bXJLby4L/?symbol=NSE%3A20MICRONS" TargetMode="External"/><Relationship Id="rId31" Type="http://schemas.openxmlformats.org/officeDocument/2006/relationships/hyperlink" Target="https://in.tradingview.com/chart/bXJLby4L/?symbol=NSE%3A20MICRONS" TargetMode="External"/><Relationship Id="rId30" Type="http://schemas.openxmlformats.org/officeDocument/2006/relationships/hyperlink" Target="https://in.tradingview.com/chart/bXJLby4L/?symbol=NSE%3A20MICRONS" TargetMode="External"/><Relationship Id="rId33" Type="http://schemas.openxmlformats.org/officeDocument/2006/relationships/hyperlink" Target="https://in.tradingview.com/chart/bXJLby4L/?symbol=NSE%3A20MICRONS" TargetMode="External"/><Relationship Id="rId32" Type="http://schemas.openxmlformats.org/officeDocument/2006/relationships/hyperlink" Target="https://in.tradingview.com/chart/bXJLby4L/?symbol=NSE%3A20MICRONS" TargetMode="External"/><Relationship Id="rId35" Type="http://schemas.openxmlformats.org/officeDocument/2006/relationships/hyperlink" Target="https://in.tradingview.com/chart/bXJLby4L/?symbol=NSE%3A20MICRONS" TargetMode="External"/><Relationship Id="rId34" Type="http://schemas.openxmlformats.org/officeDocument/2006/relationships/hyperlink" Target="https://in.tradingview.com/chart/bXJLby4L/?symbol=NSE%3A20MICRONS" TargetMode="External"/><Relationship Id="rId37" Type="http://schemas.openxmlformats.org/officeDocument/2006/relationships/hyperlink" Target="https://in.tradingview.com/chart/bXJLby4L/?symbol=NSE%3A20MICRONS" TargetMode="External"/><Relationship Id="rId36" Type="http://schemas.openxmlformats.org/officeDocument/2006/relationships/hyperlink" Target="https://in.tradingview.com/chart/bXJLby4L/?symbol=NSE%3A20MICRONS" TargetMode="External"/><Relationship Id="rId39" Type="http://schemas.openxmlformats.org/officeDocument/2006/relationships/hyperlink" Target="https://in.tradingview.com/chart/bXJLby4L/?symbol=NSE%3A20MICRONS" TargetMode="External"/><Relationship Id="rId38" Type="http://schemas.openxmlformats.org/officeDocument/2006/relationships/hyperlink" Target="https://in.tradingview.com/chart/bXJLby4L/?symbol=NSE%3A20MICRONS" TargetMode="External"/><Relationship Id="rId2203" Type="http://schemas.openxmlformats.org/officeDocument/2006/relationships/hyperlink" Target="https://in.tradingview.com/chart/bXJLby4L/?symbol=NSE%3A20MICRONS" TargetMode="External"/><Relationship Id="rId2204" Type="http://schemas.openxmlformats.org/officeDocument/2006/relationships/hyperlink" Target="https://in.tradingview.com/chart/bXJLby4L/?symbol=NSE%3A20MICRONS" TargetMode="External"/><Relationship Id="rId20" Type="http://schemas.openxmlformats.org/officeDocument/2006/relationships/hyperlink" Target="https://in.tradingview.com/chart/bXJLby4L/?symbol=NSE%3A20MICRONS" TargetMode="External"/><Relationship Id="rId2205" Type="http://schemas.openxmlformats.org/officeDocument/2006/relationships/hyperlink" Target="https://in.tradingview.com/chart/bXJLby4L/?symbol=NSE%3A20MICRONS" TargetMode="External"/><Relationship Id="rId2206" Type="http://schemas.openxmlformats.org/officeDocument/2006/relationships/hyperlink" Target="https://in.tradingview.com/chart/bXJLby4L/?symbol=NSE%3A20MICRONS" TargetMode="External"/><Relationship Id="rId22" Type="http://schemas.openxmlformats.org/officeDocument/2006/relationships/hyperlink" Target="https://in.tradingview.com/chart/bXJLby4L/?symbol=NSE%3A20MICRONS" TargetMode="External"/><Relationship Id="rId2207" Type="http://schemas.openxmlformats.org/officeDocument/2006/relationships/hyperlink" Target="https://in.tradingview.com/chart/bXJLby4L/?symbol=NSE%3A20MICRONS" TargetMode="External"/><Relationship Id="rId21" Type="http://schemas.openxmlformats.org/officeDocument/2006/relationships/hyperlink" Target="https://in.tradingview.com/chart/bXJLby4L/?symbol=NSE%3A20MICRONS" TargetMode="External"/><Relationship Id="rId2208" Type="http://schemas.openxmlformats.org/officeDocument/2006/relationships/hyperlink" Target="https://in.tradingview.com/chart/bXJLby4L/?symbol=NSE%3A20MICRONS" TargetMode="External"/><Relationship Id="rId24" Type="http://schemas.openxmlformats.org/officeDocument/2006/relationships/hyperlink" Target="https://in.tradingview.com/chart/bXJLby4L/?symbol=NSE%3A20MICRONS" TargetMode="External"/><Relationship Id="rId2209" Type="http://schemas.openxmlformats.org/officeDocument/2006/relationships/hyperlink" Target="https://in.tradingview.com/chart/bXJLby4L/?symbol=NSE%3A20MICRONS" TargetMode="External"/><Relationship Id="rId23" Type="http://schemas.openxmlformats.org/officeDocument/2006/relationships/hyperlink" Target="https://in.tradingview.com/chart/bXJLby4L/?symbol=NSE%3A20MICRONS" TargetMode="External"/><Relationship Id="rId26" Type="http://schemas.openxmlformats.org/officeDocument/2006/relationships/hyperlink" Target="https://in.tradingview.com/chart/bXJLby4L/?symbol=NSE%3A20MICRONS" TargetMode="External"/><Relationship Id="rId25" Type="http://schemas.openxmlformats.org/officeDocument/2006/relationships/hyperlink" Target="https://in.tradingview.com/chart/bXJLby4L/?symbol=NSE%3A20MICRONS" TargetMode="External"/><Relationship Id="rId28" Type="http://schemas.openxmlformats.org/officeDocument/2006/relationships/hyperlink" Target="https://in.tradingview.com/chart/bXJLby4L/?symbol=NSE%3A20MICRONS" TargetMode="External"/><Relationship Id="rId27" Type="http://schemas.openxmlformats.org/officeDocument/2006/relationships/hyperlink" Target="https://in.tradingview.com/chart/bXJLby4L/?symbol=NSE%3A20MICRONS" TargetMode="External"/><Relationship Id="rId29" Type="http://schemas.openxmlformats.org/officeDocument/2006/relationships/hyperlink" Target="https://in.tradingview.com/chart/bXJLby4L/?symbol=NSE%3A20MICRONS" TargetMode="External"/><Relationship Id="rId2200" Type="http://schemas.openxmlformats.org/officeDocument/2006/relationships/hyperlink" Target="https://in.tradingview.com/chart/bXJLby4L/?symbol=NSE%3A20MICRONS" TargetMode="External"/><Relationship Id="rId2201" Type="http://schemas.openxmlformats.org/officeDocument/2006/relationships/hyperlink" Target="https://in.tradingview.com/chart/bXJLby4L/?symbol=NSE%3A20MICRONS" TargetMode="External"/><Relationship Id="rId2202" Type="http://schemas.openxmlformats.org/officeDocument/2006/relationships/hyperlink" Target="https://in.tradingview.com/chart/bXJLby4L/?symbol=NSE%3A20MICRONS" TargetMode="External"/><Relationship Id="rId11" Type="http://schemas.openxmlformats.org/officeDocument/2006/relationships/hyperlink" Target="https://in.tradingview.com/chart/bXJLby4L/?symbol=NSE%3A20MICRONS" TargetMode="External"/><Relationship Id="rId10" Type="http://schemas.openxmlformats.org/officeDocument/2006/relationships/hyperlink" Target="https://in.tradingview.com/chart/bXJLby4L/?symbol=NSE%3A20MICRONS" TargetMode="External"/><Relationship Id="rId13" Type="http://schemas.openxmlformats.org/officeDocument/2006/relationships/hyperlink" Target="https://in.tradingview.com/chart/bXJLby4L/?symbol=NSE%3A20MICRONS" TargetMode="External"/><Relationship Id="rId12" Type="http://schemas.openxmlformats.org/officeDocument/2006/relationships/hyperlink" Target="https://in.tradingview.com/chart/bXJLby4L/?symbol=NSE%3A20MICRONS" TargetMode="External"/><Relationship Id="rId15" Type="http://schemas.openxmlformats.org/officeDocument/2006/relationships/hyperlink" Target="https://in.tradingview.com/chart/bXJLby4L/?symbol=NSE%3A20MICRONS" TargetMode="External"/><Relationship Id="rId14" Type="http://schemas.openxmlformats.org/officeDocument/2006/relationships/hyperlink" Target="https://in.tradingview.com/chart/bXJLby4L/?symbol=NSE%3A20MICRONS" TargetMode="External"/><Relationship Id="rId17" Type="http://schemas.openxmlformats.org/officeDocument/2006/relationships/hyperlink" Target="https://in.tradingview.com/chart/bXJLby4L/?symbol=NSE%3A20MICRONS" TargetMode="External"/><Relationship Id="rId16" Type="http://schemas.openxmlformats.org/officeDocument/2006/relationships/hyperlink" Target="https://in.tradingview.com/chart/bXJLby4L/?symbol=NSE%3A20MICRONS" TargetMode="External"/><Relationship Id="rId19" Type="http://schemas.openxmlformats.org/officeDocument/2006/relationships/hyperlink" Target="https://in.tradingview.com/chart/bXJLby4L/?symbol=NSE%3A20MICRONS" TargetMode="External"/><Relationship Id="rId18" Type="http://schemas.openxmlformats.org/officeDocument/2006/relationships/hyperlink" Target="https://in.tradingview.com/chart/bXJLby4L/?symbol=NSE%3A20MICRONS" TargetMode="External"/><Relationship Id="rId84" Type="http://schemas.openxmlformats.org/officeDocument/2006/relationships/hyperlink" Target="https://in.tradingview.com/chart/bXJLby4L/?symbol=NSE%3A20MICRONS" TargetMode="External"/><Relationship Id="rId1774" Type="http://schemas.openxmlformats.org/officeDocument/2006/relationships/hyperlink" Target="https://in.tradingview.com/chart/bXJLby4L/?symbol=NSE%3A20MICRONS" TargetMode="External"/><Relationship Id="rId83" Type="http://schemas.openxmlformats.org/officeDocument/2006/relationships/hyperlink" Target="https://in.tradingview.com/chart/bXJLby4L/?symbol=NSE%3A20MICRONS" TargetMode="External"/><Relationship Id="rId1775" Type="http://schemas.openxmlformats.org/officeDocument/2006/relationships/hyperlink" Target="https://in.tradingview.com/chart/bXJLby4L/?symbol=NSE%3A20MICRONS" TargetMode="External"/><Relationship Id="rId86" Type="http://schemas.openxmlformats.org/officeDocument/2006/relationships/hyperlink" Target="https://in.tradingview.com/chart/bXJLby4L/?symbol=NSE%3A20MICRONS" TargetMode="External"/><Relationship Id="rId1776" Type="http://schemas.openxmlformats.org/officeDocument/2006/relationships/hyperlink" Target="https://in.tradingview.com/chart/bXJLby4L/?symbol=NSE%3A20MICRONS" TargetMode="External"/><Relationship Id="rId85" Type="http://schemas.openxmlformats.org/officeDocument/2006/relationships/hyperlink" Target="https://in.tradingview.com/chart/bXJLby4L/?symbol=NSE%3A20MICRONS" TargetMode="External"/><Relationship Id="rId1777" Type="http://schemas.openxmlformats.org/officeDocument/2006/relationships/hyperlink" Target="https://in.tradingview.com/chart/bXJLby4L/?symbol=NSE%3A20MICRONS" TargetMode="External"/><Relationship Id="rId88" Type="http://schemas.openxmlformats.org/officeDocument/2006/relationships/hyperlink" Target="https://in.tradingview.com/chart/bXJLby4L/?symbol=NSE%3A20MICRONS" TargetMode="External"/><Relationship Id="rId1778" Type="http://schemas.openxmlformats.org/officeDocument/2006/relationships/hyperlink" Target="https://in.tradingview.com/chart/bXJLby4L/?symbol=NSE%3A20MICRONS" TargetMode="External"/><Relationship Id="rId87" Type="http://schemas.openxmlformats.org/officeDocument/2006/relationships/hyperlink" Target="https://in.tradingview.com/chart/bXJLby4L/?symbol=NSE%3A20MICRONS" TargetMode="External"/><Relationship Id="rId1779" Type="http://schemas.openxmlformats.org/officeDocument/2006/relationships/hyperlink" Target="https://in.tradingview.com/chart/bXJLby4L/?symbol=NSE%3A20MICRONS" TargetMode="External"/><Relationship Id="rId89" Type="http://schemas.openxmlformats.org/officeDocument/2006/relationships/hyperlink" Target="https://in.tradingview.com/chart/bXJLby4L/?symbol=NSE%3A20MICRONS" TargetMode="External"/><Relationship Id="rId80" Type="http://schemas.openxmlformats.org/officeDocument/2006/relationships/hyperlink" Target="https://in.tradingview.com/chart/bXJLby4L/?symbol=NSE%3A20MICRONS" TargetMode="External"/><Relationship Id="rId82" Type="http://schemas.openxmlformats.org/officeDocument/2006/relationships/hyperlink" Target="https://in.tradingview.com/chart/bXJLby4L/?symbol=NSE%3A20MICRONS" TargetMode="External"/><Relationship Id="rId81" Type="http://schemas.openxmlformats.org/officeDocument/2006/relationships/hyperlink" Target="https://in.tradingview.com/chart/bXJLby4L/?symbol=NSE%3A20MICRONS" TargetMode="External"/><Relationship Id="rId1770" Type="http://schemas.openxmlformats.org/officeDocument/2006/relationships/hyperlink" Target="https://in.tradingview.com/chart/bXJLby4L/?symbol=NSE%3A20MICRONS" TargetMode="External"/><Relationship Id="rId1771" Type="http://schemas.openxmlformats.org/officeDocument/2006/relationships/hyperlink" Target="https://in.tradingview.com/chart/bXJLby4L/?symbol=NSE%3A20MICRONS" TargetMode="External"/><Relationship Id="rId1772" Type="http://schemas.openxmlformats.org/officeDocument/2006/relationships/hyperlink" Target="https://in.tradingview.com/chart/bXJLby4L/?symbol=NSE%3A20MICRONS" TargetMode="External"/><Relationship Id="rId1773" Type="http://schemas.openxmlformats.org/officeDocument/2006/relationships/hyperlink" Target="https://in.tradingview.com/chart/bXJLby4L/?symbol=NSE%3A20MICRONS" TargetMode="External"/><Relationship Id="rId73" Type="http://schemas.openxmlformats.org/officeDocument/2006/relationships/hyperlink" Target="https://in.tradingview.com/chart/bXJLby4L/?symbol=NSE%3A20MICRONS" TargetMode="External"/><Relationship Id="rId1763" Type="http://schemas.openxmlformats.org/officeDocument/2006/relationships/hyperlink" Target="https://in.tradingview.com/chart/bXJLby4L/?symbol=NSE%3A20MICRONS" TargetMode="External"/><Relationship Id="rId72" Type="http://schemas.openxmlformats.org/officeDocument/2006/relationships/hyperlink" Target="https://in.tradingview.com/chart/bXJLby4L/?symbol=NSE%3A20MICRONS" TargetMode="External"/><Relationship Id="rId1764" Type="http://schemas.openxmlformats.org/officeDocument/2006/relationships/hyperlink" Target="https://in.tradingview.com/chart/bXJLby4L/?symbol=NSE%3A20MICRONS" TargetMode="External"/><Relationship Id="rId75" Type="http://schemas.openxmlformats.org/officeDocument/2006/relationships/hyperlink" Target="https://in.tradingview.com/chart/bXJLby4L/?symbol=NSE%3A20MICRONS" TargetMode="External"/><Relationship Id="rId1765" Type="http://schemas.openxmlformats.org/officeDocument/2006/relationships/hyperlink" Target="https://in.tradingview.com/chart/bXJLby4L/?symbol=NSE%3A20MICRONS" TargetMode="External"/><Relationship Id="rId74" Type="http://schemas.openxmlformats.org/officeDocument/2006/relationships/hyperlink" Target="https://in.tradingview.com/chart/bXJLby4L/?symbol=NSE%3A20MICRONS" TargetMode="External"/><Relationship Id="rId1766" Type="http://schemas.openxmlformats.org/officeDocument/2006/relationships/hyperlink" Target="https://in.tradingview.com/chart/bXJLby4L/?symbol=NSE%3A20MICRONS" TargetMode="External"/><Relationship Id="rId77" Type="http://schemas.openxmlformats.org/officeDocument/2006/relationships/hyperlink" Target="https://in.tradingview.com/chart/bXJLby4L/?symbol=NSE%3A20MICRONS" TargetMode="External"/><Relationship Id="rId1767" Type="http://schemas.openxmlformats.org/officeDocument/2006/relationships/hyperlink" Target="https://in.tradingview.com/chart/bXJLby4L/?symbol=NSE%3A20MICRONS" TargetMode="External"/><Relationship Id="rId76" Type="http://schemas.openxmlformats.org/officeDocument/2006/relationships/hyperlink" Target="https://in.tradingview.com/chart/bXJLby4L/?symbol=NSE%3A20MICRONS" TargetMode="External"/><Relationship Id="rId1768" Type="http://schemas.openxmlformats.org/officeDocument/2006/relationships/hyperlink" Target="https://in.tradingview.com/chart/bXJLby4L/?symbol=NSE%3A20MICRONS" TargetMode="External"/><Relationship Id="rId79" Type="http://schemas.openxmlformats.org/officeDocument/2006/relationships/hyperlink" Target="https://in.tradingview.com/chart/bXJLby4L/?symbol=NSE%3A20MICRONS" TargetMode="External"/><Relationship Id="rId1769" Type="http://schemas.openxmlformats.org/officeDocument/2006/relationships/hyperlink" Target="https://in.tradingview.com/chart/bXJLby4L/?symbol=NSE%3A20MICRONS" TargetMode="External"/><Relationship Id="rId78" Type="http://schemas.openxmlformats.org/officeDocument/2006/relationships/hyperlink" Target="https://in.tradingview.com/chart/bXJLby4L/?symbol=NSE%3A20MICRONS" TargetMode="External"/><Relationship Id="rId71" Type="http://schemas.openxmlformats.org/officeDocument/2006/relationships/hyperlink" Target="https://in.tradingview.com/chart/bXJLby4L/?symbol=NSE%3A20MICRONS" TargetMode="External"/><Relationship Id="rId70" Type="http://schemas.openxmlformats.org/officeDocument/2006/relationships/hyperlink" Target="https://in.tradingview.com/chart/bXJLby4L/?symbol=NSE%3A20MICRONS" TargetMode="External"/><Relationship Id="rId1760" Type="http://schemas.openxmlformats.org/officeDocument/2006/relationships/hyperlink" Target="https://in.tradingview.com/chart/bXJLby4L/?symbol=NSE%3A20MICRONS" TargetMode="External"/><Relationship Id="rId1761" Type="http://schemas.openxmlformats.org/officeDocument/2006/relationships/hyperlink" Target="https://in.tradingview.com/chart/bXJLby4L/?symbol=NSE%3A20MICRONS" TargetMode="External"/><Relationship Id="rId1762" Type="http://schemas.openxmlformats.org/officeDocument/2006/relationships/hyperlink" Target="https://in.tradingview.com/chart/bXJLby4L/?symbol=NSE%3A20MICRONS" TargetMode="External"/><Relationship Id="rId62" Type="http://schemas.openxmlformats.org/officeDocument/2006/relationships/hyperlink" Target="https://in.tradingview.com/chart/bXJLby4L/?symbol=NSE%3A20MICRONS" TargetMode="External"/><Relationship Id="rId1796" Type="http://schemas.openxmlformats.org/officeDocument/2006/relationships/hyperlink" Target="https://in.tradingview.com/chart/bXJLby4L/?symbol=NSE%3A20MICRONS" TargetMode="External"/><Relationship Id="rId61" Type="http://schemas.openxmlformats.org/officeDocument/2006/relationships/hyperlink" Target="https://in.tradingview.com/chart/bXJLby4L/?symbol=NSE%3A20MICRONS" TargetMode="External"/><Relationship Id="rId1797" Type="http://schemas.openxmlformats.org/officeDocument/2006/relationships/hyperlink" Target="https://in.tradingview.com/chart/bXJLby4L/?symbol=NSE%3A20MICRONS" TargetMode="External"/><Relationship Id="rId64" Type="http://schemas.openxmlformats.org/officeDocument/2006/relationships/hyperlink" Target="https://in.tradingview.com/chart/bXJLby4L/?symbol=NSE%3A20MICRONS" TargetMode="External"/><Relationship Id="rId1798" Type="http://schemas.openxmlformats.org/officeDocument/2006/relationships/hyperlink" Target="https://in.tradingview.com/chart/bXJLby4L/?symbol=NSE%3A20MICRONS" TargetMode="External"/><Relationship Id="rId63" Type="http://schemas.openxmlformats.org/officeDocument/2006/relationships/hyperlink" Target="https://in.tradingview.com/chart/bXJLby4L/?symbol=NSE%3A20MICRONS" TargetMode="External"/><Relationship Id="rId1799" Type="http://schemas.openxmlformats.org/officeDocument/2006/relationships/hyperlink" Target="https://in.tradingview.com/chart/bXJLby4L/?symbol=NSE%3A20MICRONS" TargetMode="External"/><Relationship Id="rId66" Type="http://schemas.openxmlformats.org/officeDocument/2006/relationships/hyperlink" Target="https://in.tradingview.com/chart/bXJLby4L/?symbol=NSE%3A20MICRONS" TargetMode="External"/><Relationship Id="rId65" Type="http://schemas.openxmlformats.org/officeDocument/2006/relationships/hyperlink" Target="https://in.tradingview.com/chart/bXJLby4L/?symbol=NSE%3A20MICRONS" TargetMode="External"/><Relationship Id="rId68" Type="http://schemas.openxmlformats.org/officeDocument/2006/relationships/hyperlink" Target="https://in.tradingview.com/chart/bXJLby4L/?symbol=NSE%3A20MICRONS" TargetMode="External"/><Relationship Id="rId67" Type="http://schemas.openxmlformats.org/officeDocument/2006/relationships/hyperlink" Target="https://in.tradingview.com/chart/bXJLby4L/?symbol=NSE%3A20MICRONS" TargetMode="External"/><Relationship Id="rId60" Type="http://schemas.openxmlformats.org/officeDocument/2006/relationships/hyperlink" Target="https://in.tradingview.com/chart/bXJLby4L/?symbol=NSE%3A20MICRONS" TargetMode="External"/><Relationship Id="rId69" Type="http://schemas.openxmlformats.org/officeDocument/2006/relationships/hyperlink" Target="https://in.tradingview.com/chart/bXJLby4L/?symbol=NSE%3A20MICRONS" TargetMode="External"/><Relationship Id="rId1790" Type="http://schemas.openxmlformats.org/officeDocument/2006/relationships/hyperlink" Target="https://in.tradingview.com/chart/bXJLby4L/?symbol=NSE%3A20MICRONS" TargetMode="External"/><Relationship Id="rId1791" Type="http://schemas.openxmlformats.org/officeDocument/2006/relationships/hyperlink" Target="https://in.tradingview.com/chart/bXJLby4L/?symbol=NSE%3A20MICRONS" TargetMode="External"/><Relationship Id="rId1792" Type="http://schemas.openxmlformats.org/officeDocument/2006/relationships/hyperlink" Target="https://in.tradingview.com/chart/bXJLby4L/?symbol=NSE%3A20MICRONS" TargetMode="External"/><Relationship Id="rId1793" Type="http://schemas.openxmlformats.org/officeDocument/2006/relationships/hyperlink" Target="https://in.tradingview.com/chart/bXJLby4L/?symbol=NSE%3A20MICRONS" TargetMode="External"/><Relationship Id="rId1794" Type="http://schemas.openxmlformats.org/officeDocument/2006/relationships/hyperlink" Target="https://in.tradingview.com/chart/bXJLby4L/?symbol=NSE%3A20MICRONS" TargetMode="External"/><Relationship Id="rId1795" Type="http://schemas.openxmlformats.org/officeDocument/2006/relationships/hyperlink" Target="https://in.tradingview.com/chart/bXJLby4L/?symbol=NSE%3A20MICRONS" TargetMode="External"/><Relationship Id="rId51" Type="http://schemas.openxmlformats.org/officeDocument/2006/relationships/hyperlink" Target="https://in.tradingview.com/chart/bXJLby4L/?symbol=NSE%3A20MICRONS" TargetMode="External"/><Relationship Id="rId1785" Type="http://schemas.openxmlformats.org/officeDocument/2006/relationships/hyperlink" Target="https://in.tradingview.com/chart/bXJLby4L/?symbol=NSE%3A20MICRONS" TargetMode="External"/><Relationship Id="rId50" Type="http://schemas.openxmlformats.org/officeDocument/2006/relationships/hyperlink" Target="https://in.tradingview.com/chart/bXJLby4L/?symbol=NSE%3A20MICRONS" TargetMode="External"/><Relationship Id="rId1786" Type="http://schemas.openxmlformats.org/officeDocument/2006/relationships/hyperlink" Target="https://in.tradingview.com/chart/bXJLby4L/?symbol=NSE%3A20MICRONS" TargetMode="External"/><Relationship Id="rId53" Type="http://schemas.openxmlformats.org/officeDocument/2006/relationships/hyperlink" Target="https://in.tradingview.com/chart/bXJLby4L/?symbol=NSE%3A20MICRONS" TargetMode="External"/><Relationship Id="rId1787" Type="http://schemas.openxmlformats.org/officeDocument/2006/relationships/hyperlink" Target="https://in.tradingview.com/chart/bXJLby4L/?symbol=NSE%3A20MICRONS" TargetMode="External"/><Relationship Id="rId52" Type="http://schemas.openxmlformats.org/officeDocument/2006/relationships/hyperlink" Target="https://in.tradingview.com/chart/bXJLby4L/?symbol=NSE%3A20MICRONS" TargetMode="External"/><Relationship Id="rId1788" Type="http://schemas.openxmlformats.org/officeDocument/2006/relationships/hyperlink" Target="https://in.tradingview.com/chart/bXJLby4L/?symbol=NSE%3A20MICRONS" TargetMode="External"/><Relationship Id="rId55" Type="http://schemas.openxmlformats.org/officeDocument/2006/relationships/hyperlink" Target="https://in.tradingview.com/chart/bXJLby4L/?symbol=NSE%3A20MICRONS" TargetMode="External"/><Relationship Id="rId1789" Type="http://schemas.openxmlformats.org/officeDocument/2006/relationships/hyperlink" Target="https://in.tradingview.com/chart/bXJLby4L/?symbol=NSE%3A20MICRONS" TargetMode="External"/><Relationship Id="rId54" Type="http://schemas.openxmlformats.org/officeDocument/2006/relationships/hyperlink" Target="https://in.tradingview.com/chart/bXJLby4L/?symbol=NSE%3A20MICRONS" TargetMode="External"/><Relationship Id="rId57" Type="http://schemas.openxmlformats.org/officeDocument/2006/relationships/hyperlink" Target="https://in.tradingview.com/chart/bXJLby4L/?symbol=NSE%3A20MICRONS" TargetMode="External"/><Relationship Id="rId56" Type="http://schemas.openxmlformats.org/officeDocument/2006/relationships/hyperlink" Target="https://in.tradingview.com/chart/bXJLby4L/?symbol=NSE%3A20MICRONS" TargetMode="External"/><Relationship Id="rId59" Type="http://schemas.openxmlformats.org/officeDocument/2006/relationships/hyperlink" Target="https://in.tradingview.com/chart/bXJLby4L/?symbol=NSE%3A20MICRONS" TargetMode="External"/><Relationship Id="rId58" Type="http://schemas.openxmlformats.org/officeDocument/2006/relationships/hyperlink" Target="https://in.tradingview.com/chart/bXJLby4L/?symbol=NSE%3A20MICRONS" TargetMode="External"/><Relationship Id="rId1780" Type="http://schemas.openxmlformats.org/officeDocument/2006/relationships/hyperlink" Target="https://in.tradingview.com/chart/bXJLby4L/?symbol=NSE%3A20MICRONS" TargetMode="External"/><Relationship Id="rId1781" Type="http://schemas.openxmlformats.org/officeDocument/2006/relationships/hyperlink" Target="https://in.tradingview.com/chart/bXJLby4L/?symbol=NSE%3A20MICRONS" TargetMode="External"/><Relationship Id="rId1782" Type="http://schemas.openxmlformats.org/officeDocument/2006/relationships/hyperlink" Target="https://in.tradingview.com/chart/bXJLby4L/?symbol=NSE%3A20MICRONS" TargetMode="External"/><Relationship Id="rId1783" Type="http://schemas.openxmlformats.org/officeDocument/2006/relationships/hyperlink" Target="https://in.tradingview.com/chart/bXJLby4L/?symbol=NSE%3A20MICRONS" TargetMode="External"/><Relationship Id="rId1784" Type="http://schemas.openxmlformats.org/officeDocument/2006/relationships/hyperlink" Target="https://in.tradingview.com/chart/bXJLby4L/?symbol=NSE%3A20MICRONS" TargetMode="External"/><Relationship Id="rId2269" Type="http://schemas.openxmlformats.org/officeDocument/2006/relationships/hyperlink" Target="https://in.tradingview.com/chart/bXJLby4L/?symbol=NSE%3A20MICRONS" TargetMode="External"/><Relationship Id="rId349" Type="http://schemas.openxmlformats.org/officeDocument/2006/relationships/hyperlink" Target="https://in.tradingview.com/chart/bXJLby4L/?symbol=NSE%3A20MICRONS" TargetMode="External"/><Relationship Id="rId348" Type="http://schemas.openxmlformats.org/officeDocument/2006/relationships/hyperlink" Target="https://in.tradingview.com/chart/bXJLby4L/?symbol=NSE%3A20MICRONS" TargetMode="External"/><Relationship Id="rId347" Type="http://schemas.openxmlformats.org/officeDocument/2006/relationships/hyperlink" Target="https://in.tradingview.com/chart/bXJLby4L/?symbol=NSE%3A20MICRONS" TargetMode="External"/><Relationship Id="rId346" Type="http://schemas.openxmlformats.org/officeDocument/2006/relationships/hyperlink" Target="https://in.tradingview.com/chart/bXJLby4L/?symbol=NSE%3A20MICRONS" TargetMode="External"/><Relationship Id="rId2260" Type="http://schemas.openxmlformats.org/officeDocument/2006/relationships/hyperlink" Target="https://in.tradingview.com/chart/bXJLby4L/?symbol=NSE%3A20MICRONS" TargetMode="External"/><Relationship Id="rId341" Type="http://schemas.openxmlformats.org/officeDocument/2006/relationships/hyperlink" Target="https://in.tradingview.com/chart/bXJLby4L/?symbol=NSE%3A20MICRONS" TargetMode="External"/><Relationship Id="rId2261" Type="http://schemas.openxmlformats.org/officeDocument/2006/relationships/hyperlink" Target="https://in.tradingview.com/chart/bXJLby4L/?symbol=NSE%3A20MICRONS" TargetMode="External"/><Relationship Id="rId340" Type="http://schemas.openxmlformats.org/officeDocument/2006/relationships/hyperlink" Target="https://in.tradingview.com/chart/bXJLby4L/?symbol=NSE%3A20MICRONS" TargetMode="External"/><Relationship Id="rId2262" Type="http://schemas.openxmlformats.org/officeDocument/2006/relationships/hyperlink" Target="https://in.tradingview.com/chart/bXJLby4L/?symbol=NSE%3A20MICRONS" TargetMode="External"/><Relationship Id="rId2263" Type="http://schemas.openxmlformats.org/officeDocument/2006/relationships/hyperlink" Target="https://in.tradingview.com/chart/bXJLby4L/?symbol=NSE%3A20MICRONS" TargetMode="External"/><Relationship Id="rId2264" Type="http://schemas.openxmlformats.org/officeDocument/2006/relationships/hyperlink" Target="https://in.tradingview.com/chart/bXJLby4L/?symbol=NSE%3A20MICRONS" TargetMode="External"/><Relationship Id="rId345" Type="http://schemas.openxmlformats.org/officeDocument/2006/relationships/hyperlink" Target="https://in.tradingview.com/chart/bXJLby4L/?symbol=NSE%3A20MICRONS" TargetMode="External"/><Relationship Id="rId2265" Type="http://schemas.openxmlformats.org/officeDocument/2006/relationships/hyperlink" Target="https://in.tradingview.com/chart/bXJLby4L/?symbol=NSE%3A20MICRONS" TargetMode="External"/><Relationship Id="rId344" Type="http://schemas.openxmlformats.org/officeDocument/2006/relationships/hyperlink" Target="https://in.tradingview.com/chart/bXJLby4L/?symbol=NSE%3A20MICRONS" TargetMode="External"/><Relationship Id="rId2266" Type="http://schemas.openxmlformats.org/officeDocument/2006/relationships/hyperlink" Target="https://in.tradingview.com/chart/bXJLby4L/?symbol=NSE%3A20MICRONS" TargetMode="External"/><Relationship Id="rId343" Type="http://schemas.openxmlformats.org/officeDocument/2006/relationships/hyperlink" Target="https://in.tradingview.com/chart/bXJLby4L/?symbol=NSE%3A20MICRONS" TargetMode="External"/><Relationship Id="rId2267" Type="http://schemas.openxmlformats.org/officeDocument/2006/relationships/hyperlink" Target="https://in.tradingview.com/chart/bXJLby4L/?symbol=NSE%3A20MICRONS" TargetMode="External"/><Relationship Id="rId342" Type="http://schemas.openxmlformats.org/officeDocument/2006/relationships/hyperlink" Target="https://in.tradingview.com/chart/bXJLby4L/?symbol=NSE%3A20MICRONS" TargetMode="External"/><Relationship Id="rId2268" Type="http://schemas.openxmlformats.org/officeDocument/2006/relationships/hyperlink" Target="https://in.tradingview.com/chart/bXJLby4L/?symbol=NSE%3A20MICRONS" TargetMode="External"/><Relationship Id="rId2258" Type="http://schemas.openxmlformats.org/officeDocument/2006/relationships/hyperlink" Target="https://in.tradingview.com/chart/bXJLby4L/?symbol=NSE%3A20MICRONS" TargetMode="External"/><Relationship Id="rId2259" Type="http://schemas.openxmlformats.org/officeDocument/2006/relationships/hyperlink" Target="https://in.tradingview.com/chart/bXJLby4L/?symbol=NSE%3A20MICRONS" TargetMode="External"/><Relationship Id="rId338" Type="http://schemas.openxmlformats.org/officeDocument/2006/relationships/hyperlink" Target="https://in.tradingview.com/chart/bXJLby4L/?symbol=NSE%3A20MICRONS" TargetMode="External"/><Relationship Id="rId337" Type="http://schemas.openxmlformats.org/officeDocument/2006/relationships/hyperlink" Target="https://in.tradingview.com/chart/bXJLby4L/?symbol=NSE%3A20MICRONS" TargetMode="External"/><Relationship Id="rId336" Type="http://schemas.openxmlformats.org/officeDocument/2006/relationships/hyperlink" Target="https://in.tradingview.com/chart/bXJLby4L/?symbol=NSE%3A20MICRONS" TargetMode="External"/><Relationship Id="rId335" Type="http://schemas.openxmlformats.org/officeDocument/2006/relationships/hyperlink" Target="https://in.tradingview.com/chart/bXJLby4L/?symbol=NSE%3A20MICRONS" TargetMode="External"/><Relationship Id="rId339" Type="http://schemas.openxmlformats.org/officeDocument/2006/relationships/hyperlink" Target="https://in.tradingview.com/chart/bXJLby4L/?symbol=NSE%3A20MICRONS" TargetMode="External"/><Relationship Id="rId330" Type="http://schemas.openxmlformats.org/officeDocument/2006/relationships/hyperlink" Target="https://in.tradingview.com/chart/bXJLby4L/?symbol=NSE%3A20MICRONS" TargetMode="External"/><Relationship Id="rId2250" Type="http://schemas.openxmlformats.org/officeDocument/2006/relationships/hyperlink" Target="https://in.tradingview.com/chart/bXJLby4L/?symbol=NSE%3A20MICRONS" TargetMode="External"/><Relationship Id="rId2251" Type="http://schemas.openxmlformats.org/officeDocument/2006/relationships/hyperlink" Target="https://in.tradingview.com/chart/bXJLby4L/?symbol=NSE%3A20MICRONS" TargetMode="External"/><Relationship Id="rId2252" Type="http://schemas.openxmlformats.org/officeDocument/2006/relationships/hyperlink" Target="https://in.tradingview.com/chart/bXJLby4L/?symbol=NSE%3A20MICRONS" TargetMode="External"/><Relationship Id="rId2253" Type="http://schemas.openxmlformats.org/officeDocument/2006/relationships/hyperlink" Target="https://in.tradingview.com/chart/bXJLby4L/?symbol=NSE%3A20MICRONS" TargetMode="External"/><Relationship Id="rId334" Type="http://schemas.openxmlformats.org/officeDocument/2006/relationships/hyperlink" Target="https://in.tradingview.com/chart/bXJLby4L/?symbol=NSE%3A20MICRONS" TargetMode="External"/><Relationship Id="rId2254" Type="http://schemas.openxmlformats.org/officeDocument/2006/relationships/hyperlink" Target="https://in.tradingview.com/chart/bXJLby4L/?symbol=NSE%3A20MICRONS" TargetMode="External"/><Relationship Id="rId333" Type="http://schemas.openxmlformats.org/officeDocument/2006/relationships/hyperlink" Target="https://in.tradingview.com/chart/bXJLby4L/?symbol=NSE%3A20MICRONS" TargetMode="External"/><Relationship Id="rId2255" Type="http://schemas.openxmlformats.org/officeDocument/2006/relationships/hyperlink" Target="https://in.tradingview.com/chart/bXJLby4L/?symbol=NSE%3A20MICRONS" TargetMode="External"/><Relationship Id="rId332" Type="http://schemas.openxmlformats.org/officeDocument/2006/relationships/hyperlink" Target="https://in.tradingview.com/chart/bXJLby4L/?symbol=NSE%3A20MICRONS" TargetMode="External"/><Relationship Id="rId2256" Type="http://schemas.openxmlformats.org/officeDocument/2006/relationships/hyperlink" Target="https://in.tradingview.com/chart/bXJLby4L/?symbol=NSE%3A20MICRONS" TargetMode="External"/><Relationship Id="rId331" Type="http://schemas.openxmlformats.org/officeDocument/2006/relationships/hyperlink" Target="https://in.tradingview.com/chart/bXJLby4L/?symbol=NSE%3A20MICRONS" TargetMode="External"/><Relationship Id="rId2257" Type="http://schemas.openxmlformats.org/officeDocument/2006/relationships/hyperlink" Target="https://in.tradingview.com/chart/bXJLby4L/?symbol=NSE%3A20MICRONS" TargetMode="External"/><Relationship Id="rId370" Type="http://schemas.openxmlformats.org/officeDocument/2006/relationships/hyperlink" Target="https://in.tradingview.com/chart/bXJLby4L/?symbol=NSE%3A20MICRONS" TargetMode="External"/><Relationship Id="rId369" Type="http://schemas.openxmlformats.org/officeDocument/2006/relationships/hyperlink" Target="https://in.tradingview.com/chart/bXJLby4L/?symbol=NSE%3A20MICRONS" TargetMode="External"/><Relationship Id="rId368" Type="http://schemas.openxmlformats.org/officeDocument/2006/relationships/hyperlink" Target="https://in.tradingview.com/chart/bXJLby4L/?symbol=NSE%3A20MICRONS" TargetMode="External"/><Relationship Id="rId2280" Type="http://schemas.openxmlformats.org/officeDocument/2006/relationships/hyperlink" Target="https://in.tradingview.com/chart/bXJLby4L/?symbol=NSE%3A20MICRONS" TargetMode="External"/><Relationship Id="rId2281" Type="http://schemas.openxmlformats.org/officeDocument/2006/relationships/hyperlink" Target="https://in.tradingview.com/chart/bXJLby4L/?symbol=NSE%3A20MICRONS" TargetMode="External"/><Relationship Id="rId2282" Type="http://schemas.openxmlformats.org/officeDocument/2006/relationships/hyperlink" Target="https://in.tradingview.com/chart/bXJLby4L/?symbol=NSE%3A20MICRONS" TargetMode="External"/><Relationship Id="rId363" Type="http://schemas.openxmlformats.org/officeDocument/2006/relationships/hyperlink" Target="https://in.tradingview.com/chart/bXJLby4L/?symbol=NSE%3A20MICRONS" TargetMode="External"/><Relationship Id="rId2283" Type="http://schemas.openxmlformats.org/officeDocument/2006/relationships/hyperlink" Target="https://in.tradingview.com/chart/bXJLby4L/?symbol=NSE%3A20MICRONS" TargetMode="External"/><Relationship Id="rId362" Type="http://schemas.openxmlformats.org/officeDocument/2006/relationships/hyperlink" Target="https://in.tradingview.com/chart/bXJLby4L/?symbol=NSE%3A20MICRONS" TargetMode="External"/><Relationship Id="rId2284" Type="http://schemas.openxmlformats.org/officeDocument/2006/relationships/hyperlink" Target="https://in.tradingview.com/chart/bXJLby4L/?symbol=NSE%3A20MICRONS" TargetMode="External"/><Relationship Id="rId361" Type="http://schemas.openxmlformats.org/officeDocument/2006/relationships/hyperlink" Target="https://in.tradingview.com/chart/bXJLby4L/?symbol=NSE%3A20MICRONS" TargetMode="External"/><Relationship Id="rId2285" Type="http://schemas.openxmlformats.org/officeDocument/2006/relationships/hyperlink" Target="https://in.tradingview.com/chart/bXJLby4L/?symbol=NSE%3A20MICRONS" TargetMode="External"/><Relationship Id="rId360" Type="http://schemas.openxmlformats.org/officeDocument/2006/relationships/hyperlink" Target="https://in.tradingview.com/chart/bXJLby4L/?symbol=NSE%3A20MICRONS" TargetMode="External"/><Relationship Id="rId2286" Type="http://schemas.openxmlformats.org/officeDocument/2006/relationships/hyperlink" Target="https://in.tradingview.com/chart/bXJLby4L/?symbol=NSE%3A20MICRONS" TargetMode="External"/><Relationship Id="rId367" Type="http://schemas.openxmlformats.org/officeDocument/2006/relationships/hyperlink" Target="https://in.tradingview.com/chart/bXJLby4L/?symbol=NSE%3A20MICRONS" TargetMode="External"/><Relationship Id="rId2287" Type="http://schemas.openxmlformats.org/officeDocument/2006/relationships/hyperlink" Target="https://in.tradingview.com/chart/bXJLby4L/?symbol=NSE%3A20MICRONS" TargetMode="External"/><Relationship Id="rId366" Type="http://schemas.openxmlformats.org/officeDocument/2006/relationships/hyperlink" Target="https://in.tradingview.com/chart/bXJLby4L/?symbol=NSE%3A20MICRONS" TargetMode="External"/><Relationship Id="rId2288" Type="http://schemas.openxmlformats.org/officeDocument/2006/relationships/hyperlink" Target="https://in.tradingview.com/chart/bXJLby4L/?symbol=NSE%3A20MICRONS" TargetMode="External"/><Relationship Id="rId365" Type="http://schemas.openxmlformats.org/officeDocument/2006/relationships/hyperlink" Target="https://in.tradingview.com/chart/bXJLby4L/?symbol=NSE%3A20MICRONS" TargetMode="External"/><Relationship Id="rId2289" Type="http://schemas.openxmlformats.org/officeDocument/2006/relationships/hyperlink" Target="https://in.tradingview.com/chart/bXJLby4L/?symbol=NSE%3A20MICRONS" TargetMode="External"/><Relationship Id="rId364" Type="http://schemas.openxmlformats.org/officeDocument/2006/relationships/hyperlink" Target="https://in.tradingview.com/chart/bXJLby4L/?symbol=NSE%3A20MICRONS" TargetMode="External"/><Relationship Id="rId95" Type="http://schemas.openxmlformats.org/officeDocument/2006/relationships/hyperlink" Target="https://in.tradingview.com/chart/bXJLby4L/?symbol=NSE%3A20MICRONS" TargetMode="External"/><Relationship Id="rId94" Type="http://schemas.openxmlformats.org/officeDocument/2006/relationships/hyperlink" Target="https://in.tradingview.com/chart/bXJLby4L/?symbol=NSE%3A20MICRONS" TargetMode="External"/><Relationship Id="rId97" Type="http://schemas.openxmlformats.org/officeDocument/2006/relationships/hyperlink" Target="https://in.tradingview.com/chart/bXJLby4L/?symbol=NSE%3A20MICRONS" TargetMode="External"/><Relationship Id="rId96" Type="http://schemas.openxmlformats.org/officeDocument/2006/relationships/hyperlink" Target="https://in.tradingview.com/chart/bXJLby4L/?symbol=NSE%3A20MICRONS" TargetMode="External"/><Relationship Id="rId99" Type="http://schemas.openxmlformats.org/officeDocument/2006/relationships/hyperlink" Target="https://in.tradingview.com/chart/bXJLby4L/?symbol=NSE%3A20MICRONS" TargetMode="External"/><Relationship Id="rId98" Type="http://schemas.openxmlformats.org/officeDocument/2006/relationships/hyperlink" Target="https://in.tradingview.com/chart/bXJLby4L/?symbol=NSE%3A20MICRONS" TargetMode="External"/><Relationship Id="rId91" Type="http://schemas.openxmlformats.org/officeDocument/2006/relationships/hyperlink" Target="https://in.tradingview.com/chart/bXJLby4L/?symbol=NSE%3A20MICRONS" TargetMode="External"/><Relationship Id="rId90" Type="http://schemas.openxmlformats.org/officeDocument/2006/relationships/hyperlink" Target="https://in.tradingview.com/chart/bXJLby4L/?symbol=NSE%3A20MICRONS" TargetMode="External"/><Relationship Id="rId93" Type="http://schemas.openxmlformats.org/officeDocument/2006/relationships/hyperlink" Target="https://in.tradingview.com/chart/bXJLby4L/?symbol=NSE%3A20MICRONS" TargetMode="External"/><Relationship Id="rId92" Type="http://schemas.openxmlformats.org/officeDocument/2006/relationships/hyperlink" Target="https://in.tradingview.com/chart/bXJLby4L/?symbol=NSE%3A20MICRONS" TargetMode="External"/><Relationship Id="rId359" Type="http://schemas.openxmlformats.org/officeDocument/2006/relationships/hyperlink" Target="https://in.tradingview.com/chart/bXJLby4L/?symbol=NSE%3A20MICRONS" TargetMode="External"/><Relationship Id="rId358" Type="http://schemas.openxmlformats.org/officeDocument/2006/relationships/hyperlink" Target="https://in.tradingview.com/chart/bXJLby4L/?symbol=NSE%3A20MICRONS" TargetMode="External"/><Relationship Id="rId357" Type="http://schemas.openxmlformats.org/officeDocument/2006/relationships/hyperlink" Target="https://in.tradingview.com/chart/bXJLby4L/?symbol=NSE%3A20MICRONS" TargetMode="External"/><Relationship Id="rId2270" Type="http://schemas.openxmlformats.org/officeDocument/2006/relationships/hyperlink" Target="https://in.tradingview.com/chart/bXJLby4L/?symbol=NSE%3A20MICRONS" TargetMode="External"/><Relationship Id="rId2271" Type="http://schemas.openxmlformats.org/officeDocument/2006/relationships/hyperlink" Target="https://in.tradingview.com/chart/bXJLby4L/?symbol=NSE%3A20MICRONS" TargetMode="External"/><Relationship Id="rId352" Type="http://schemas.openxmlformats.org/officeDocument/2006/relationships/hyperlink" Target="https://in.tradingview.com/chart/bXJLby4L/?symbol=NSE%3A20MICRONS" TargetMode="External"/><Relationship Id="rId2272" Type="http://schemas.openxmlformats.org/officeDocument/2006/relationships/hyperlink" Target="https://in.tradingview.com/chart/bXJLby4L/?symbol=NSE%3A20MICRONS" TargetMode="External"/><Relationship Id="rId351" Type="http://schemas.openxmlformats.org/officeDocument/2006/relationships/hyperlink" Target="https://in.tradingview.com/chart/bXJLby4L/?symbol=NSE%3A20MICRONS" TargetMode="External"/><Relationship Id="rId2273" Type="http://schemas.openxmlformats.org/officeDocument/2006/relationships/hyperlink" Target="https://in.tradingview.com/chart/bXJLby4L/?symbol=NSE%3A20MICRONS" TargetMode="External"/><Relationship Id="rId350" Type="http://schemas.openxmlformats.org/officeDocument/2006/relationships/hyperlink" Target="https://in.tradingview.com/chart/bXJLby4L/?symbol=NSE%3A20MICRONS" TargetMode="External"/><Relationship Id="rId2274" Type="http://schemas.openxmlformats.org/officeDocument/2006/relationships/hyperlink" Target="https://in.tradingview.com/chart/bXJLby4L/?symbol=NSE%3A20MICRONS" TargetMode="External"/><Relationship Id="rId2275" Type="http://schemas.openxmlformats.org/officeDocument/2006/relationships/hyperlink" Target="https://in.tradingview.com/chart/bXJLby4L/?symbol=NSE%3A20MICRONS" TargetMode="External"/><Relationship Id="rId356" Type="http://schemas.openxmlformats.org/officeDocument/2006/relationships/hyperlink" Target="https://in.tradingview.com/chart/bXJLby4L/?symbol=NSE%3A20MICRONS" TargetMode="External"/><Relationship Id="rId2276" Type="http://schemas.openxmlformats.org/officeDocument/2006/relationships/hyperlink" Target="https://in.tradingview.com/chart/bXJLby4L/?symbol=NSE%3A20MICRONS" TargetMode="External"/><Relationship Id="rId355" Type="http://schemas.openxmlformats.org/officeDocument/2006/relationships/hyperlink" Target="https://in.tradingview.com/chart/bXJLby4L/?symbol=NSE%3A20MICRONS" TargetMode="External"/><Relationship Id="rId2277" Type="http://schemas.openxmlformats.org/officeDocument/2006/relationships/hyperlink" Target="https://in.tradingview.com/chart/bXJLby4L/?symbol=NSE%3A20MICRONS" TargetMode="External"/><Relationship Id="rId354" Type="http://schemas.openxmlformats.org/officeDocument/2006/relationships/hyperlink" Target="https://in.tradingview.com/chart/bXJLby4L/?symbol=NSE%3A20MICRONS" TargetMode="External"/><Relationship Id="rId2278" Type="http://schemas.openxmlformats.org/officeDocument/2006/relationships/hyperlink" Target="https://in.tradingview.com/chart/bXJLby4L/?symbol=NSE%3A20MICRONS" TargetMode="External"/><Relationship Id="rId353" Type="http://schemas.openxmlformats.org/officeDocument/2006/relationships/hyperlink" Target="https://in.tradingview.com/chart/bXJLby4L/?symbol=NSE%3A20MICRONS" TargetMode="External"/><Relationship Id="rId2279" Type="http://schemas.openxmlformats.org/officeDocument/2006/relationships/hyperlink" Target="https://in.tradingview.com/chart/bXJLby4L/?symbol=NSE%3A20MICRONS" TargetMode="External"/><Relationship Id="rId2225" Type="http://schemas.openxmlformats.org/officeDocument/2006/relationships/hyperlink" Target="https://in.tradingview.com/chart/bXJLby4L/?symbol=NSE%3A20MICRONS" TargetMode="External"/><Relationship Id="rId2226" Type="http://schemas.openxmlformats.org/officeDocument/2006/relationships/hyperlink" Target="https://in.tradingview.com/chart/bXJLby4L/?symbol=NSE%3A20MICRONS" TargetMode="External"/><Relationship Id="rId2227" Type="http://schemas.openxmlformats.org/officeDocument/2006/relationships/hyperlink" Target="https://in.tradingview.com/chart/bXJLby4L/?symbol=NSE%3A20MICRONS" TargetMode="External"/><Relationship Id="rId2228" Type="http://schemas.openxmlformats.org/officeDocument/2006/relationships/hyperlink" Target="https://in.tradingview.com/chart/bXJLby4L/?symbol=NSE%3A20MICRONS" TargetMode="External"/><Relationship Id="rId2229" Type="http://schemas.openxmlformats.org/officeDocument/2006/relationships/hyperlink" Target="https://in.tradingview.com/chart/bXJLby4L/?symbol=NSE%3A20MICRONS" TargetMode="External"/><Relationship Id="rId305" Type="http://schemas.openxmlformats.org/officeDocument/2006/relationships/hyperlink" Target="https://in.tradingview.com/chart/bXJLby4L/?symbol=NSE%3A20MICRONS" TargetMode="External"/><Relationship Id="rId304" Type="http://schemas.openxmlformats.org/officeDocument/2006/relationships/hyperlink" Target="https://in.tradingview.com/chart/bXJLby4L/?symbol=NSE%3A20MICRONS" TargetMode="External"/><Relationship Id="rId303" Type="http://schemas.openxmlformats.org/officeDocument/2006/relationships/hyperlink" Target="https://in.tradingview.com/chart/bXJLby4L/?symbol=NSE%3A20MICRONS" TargetMode="External"/><Relationship Id="rId302" Type="http://schemas.openxmlformats.org/officeDocument/2006/relationships/hyperlink" Target="https://in.tradingview.com/chart/bXJLby4L/?symbol=NSE%3A20MICRONS" TargetMode="External"/><Relationship Id="rId309" Type="http://schemas.openxmlformats.org/officeDocument/2006/relationships/hyperlink" Target="https://in.tradingview.com/chart/bXJLby4L/?symbol=NSE%3A20MICRONS" TargetMode="External"/><Relationship Id="rId308" Type="http://schemas.openxmlformats.org/officeDocument/2006/relationships/hyperlink" Target="https://in.tradingview.com/chart/bXJLby4L/?symbol=NSE%3A20MICRONS" TargetMode="External"/><Relationship Id="rId307" Type="http://schemas.openxmlformats.org/officeDocument/2006/relationships/hyperlink" Target="https://in.tradingview.com/chart/bXJLby4L/?symbol=NSE%3A20MICRONS" TargetMode="External"/><Relationship Id="rId306" Type="http://schemas.openxmlformats.org/officeDocument/2006/relationships/hyperlink" Target="https://in.tradingview.com/chart/bXJLby4L/?symbol=NSE%3A20MICRONS" TargetMode="External"/><Relationship Id="rId2220" Type="http://schemas.openxmlformats.org/officeDocument/2006/relationships/hyperlink" Target="https://in.tradingview.com/chart/bXJLby4L/?symbol=NSE%3A20MICRONS" TargetMode="External"/><Relationship Id="rId301" Type="http://schemas.openxmlformats.org/officeDocument/2006/relationships/hyperlink" Target="https://in.tradingview.com/chart/bXJLby4L/?symbol=NSE%3A20MICRONS" TargetMode="External"/><Relationship Id="rId2221" Type="http://schemas.openxmlformats.org/officeDocument/2006/relationships/hyperlink" Target="https://in.tradingview.com/chart/bXJLby4L/?symbol=NSE%3A20MICRONS" TargetMode="External"/><Relationship Id="rId300" Type="http://schemas.openxmlformats.org/officeDocument/2006/relationships/hyperlink" Target="https://in.tradingview.com/chart/bXJLby4L/?symbol=NSE%3A20MICRONS" TargetMode="External"/><Relationship Id="rId2222" Type="http://schemas.openxmlformats.org/officeDocument/2006/relationships/hyperlink" Target="https://in.tradingview.com/chart/bXJLby4L/?symbol=NSE%3A20MICRONS" TargetMode="External"/><Relationship Id="rId2223" Type="http://schemas.openxmlformats.org/officeDocument/2006/relationships/hyperlink" Target="https://in.tradingview.com/chart/bXJLby4L/?symbol=NSE%3A20MICRONS" TargetMode="External"/><Relationship Id="rId2224" Type="http://schemas.openxmlformats.org/officeDocument/2006/relationships/hyperlink" Target="https://in.tradingview.com/chart/bXJLby4L/?symbol=NSE%3A20MICRONS" TargetMode="External"/><Relationship Id="rId2214" Type="http://schemas.openxmlformats.org/officeDocument/2006/relationships/hyperlink" Target="https://in.tradingview.com/chart/bXJLby4L/?symbol=NSE%3A20MICRONS" TargetMode="External"/><Relationship Id="rId2215" Type="http://schemas.openxmlformats.org/officeDocument/2006/relationships/hyperlink" Target="https://in.tradingview.com/chart/bXJLby4L/?symbol=NSE%3A20MICRONS" TargetMode="External"/><Relationship Id="rId2216" Type="http://schemas.openxmlformats.org/officeDocument/2006/relationships/hyperlink" Target="https://in.tradingview.com/chart/bXJLby4L/?symbol=NSE%3A20MICRONS" TargetMode="External"/><Relationship Id="rId2217" Type="http://schemas.openxmlformats.org/officeDocument/2006/relationships/hyperlink" Target="https://in.tradingview.com/chart/bXJLby4L/?symbol=NSE%3A20MICRONS" TargetMode="External"/><Relationship Id="rId2218" Type="http://schemas.openxmlformats.org/officeDocument/2006/relationships/hyperlink" Target="https://in.tradingview.com/chart/bXJLby4L/?symbol=NSE%3A20MICRONS" TargetMode="External"/><Relationship Id="rId2219" Type="http://schemas.openxmlformats.org/officeDocument/2006/relationships/hyperlink" Target="https://in.tradingview.com/chart/bXJLby4L/?symbol=NSE%3A20MICRONS" TargetMode="External"/><Relationship Id="rId2210" Type="http://schemas.openxmlformats.org/officeDocument/2006/relationships/hyperlink" Target="https://in.tradingview.com/chart/bXJLby4L/?symbol=NSE%3A20MICRONS" TargetMode="External"/><Relationship Id="rId2211" Type="http://schemas.openxmlformats.org/officeDocument/2006/relationships/hyperlink" Target="https://in.tradingview.com/chart/bXJLby4L/?symbol=NSE%3A20MICRONS" TargetMode="External"/><Relationship Id="rId2212" Type="http://schemas.openxmlformats.org/officeDocument/2006/relationships/hyperlink" Target="https://in.tradingview.com/chart/bXJLby4L/?symbol=NSE%3A20MICRONS" TargetMode="External"/><Relationship Id="rId2213" Type="http://schemas.openxmlformats.org/officeDocument/2006/relationships/hyperlink" Target="https://in.tradingview.com/chart/bXJLby4L/?symbol=NSE%3A20MICRONS" TargetMode="External"/><Relationship Id="rId2247" Type="http://schemas.openxmlformats.org/officeDocument/2006/relationships/hyperlink" Target="https://in.tradingview.com/chart/bXJLby4L/?symbol=NSE%3A20MICRONS" TargetMode="External"/><Relationship Id="rId2248" Type="http://schemas.openxmlformats.org/officeDocument/2006/relationships/hyperlink" Target="https://in.tradingview.com/chart/bXJLby4L/?symbol=NSE%3A20MICRONS" TargetMode="External"/><Relationship Id="rId2249" Type="http://schemas.openxmlformats.org/officeDocument/2006/relationships/hyperlink" Target="https://in.tradingview.com/chart/bXJLby4L/?symbol=NSE%3A20MICRONS" TargetMode="External"/><Relationship Id="rId327" Type="http://schemas.openxmlformats.org/officeDocument/2006/relationships/hyperlink" Target="https://in.tradingview.com/chart/bXJLby4L/?symbol=NSE%3A20MICRONS" TargetMode="External"/><Relationship Id="rId326" Type="http://schemas.openxmlformats.org/officeDocument/2006/relationships/hyperlink" Target="https://in.tradingview.com/chart/bXJLby4L/?symbol=NSE%3A20MICRONS" TargetMode="External"/><Relationship Id="rId325" Type="http://schemas.openxmlformats.org/officeDocument/2006/relationships/hyperlink" Target="https://in.tradingview.com/chart/bXJLby4L/?symbol=NSE%3A20MICRONS" TargetMode="External"/><Relationship Id="rId324" Type="http://schemas.openxmlformats.org/officeDocument/2006/relationships/hyperlink" Target="https://in.tradingview.com/chart/bXJLby4L/?symbol=NSE%3A20MICRONS" TargetMode="External"/><Relationship Id="rId329" Type="http://schemas.openxmlformats.org/officeDocument/2006/relationships/hyperlink" Target="https://in.tradingview.com/chart/bXJLby4L/?symbol=NSE%3A20MICRONS" TargetMode="External"/><Relationship Id="rId328" Type="http://schemas.openxmlformats.org/officeDocument/2006/relationships/hyperlink" Target="https://in.tradingview.com/chart/bXJLby4L/?symbol=NSE%3A20MICRONS" TargetMode="External"/><Relationship Id="rId2240" Type="http://schemas.openxmlformats.org/officeDocument/2006/relationships/hyperlink" Target="https://in.tradingview.com/chart/bXJLby4L/?symbol=NSE%3A20MICRONS" TargetMode="External"/><Relationship Id="rId2241" Type="http://schemas.openxmlformats.org/officeDocument/2006/relationships/hyperlink" Target="https://in.tradingview.com/chart/bXJLby4L/?symbol=NSE%3A20MICRONS" TargetMode="External"/><Relationship Id="rId2242" Type="http://schemas.openxmlformats.org/officeDocument/2006/relationships/hyperlink" Target="https://in.tradingview.com/chart/bXJLby4L/?symbol=NSE%3A20MICRONS" TargetMode="External"/><Relationship Id="rId323" Type="http://schemas.openxmlformats.org/officeDocument/2006/relationships/hyperlink" Target="https://in.tradingview.com/chart/bXJLby4L/?symbol=NSE%3A20MICRONS" TargetMode="External"/><Relationship Id="rId2243" Type="http://schemas.openxmlformats.org/officeDocument/2006/relationships/hyperlink" Target="https://in.tradingview.com/chart/bXJLby4L/?symbol=NSE%3A20MICRONS" TargetMode="External"/><Relationship Id="rId322" Type="http://schemas.openxmlformats.org/officeDocument/2006/relationships/hyperlink" Target="https://in.tradingview.com/chart/bXJLby4L/?symbol=NSE%3A20MICRONS" TargetMode="External"/><Relationship Id="rId2244" Type="http://schemas.openxmlformats.org/officeDocument/2006/relationships/hyperlink" Target="https://in.tradingview.com/chart/bXJLby4L/?symbol=NSE%3A20MICRONS" TargetMode="External"/><Relationship Id="rId321" Type="http://schemas.openxmlformats.org/officeDocument/2006/relationships/hyperlink" Target="https://in.tradingview.com/chart/bXJLby4L/?symbol=NSE%3A20MICRONS" TargetMode="External"/><Relationship Id="rId2245" Type="http://schemas.openxmlformats.org/officeDocument/2006/relationships/hyperlink" Target="https://in.tradingview.com/chart/bXJLby4L/?symbol=NSE%3A20MICRONS" TargetMode="External"/><Relationship Id="rId320" Type="http://schemas.openxmlformats.org/officeDocument/2006/relationships/hyperlink" Target="https://in.tradingview.com/chart/bXJLby4L/?symbol=NSE%3A20MICRONS" TargetMode="External"/><Relationship Id="rId2246" Type="http://schemas.openxmlformats.org/officeDocument/2006/relationships/hyperlink" Target="https://in.tradingview.com/chart/bXJLby4L/?symbol=NSE%3A20MICRONS" TargetMode="External"/><Relationship Id="rId2236" Type="http://schemas.openxmlformats.org/officeDocument/2006/relationships/hyperlink" Target="https://in.tradingview.com/chart/bXJLby4L/?symbol=NSE%3A20MICRONS" TargetMode="External"/><Relationship Id="rId2237" Type="http://schemas.openxmlformats.org/officeDocument/2006/relationships/hyperlink" Target="https://in.tradingview.com/chart/bXJLby4L/?symbol=NSE%3A20MICRONS" TargetMode="External"/><Relationship Id="rId2238" Type="http://schemas.openxmlformats.org/officeDocument/2006/relationships/hyperlink" Target="https://in.tradingview.com/chart/bXJLby4L/?symbol=NSE%3A20MICRONS" TargetMode="External"/><Relationship Id="rId2239" Type="http://schemas.openxmlformats.org/officeDocument/2006/relationships/hyperlink" Target="https://in.tradingview.com/chart/bXJLby4L/?symbol=NSE%3A20MICRONS" TargetMode="External"/><Relationship Id="rId316" Type="http://schemas.openxmlformats.org/officeDocument/2006/relationships/hyperlink" Target="https://in.tradingview.com/chart/bXJLby4L/?symbol=NSE%3A20MICRONS" TargetMode="External"/><Relationship Id="rId315" Type="http://schemas.openxmlformats.org/officeDocument/2006/relationships/hyperlink" Target="https://in.tradingview.com/chart/bXJLby4L/?symbol=NSE%3A20MICRONS" TargetMode="External"/><Relationship Id="rId314" Type="http://schemas.openxmlformats.org/officeDocument/2006/relationships/hyperlink" Target="https://in.tradingview.com/chart/bXJLby4L/?symbol=NSE%3A20MICRONS" TargetMode="External"/><Relationship Id="rId313" Type="http://schemas.openxmlformats.org/officeDocument/2006/relationships/hyperlink" Target="https://in.tradingview.com/chart/bXJLby4L/?symbol=NSE%3A20MICRONS" TargetMode="External"/><Relationship Id="rId319" Type="http://schemas.openxmlformats.org/officeDocument/2006/relationships/hyperlink" Target="https://in.tradingview.com/chart/bXJLby4L/?symbol=NSE%3A20MICRONS" TargetMode="External"/><Relationship Id="rId318" Type="http://schemas.openxmlformats.org/officeDocument/2006/relationships/hyperlink" Target="https://in.tradingview.com/chart/bXJLby4L/?symbol=NSE%3A20MICRONS" TargetMode="External"/><Relationship Id="rId317" Type="http://schemas.openxmlformats.org/officeDocument/2006/relationships/hyperlink" Target="https://in.tradingview.com/chart/bXJLby4L/?symbol=NSE%3A20MICRONS" TargetMode="External"/><Relationship Id="rId2230" Type="http://schemas.openxmlformats.org/officeDocument/2006/relationships/hyperlink" Target="https://in.tradingview.com/chart/bXJLby4L/?symbol=NSE%3A20MICRONS" TargetMode="External"/><Relationship Id="rId2231" Type="http://schemas.openxmlformats.org/officeDocument/2006/relationships/hyperlink" Target="https://in.tradingview.com/chart/bXJLby4L/?symbol=NSE%3A20MICRONS" TargetMode="External"/><Relationship Id="rId312" Type="http://schemas.openxmlformats.org/officeDocument/2006/relationships/hyperlink" Target="https://in.tradingview.com/chart/bXJLby4L/?symbol=NSE%3A20MICRONS" TargetMode="External"/><Relationship Id="rId2232" Type="http://schemas.openxmlformats.org/officeDocument/2006/relationships/hyperlink" Target="https://in.tradingview.com/chart/bXJLby4L/?symbol=NSE%3A20MICRONS" TargetMode="External"/><Relationship Id="rId311" Type="http://schemas.openxmlformats.org/officeDocument/2006/relationships/hyperlink" Target="https://in.tradingview.com/chart/bXJLby4L/?symbol=NSE%3A20MICRONS" TargetMode="External"/><Relationship Id="rId2233" Type="http://schemas.openxmlformats.org/officeDocument/2006/relationships/hyperlink" Target="https://in.tradingview.com/chart/bXJLby4L/?symbol=NSE%3A20MICRONS" TargetMode="External"/><Relationship Id="rId310" Type="http://schemas.openxmlformats.org/officeDocument/2006/relationships/hyperlink" Target="https://in.tradingview.com/chart/bXJLby4L/?symbol=NSE%3A20MICRONS" TargetMode="External"/><Relationship Id="rId2234" Type="http://schemas.openxmlformats.org/officeDocument/2006/relationships/hyperlink" Target="https://in.tradingview.com/chart/bXJLby4L/?symbol=NSE%3A20MICRONS" TargetMode="External"/><Relationship Id="rId2235" Type="http://schemas.openxmlformats.org/officeDocument/2006/relationships/hyperlink" Target="https://in.tradingview.com/chart/bXJLby4L/?symbol=NSE%3A20MICRONS" TargetMode="External"/><Relationship Id="rId297" Type="http://schemas.openxmlformats.org/officeDocument/2006/relationships/hyperlink" Target="https://in.tradingview.com/chart/bXJLby4L/?symbol=NSE%3A20MICRONS" TargetMode="External"/><Relationship Id="rId296" Type="http://schemas.openxmlformats.org/officeDocument/2006/relationships/hyperlink" Target="https://in.tradingview.com/chart/bXJLby4L/?symbol=NSE%3A20MICRONS" TargetMode="External"/><Relationship Id="rId295" Type="http://schemas.openxmlformats.org/officeDocument/2006/relationships/hyperlink" Target="https://in.tradingview.com/chart/bXJLby4L/?symbol=NSE%3A20MICRONS" TargetMode="External"/><Relationship Id="rId294" Type="http://schemas.openxmlformats.org/officeDocument/2006/relationships/hyperlink" Target="https://in.tradingview.com/chart/bXJLby4L/?symbol=NSE%3A20MICRONS" TargetMode="External"/><Relationship Id="rId299" Type="http://schemas.openxmlformats.org/officeDocument/2006/relationships/hyperlink" Target="https://in.tradingview.com/chart/bXJLby4L/?symbol=NSE%3A20MICRONS" TargetMode="External"/><Relationship Id="rId298" Type="http://schemas.openxmlformats.org/officeDocument/2006/relationships/hyperlink" Target="https://in.tradingview.com/chart/bXJLby4L/?symbol=NSE%3A20MICRONS" TargetMode="External"/><Relationship Id="rId271" Type="http://schemas.openxmlformats.org/officeDocument/2006/relationships/hyperlink" Target="https://in.tradingview.com/chart/bXJLby4L/?symbol=NSE%3A20MICRONS" TargetMode="External"/><Relationship Id="rId270" Type="http://schemas.openxmlformats.org/officeDocument/2006/relationships/hyperlink" Target="https://in.tradingview.com/chart/bXJLby4L/?symbol=NSE%3A20MICRONS" TargetMode="External"/><Relationship Id="rId269" Type="http://schemas.openxmlformats.org/officeDocument/2006/relationships/hyperlink" Target="https://in.tradingview.com/chart/bXJLby4L/?symbol=NSE%3A20MICRONS" TargetMode="External"/><Relationship Id="rId264" Type="http://schemas.openxmlformats.org/officeDocument/2006/relationships/hyperlink" Target="https://in.tradingview.com/chart/bXJLby4L/?symbol=NSE%3A20MICRONS" TargetMode="External"/><Relationship Id="rId263" Type="http://schemas.openxmlformats.org/officeDocument/2006/relationships/hyperlink" Target="https://in.tradingview.com/chart/bXJLby4L/?symbol=NSE%3A20MICRONS" TargetMode="External"/><Relationship Id="rId262" Type="http://schemas.openxmlformats.org/officeDocument/2006/relationships/hyperlink" Target="https://in.tradingview.com/chart/bXJLby4L/?symbol=NSE%3A20MICRONS" TargetMode="External"/><Relationship Id="rId261" Type="http://schemas.openxmlformats.org/officeDocument/2006/relationships/hyperlink" Target="https://in.tradingview.com/chart/bXJLby4L/?symbol=NSE%3A20MICRONS" TargetMode="External"/><Relationship Id="rId268" Type="http://schemas.openxmlformats.org/officeDocument/2006/relationships/hyperlink" Target="https://in.tradingview.com/chart/bXJLby4L/?symbol=NSE%3A20MICRONS" TargetMode="External"/><Relationship Id="rId267" Type="http://schemas.openxmlformats.org/officeDocument/2006/relationships/hyperlink" Target="https://in.tradingview.com/chart/bXJLby4L/?symbol=NSE%3A20MICRONS" TargetMode="External"/><Relationship Id="rId266" Type="http://schemas.openxmlformats.org/officeDocument/2006/relationships/hyperlink" Target="https://in.tradingview.com/chart/bXJLby4L/?symbol=NSE%3A20MICRONS" TargetMode="External"/><Relationship Id="rId265" Type="http://schemas.openxmlformats.org/officeDocument/2006/relationships/hyperlink" Target="https://in.tradingview.com/chart/bXJLby4L/?symbol=NSE%3A20MICRONS" TargetMode="External"/><Relationship Id="rId260" Type="http://schemas.openxmlformats.org/officeDocument/2006/relationships/hyperlink" Target="https://in.tradingview.com/chart/bXJLby4L/?symbol=NSE%3A20MICRONS" TargetMode="External"/><Relationship Id="rId259" Type="http://schemas.openxmlformats.org/officeDocument/2006/relationships/hyperlink" Target="https://in.tradingview.com/chart/bXJLby4L/?symbol=NSE%3A20MICRONS" TargetMode="External"/><Relationship Id="rId258" Type="http://schemas.openxmlformats.org/officeDocument/2006/relationships/hyperlink" Target="https://in.tradingview.com/chart/bXJLby4L/?symbol=NSE%3A20MICRONS" TargetMode="External"/><Relationship Id="rId2290" Type="http://schemas.openxmlformats.org/officeDocument/2006/relationships/hyperlink" Target="https://in.tradingview.com/chart/bXJLby4L/?symbol=NSE%3A20MICRONS" TargetMode="External"/><Relationship Id="rId2291" Type="http://schemas.openxmlformats.org/officeDocument/2006/relationships/hyperlink" Target="https://in.tradingview.com/chart/bXJLby4L/?symbol=NSE%3A20MICRONS" TargetMode="External"/><Relationship Id="rId2292" Type="http://schemas.openxmlformats.org/officeDocument/2006/relationships/hyperlink" Target="https://in.tradingview.com/chart/bXJLby4L/?symbol=NSE%3A20MICRONS" TargetMode="External"/><Relationship Id="rId2293" Type="http://schemas.openxmlformats.org/officeDocument/2006/relationships/hyperlink" Target="https://in.tradingview.com/chart/bXJLby4L/?symbol=NSE%3A20MICRONS" TargetMode="External"/><Relationship Id="rId253" Type="http://schemas.openxmlformats.org/officeDocument/2006/relationships/hyperlink" Target="https://in.tradingview.com/chart/bXJLby4L/?symbol=NSE%3A20MICRONS" TargetMode="External"/><Relationship Id="rId2294" Type="http://schemas.openxmlformats.org/officeDocument/2006/relationships/hyperlink" Target="https://in.tradingview.com/chart/bXJLby4L/?symbol=NSE%3A20MICRONS" TargetMode="External"/><Relationship Id="rId252" Type="http://schemas.openxmlformats.org/officeDocument/2006/relationships/hyperlink" Target="https://in.tradingview.com/chart/bXJLby4L/?symbol=NSE%3A20MICRONS" TargetMode="External"/><Relationship Id="rId2295" Type="http://schemas.openxmlformats.org/officeDocument/2006/relationships/hyperlink" Target="https://in.tradingview.com/chart/bXJLby4L/?symbol=NSE%3A20MICRONS" TargetMode="External"/><Relationship Id="rId251" Type="http://schemas.openxmlformats.org/officeDocument/2006/relationships/hyperlink" Target="https://in.tradingview.com/chart/bXJLby4L/?symbol=NSE%3A20MICRONS" TargetMode="External"/><Relationship Id="rId2296" Type="http://schemas.openxmlformats.org/officeDocument/2006/relationships/hyperlink" Target="https://in.tradingview.com/chart/bXJLby4L/?symbol=NSE%3A20MICRONS" TargetMode="External"/><Relationship Id="rId250" Type="http://schemas.openxmlformats.org/officeDocument/2006/relationships/hyperlink" Target="https://in.tradingview.com/chart/bXJLby4L/?symbol=NSE%3A20MICRONS" TargetMode="External"/><Relationship Id="rId2297" Type="http://schemas.openxmlformats.org/officeDocument/2006/relationships/hyperlink" Target="https://in.tradingview.com/chart/bXJLby4L/?symbol=NSE%3A20MICRONS" TargetMode="External"/><Relationship Id="rId257" Type="http://schemas.openxmlformats.org/officeDocument/2006/relationships/hyperlink" Target="https://in.tradingview.com/chart/bXJLby4L/?symbol=NSE%3A20MICRONS" TargetMode="External"/><Relationship Id="rId2298" Type="http://schemas.openxmlformats.org/officeDocument/2006/relationships/hyperlink" Target="https://in.tradingview.com/chart/bXJLby4L/?symbol=NSE%3A20MICRONS" TargetMode="External"/><Relationship Id="rId256" Type="http://schemas.openxmlformats.org/officeDocument/2006/relationships/hyperlink" Target="https://in.tradingview.com/chart/bXJLby4L/?symbol=NSE%3A20MICRONS" TargetMode="External"/><Relationship Id="rId2299" Type="http://schemas.openxmlformats.org/officeDocument/2006/relationships/hyperlink" Target="https://in.tradingview.com/chart/bXJLby4L/?symbol=NSE%3A20MICRONS" TargetMode="External"/><Relationship Id="rId255" Type="http://schemas.openxmlformats.org/officeDocument/2006/relationships/hyperlink" Target="https://in.tradingview.com/chart/bXJLby4L/?symbol=NSE%3A20MICRONS" TargetMode="External"/><Relationship Id="rId254" Type="http://schemas.openxmlformats.org/officeDocument/2006/relationships/hyperlink" Target="https://in.tradingview.com/chart/bXJLby4L/?symbol=NSE%3A20MICRONS" TargetMode="External"/><Relationship Id="rId293" Type="http://schemas.openxmlformats.org/officeDocument/2006/relationships/hyperlink" Target="https://in.tradingview.com/chart/bXJLby4L/?symbol=NSE%3A20MICRONS" TargetMode="External"/><Relationship Id="rId292" Type="http://schemas.openxmlformats.org/officeDocument/2006/relationships/hyperlink" Target="https://in.tradingview.com/chart/bXJLby4L/?symbol=NSE%3A20MICRONS" TargetMode="External"/><Relationship Id="rId291" Type="http://schemas.openxmlformats.org/officeDocument/2006/relationships/hyperlink" Target="https://in.tradingview.com/chart/bXJLby4L/?symbol=NSE%3A20MICRONS" TargetMode="External"/><Relationship Id="rId290" Type="http://schemas.openxmlformats.org/officeDocument/2006/relationships/hyperlink" Target="https://in.tradingview.com/chart/bXJLby4L/?symbol=NSE%3A20MICRONS" TargetMode="External"/><Relationship Id="rId286" Type="http://schemas.openxmlformats.org/officeDocument/2006/relationships/hyperlink" Target="https://in.tradingview.com/chart/bXJLby4L/?symbol=NSE%3A20MICRONS" TargetMode="External"/><Relationship Id="rId285" Type="http://schemas.openxmlformats.org/officeDocument/2006/relationships/hyperlink" Target="https://in.tradingview.com/chart/bXJLby4L/?symbol=NSE%3A20MICRONS" TargetMode="External"/><Relationship Id="rId284" Type="http://schemas.openxmlformats.org/officeDocument/2006/relationships/hyperlink" Target="https://in.tradingview.com/chart/bXJLby4L/?symbol=NSE%3A20MICRONS" TargetMode="External"/><Relationship Id="rId283" Type="http://schemas.openxmlformats.org/officeDocument/2006/relationships/hyperlink" Target="https://in.tradingview.com/chart/bXJLby4L/?symbol=NSE%3A20MICRONS" TargetMode="External"/><Relationship Id="rId289" Type="http://schemas.openxmlformats.org/officeDocument/2006/relationships/hyperlink" Target="https://in.tradingview.com/chart/bXJLby4L/?symbol=NSE%3A20MICRONS" TargetMode="External"/><Relationship Id="rId288" Type="http://schemas.openxmlformats.org/officeDocument/2006/relationships/hyperlink" Target="https://in.tradingview.com/chart/bXJLby4L/?symbol=NSE%3A20MICRONS" TargetMode="External"/><Relationship Id="rId287" Type="http://schemas.openxmlformats.org/officeDocument/2006/relationships/hyperlink" Target="https://in.tradingview.com/chart/bXJLby4L/?symbol=NSE%3A20MICRONS" TargetMode="External"/><Relationship Id="rId282" Type="http://schemas.openxmlformats.org/officeDocument/2006/relationships/hyperlink" Target="https://in.tradingview.com/chart/bXJLby4L/?symbol=NSE%3A20MICRONS" TargetMode="External"/><Relationship Id="rId281" Type="http://schemas.openxmlformats.org/officeDocument/2006/relationships/hyperlink" Target="https://in.tradingview.com/chart/bXJLby4L/?symbol=NSE%3A20MICRONS" TargetMode="External"/><Relationship Id="rId280" Type="http://schemas.openxmlformats.org/officeDocument/2006/relationships/hyperlink" Target="https://in.tradingview.com/chart/bXJLby4L/?symbol=NSE%3A20MICRONS" TargetMode="External"/><Relationship Id="rId275" Type="http://schemas.openxmlformats.org/officeDocument/2006/relationships/hyperlink" Target="https://in.tradingview.com/chart/bXJLby4L/?symbol=NSE%3A20MICRONS" TargetMode="External"/><Relationship Id="rId274" Type="http://schemas.openxmlformats.org/officeDocument/2006/relationships/hyperlink" Target="https://in.tradingview.com/chart/bXJLby4L/?symbol=NSE%3A20MICRONS" TargetMode="External"/><Relationship Id="rId273" Type="http://schemas.openxmlformats.org/officeDocument/2006/relationships/hyperlink" Target="https://in.tradingview.com/chart/bXJLby4L/?symbol=NSE%3A20MICRONS" TargetMode="External"/><Relationship Id="rId272" Type="http://schemas.openxmlformats.org/officeDocument/2006/relationships/hyperlink" Target="https://in.tradingview.com/chart/bXJLby4L/?symbol=NSE%3A20MICRONS" TargetMode="External"/><Relationship Id="rId279" Type="http://schemas.openxmlformats.org/officeDocument/2006/relationships/hyperlink" Target="https://in.tradingview.com/chart/bXJLby4L/?symbol=NSE%3A20MICRONS" TargetMode="External"/><Relationship Id="rId278" Type="http://schemas.openxmlformats.org/officeDocument/2006/relationships/hyperlink" Target="https://in.tradingview.com/chart/bXJLby4L/?symbol=NSE%3A20MICRONS" TargetMode="External"/><Relationship Id="rId277" Type="http://schemas.openxmlformats.org/officeDocument/2006/relationships/hyperlink" Target="https://in.tradingview.com/chart/bXJLby4L/?symbol=NSE%3A20MICRONS" TargetMode="External"/><Relationship Id="rId276" Type="http://schemas.openxmlformats.org/officeDocument/2006/relationships/hyperlink" Target="https://in.tradingview.com/chart/bXJLby4L/?symbol=NSE%3A20MICRONS" TargetMode="External"/><Relationship Id="rId1851" Type="http://schemas.openxmlformats.org/officeDocument/2006/relationships/hyperlink" Target="https://in.tradingview.com/chart/bXJLby4L/?symbol=NSE%3A20MICRONS" TargetMode="External"/><Relationship Id="rId1852" Type="http://schemas.openxmlformats.org/officeDocument/2006/relationships/hyperlink" Target="https://in.tradingview.com/chart/bXJLby4L/?symbol=NSE%3A20MICRONS" TargetMode="External"/><Relationship Id="rId1853" Type="http://schemas.openxmlformats.org/officeDocument/2006/relationships/hyperlink" Target="https://in.tradingview.com/chart/bXJLby4L/?symbol=NSE%3A20MICRONS" TargetMode="External"/><Relationship Id="rId1854" Type="http://schemas.openxmlformats.org/officeDocument/2006/relationships/hyperlink" Target="https://in.tradingview.com/chart/bXJLby4L/?symbol=NSE%3A20MICRONS" TargetMode="External"/><Relationship Id="rId1855" Type="http://schemas.openxmlformats.org/officeDocument/2006/relationships/hyperlink" Target="https://in.tradingview.com/chart/bXJLby4L/?symbol=NSE%3A20MICRONS" TargetMode="External"/><Relationship Id="rId1856" Type="http://schemas.openxmlformats.org/officeDocument/2006/relationships/hyperlink" Target="https://in.tradingview.com/chart/bXJLby4L/?symbol=NSE%3A20MICRONS" TargetMode="External"/><Relationship Id="rId1857" Type="http://schemas.openxmlformats.org/officeDocument/2006/relationships/hyperlink" Target="https://in.tradingview.com/chart/bXJLby4L/?symbol=NSE%3A20MICRONS" TargetMode="External"/><Relationship Id="rId1858" Type="http://schemas.openxmlformats.org/officeDocument/2006/relationships/hyperlink" Target="https://in.tradingview.com/chart/bXJLby4L/?symbol=NSE%3A20MICRONS" TargetMode="External"/><Relationship Id="rId1859" Type="http://schemas.openxmlformats.org/officeDocument/2006/relationships/hyperlink" Target="https://in.tradingview.com/chart/bXJLby4L/?symbol=NSE%3A20MICRONS" TargetMode="External"/><Relationship Id="rId1850" Type="http://schemas.openxmlformats.org/officeDocument/2006/relationships/hyperlink" Target="https://in.tradingview.com/chart/bXJLby4L/?symbol=NSE%3A20MICRONS" TargetMode="External"/><Relationship Id="rId1840" Type="http://schemas.openxmlformats.org/officeDocument/2006/relationships/hyperlink" Target="https://in.tradingview.com/chart/bXJLby4L/?symbol=NSE%3A20MICRONS" TargetMode="External"/><Relationship Id="rId1841" Type="http://schemas.openxmlformats.org/officeDocument/2006/relationships/hyperlink" Target="https://in.tradingview.com/chart/bXJLby4L/?symbol=NSE%3A20MICRONS" TargetMode="External"/><Relationship Id="rId1842" Type="http://schemas.openxmlformats.org/officeDocument/2006/relationships/hyperlink" Target="https://in.tradingview.com/chart/bXJLby4L/?symbol=NSE%3A20MICRONS" TargetMode="External"/><Relationship Id="rId1843" Type="http://schemas.openxmlformats.org/officeDocument/2006/relationships/hyperlink" Target="https://in.tradingview.com/chart/bXJLby4L/?symbol=NSE%3A20MICRONS" TargetMode="External"/><Relationship Id="rId1844" Type="http://schemas.openxmlformats.org/officeDocument/2006/relationships/hyperlink" Target="https://in.tradingview.com/chart/bXJLby4L/?symbol=NSE%3A20MICRONS" TargetMode="External"/><Relationship Id="rId1845" Type="http://schemas.openxmlformats.org/officeDocument/2006/relationships/hyperlink" Target="https://in.tradingview.com/chart/bXJLby4L/?symbol=NSE%3A20MICRONS" TargetMode="External"/><Relationship Id="rId1846" Type="http://schemas.openxmlformats.org/officeDocument/2006/relationships/hyperlink" Target="https://in.tradingview.com/chart/bXJLby4L/?symbol=NSE%3A20MICRONS" TargetMode="External"/><Relationship Id="rId1847" Type="http://schemas.openxmlformats.org/officeDocument/2006/relationships/hyperlink" Target="https://in.tradingview.com/chart/bXJLby4L/?symbol=NSE%3A20MICRONS" TargetMode="External"/><Relationship Id="rId1848" Type="http://schemas.openxmlformats.org/officeDocument/2006/relationships/hyperlink" Target="https://in.tradingview.com/chart/bXJLby4L/?symbol=NSE%3A20MICRONS" TargetMode="External"/><Relationship Id="rId1849" Type="http://schemas.openxmlformats.org/officeDocument/2006/relationships/hyperlink" Target="https://in.tradingview.com/chart/bXJLby4L/?symbol=NSE%3A20MICRONS" TargetMode="External"/><Relationship Id="rId1873" Type="http://schemas.openxmlformats.org/officeDocument/2006/relationships/hyperlink" Target="https://in.tradingview.com/chart/bXJLby4L/?symbol=NSE%3A20MICRONS" TargetMode="External"/><Relationship Id="rId1874" Type="http://schemas.openxmlformats.org/officeDocument/2006/relationships/hyperlink" Target="https://in.tradingview.com/chart/bXJLby4L/?symbol=NSE%3A20MICRONS" TargetMode="External"/><Relationship Id="rId1875" Type="http://schemas.openxmlformats.org/officeDocument/2006/relationships/hyperlink" Target="https://in.tradingview.com/chart/bXJLby4L/?symbol=NSE%3A20MICRONS" TargetMode="External"/><Relationship Id="rId1876" Type="http://schemas.openxmlformats.org/officeDocument/2006/relationships/hyperlink" Target="https://in.tradingview.com/chart/bXJLby4L/?symbol=NSE%3A20MICRONS" TargetMode="External"/><Relationship Id="rId1877" Type="http://schemas.openxmlformats.org/officeDocument/2006/relationships/hyperlink" Target="https://in.tradingview.com/chart/bXJLby4L/?symbol=NSE%3A20MICRONS" TargetMode="External"/><Relationship Id="rId1878" Type="http://schemas.openxmlformats.org/officeDocument/2006/relationships/hyperlink" Target="https://in.tradingview.com/chart/bXJLby4L/?symbol=NSE%3A20MICRONS" TargetMode="External"/><Relationship Id="rId1879" Type="http://schemas.openxmlformats.org/officeDocument/2006/relationships/hyperlink" Target="https://in.tradingview.com/chart/bXJLby4L/?symbol=NSE%3A20MICRONS" TargetMode="External"/><Relationship Id="rId1870" Type="http://schemas.openxmlformats.org/officeDocument/2006/relationships/hyperlink" Target="https://in.tradingview.com/chart/bXJLby4L/?symbol=NSE%3A20MICRONS" TargetMode="External"/><Relationship Id="rId1871" Type="http://schemas.openxmlformats.org/officeDocument/2006/relationships/hyperlink" Target="https://in.tradingview.com/chart/bXJLby4L/?symbol=NSE%3A20MICRONS" TargetMode="External"/><Relationship Id="rId1872" Type="http://schemas.openxmlformats.org/officeDocument/2006/relationships/hyperlink" Target="https://in.tradingview.com/chart/bXJLby4L/?symbol=NSE%3A20MICRONS" TargetMode="External"/><Relationship Id="rId1862" Type="http://schemas.openxmlformats.org/officeDocument/2006/relationships/hyperlink" Target="https://in.tradingview.com/chart/bXJLby4L/?symbol=NSE%3A20MICRONS" TargetMode="External"/><Relationship Id="rId1863" Type="http://schemas.openxmlformats.org/officeDocument/2006/relationships/hyperlink" Target="https://in.tradingview.com/chart/bXJLby4L/?symbol=NSE%3A20MICRONS" TargetMode="External"/><Relationship Id="rId1864" Type="http://schemas.openxmlformats.org/officeDocument/2006/relationships/hyperlink" Target="https://in.tradingview.com/chart/bXJLby4L/?symbol=NSE%3A20MICRONS" TargetMode="External"/><Relationship Id="rId1865" Type="http://schemas.openxmlformats.org/officeDocument/2006/relationships/hyperlink" Target="https://in.tradingview.com/chart/bXJLby4L/?symbol=NSE%3A20MICRONS" TargetMode="External"/><Relationship Id="rId1866" Type="http://schemas.openxmlformats.org/officeDocument/2006/relationships/hyperlink" Target="https://in.tradingview.com/chart/bXJLby4L/?symbol=NSE%3A20MICRONS" TargetMode="External"/><Relationship Id="rId1867" Type="http://schemas.openxmlformats.org/officeDocument/2006/relationships/hyperlink" Target="https://in.tradingview.com/chart/bXJLby4L/?symbol=NSE%3A20MICRONS" TargetMode="External"/><Relationship Id="rId1868" Type="http://schemas.openxmlformats.org/officeDocument/2006/relationships/hyperlink" Target="https://in.tradingview.com/chart/bXJLby4L/?symbol=NSE%3A20MICRONS" TargetMode="External"/><Relationship Id="rId1869" Type="http://schemas.openxmlformats.org/officeDocument/2006/relationships/hyperlink" Target="https://in.tradingview.com/chart/bXJLby4L/?symbol=NSE%3A20MICRONS" TargetMode="External"/><Relationship Id="rId1860" Type="http://schemas.openxmlformats.org/officeDocument/2006/relationships/hyperlink" Target="https://in.tradingview.com/chart/bXJLby4L/?symbol=NSE%3A20MICRONS" TargetMode="External"/><Relationship Id="rId1861" Type="http://schemas.openxmlformats.org/officeDocument/2006/relationships/hyperlink" Target="https://in.tradingview.com/chart/bXJLby4L/?symbol=NSE%3A20MICRONS" TargetMode="External"/><Relationship Id="rId1810" Type="http://schemas.openxmlformats.org/officeDocument/2006/relationships/hyperlink" Target="https://in.tradingview.com/chart/bXJLby4L/?symbol=NSE%3A20MICRONS" TargetMode="External"/><Relationship Id="rId1811" Type="http://schemas.openxmlformats.org/officeDocument/2006/relationships/hyperlink" Target="https://in.tradingview.com/chart/bXJLby4L/?symbol=NSE%3A20MICRONS" TargetMode="External"/><Relationship Id="rId1812" Type="http://schemas.openxmlformats.org/officeDocument/2006/relationships/hyperlink" Target="https://in.tradingview.com/chart/bXJLby4L/?symbol=NSE%3A20MICRONS" TargetMode="External"/><Relationship Id="rId1813" Type="http://schemas.openxmlformats.org/officeDocument/2006/relationships/hyperlink" Target="https://in.tradingview.com/chart/bXJLby4L/?symbol=NSE%3A20MICRONS" TargetMode="External"/><Relationship Id="rId1814" Type="http://schemas.openxmlformats.org/officeDocument/2006/relationships/hyperlink" Target="https://in.tradingview.com/chart/bXJLby4L/?symbol=NSE%3A20MICRONS" TargetMode="External"/><Relationship Id="rId1815" Type="http://schemas.openxmlformats.org/officeDocument/2006/relationships/hyperlink" Target="https://in.tradingview.com/chart/bXJLby4L/?symbol=NSE%3A20MICRONS" TargetMode="External"/><Relationship Id="rId1816" Type="http://schemas.openxmlformats.org/officeDocument/2006/relationships/hyperlink" Target="https://in.tradingview.com/chart/bXJLby4L/?symbol=NSE%3A20MICRONS" TargetMode="External"/><Relationship Id="rId1817" Type="http://schemas.openxmlformats.org/officeDocument/2006/relationships/hyperlink" Target="https://in.tradingview.com/chart/bXJLby4L/?symbol=NSE%3A20MICRONS" TargetMode="External"/><Relationship Id="rId1818" Type="http://schemas.openxmlformats.org/officeDocument/2006/relationships/hyperlink" Target="https://in.tradingview.com/chart/bXJLby4L/?symbol=NSE%3A20MICRONS" TargetMode="External"/><Relationship Id="rId1819" Type="http://schemas.openxmlformats.org/officeDocument/2006/relationships/hyperlink" Target="https://in.tradingview.com/chart/bXJLby4L/?symbol=NSE%3A20MICRONS" TargetMode="External"/><Relationship Id="rId1800" Type="http://schemas.openxmlformats.org/officeDocument/2006/relationships/hyperlink" Target="https://in.tradingview.com/chart/bXJLby4L/?symbol=NSE%3A20MICRONS" TargetMode="External"/><Relationship Id="rId1801" Type="http://schemas.openxmlformats.org/officeDocument/2006/relationships/hyperlink" Target="https://in.tradingview.com/chart/bXJLby4L/?symbol=NSE%3A20MICRONS" TargetMode="External"/><Relationship Id="rId1802" Type="http://schemas.openxmlformats.org/officeDocument/2006/relationships/hyperlink" Target="https://in.tradingview.com/chart/bXJLby4L/?symbol=NSE%3A20MICRONS" TargetMode="External"/><Relationship Id="rId1803" Type="http://schemas.openxmlformats.org/officeDocument/2006/relationships/hyperlink" Target="https://in.tradingview.com/chart/bXJLby4L/?symbol=NSE%3A20MICRONS" TargetMode="External"/><Relationship Id="rId1804" Type="http://schemas.openxmlformats.org/officeDocument/2006/relationships/hyperlink" Target="https://in.tradingview.com/chart/bXJLby4L/?symbol=NSE%3A20MICRONS" TargetMode="External"/><Relationship Id="rId1805" Type="http://schemas.openxmlformats.org/officeDocument/2006/relationships/hyperlink" Target="https://in.tradingview.com/chart/bXJLby4L/?symbol=NSE%3A20MICRONS" TargetMode="External"/><Relationship Id="rId1806" Type="http://schemas.openxmlformats.org/officeDocument/2006/relationships/hyperlink" Target="https://in.tradingview.com/chart/bXJLby4L/?symbol=NSE%3A20MICRONS" TargetMode="External"/><Relationship Id="rId1807" Type="http://schemas.openxmlformats.org/officeDocument/2006/relationships/hyperlink" Target="https://in.tradingview.com/chart/bXJLby4L/?symbol=NSE%3A20MICRONS" TargetMode="External"/><Relationship Id="rId1808" Type="http://schemas.openxmlformats.org/officeDocument/2006/relationships/hyperlink" Target="https://in.tradingview.com/chart/bXJLby4L/?symbol=NSE%3A20MICRONS" TargetMode="External"/><Relationship Id="rId1809" Type="http://schemas.openxmlformats.org/officeDocument/2006/relationships/hyperlink" Target="https://in.tradingview.com/chart/bXJLby4L/?symbol=NSE%3A20MICRONS" TargetMode="External"/><Relationship Id="rId1830" Type="http://schemas.openxmlformats.org/officeDocument/2006/relationships/hyperlink" Target="https://in.tradingview.com/chart/bXJLby4L/?symbol=NSE%3A20MICRONS" TargetMode="External"/><Relationship Id="rId1831" Type="http://schemas.openxmlformats.org/officeDocument/2006/relationships/hyperlink" Target="https://in.tradingview.com/chart/bXJLby4L/?symbol=NSE%3A20MICRONS" TargetMode="External"/><Relationship Id="rId1832" Type="http://schemas.openxmlformats.org/officeDocument/2006/relationships/hyperlink" Target="https://in.tradingview.com/chart/bXJLby4L/?symbol=NSE%3A20MICRONS" TargetMode="External"/><Relationship Id="rId1833" Type="http://schemas.openxmlformats.org/officeDocument/2006/relationships/hyperlink" Target="https://in.tradingview.com/chart/bXJLby4L/?symbol=NSE%3A20MICRONS" TargetMode="External"/><Relationship Id="rId1834" Type="http://schemas.openxmlformats.org/officeDocument/2006/relationships/hyperlink" Target="https://in.tradingview.com/chart/bXJLby4L/?symbol=NSE%3A20MICRONS" TargetMode="External"/><Relationship Id="rId1835" Type="http://schemas.openxmlformats.org/officeDocument/2006/relationships/hyperlink" Target="https://in.tradingview.com/chart/bXJLby4L/?symbol=NSE%3A20MICRONS" TargetMode="External"/><Relationship Id="rId1836" Type="http://schemas.openxmlformats.org/officeDocument/2006/relationships/hyperlink" Target="https://in.tradingview.com/chart/bXJLby4L/?symbol=NSE%3A20MICRONS" TargetMode="External"/><Relationship Id="rId1837" Type="http://schemas.openxmlformats.org/officeDocument/2006/relationships/hyperlink" Target="https://in.tradingview.com/chart/bXJLby4L/?symbol=NSE%3A20MICRONS" TargetMode="External"/><Relationship Id="rId1838" Type="http://schemas.openxmlformats.org/officeDocument/2006/relationships/hyperlink" Target="https://in.tradingview.com/chart/bXJLby4L/?symbol=NSE%3A20MICRONS" TargetMode="External"/><Relationship Id="rId1839" Type="http://schemas.openxmlformats.org/officeDocument/2006/relationships/hyperlink" Target="https://in.tradingview.com/chart/bXJLby4L/?symbol=NSE%3A20MICRONS" TargetMode="External"/><Relationship Id="rId1820" Type="http://schemas.openxmlformats.org/officeDocument/2006/relationships/hyperlink" Target="https://in.tradingview.com/chart/bXJLby4L/?symbol=NSE%3A20MICRONS" TargetMode="External"/><Relationship Id="rId1821" Type="http://schemas.openxmlformats.org/officeDocument/2006/relationships/hyperlink" Target="https://in.tradingview.com/chart/bXJLby4L/?symbol=NSE%3A20MICRONS" TargetMode="External"/><Relationship Id="rId1822" Type="http://schemas.openxmlformats.org/officeDocument/2006/relationships/hyperlink" Target="https://in.tradingview.com/chart/bXJLby4L/?symbol=NSE%3A20MICRONS" TargetMode="External"/><Relationship Id="rId1823" Type="http://schemas.openxmlformats.org/officeDocument/2006/relationships/hyperlink" Target="https://in.tradingview.com/chart/bXJLby4L/?symbol=NSE%3A20MICRONS" TargetMode="External"/><Relationship Id="rId1824" Type="http://schemas.openxmlformats.org/officeDocument/2006/relationships/hyperlink" Target="https://in.tradingview.com/chart/bXJLby4L/?symbol=NSE%3A20MICRONS" TargetMode="External"/><Relationship Id="rId1825" Type="http://schemas.openxmlformats.org/officeDocument/2006/relationships/hyperlink" Target="https://in.tradingview.com/chart/bXJLby4L/?symbol=NSE%3A20MICRONS" TargetMode="External"/><Relationship Id="rId1826" Type="http://schemas.openxmlformats.org/officeDocument/2006/relationships/hyperlink" Target="https://in.tradingview.com/chart/bXJLby4L/?symbol=NSE%3A20MICRONS" TargetMode="External"/><Relationship Id="rId1827" Type="http://schemas.openxmlformats.org/officeDocument/2006/relationships/hyperlink" Target="https://in.tradingview.com/chart/bXJLby4L/?symbol=NSE%3A20MICRONS" TargetMode="External"/><Relationship Id="rId1828" Type="http://schemas.openxmlformats.org/officeDocument/2006/relationships/hyperlink" Target="https://in.tradingview.com/chart/bXJLby4L/?symbol=NSE%3A20MICRONS" TargetMode="External"/><Relationship Id="rId1829" Type="http://schemas.openxmlformats.org/officeDocument/2006/relationships/hyperlink" Target="https://in.tradingview.com/chart/bXJLby4L/?symbol=NSE%3A20MICRONS" TargetMode="External"/><Relationship Id="rId2302" Type="http://schemas.openxmlformats.org/officeDocument/2006/relationships/hyperlink" Target="https://in.tradingview.com/chart/bXJLby4L/?symbol=NSE%3A20MICRONS" TargetMode="External"/><Relationship Id="rId2303" Type="http://schemas.openxmlformats.org/officeDocument/2006/relationships/hyperlink" Target="https://in.tradingview.com/chart/bXJLby4L/?symbol=NSE%3A20MICRONS" TargetMode="External"/><Relationship Id="rId2304" Type="http://schemas.openxmlformats.org/officeDocument/2006/relationships/hyperlink" Target="https://in.tradingview.com/chart/bXJLby4L/?symbol=NSE%3A20MICRONS" TargetMode="External"/><Relationship Id="rId2305" Type="http://schemas.openxmlformats.org/officeDocument/2006/relationships/hyperlink" Target="https://in.tradingview.com/chart/bXJLby4L/?symbol=NSE%3A20MICRONS" TargetMode="External"/><Relationship Id="rId2306" Type="http://schemas.openxmlformats.org/officeDocument/2006/relationships/hyperlink" Target="https://in.tradingview.com/chart/bXJLby4L/?symbol=NSE%3A20MICRONS" TargetMode="External"/><Relationship Id="rId2307" Type="http://schemas.openxmlformats.org/officeDocument/2006/relationships/hyperlink" Target="https://in.tradingview.com/chart/bXJLby4L/?symbol=NSE%3A20MICRONS" TargetMode="External"/><Relationship Id="rId2308" Type="http://schemas.openxmlformats.org/officeDocument/2006/relationships/hyperlink" Target="https://in.tradingview.com/chart/bXJLby4L/?symbol=NSE%3A20MICRONS" TargetMode="External"/><Relationship Id="rId2309" Type="http://schemas.openxmlformats.org/officeDocument/2006/relationships/hyperlink" Target="https://in.tradingview.com/chart/bXJLby4L/?symbol=NSE%3A20MICRONS" TargetMode="External"/><Relationship Id="rId2300" Type="http://schemas.openxmlformats.org/officeDocument/2006/relationships/hyperlink" Target="https://in.tradingview.com/chart/bXJLby4L/?symbol=NSE%3A20MICRONS" TargetMode="External"/><Relationship Id="rId2301" Type="http://schemas.openxmlformats.org/officeDocument/2006/relationships/hyperlink" Target="https://in.tradingview.com/chart/bXJLby4L/?symbol=NSE%3A20MICRONS" TargetMode="External"/><Relationship Id="rId2324" Type="http://schemas.openxmlformats.org/officeDocument/2006/relationships/hyperlink" Target="https://in.tradingview.com/chart/bXJLby4L/?symbol=NSE%3A20MICRONS" TargetMode="External"/><Relationship Id="rId2325" Type="http://schemas.openxmlformats.org/officeDocument/2006/relationships/hyperlink" Target="https://in.tradingview.com/chart/bXJLby4L/?symbol=NSE%3A20MICRONS" TargetMode="External"/><Relationship Id="rId2326" Type="http://schemas.openxmlformats.org/officeDocument/2006/relationships/hyperlink" Target="https://in.tradingview.com/chart/bXJLby4L/?symbol=NSE%3A20MICRONS" TargetMode="External"/><Relationship Id="rId2327" Type="http://schemas.openxmlformats.org/officeDocument/2006/relationships/hyperlink" Target="https://in.tradingview.com/chart/bXJLby4L/?symbol=NSE%3A20MICRONS" TargetMode="External"/><Relationship Id="rId2328" Type="http://schemas.openxmlformats.org/officeDocument/2006/relationships/hyperlink" Target="https://in.tradingview.com/chart/bXJLby4L/?symbol=NSE%3A20MICRONS" TargetMode="External"/><Relationship Id="rId2329" Type="http://schemas.openxmlformats.org/officeDocument/2006/relationships/hyperlink" Target="https://in.tradingview.com/chart/bXJLby4L/?symbol=NSE%3A20MICRONS" TargetMode="External"/><Relationship Id="rId2320" Type="http://schemas.openxmlformats.org/officeDocument/2006/relationships/hyperlink" Target="https://in.tradingview.com/chart/bXJLby4L/?symbol=NSE%3A20MICRONS" TargetMode="External"/><Relationship Id="rId2321" Type="http://schemas.openxmlformats.org/officeDocument/2006/relationships/hyperlink" Target="https://in.tradingview.com/chart/bXJLby4L/?symbol=NSE%3A20MICRONS" TargetMode="External"/><Relationship Id="rId2322" Type="http://schemas.openxmlformats.org/officeDocument/2006/relationships/hyperlink" Target="https://in.tradingview.com/chart/bXJLby4L/?symbol=NSE%3A20MICRONS" TargetMode="External"/><Relationship Id="rId2323" Type="http://schemas.openxmlformats.org/officeDocument/2006/relationships/hyperlink" Target="https://in.tradingview.com/chart/bXJLby4L/?symbol=NSE%3A20MICRONS" TargetMode="External"/><Relationship Id="rId2313" Type="http://schemas.openxmlformats.org/officeDocument/2006/relationships/hyperlink" Target="https://in.tradingview.com/chart/bXJLby4L/?symbol=NSE%3A20MICRONS" TargetMode="External"/><Relationship Id="rId2314" Type="http://schemas.openxmlformats.org/officeDocument/2006/relationships/hyperlink" Target="https://in.tradingview.com/chart/bXJLby4L/?symbol=NSE%3A20MICRONS" TargetMode="External"/><Relationship Id="rId2315" Type="http://schemas.openxmlformats.org/officeDocument/2006/relationships/hyperlink" Target="https://in.tradingview.com/chart/bXJLby4L/?symbol=NSE%3A20MICRONS" TargetMode="External"/><Relationship Id="rId2316" Type="http://schemas.openxmlformats.org/officeDocument/2006/relationships/hyperlink" Target="https://in.tradingview.com/chart/bXJLby4L/?symbol=NSE%3A20MICRONS" TargetMode="External"/><Relationship Id="rId2317" Type="http://schemas.openxmlformats.org/officeDocument/2006/relationships/hyperlink" Target="https://in.tradingview.com/chart/bXJLby4L/?symbol=NSE%3A20MICRONS" TargetMode="External"/><Relationship Id="rId2318" Type="http://schemas.openxmlformats.org/officeDocument/2006/relationships/hyperlink" Target="https://in.tradingview.com/chart/bXJLby4L/?symbol=NSE%3A20MICRONS" TargetMode="External"/><Relationship Id="rId2319" Type="http://schemas.openxmlformats.org/officeDocument/2006/relationships/hyperlink" Target="https://in.tradingview.com/chart/bXJLby4L/?symbol=NSE%3A20MICRONS" TargetMode="External"/><Relationship Id="rId2310" Type="http://schemas.openxmlformats.org/officeDocument/2006/relationships/hyperlink" Target="https://in.tradingview.com/chart/bXJLby4L/?symbol=NSE%3A20MICRONS" TargetMode="External"/><Relationship Id="rId2311" Type="http://schemas.openxmlformats.org/officeDocument/2006/relationships/hyperlink" Target="https://in.tradingview.com/chart/bXJLby4L/?symbol=NSE%3A20MICRONS" TargetMode="External"/><Relationship Id="rId2312" Type="http://schemas.openxmlformats.org/officeDocument/2006/relationships/hyperlink" Target="https://in.tradingview.com/chart/bXJLby4L/?symbol=NSE%3A20MICRONS" TargetMode="External"/><Relationship Id="rId1895" Type="http://schemas.openxmlformats.org/officeDocument/2006/relationships/hyperlink" Target="https://in.tradingview.com/chart/bXJLby4L/?symbol=NSE%3A20MICRONS" TargetMode="External"/><Relationship Id="rId1896" Type="http://schemas.openxmlformats.org/officeDocument/2006/relationships/hyperlink" Target="https://in.tradingview.com/chart/bXJLby4L/?symbol=NSE%3A20MICRONS" TargetMode="External"/><Relationship Id="rId1897" Type="http://schemas.openxmlformats.org/officeDocument/2006/relationships/hyperlink" Target="https://in.tradingview.com/chart/bXJLby4L/?symbol=NSE%3A20MICRONS" TargetMode="External"/><Relationship Id="rId1898" Type="http://schemas.openxmlformats.org/officeDocument/2006/relationships/hyperlink" Target="https://in.tradingview.com/chart/bXJLby4L/?symbol=NSE%3A20MICRONS" TargetMode="External"/><Relationship Id="rId1899" Type="http://schemas.openxmlformats.org/officeDocument/2006/relationships/hyperlink" Target="https://in.tradingview.com/chart/bXJLby4L/?symbol=NSE%3A20MICRONS" TargetMode="External"/><Relationship Id="rId1890" Type="http://schemas.openxmlformats.org/officeDocument/2006/relationships/hyperlink" Target="https://in.tradingview.com/chart/bXJLby4L/?symbol=NSE%3A20MICRONS" TargetMode="External"/><Relationship Id="rId1891" Type="http://schemas.openxmlformats.org/officeDocument/2006/relationships/hyperlink" Target="https://in.tradingview.com/chart/bXJLby4L/?symbol=NSE%3A20MICRONS" TargetMode="External"/><Relationship Id="rId1892" Type="http://schemas.openxmlformats.org/officeDocument/2006/relationships/hyperlink" Target="https://in.tradingview.com/chart/bXJLby4L/?symbol=NSE%3A20MICRONS" TargetMode="External"/><Relationship Id="rId1893" Type="http://schemas.openxmlformats.org/officeDocument/2006/relationships/hyperlink" Target="https://in.tradingview.com/chart/bXJLby4L/?symbol=NSE%3A20MICRONS" TargetMode="External"/><Relationship Id="rId1894" Type="http://schemas.openxmlformats.org/officeDocument/2006/relationships/hyperlink" Target="https://in.tradingview.com/chart/bXJLby4L/?symbol=NSE%3A20MICRONS" TargetMode="External"/><Relationship Id="rId1884" Type="http://schemas.openxmlformats.org/officeDocument/2006/relationships/hyperlink" Target="https://in.tradingview.com/chart/bXJLby4L/?symbol=NSE%3A20MICRONS" TargetMode="External"/><Relationship Id="rId1885" Type="http://schemas.openxmlformats.org/officeDocument/2006/relationships/hyperlink" Target="https://in.tradingview.com/chart/bXJLby4L/?symbol=NSE%3A20MICRONS" TargetMode="External"/><Relationship Id="rId1886" Type="http://schemas.openxmlformats.org/officeDocument/2006/relationships/hyperlink" Target="https://in.tradingview.com/chart/bXJLby4L/?symbol=NSE%3A20MICRONS" TargetMode="External"/><Relationship Id="rId1887" Type="http://schemas.openxmlformats.org/officeDocument/2006/relationships/hyperlink" Target="https://in.tradingview.com/chart/bXJLby4L/?symbol=NSE%3A20MICRONS" TargetMode="External"/><Relationship Id="rId1888" Type="http://schemas.openxmlformats.org/officeDocument/2006/relationships/hyperlink" Target="https://in.tradingview.com/chart/bXJLby4L/?symbol=NSE%3A20MICRONS" TargetMode="External"/><Relationship Id="rId1889" Type="http://schemas.openxmlformats.org/officeDocument/2006/relationships/hyperlink" Target="https://in.tradingview.com/chart/bXJLby4L/?symbol=NSE%3A20MICRONS" TargetMode="External"/><Relationship Id="rId1880" Type="http://schemas.openxmlformats.org/officeDocument/2006/relationships/hyperlink" Target="https://in.tradingview.com/chart/bXJLby4L/?symbol=NSE%3A20MICRONS" TargetMode="External"/><Relationship Id="rId1881" Type="http://schemas.openxmlformats.org/officeDocument/2006/relationships/hyperlink" Target="https://in.tradingview.com/chart/bXJLby4L/?symbol=NSE%3A20MICRONS" TargetMode="External"/><Relationship Id="rId1882" Type="http://schemas.openxmlformats.org/officeDocument/2006/relationships/hyperlink" Target="https://in.tradingview.com/chart/bXJLby4L/?symbol=NSE%3A20MICRONS" TargetMode="External"/><Relationship Id="rId1883" Type="http://schemas.openxmlformats.org/officeDocument/2006/relationships/hyperlink" Target="https://in.tradingview.com/chart/bXJLby4L/?symbol=NSE%3A20MICRONS" TargetMode="External"/><Relationship Id="rId1059" Type="http://schemas.openxmlformats.org/officeDocument/2006/relationships/hyperlink" Target="https://in.tradingview.com/chart/bXJLby4L/?symbol=NSE%3A20MICRONS" TargetMode="External"/><Relationship Id="rId228" Type="http://schemas.openxmlformats.org/officeDocument/2006/relationships/hyperlink" Target="https://in.tradingview.com/chart/bXJLby4L/?symbol=NSE%3A20MICRONS" TargetMode="External"/><Relationship Id="rId227" Type="http://schemas.openxmlformats.org/officeDocument/2006/relationships/hyperlink" Target="https://in.tradingview.com/chart/bXJLby4L/?symbol=NSE%3A20MICRONS" TargetMode="External"/><Relationship Id="rId226" Type="http://schemas.openxmlformats.org/officeDocument/2006/relationships/hyperlink" Target="https://in.tradingview.com/chart/bXJLby4L/?symbol=NSE%3A20MICRONS" TargetMode="External"/><Relationship Id="rId225" Type="http://schemas.openxmlformats.org/officeDocument/2006/relationships/hyperlink" Target="https://in.tradingview.com/chart/bXJLby4L/?symbol=NSE%3A20MICRONS" TargetMode="External"/><Relationship Id="rId2380" Type="http://schemas.openxmlformats.org/officeDocument/2006/relationships/hyperlink" Target="https://in.tradingview.com/chart/bXJLby4L/?symbol=NSE%3A20MICRONS" TargetMode="External"/><Relationship Id="rId229" Type="http://schemas.openxmlformats.org/officeDocument/2006/relationships/hyperlink" Target="https://in.tradingview.com/chart/bXJLby4L/?symbol=NSE%3A20MICRONS" TargetMode="External"/><Relationship Id="rId1050" Type="http://schemas.openxmlformats.org/officeDocument/2006/relationships/hyperlink" Target="https://in.tradingview.com/chart/bXJLby4L/?symbol=NSE%3A20MICRONS" TargetMode="External"/><Relationship Id="rId2381" Type="http://schemas.openxmlformats.org/officeDocument/2006/relationships/hyperlink" Target="https://in.tradingview.com/chart/bXJLby4L/?symbol=NSE%3A20MICRONS" TargetMode="External"/><Relationship Id="rId220" Type="http://schemas.openxmlformats.org/officeDocument/2006/relationships/hyperlink" Target="https://in.tradingview.com/chart/bXJLby4L/?symbol=NSE%3A20MICRONS" TargetMode="External"/><Relationship Id="rId1051" Type="http://schemas.openxmlformats.org/officeDocument/2006/relationships/hyperlink" Target="https://in.tradingview.com/chart/bXJLby4L/?symbol=NSE%3A20MICRONS" TargetMode="External"/><Relationship Id="rId2382" Type="http://schemas.openxmlformats.org/officeDocument/2006/relationships/hyperlink" Target="https://in.tradingview.com/chart/bXJLby4L/?symbol=NSE%3A20MICRONS" TargetMode="External"/><Relationship Id="rId1052" Type="http://schemas.openxmlformats.org/officeDocument/2006/relationships/hyperlink" Target="https://in.tradingview.com/chart/bXJLby4L/?symbol=NSE%3A20MICRONS" TargetMode="External"/><Relationship Id="rId2383" Type="http://schemas.openxmlformats.org/officeDocument/2006/relationships/hyperlink" Target="https://in.tradingview.com/chart/bXJLby4L/?symbol=NSE%3A20MICRONS" TargetMode="External"/><Relationship Id="rId1053" Type="http://schemas.openxmlformats.org/officeDocument/2006/relationships/hyperlink" Target="https://in.tradingview.com/chart/bXJLby4L/?symbol=NSE%3A20MICRONS" TargetMode="External"/><Relationship Id="rId2384" Type="http://schemas.openxmlformats.org/officeDocument/2006/relationships/hyperlink" Target="https://in.tradingview.com/chart/bXJLby4L/?symbol=NSE%3A20MICRONS" TargetMode="External"/><Relationship Id="rId1054" Type="http://schemas.openxmlformats.org/officeDocument/2006/relationships/hyperlink" Target="https://in.tradingview.com/chart/bXJLby4L/?symbol=NSE%3A20MICRONS" TargetMode="External"/><Relationship Id="rId2385" Type="http://schemas.openxmlformats.org/officeDocument/2006/relationships/hyperlink" Target="https://in.tradingview.com/chart/bXJLby4L/?symbol=NSE%3A20MICRONS" TargetMode="External"/><Relationship Id="rId224" Type="http://schemas.openxmlformats.org/officeDocument/2006/relationships/hyperlink" Target="https://in.tradingview.com/chart/bXJLby4L/?symbol=NSE%3A20MICRONS" TargetMode="External"/><Relationship Id="rId1055" Type="http://schemas.openxmlformats.org/officeDocument/2006/relationships/hyperlink" Target="https://in.tradingview.com/chart/bXJLby4L/?symbol=NSE%3A20MICRONS" TargetMode="External"/><Relationship Id="rId2386" Type="http://schemas.openxmlformats.org/officeDocument/2006/relationships/hyperlink" Target="https://in.tradingview.com/chart/bXJLby4L/?symbol=NSE%3A20MICRONS" TargetMode="External"/><Relationship Id="rId223" Type="http://schemas.openxmlformats.org/officeDocument/2006/relationships/hyperlink" Target="https://in.tradingview.com/chart/bXJLby4L/?symbol=NSE%3A20MICRONS" TargetMode="External"/><Relationship Id="rId1056" Type="http://schemas.openxmlformats.org/officeDocument/2006/relationships/hyperlink" Target="https://in.tradingview.com/chart/bXJLby4L/?symbol=NSE%3A20MICRONS" TargetMode="External"/><Relationship Id="rId2387" Type="http://schemas.openxmlformats.org/officeDocument/2006/relationships/hyperlink" Target="https://in.tradingview.com/chart/bXJLby4L/?symbol=NSE%3A20MICRONS" TargetMode="External"/><Relationship Id="rId222" Type="http://schemas.openxmlformats.org/officeDocument/2006/relationships/hyperlink" Target="https://in.tradingview.com/chart/bXJLby4L/?symbol=NSE%3A20MICRONS" TargetMode="External"/><Relationship Id="rId1057" Type="http://schemas.openxmlformats.org/officeDocument/2006/relationships/hyperlink" Target="https://in.tradingview.com/chart/bXJLby4L/?symbol=NSE%3A20MICRONS" TargetMode="External"/><Relationship Id="rId2388" Type="http://schemas.openxmlformats.org/officeDocument/2006/relationships/hyperlink" Target="https://in.tradingview.com/chart/bXJLby4L/?symbol=NSE%3A20MICRONS" TargetMode="External"/><Relationship Id="rId221" Type="http://schemas.openxmlformats.org/officeDocument/2006/relationships/hyperlink" Target="https://in.tradingview.com/chart/bXJLby4L/?symbol=NSE%3A20MICRONS" TargetMode="External"/><Relationship Id="rId1058" Type="http://schemas.openxmlformats.org/officeDocument/2006/relationships/hyperlink" Target="https://in.tradingview.com/chart/bXJLby4L/?symbol=NSE%3A20MICRONS" TargetMode="External"/><Relationship Id="rId2389" Type="http://schemas.openxmlformats.org/officeDocument/2006/relationships/hyperlink" Target="https://in.tradingview.com/chart/bXJLby4L/?symbol=NSE%3A20MICRONS" TargetMode="External"/><Relationship Id="rId1048" Type="http://schemas.openxmlformats.org/officeDocument/2006/relationships/hyperlink" Target="https://in.tradingview.com/chart/bXJLby4L/?symbol=NSE%3A20MICRONS" TargetMode="External"/><Relationship Id="rId2379" Type="http://schemas.openxmlformats.org/officeDocument/2006/relationships/hyperlink" Target="https://in.tradingview.com/chart/bXJLby4L/?symbol=NSE%3A20MICRONS" TargetMode="External"/><Relationship Id="rId1049" Type="http://schemas.openxmlformats.org/officeDocument/2006/relationships/hyperlink" Target="https://in.tradingview.com/chart/bXJLby4L/?symbol=NSE%3A20MICRONS" TargetMode="External"/><Relationship Id="rId217" Type="http://schemas.openxmlformats.org/officeDocument/2006/relationships/hyperlink" Target="https://in.tradingview.com/chart/bXJLby4L/?symbol=NSE%3A20MICRONS" TargetMode="External"/><Relationship Id="rId216" Type="http://schemas.openxmlformats.org/officeDocument/2006/relationships/hyperlink" Target="https://in.tradingview.com/chart/bXJLby4L/?symbol=NSE%3A20MICRONS" TargetMode="External"/><Relationship Id="rId215" Type="http://schemas.openxmlformats.org/officeDocument/2006/relationships/hyperlink" Target="https://in.tradingview.com/chart/bXJLby4L/?symbol=NSE%3A20MICRONS" TargetMode="External"/><Relationship Id="rId214" Type="http://schemas.openxmlformats.org/officeDocument/2006/relationships/hyperlink" Target="https://in.tradingview.com/chart/bXJLby4L/?symbol=NSE%3A20MICRONS" TargetMode="External"/><Relationship Id="rId219" Type="http://schemas.openxmlformats.org/officeDocument/2006/relationships/hyperlink" Target="https://in.tradingview.com/chart/bXJLby4L/?symbol=NSE%3A20MICRONS" TargetMode="External"/><Relationship Id="rId218" Type="http://schemas.openxmlformats.org/officeDocument/2006/relationships/hyperlink" Target="https://in.tradingview.com/chart/bXJLby4L/?symbol=NSE%3A20MICRONS" TargetMode="External"/><Relationship Id="rId2370" Type="http://schemas.openxmlformats.org/officeDocument/2006/relationships/hyperlink" Target="https://in.tradingview.com/chart/bXJLby4L/?symbol=NSE%3A20MICRONS" TargetMode="External"/><Relationship Id="rId1040" Type="http://schemas.openxmlformats.org/officeDocument/2006/relationships/hyperlink" Target="https://in.tradingview.com/chart/bXJLby4L/?symbol=NSE%3A20MICRONS" TargetMode="External"/><Relationship Id="rId2371" Type="http://schemas.openxmlformats.org/officeDocument/2006/relationships/hyperlink" Target="https://in.tradingview.com/chart/bXJLby4L/?symbol=NSE%3A20MICRONS" TargetMode="External"/><Relationship Id="rId1041" Type="http://schemas.openxmlformats.org/officeDocument/2006/relationships/hyperlink" Target="https://in.tradingview.com/chart/bXJLby4L/?symbol=NSE%3A20MICRONS" TargetMode="External"/><Relationship Id="rId2372" Type="http://schemas.openxmlformats.org/officeDocument/2006/relationships/hyperlink" Target="https://in.tradingview.com/chart/bXJLby4L/?symbol=NSE%3A20MICRONS" TargetMode="External"/><Relationship Id="rId1042" Type="http://schemas.openxmlformats.org/officeDocument/2006/relationships/hyperlink" Target="https://in.tradingview.com/chart/bXJLby4L/?symbol=NSE%3A20MICRONS" TargetMode="External"/><Relationship Id="rId2373" Type="http://schemas.openxmlformats.org/officeDocument/2006/relationships/hyperlink" Target="https://in.tradingview.com/chart/bXJLby4L/?symbol=NSE%3A20MICRONS" TargetMode="External"/><Relationship Id="rId1043" Type="http://schemas.openxmlformats.org/officeDocument/2006/relationships/hyperlink" Target="https://in.tradingview.com/chart/bXJLby4L/?symbol=NSE%3A20MICRONS" TargetMode="External"/><Relationship Id="rId2374" Type="http://schemas.openxmlformats.org/officeDocument/2006/relationships/hyperlink" Target="https://in.tradingview.com/chart/bXJLby4L/?symbol=NSE%3A20MICRONS" TargetMode="External"/><Relationship Id="rId213" Type="http://schemas.openxmlformats.org/officeDocument/2006/relationships/hyperlink" Target="https://in.tradingview.com/chart/bXJLby4L/?symbol=NSE%3A20MICRONS" TargetMode="External"/><Relationship Id="rId1044" Type="http://schemas.openxmlformats.org/officeDocument/2006/relationships/hyperlink" Target="https://in.tradingview.com/chart/bXJLby4L/?symbol=NSE%3A20MICRONS" TargetMode="External"/><Relationship Id="rId2375" Type="http://schemas.openxmlformats.org/officeDocument/2006/relationships/hyperlink" Target="https://in.tradingview.com/chart/bXJLby4L/?symbol=NSE%3A20MICRONS" TargetMode="External"/><Relationship Id="rId212" Type="http://schemas.openxmlformats.org/officeDocument/2006/relationships/hyperlink" Target="https://in.tradingview.com/chart/bXJLby4L/?symbol=NSE%3A20MICRONS" TargetMode="External"/><Relationship Id="rId1045" Type="http://schemas.openxmlformats.org/officeDocument/2006/relationships/hyperlink" Target="https://in.tradingview.com/chart/bXJLby4L/?symbol=NSE%3A20MICRONS" TargetMode="External"/><Relationship Id="rId2376" Type="http://schemas.openxmlformats.org/officeDocument/2006/relationships/hyperlink" Target="https://in.tradingview.com/chart/bXJLby4L/?symbol=NSE%3A20MICRONS" TargetMode="External"/><Relationship Id="rId211" Type="http://schemas.openxmlformats.org/officeDocument/2006/relationships/hyperlink" Target="https://in.tradingview.com/chart/bXJLby4L/?symbol=NSE%3A20MICRONS" TargetMode="External"/><Relationship Id="rId1046" Type="http://schemas.openxmlformats.org/officeDocument/2006/relationships/hyperlink" Target="https://in.tradingview.com/chart/bXJLby4L/?symbol=NSE%3A20MICRONS" TargetMode="External"/><Relationship Id="rId2377" Type="http://schemas.openxmlformats.org/officeDocument/2006/relationships/hyperlink" Target="https://in.tradingview.com/chart/bXJLby4L/?symbol=NSE%3A20MICRONS" TargetMode="External"/><Relationship Id="rId210" Type="http://schemas.openxmlformats.org/officeDocument/2006/relationships/hyperlink" Target="https://in.tradingview.com/chart/bXJLby4L/?symbol=NSE%3A20MICRONS" TargetMode="External"/><Relationship Id="rId1047" Type="http://schemas.openxmlformats.org/officeDocument/2006/relationships/hyperlink" Target="https://in.tradingview.com/chart/bXJLby4L/?symbol=NSE%3A20MICRONS" TargetMode="External"/><Relationship Id="rId2378" Type="http://schemas.openxmlformats.org/officeDocument/2006/relationships/hyperlink" Target="https://in.tradingview.com/chart/bXJLby4L/?symbol=NSE%3A20MICRONS" TargetMode="External"/><Relationship Id="rId249" Type="http://schemas.openxmlformats.org/officeDocument/2006/relationships/hyperlink" Target="https://in.tradingview.com/chart/bXJLby4L/?symbol=NSE%3A20MICRONS" TargetMode="External"/><Relationship Id="rId248" Type="http://schemas.openxmlformats.org/officeDocument/2006/relationships/hyperlink" Target="https://in.tradingview.com/chart/bXJLby4L/?symbol=NSE%3A20MICRONS" TargetMode="External"/><Relationship Id="rId247" Type="http://schemas.openxmlformats.org/officeDocument/2006/relationships/hyperlink" Target="https://in.tradingview.com/chart/bXJLby4L/?symbol=NSE%3A20MICRONS" TargetMode="External"/><Relationship Id="rId1070" Type="http://schemas.openxmlformats.org/officeDocument/2006/relationships/hyperlink" Target="https://in.tradingview.com/chart/bXJLby4L/?symbol=NSE%3A20MICRONS" TargetMode="External"/><Relationship Id="rId1071" Type="http://schemas.openxmlformats.org/officeDocument/2006/relationships/hyperlink" Target="https://in.tradingview.com/chart/bXJLby4L/?symbol=NSE%3A20MICRONS" TargetMode="External"/><Relationship Id="rId1072" Type="http://schemas.openxmlformats.org/officeDocument/2006/relationships/hyperlink" Target="https://in.tradingview.com/chart/bXJLby4L/?symbol=NSE%3A20MICRONS" TargetMode="External"/><Relationship Id="rId242" Type="http://schemas.openxmlformats.org/officeDocument/2006/relationships/hyperlink" Target="https://in.tradingview.com/chart/bXJLby4L/?symbol=NSE%3A20MICRONS" TargetMode="External"/><Relationship Id="rId1073" Type="http://schemas.openxmlformats.org/officeDocument/2006/relationships/hyperlink" Target="https://in.tradingview.com/chart/bXJLby4L/?symbol=NSE%3A20MICRONS" TargetMode="External"/><Relationship Id="rId241" Type="http://schemas.openxmlformats.org/officeDocument/2006/relationships/hyperlink" Target="https://in.tradingview.com/chart/bXJLby4L/?symbol=NSE%3A20MICRONS" TargetMode="External"/><Relationship Id="rId1074" Type="http://schemas.openxmlformats.org/officeDocument/2006/relationships/hyperlink" Target="https://in.tradingview.com/chart/bXJLby4L/?symbol=NSE%3A20MICRONS" TargetMode="External"/><Relationship Id="rId240" Type="http://schemas.openxmlformats.org/officeDocument/2006/relationships/hyperlink" Target="https://in.tradingview.com/chart/bXJLby4L/?symbol=NSE%3A20MICRONS" TargetMode="External"/><Relationship Id="rId1075" Type="http://schemas.openxmlformats.org/officeDocument/2006/relationships/hyperlink" Target="https://in.tradingview.com/chart/bXJLby4L/?symbol=NSE%3A20MICRONS" TargetMode="External"/><Relationship Id="rId1076" Type="http://schemas.openxmlformats.org/officeDocument/2006/relationships/hyperlink" Target="https://in.tradingview.com/chart/bXJLby4L/?symbol=NSE%3A20MICRONS" TargetMode="External"/><Relationship Id="rId246" Type="http://schemas.openxmlformats.org/officeDocument/2006/relationships/hyperlink" Target="https://in.tradingview.com/chart/bXJLby4L/?symbol=NSE%3A20MICRONS" TargetMode="External"/><Relationship Id="rId1077" Type="http://schemas.openxmlformats.org/officeDocument/2006/relationships/hyperlink" Target="https://in.tradingview.com/chart/bXJLby4L/?symbol=NSE%3A20MICRONS" TargetMode="External"/><Relationship Id="rId245" Type="http://schemas.openxmlformats.org/officeDocument/2006/relationships/hyperlink" Target="https://in.tradingview.com/chart/bXJLby4L/?symbol=NSE%3A20MICRONS" TargetMode="External"/><Relationship Id="rId1078" Type="http://schemas.openxmlformats.org/officeDocument/2006/relationships/hyperlink" Target="https://in.tradingview.com/chart/bXJLby4L/?symbol=NSE%3A20MICRONS" TargetMode="External"/><Relationship Id="rId244" Type="http://schemas.openxmlformats.org/officeDocument/2006/relationships/hyperlink" Target="https://in.tradingview.com/chart/bXJLby4L/?symbol=NSE%3A20MICRONS" TargetMode="External"/><Relationship Id="rId1079" Type="http://schemas.openxmlformats.org/officeDocument/2006/relationships/hyperlink" Target="https://in.tradingview.com/chart/bXJLby4L/?symbol=NSE%3A20MICRONS" TargetMode="External"/><Relationship Id="rId243" Type="http://schemas.openxmlformats.org/officeDocument/2006/relationships/hyperlink" Target="https://in.tradingview.com/chart/bXJLby4L/?symbol=NSE%3A20MICRONS" TargetMode="External"/><Relationship Id="rId239" Type="http://schemas.openxmlformats.org/officeDocument/2006/relationships/hyperlink" Target="https://in.tradingview.com/chart/bXJLby4L/?symbol=NSE%3A20MICRONS" TargetMode="External"/><Relationship Id="rId238" Type="http://schemas.openxmlformats.org/officeDocument/2006/relationships/hyperlink" Target="https://in.tradingview.com/chart/bXJLby4L/?symbol=NSE%3A20MICRONS" TargetMode="External"/><Relationship Id="rId237" Type="http://schemas.openxmlformats.org/officeDocument/2006/relationships/hyperlink" Target="https://in.tradingview.com/chart/bXJLby4L/?symbol=NSE%3A20MICRONS" TargetMode="External"/><Relationship Id="rId236" Type="http://schemas.openxmlformats.org/officeDocument/2006/relationships/hyperlink" Target="https://in.tradingview.com/chart/bXJLby4L/?symbol=NSE%3A20MICRONS" TargetMode="External"/><Relationship Id="rId2390" Type="http://schemas.openxmlformats.org/officeDocument/2006/relationships/hyperlink" Target="https://in.tradingview.com/chart/bXJLby4L/?symbol=NSE%3A20MICRONS" TargetMode="External"/><Relationship Id="rId1060" Type="http://schemas.openxmlformats.org/officeDocument/2006/relationships/hyperlink" Target="https://in.tradingview.com/chart/bXJLby4L/?symbol=NSE%3A20MICRONS" TargetMode="External"/><Relationship Id="rId2391" Type="http://schemas.openxmlformats.org/officeDocument/2006/relationships/hyperlink" Target="https://in.tradingview.com/chart/bXJLby4L/?symbol=NSE%3A20MICRONS" TargetMode="External"/><Relationship Id="rId1061" Type="http://schemas.openxmlformats.org/officeDocument/2006/relationships/hyperlink" Target="https://in.tradingview.com/chart/bXJLby4L/?symbol=NSE%3A20MICRONS" TargetMode="External"/><Relationship Id="rId2392" Type="http://schemas.openxmlformats.org/officeDocument/2006/relationships/hyperlink" Target="https://in.tradingview.com/chart/bXJLby4L/?symbol=NSE%3A20MICRONS" TargetMode="External"/><Relationship Id="rId231" Type="http://schemas.openxmlformats.org/officeDocument/2006/relationships/hyperlink" Target="https://in.tradingview.com/chart/bXJLby4L/?symbol=NSE%3A20MICRONS" TargetMode="External"/><Relationship Id="rId1062" Type="http://schemas.openxmlformats.org/officeDocument/2006/relationships/hyperlink" Target="https://in.tradingview.com/chart/bXJLby4L/?symbol=NSE%3A20MICRONS" TargetMode="External"/><Relationship Id="rId2393" Type="http://schemas.openxmlformats.org/officeDocument/2006/relationships/hyperlink" Target="https://in.tradingview.com/chart/bXJLby4L/?symbol=NSE%3A20MICRONS" TargetMode="External"/><Relationship Id="rId230" Type="http://schemas.openxmlformats.org/officeDocument/2006/relationships/hyperlink" Target="https://in.tradingview.com/chart/bXJLby4L/?symbol=NSE%3A20MICRONS" TargetMode="External"/><Relationship Id="rId1063" Type="http://schemas.openxmlformats.org/officeDocument/2006/relationships/hyperlink" Target="https://in.tradingview.com/chart/bXJLby4L/?symbol=NSE%3A20MICRONS" TargetMode="External"/><Relationship Id="rId2394" Type="http://schemas.openxmlformats.org/officeDocument/2006/relationships/hyperlink" Target="https://in.tradingview.com/chart/bXJLby4L/?symbol=NSE%3A20MICRONS" TargetMode="External"/><Relationship Id="rId1064" Type="http://schemas.openxmlformats.org/officeDocument/2006/relationships/hyperlink" Target="https://in.tradingview.com/chart/bXJLby4L/?symbol=NSE%3A20MICRONS" TargetMode="External"/><Relationship Id="rId2395" Type="http://schemas.openxmlformats.org/officeDocument/2006/relationships/hyperlink" Target="https://in.tradingview.com/chart/bXJLby4L/?symbol=NSE%3A20MICRONS" TargetMode="External"/><Relationship Id="rId1065" Type="http://schemas.openxmlformats.org/officeDocument/2006/relationships/hyperlink" Target="https://in.tradingview.com/chart/bXJLby4L/?symbol=NSE%3A20MICRONS" TargetMode="External"/><Relationship Id="rId2396" Type="http://schemas.openxmlformats.org/officeDocument/2006/relationships/hyperlink" Target="https://in.tradingview.com/chart/bXJLby4L/?symbol=NSE%3A20MICRONS" TargetMode="External"/><Relationship Id="rId235" Type="http://schemas.openxmlformats.org/officeDocument/2006/relationships/hyperlink" Target="https://in.tradingview.com/chart/bXJLby4L/?symbol=NSE%3A20MICRONS" TargetMode="External"/><Relationship Id="rId1066" Type="http://schemas.openxmlformats.org/officeDocument/2006/relationships/hyperlink" Target="https://in.tradingview.com/chart/bXJLby4L/?symbol=NSE%3A20MICRONS" TargetMode="External"/><Relationship Id="rId2397" Type="http://schemas.openxmlformats.org/officeDocument/2006/relationships/hyperlink" Target="https://in.tradingview.com/chart/bXJLby4L/?symbol=NSE%3A20MICRONS" TargetMode="External"/><Relationship Id="rId234" Type="http://schemas.openxmlformats.org/officeDocument/2006/relationships/hyperlink" Target="https://in.tradingview.com/chart/bXJLby4L/?symbol=NSE%3A20MICRONS" TargetMode="External"/><Relationship Id="rId1067" Type="http://schemas.openxmlformats.org/officeDocument/2006/relationships/hyperlink" Target="https://in.tradingview.com/chart/bXJLby4L/?symbol=NSE%3A20MICRONS" TargetMode="External"/><Relationship Id="rId2398" Type="http://schemas.openxmlformats.org/officeDocument/2006/relationships/hyperlink" Target="https://in.tradingview.com/chart/bXJLby4L/?symbol=NSE%3A20MICRONS" TargetMode="External"/><Relationship Id="rId233" Type="http://schemas.openxmlformats.org/officeDocument/2006/relationships/hyperlink" Target="https://in.tradingview.com/chart/bXJLby4L/?symbol=NSE%3A20MICRONS" TargetMode="External"/><Relationship Id="rId1068" Type="http://schemas.openxmlformats.org/officeDocument/2006/relationships/hyperlink" Target="https://in.tradingview.com/chart/bXJLby4L/?symbol=NSE%3A20MICRONS" TargetMode="External"/><Relationship Id="rId2399" Type="http://schemas.openxmlformats.org/officeDocument/2006/relationships/hyperlink" Target="https://in.tradingview.com/chart/bXJLby4L/?symbol=NSE%3A20MICRONS" TargetMode="External"/><Relationship Id="rId232" Type="http://schemas.openxmlformats.org/officeDocument/2006/relationships/hyperlink" Target="https://in.tradingview.com/chart/bXJLby4L/?symbol=NSE%3A20MICRONS" TargetMode="External"/><Relationship Id="rId1069" Type="http://schemas.openxmlformats.org/officeDocument/2006/relationships/hyperlink" Target="https://in.tradingview.com/chart/bXJLby4L/?symbol=NSE%3A20MICRONS" TargetMode="External"/><Relationship Id="rId1015" Type="http://schemas.openxmlformats.org/officeDocument/2006/relationships/hyperlink" Target="https://in.tradingview.com/chart/bXJLby4L/?symbol=NSE%3A20MICRONS" TargetMode="External"/><Relationship Id="rId2346" Type="http://schemas.openxmlformats.org/officeDocument/2006/relationships/hyperlink" Target="https://in.tradingview.com/chart/bXJLby4L/?symbol=NSE%3A20MICRONS" TargetMode="External"/><Relationship Id="rId1016" Type="http://schemas.openxmlformats.org/officeDocument/2006/relationships/hyperlink" Target="https://in.tradingview.com/chart/bXJLby4L/?symbol=NSE%3A20MICRONS" TargetMode="External"/><Relationship Id="rId2347" Type="http://schemas.openxmlformats.org/officeDocument/2006/relationships/hyperlink" Target="https://in.tradingview.com/chart/bXJLby4L/?symbol=NSE%3A20MICRONS" TargetMode="External"/><Relationship Id="rId1017" Type="http://schemas.openxmlformats.org/officeDocument/2006/relationships/hyperlink" Target="https://in.tradingview.com/chart/bXJLby4L/?symbol=NSE%3A20MICRONS" TargetMode="External"/><Relationship Id="rId2348" Type="http://schemas.openxmlformats.org/officeDocument/2006/relationships/hyperlink" Target="https://in.tradingview.com/chart/bXJLby4L/?symbol=NSE%3A20MICRONS" TargetMode="External"/><Relationship Id="rId1018" Type="http://schemas.openxmlformats.org/officeDocument/2006/relationships/hyperlink" Target="https://in.tradingview.com/chart/bXJLby4L/?symbol=NSE%3A20MICRONS" TargetMode="External"/><Relationship Id="rId2349" Type="http://schemas.openxmlformats.org/officeDocument/2006/relationships/hyperlink" Target="https://in.tradingview.com/chart/bXJLby4L/?symbol=NSE%3A20MICRONS" TargetMode="External"/><Relationship Id="rId1019" Type="http://schemas.openxmlformats.org/officeDocument/2006/relationships/hyperlink" Target="https://in.tradingview.com/chart/bXJLby4L/?symbol=NSE%3A20MICRONS" TargetMode="External"/><Relationship Id="rId2340" Type="http://schemas.openxmlformats.org/officeDocument/2006/relationships/hyperlink" Target="https://in.tradingview.com/chart/bXJLby4L/?symbol=NSE%3A20MICRONS" TargetMode="External"/><Relationship Id="rId1010" Type="http://schemas.openxmlformats.org/officeDocument/2006/relationships/hyperlink" Target="https://in.tradingview.com/chart/bXJLby4L/?symbol=NSE%3A20MICRONS" TargetMode="External"/><Relationship Id="rId2341" Type="http://schemas.openxmlformats.org/officeDocument/2006/relationships/hyperlink" Target="https://in.tradingview.com/chart/bXJLby4L/?symbol=NSE%3A20MICRONS" TargetMode="External"/><Relationship Id="rId1011" Type="http://schemas.openxmlformats.org/officeDocument/2006/relationships/hyperlink" Target="https://in.tradingview.com/chart/bXJLby4L/?symbol=NSE%3A20MICRONS" TargetMode="External"/><Relationship Id="rId2342" Type="http://schemas.openxmlformats.org/officeDocument/2006/relationships/hyperlink" Target="https://in.tradingview.com/chart/bXJLby4L/?symbol=NSE%3A20MICRONS" TargetMode="External"/><Relationship Id="rId1012" Type="http://schemas.openxmlformats.org/officeDocument/2006/relationships/hyperlink" Target="https://in.tradingview.com/chart/bXJLby4L/?symbol=NSE%3A20MICRONS" TargetMode="External"/><Relationship Id="rId2343" Type="http://schemas.openxmlformats.org/officeDocument/2006/relationships/hyperlink" Target="https://in.tradingview.com/chart/bXJLby4L/?symbol=NSE%3A20MICRONS" TargetMode="External"/><Relationship Id="rId1013" Type="http://schemas.openxmlformats.org/officeDocument/2006/relationships/hyperlink" Target="https://in.tradingview.com/chart/bXJLby4L/?symbol=NSE%3A20MICRONS" TargetMode="External"/><Relationship Id="rId2344" Type="http://schemas.openxmlformats.org/officeDocument/2006/relationships/hyperlink" Target="https://in.tradingview.com/chart/bXJLby4L/?symbol=NSE%3A20MICRONS" TargetMode="External"/><Relationship Id="rId1014" Type="http://schemas.openxmlformats.org/officeDocument/2006/relationships/hyperlink" Target="https://in.tradingview.com/chart/bXJLby4L/?symbol=NSE%3A20MICRONS" TargetMode="External"/><Relationship Id="rId2345" Type="http://schemas.openxmlformats.org/officeDocument/2006/relationships/hyperlink" Target="https://in.tradingview.com/chart/bXJLby4L/?symbol=NSE%3A20MICRONS" TargetMode="External"/><Relationship Id="rId1004" Type="http://schemas.openxmlformats.org/officeDocument/2006/relationships/hyperlink" Target="https://in.tradingview.com/chart/bXJLby4L/?symbol=NSE%3A20MICRONS" TargetMode="External"/><Relationship Id="rId2335" Type="http://schemas.openxmlformats.org/officeDocument/2006/relationships/hyperlink" Target="https://in.tradingview.com/chart/bXJLby4L/?symbol=NSE%3A20MICRONS" TargetMode="External"/><Relationship Id="rId1005" Type="http://schemas.openxmlformats.org/officeDocument/2006/relationships/hyperlink" Target="https://in.tradingview.com/chart/bXJLby4L/?symbol=NSE%3A20MICRONS" TargetMode="External"/><Relationship Id="rId2336" Type="http://schemas.openxmlformats.org/officeDocument/2006/relationships/hyperlink" Target="https://in.tradingview.com/chart/bXJLby4L/?symbol=NSE%3A20MICRONS" TargetMode="External"/><Relationship Id="rId1006" Type="http://schemas.openxmlformats.org/officeDocument/2006/relationships/hyperlink" Target="https://in.tradingview.com/chart/bXJLby4L/?symbol=NSE%3A20MICRONS" TargetMode="External"/><Relationship Id="rId2337" Type="http://schemas.openxmlformats.org/officeDocument/2006/relationships/hyperlink" Target="https://in.tradingview.com/chart/bXJLby4L/?symbol=NSE%3A20MICRONS" TargetMode="External"/><Relationship Id="rId1007" Type="http://schemas.openxmlformats.org/officeDocument/2006/relationships/hyperlink" Target="https://in.tradingview.com/chart/bXJLby4L/?symbol=NSE%3A20MICRONS" TargetMode="External"/><Relationship Id="rId2338" Type="http://schemas.openxmlformats.org/officeDocument/2006/relationships/hyperlink" Target="https://in.tradingview.com/chart/bXJLby4L/?symbol=NSE%3A20MICRONS" TargetMode="External"/><Relationship Id="rId1008" Type="http://schemas.openxmlformats.org/officeDocument/2006/relationships/hyperlink" Target="https://in.tradingview.com/chart/bXJLby4L/?symbol=NSE%3A20MICRONS" TargetMode="External"/><Relationship Id="rId2339" Type="http://schemas.openxmlformats.org/officeDocument/2006/relationships/hyperlink" Target="https://in.tradingview.com/chart/bXJLby4L/?symbol=NSE%3A20MICRONS" TargetMode="External"/><Relationship Id="rId1009" Type="http://schemas.openxmlformats.org/officeDocument/2006/relationships/hyperlink" Target="https://in.tradingview.com/chart/bXJLby4L/?symbol=NSE%3A20MICRONS" TargetMode="External"/><Relationship Id="rId2330" Type="http://schemas.openxmlformats.org/officeDocument/2006/relationships/hyperlink" Target="https://in.tradingview.com/chart/bXJLby4L/?symbol=NSE%3A20MICRONS" TargetMode="External"/><Relationship Id="rId1000" Type="http://schemas.openxmlformats.org/officeDocument/2006/relationships/hyperlink" Target="https://in.tradingview.com/chart/bXJLby4L/?symbol=NSE%3A20MICRONS" TargetMode="External"/><Relationship Id="rId2331" Type="http://schemas.openxmlformats.org/officeDocument/2006/relationships/hyperlink" Target="https://in.tradingview.com/chart/bXJLby4L/?symbol=NSE%3A20MICRONS" TargetMode="External"/><Relationship Id="rId1001" Type="http://schemas.openxmlformats.org/officeDocument/2006/relationships/hyperlink" Target="https://in.tradingview.com/chart/bXJLby4L/?symbol=NSE%3A20MICRONS" TargetMode="External"/><Relationship Id="rId2332" Type="http://schemas.openxmlformats.org/officeDocument/2006/relationships/hyperlink" Target="https://in.tradingview.com/chart/bXJLby4L/?symbol=NSE%3A20MICRONS" TargetMode="External"/><Relationship Id="rId1002" Type="http://schemas.openxmlformats.org/officeDocument/2006/relationships/hyperlink" Target="https://in.tradingview.com/chart/bXJLby4L/?symbol=NSE%3A20MICRONS" TargetMode="External"/><Relationship Id="rId2333" Type="http://schemas.openxmlformats.org/officeDocument/2006/relationships/hyperlink" Target="https://in.tradingview.com/chart/bXJLby4L/?symbol=NSE%3A20MICRONS" TargetMode="External"/><Relationship Id="rId1003" Type="http://schemas.openxmlformats.org/officeDocument/2006/relationships/hyperlink" Target="https://in.tradingview.com/chart/bXJLby4L/?symbol=NSE%3A20MICRONS" TargetMode="External"/><Relationship Id="rId2334" Type="http://schemas.openxmlformats.org/officeDocument/2006/relationships/hyperlink" Target="https://in.tradingview.com/chart/bXJLby4L/?symbol=NSE%3A20MICRONS" TargetMode="External"/><Relationship Id="rId1037" Type="http://schemas.openxmlformats.org/officeDocument/2006/relationships/hyperlink" Target="https://in.tradingview.com/chart/bXJLby4L/?symbol=NSE%3A20MICRONS" TargetMode="External"/><Relationship Id="rId2368" Type="http://schemas.openxmlformats.org/officeDocument/2006/relationships/hyperlink" Target="https://in.tradingview.com/chart/bXJLby4L/?symbol=NSE%3A20MICRONS" TargetMode="External"/><Relationship Id="rId1038" Type="http://schemas.openxmlformats.org/officeDocument/2006/relationships/hyperlink" Target="https://in.tradingview.com/chart/bXJLby4L/?symbol=NSE%3A20MICRONS" TargetMode="External"/><Relationship Id="rId2369" Type="http://schemas.openxmlformats.org/officeDocument/2006/relationships/hyperlink" Target="https://in.tradingview.com/chart/bXJLby4L/?symbol=NSE%3A20MICRONS" TargetMode="External"/><Relationship Id="rId1039" Type="http://schemas.openxmlformats.org/officeDocument/2006/relationships/hyperlink" Target="https://in.tradingview.com/chart/bXJLby4L/?symbol=NSE%3A20MICRONS" TargetMode="External"/><Relationship Id="rId206" Type="http://schemas.openxmlformats.org/officeDocument/2006/relationships/hyperlink" Target="https://in.tradingview.com/chart/bXJLby4L/?symbol=NSE%3A20MICRONS" TargetMode="External"/><Relationship Id="rId205" Type="http://schemas.openxmlformats.org/officeDocument/2006/relationships/hyperlink" Target="https://in.tradingview.com/chart/bXJLby4L/?symbol=NSE%3A20MICRONS" TargetMode="External"/><Relationship Id="rId204" Type="http://schemas.openxmlformats.org/officeDocument/2006/relationships/hyperlink" Target="https://in.tradingview.com/chart/bXJLby4L/?symbol=NSE%3A20MICRONS" TargetMode="External"/><Relationship Id="rId203" Type="http://schemas.openxmlformats.org/officeDocument/2006/relationships/hyperlink" Target="https://in.tradingview.com/chart/bXJLby4L/?symbol=NSE%3A20MICRONS" TargetMode="External"/><Relationship Id="rId209" Type="http://schemas.openxmlformats.org/officeDocument/2006/relationships/hyperlink" Target="https://in.tradingview.com/chart/bXJLby4L/?symbol=NSE%3A20MICRONS" TargetMode="External"/><Relationship Id="rId208" Type="http://schemas.openxmlformats.org/officeDocument/2006/relationships/hyperlink" Target="https://in.tradingview.com/chart/bXJLby4L/?symbol=NSE%3A20MICRONS" TargetMode="External"/><Relationship Id="rId207" Type="http://schemas.openxmlformats.org/officeDocument/2006/relationships/hyperlink" Target="https://in.tradingview.com/chart/bXJLby4L/?symbol=NSE%3A20MICRONS" TargetMode="External"/><Relationship Id="rId2360" Type="http://schemas.openxmlformats.org/officeDocument/2006/relationships/hyperlink" Target="https://in.tradingview.com/chart/bXJLby4L/?symbol=NSE%3A20MICRONS" TargetMode="External"/><Relationship Id="rId1030" Type="http://schemas.openxmlformats.org/officeDocument/2006/relationships/hyperlink" Target="https://in.tradingview.com/chart/bXJLby4L/?symbol=NSE%3A20MICRONS" TargetMode="External"/><Relationship Id="rId2361" Type="http://schemas.openxmlformats.org/officeDocument/2006/relationships/hyperlink" Target="https://in.tradingview.com/chart/bXJLby4L/?symbol=NSE%3A20MICRONS" TargetMode="External"/><Relationship Id="rId1031" Type="http://schemas.openxmlformats.org/officeDocument/2006/relationships/hyperlink" Target="https://in.tradingview.com/chart/bXJLby4L/?symbol=NSE%3A20MICRONS" TargetMode="External"/><Relationship Id="rId2362" Type="http://schemas.openxmlformats.org/officeDocument/2006/relationships/hyperlink" Target="https://in.tradingview.com/chart/bXJLby4L/?symbol=NSE%3A20MICRONS" TargetMode="External"/><Relationship Id="rId1032" Type="http://schemas.openxmlformats.org/officeDocument/2006/relationships/hyperlink" Target="https://in.tradingview.com/chart/bXJLby4L/?symbol=NSE%3A20MICRONS" TargetMode="External"/><Relationship Id="rId2363" Type="http://schemas.openxmlformats.org/officeDocument/2006/relationships/hyperlink" Target="https://in.tradingview.com/chart/bXJLby4L/?symbol=NSE%3A20MICRONS" TargetMode="External"/><Relationship Id="rId202" Type="http://schemas.openxmlformats.org/officeDocument/2006/relationships/hyperlink" Target="https://in.tradingview.com/chart/bXJLby4L/?symbol=NSE%3A20MICRONS" TargetMode="External"/><Relationship Id="rId1033" Type="http://schemas.openxmlformats.org/officeDocument/2006/relationships/hyperlink" Target="https://in.tradingview.com/chart/bXJLby4L/?symbol=NSE%3A20MICRONS" TargetMode="External"/><Relationship Id="rId2364" Type="http://schemas.openxmlformats.org/officeDocument/2006/relationships/hyperlink" Target="https://in.tradingview.com/chart/bXJLby4L/?symbol=NSE%3A20MICRONS" TargetMode="External"/><Relationship Id="rId201" Type="http://schemas.openxmlformats.org/officeDocument/2006/relationships/hyperlink" Target="https://in.tradingview.com/chart/bXJLby4L/?symbol=NSE%3A20MICRONS" TargetMode="External"/><Relationship Id="rId1034" Type="http://schemas.openxmlformats.org/officeDocument/2006/relationships/hyperlink" Target="https://in.tradingview.com/chart/bXJLby4L/?symbol=NSE%3A20MICRONS" TargetMode="External"/><Relationship Id="rId2365" Type="http://schemas.openxmlformats.org/officeDocument/2006/relationships/hyperlink" Target="https://in.tradingview.com/chart/bXJLby4L/?symbol=NSE%3A20MICRONS" TargetMode="External"/><Relationship Id="rId200" Type="http://schemas.openxmlformats.org/officeDocument/2006/relationships/hyperlink" Target="https://in.tradingview.com/chart/bXJLby4L/?symbol=NSE%3A20MICRONS" TargetMode="External"/><Relationship Id="rId1035" Type="http://schemas.openxmlformats.org/officeDocument/2006/relationships/hyperlink" Target="https://in.tradingview.com/chart/bXJLby4L/?symbol=NSE%3A20MICRONS" TargetMode="External"/><Relationship Id="rId2366" Type="http://schemas.openxmlformats.org/officeDocument/2006/relationships/hyperlink" Target="https://in.tradingview.com/chart/bXJLby4L/?symbol=NSE%3A20MICRONS" TargetMode="External"/><Relationship Id="rId1036" Type="http://schemas.openxmlformats.org/officeDocument/2006/relationships/hyperlink" Target="https://in.tradingview.com/chart/bXJLby4L/?symbol=NSE%3A20MICRONS" TargetMode="External"/><Relationship Id="rId2367" Type="http://schemas.openxmlformats.org/officeDocument/2006/relationships/hyperlink" Target="https://in.tradingview.com/chart/bXJLby4L/?symbol=NSE%3A20MICRONS" TargetMode="External"/><Relationship Id="rId1026" Type="http://schemas.openxmlformats.org/officeDocument/2006/relationships/hyperlink" Target="https://in.tradingview.com/chart/bXJLby4L/?symbol=NSE%3A20MICRONS" TargetMode="External"/><Relationship Id="rId2357" Type="http://schemas.openxmlformats.org/officeDocument/2006/relationships/hyperlink" Target="https://in.tradingview.com/chart/bXJLby4L/?symbol=NSE%3A20MICRONS" TargetMode="External"/><Relationship Id="rId1027" Type="http://schemas.openxmlformats.org/officeDocument/2006/relationships/hyperlink" Target="https://in.tradingview.com/chart/bXJLby4L/?symbol=NSE%3A20MICRONS" TargetMode="External"/><Relationship Id="rId2358" Type="http://schemas.openxmlformats.org/officeDocument/2006/relationships/hyperlink" Target="https://in.tradingview.com/chart/bXJLby4L/?symbol=NSE%3A20MICRONS" TargetMode="External"/><Relationship Id="rId1028" Type="http://schemas.openxmlformats.org/officeDocument/2006/relationships/hyperlink" Target="https://in.tradingview.com/chart/bXJLby4L/?symbol=NSE%3A20MICRONS" TargetMode="External"/><Relationship Id="rId2359" Type="http://schemas.openxmlformats.org/officeDocument/2006/relationships/hyperlink" Target="https://in.tradingview.com/chart/bXJLby4L/?symbol=NSE%3A20MICRONS" TargetMode="External"/><Relationship Id="rId1029" Type="http://schemas.openxmlformats.org/officeDocument/2006/relationships/hyperlink" Target="https://in.tradingview.com/chart/bXJLby4L/?symbol=NSE%3A20MICRONS" TargetMode="External"/><Relationship Id="rId2350" Type="http://schemas.openxmlformats.org/officeDocument/2006/relationships/hyperlink" Target="https://in.tradingview.com/chart/bXJLby4L/?symbol=NSE%3A20MICRONS" TargetMode="External"/><Relationship Id="rId1020" Type="http://schemas.openxmlformats.org/officeDocument/2006/relationships/hyperlink" Target="https://in.tradingview.com/chart/bXJLby4L/?symbol=NSE%3A20MICRONS" TargetMode="External"/><Relationship Id="rId2351" Type="http://schemas.openxmlformats.org/officeDocument/2006/relationships/hyperlink" Target="https://in.tradingview.com/chart/bXJLby4L/?symbol=NSE%3A20MICRONS" TargetMode="External"/><Relationship Id="rId1021" Type="http://schemas.openxmlformats.org/officeDocument/2006/relationships/hyperlink" Target="https://in.tradingview.com/chart/bXJLby4L/?symbol=NSE%3A20MICRONS" TargetMode="External"/><Relationship Id="rId2352" Type="http://schemas.openxmlformats.org/officeDocument/2006/relationships/hyperlink" Target="https://in.tradingview.com/chart/bXJLby4L/?symbol=NSE%3A20MICRONS" TargetMode="External"/><Relationship Id="rId1022" Type="http://schemas.openxmlformats.org/officeDocument/2006/relationships/hyperlink" Target="https://in.tradingview.com/chart/bXJLby4L/?symbol=NSE%3A20MICRONS" TargetMode="External"/><Relationship Id="rId2353" Type="http://schemas.openxmlformats.org/officeDocument/2006/relationships/hyperlink" Target="https://in.tradingview.com/chart/bXJLby4L/?symbol=NSE%3A20MICRONS" TargetMode="External"/><Relationship Id="rId1023" Type="http://schemas.openxmlformats.org/officeDocument/2006/relationships/hyperlink" Target="https://in.tradingview.com/chart/bXJLby4L/?symbol=NSE%3A20MICRONS" TargetMode="External"/><Relationship Id="rId2354" Type="http://schemas.openxmlformats.org/officeDocument/2006/relationships/hyperlink" Target="https://in.tradingview.com/chart/bXJLby4L/?symbol=NSE%3A20MICRONS" TargetMode="External"/><Relationship Id="rId1024" Type="http://schemas.openxmlformats.org/officeDocument/2006/relationships/hyperlink" Target="https://in.tradingview.com/chart/bXJLby4L/?symbol=NSE%3A20MICRONS" TargetMode="External"/><Relationship Id="rId2355" Type="http://schemas.openxmlformats.org/officeDocument/2006/relationships/hyperlink" Target="https://in.tradingview.com/chart/bXJLby4L/?symbol=NSE%3A20MICRONS" TargetMode="External"/><Relationship Id="rId1025" Type="http://schemas.openxmlformats.org/officeDocument/2006/relationships/hyperlink" Target="https://in.tradingview.com/chart/bXJLby4L/?symbol=NSE%3A20MICRONS" TargetMode="External"/><Relationship Id="rId2356" Type="http://schemas.openxmlformats.org/officeDocument/2006/relationships/hyperlink" Target="https://in.tradingview.com/chart/bXJLby4L/?symbol=NSE%3A20MICRONS" TargetMode="External"/><Relationship Id="rId1910" Type="http://schemas.openxmlformats.org/officeDocument/2006/relationships/hyperlink" Target="https://in.tradingview.com/chart/bXJLby4L/?symbol=NSE%3A20MICRONS" TargetMode="External"/><Relationship Id="rId1911" Type="http://schemas.openxmlformats.org/officeDocument/2006/relationships/hyperlink" Target="https://in.tradingview.com/chart/bXJLby4L/?symbol=NSE%3A20MICRONS" TargetMode="External"/><Relationship Id="rId1912" Type="http://schemas.openxmlformats.org/officeDocument/2006/relationships/hyperlink" Target="https://in.tradingview.com/chart/bXJLby4L/?symbol=NSE%3A20MICRONS" TargetMode="External"/><Relationship Id="rId1913" Type="http://schemas.openxmlformats.org/officeDocument/2006/relationships/hyperlink" Target="https://in.tradingview.com/chart/bXJLby4L/?symbol=NSE%3A20MICRONS" TargetMode="External"/><Relationship Id="rId1914" Type="http://schemas.openxmlformats.org/officeDocument/2006/relationships/hyperlink" Target="https://in.tradingview.com/chart/bXJLby4L/?symbol=NSE%3A20MICRONS" TargetMode="External"/><Relationship Id="rId1915" Type="http://schemas.openxmlformats.org/officeDocument/2006/relationships/hyperlink" Target="https://in.tradingview.com/chart/bXJLby4L/?symbol=NSE%3A20MICRONS" TargetMode="External"/><Relationship Id="rId1916" Type="http://schemas.openxmlformats.org/officeDocument/2006/relationships/hyperlink" Target="https://in.tradingview.com/chart/bXJLby4L/?symbol=NSE%3A20MICRONS" TargetMode="External"/><Relationship Id="rId1917" Type="http://schemas.openxmlformats.org/officeDocument/2006/relationships/hyperlink" Target="https://in.tradingview.com/chart/bXJLby4L/?symbol=NSE%3A20MICRONS" TargetMode="External"/><Relationship Id="rId1918" Type="http://schemas.openxmlformats.org/officeDocument/2006/relationships/hyperlink" Target="https://in.tradingview.com/chart/bXJLby4L/?symbol=NSE%3A20MICRONS" TargetMode="External"/><Relationship Id="rId1919" Type="http://schemas.openxmlformats.org/officeDocument/2006/relationships/hyperlink" Target="https://in.tradingview.com/chart/bXJLby4L/?symbol=NSE%3A20MICRONS" TargetMode="External"/><Relationship Id="rId1900" Type="http://schemas.openxmlformats.org/officeDocument/2006/relationships/hyperlink" Target="https://in.tradingview.com/chart/bXJLby4L/?symbol=NSE%3A20MICRONS" TargetMode="External"/><Relationship Id="rId1901" Type="http://schemas.openxmlformats.org/officeDocument/2006/relationships/hyperlink" Target="https://in.tradingview.com/chart/bXJLby4L/?symbol=NSE%3A20MICRONS" TargetMode="External"/><Relationship Id="rId1902" Type="http://schemas.openxmlformats.org/officeDocument/2006/relationships/hyperlink" Target="https://in.tradingview.com/chart/bXJLby4L/?symbol=NSE%3A20MICRONS" TargetMode="External"/><Relationship Id="rId1903" Type="http://schemas.openxmlformats.org/officeDocument/2006/relationships/hyperlink" Target="https://in.tradingview.com/chart/bXJLby4L/?symbol=NSE%3A20MICRONS" TargetMode="External"/><Relationship Id="rId1904" Type="http://schemas.openxmlformats.org/officeDocument/2006/relationships/hyperlink" Target="https://in.tradingview.com/chart/bXJLby4L/?symbol=NSE%3A20MICRONS" TargetMode="External"/><Relationship Id="rId1905" Type="http://schemas.openxmlformats.org/officeDocument/2006/relationships/hyperlink" Target="https://in.tradingview.com/chart/bXJLby4L/?symbol=NSE%3A20MICRONS" TargetMode="External"/><Relationship Id="rId1906" Type="http://schemas.openxmlformats.org/officeDocument/2006/relationships/hyperlink" Target="https://in.tradingview.com/chart/bXJLby4L/?symbol=NSE%3A20MICRONS" TargetMode="External"/><Relationship Id="rId1907" Type="http://schemas.openxmlformats.org/officeDocument/2006/relationships/hyperlink" Target="https://in.tradingview.com/chart/bXJLby4L/?symbol=NSE%3A20MICRONS" TargetMode="External"/><Relationship Id="rId1908" Type="http://schemas.openxmlformats.org/officeDocument/2006/relationships/hyperlink" Target="https://in.tradingview.com/chart/bXJLby4L/?symbol=NSE%3A20MICRONS" TargetMode="External"/><Relationship Id="rId1909" Type="http://schemas.openxmlformats.org/officeDocument/2006/relationships/hyperlink" Target="https://in.tradingview.com/chart/bXJLby4L/?symbol=NSE%3A20MICRONS" TargetMode="External"/><Relationship Id="rId1090" Type="http://schemas.openxmlformats.org/officeDocument/2006/relationships/hyperlink" Target="https://in.tradingview.com/chart/bXJLby4L/?symbol=NSE%3A20MICRONS" TargetMode="External"/><Relationship Id="rId1091" Type="http://schemas.openxmlformats.org/officeDocument/2006/relationships/hyperlink" Target="https://in.tradingview.com/chart/bXJLby4L/?symbol=NSE%3A20MICRONS" TargetMode="External"/><Relationship Id="rId1092" Type="http://schemas.openxmlformats.org/officeDocument/2006/relationships/hyperlink" Target="https://in.tradingview.com/chart/bXJLby4L/?symbol=NSE%3A20MICRONS" TargetMode="External"/><Relationship Id="rId1093" Type="http://schemas.openxmlformats.org/officeDocument/2006/relationships/hyperlink" Target="https://in.tradingview.com/chart/bXJLby4L/?symbol=NSE%3A20MICRONS" TargetMode="External"/><Relationship Id="rId1094" Type="http://schemas.openxmlformats.org/officeDocument/2006/relationships/hyperlink" Target="https://in.tradingview.com/chart/bXJLby4L/?symbol=NSE%3A20MICRONS" TargetMode="External"/><Relationship Id="rId1095" Type="http://schemas.openxmlformats.org/officeDocument/2006/relationships/hyperlink" Target="https://in.tradingview.com/chart/bXJLby4L/?symbol=NSE%3A20MICRONS" TargetMode="External"/><Relationship Id="rId1096" Type="http://schemas.openxmlformats.org/officeDocument/2006/relationships/hyperlink" Target="https://in.tradingview.com/chart/bXJLby4L/?symbol=NSE%3A20MICRONS" TargetMode="External"/><Relationship Id="rId1097" Type="http://schemas.openxmlformats.org/officeDocument/2006/relationships/hyperlink" Target="https://in.tradingview.com/chart/bXJLby4L/?symbol=NSE%3A20MICRONS" TargetMode="External"/><Relationship Id="rId1098" Type="http://schemas.openxmlformats.org/officeDocument/2006/relationships/hyperlink" Target="https://in.tradingview.com/chart/bXJLby4L/?symbol=NSE%3A20MICRONS" TargetMode="External"/><Relationship Id="rId1099" Type="http://schemas.openxmlformats.org/officeDocument/2006/relationships/hyperlink" Target="https://in.tradingview.com/chart/bXJLby4L/?symbol=NSE%3A20MICRONS" TargetMode="External"/><Relationship Id="rId1080" Type="http://schemas.openxmlformats.org/officeDocument/2006/relationships/hyperlink" Target="https://in.tradingview.com/chart/bXJLby4L/?symbol=NSE%3A20MICRONS" TargetMode="External"/><Relationship Id="rId1081" Type="http://schemas.openxmlformats.org/officeDocument/2006/relationships/hyperlink" Target="https://in.tradingview.com/chart/bXJLby4L/?symbol=NSE%3A20MICRONS" TargetMode="External"/><Relationship Id="rId1082" Type="http://schemas.openxmlformats.org/officeDocument/2006/relationships/hyperlink" Target="https://in.tradingview.com/chart/bXJLby4L/?symbol=NSE%3A20MICRONS" TargetMode="External"/><Relationship Id="rId1083" Type="http://schemas.openxmlformats.org/officeDocument/2006/relationships/hyperlink" Target="https://in.tradingview.com/chart/bXJLby4L/?symbol=NSE%3A20MICRONS" TargetMode="External"/><Relationship Id="rId1084" Type="http://schemas.openxmlformats.org/officeDocument/2006/relationships/hyperlink" Target="https://in.tradingview.com/chart/bXJLby4L/?symbol=NSE%3A20MICRONS" TargetMode="External"/><Relationship Id="rId1085" Type="http://schemas.openxmlformats.org/officeDocument/2006/relationships/hyperlink" Target="https://in.tradingview.com/chart/bXJLby4L/?symbol=NSE%3A20MICRONS" TargetMode="External"/><Relationship Id="rId1086" Type="http://schemas.openxmlformats.org/officeDocument/2006/relationships/hyperlink" Target="https://in.tradingview.com/chart/bXJLby4L/?symbol=NSE%3A20MICRONS" TargetMode="External"/><Relationship Id="rId1087" Type="http://schemas.openxmlformats.org/officeDocument/2006/relationships/hyperlink" Target="https://in.tradingview.com/chart/bXJLby4L/?symbol=NSE%3A20MICRONS" TargetMode="External"/><Relationship Id="rId1088" Type="http://schemas.openxmlformats.org/officeDocument/2006/relationships/hyperlink" Target="https://in.tradingview.com/chart/bXJLby4L/?symbol=NSE%3A20MICRONS" TargetMode="External"/><Relationship Id="rId1089" Type="http://schemas.openxmlformats.org/officeDocument/2006/relationships/hyperlink" Target="https://in.tradingview.com/chart/bXJLby4L/?symbol=NSE%3A20MICRONS" TargetMode="External"/><Relationship Id="rId1972" Type="http://schemas.openxmlformats.org/officeDocument/2006/relationships/hyperlink" Target="https://in.tradingview.com/chart/bXJLby4L/?symbol=NSE%3A20MICRONS" TargetMode="External"/><Relationship Id="rId1973" Type="http://schemas.openxmlformats.org/officeDocument/2006/relationships/hyperlink" Target="https://in.tradingview.com/chart/bXJLby4L/?symbol=NSE%3A20MICRONS" TargetMode="External"/><Relationship Id="rId1974" Type="http://schemas.openxmlformats.org/officeDocument/2006/relationships/hyperlink" Target="https://in.tradingview.com/chart/bXJLby4L/?symbol=NSE%3A20MICRONS" TargetMode="External"/><Relationship Id="rId1975" Type="http://schemas.openxmlformats.org/officeDocument/2006/relationships/hyperlink" Target="https://in.tradingview.com/chart/bXJLby4L/?symbol=NSE%3A20MICRONS" TargetMode="External"/><Relationship Id="rId1976" Type="http://schemas.openxmlformats.org/officeDocument/2006/relationships/hyperlink" Target="https://in.tradingview.com/chart/bXJLby4L/?symbol=NSE%3A20MICRONS" TargetMode="External"/><Relationship Id="rId1977" Type="http://schemas.openxmlformats.org/officeDocument/2006/relationships/hyperlink" Target="https://in.tradingview.com/chart/bXJLby4L/?symbol=NSE%3A20MICRONS" TargetMode="External"/><Relationship Id="rId1978" Type="http://schemas.openxmlformats.org/officeDocument/2006/relationships/hyperlink" Target="https://in.tradingview.com/chart/bXJLby4L/?symbol=NSE%3A20MICRONS" TargetMode="External"/><Relationship Id="rId1979" Type="http://schemas.openxmlformats.org/officeDocument/2006/relationships/hyperlink" Target="https://in.tradingview.com/chart/bXJLby4L/?symbol=NSE%3A20MICRONS" TargetMode="External"/><Relationship Id="rId1970" Type="http://schemas.openxmlformats.org/officeDocument/2006/relationships/hyperlink" Target="https://in.tradingview.com/chart/bXJLby4L/?symbol=NSE%3A20MICRONS" TargetMode="External"/><Relationship Id="rId1971" Type="http://schemas.openxmlformats.org/officeDocument/2006/relationships/hyperlink" Target="https://in.tradingview.com/chart/bXJLby4L/?symbol=NSE%3A20MICRONS" TargetMode="External"/><Relationship Id="rId1961" Type="http://schemas.openxmlformats.org/officeDocument/2006/relationships/hyperlink" Target="https://in.tradingview.com/chart/bXJLby4L/?symbol=NSE%3A20MICRONS" TargetMode="External"/><Relationship Id="rId1962" Type="http://schemas.openxmlformats.org/officeDocument/2006/relationships/hyperlink" Target="https://in.tradingview.com/chart/bXJLby4L/?symbol=NSE%3A20MICRONS" TargetMode="External"/><Relationship Id="rId1963" Type="http://schemas.openxmlformats.org/officeDocument/2006/relationships/hyperlink" Target="https://in.tradingview.com/chart/bXJLby4L/?symbol=NSE%3A20MICRONS" TargetMode="External"/><Relationship Id="rId1964" Type="http://schemas.openxmlformats.org/officeDocument/2006/relationships/hyperlink" Target="https://in.tradingview.com/chart/bXJLby4L/?symbol=NSE%3A20MICRONS" TargetMode="External"/><Relationship Id="rId1965" Type="http://schemas.openxmlformats.org/officeDocument/2006/relationships/hyperlink" Target="https://in.tradingview.com/chart/bXJLby4L/?symbol=NSE%3A20MICRONS" TargetMode="External"/><Relationship Id="rId1966" Type="http://schemas.openxmlformats.org/officeDocument/2006/relationships/hyperlink" Target="https://in.tradingview.com/chart/bXJLby4L/?symbol=NSE%3A20MICRONS" TargetMode="External"/><Relationship Id="rId1967" Type="http://schemas.openxmlformats.org/officeDocument/2006/relationships/hyperlink" Target="https://in.tradingview.com/chart/bXJLby4L/?symbol=NSE%3A20MICRONS" TargetMode="External"/><Relationship Id="rId1968" Type="http://schemas.openxmlformats.org/officeDocument/2006/relationships/hyperlink" Target="https://in.tradingview.com/chart/bXJLby4L/?symbol=NSE%3A20MICRONS" TargetMode="External"/><Relationship Id="rId1969" Type="http://schemas.openxmlformats.org/officeDocument/2006/relationships/hyperlink" Target="https://in.tradingview.com/chart/bXJLby4L/?symbol=NSE%3A20MICRONS" TargetMode="External"/><Relationship Id="rId1960" Type="http://schemas.openxmlformats.org/officeDocument/2006/relationships/hyperlink" Target="https://in.tradingview.com/chart/bXJLby4L/?symbol=NSE%3A20MICRONS" TargetMode="External"/><Relationship Id="rId1994" Type="http://schemas.openxmlformats.org/officeDocument/2006/relationships/hyperlink" Target="https://in.tradingview.com/chart/bXJLby4L/?symbol=NSE%3A20MICRONS" TargetMode="External"/><Relationship Id="rId1995" Type="http://schemas.openxmlformats.org/officeDocument/2006/relationships/hyperlink" Target="https://in.tradingview.com/chart/bXJLby4L/?symbol=NSE%3A20MICRONS" TargetMode="External"/><Relationship Id="rId1996" Type="http://schemas.openxmlformats.org/officeDocument/2006/relationships/hyperlink" Target="https://in.tradingview.com/chart/bXJLby4L/?symbol=NSE%3A20MICRONS" TargetMode="External"/><Relationship Id="rId1997" Type="http://schemas.openxmlformats.org/officeDocument/2006/relationships/hyperlink" Target="https://in.tradingview.com/chart/bXJLby4L/?symbol=NSE%3A20MICRONS" TargetMode="External"/><Relationship Id="rId1998" Type="http://schemas.openxmlformats.org/officeDocument/2006/relationships/hyperlink" Target="https://in.tradingview.com/chart/bXJLby4L/?symbol=NSE%3A20MICRONS" TargetMode="External"/><Relationship Id="rId1999" Type="http://schemas.openxmlformats.org/officeDocument/2006/relationships/hyperlink" Target="https://in.tradingview.com/chart/bXJLby4L/?symbol=NSE%3A20MICRONS" TargetMode="External"/><Relationship Id="rId1990" Type="http://schemas.openxmlformats.org/officeDocument/2006/relationships/hyperlink" Target="https://in.tradingview.com/chart/bXJLby4L/?symbol=NSE%3A20MICRONS" TargetMode="External"/><Relationship Id="rId1991" Type="http://schemas.openxmlformats.org/officeDocument/2006/relationships/hyperlink" Target="https://in.tradingview.com/chart/bXJLby4L/?symbol=NSE%3A20MICRONS" TargetMode="External"/><Relationship Id="rId1992" Type="http://schemas.openxmlformats.org/officeDocument/2006/relationships/hyperlink" Target="https://in.tradingview.com/chart/bXJLby4L/?symbol=NSE%3A20MICRONS" TargetMode="External"/><Relationship Id="rId1993" Type="http://schemas.openxmlformats.org/officeDocument/2006/relationships/hyperlink" Target="https://in.tradingview.com/chart/bXJLby4L/?symbol=NSE%3A20MICRONS" TargetMode="External"/><Relationship Id="rId1983" Type="http://schemas.openxmlformats.org/officeDocument/2006/relationships/hyperlink" Target="https://in.tradingview.com/chart/bXJLby4L/?symbol=NSE%3A20MICRONS" TargetMode="External"/><Relationship Id="rId1984" Type="http://schemas.openxmlformats.org/officeDocument/2006/relationships/hyperlink" Target="https://in.tradingview.com/chart/bXJLby4L/?symbol=NSE%3A20MICRONS" TargetMode="External"/><Relationship Id="rId1985" Type="http://schemas.openxmlformats.org/officeDocument/2006/relationships/hyperlink" Target="https://in.tradingview.com/chart/bXJLby4L/?symbol=NSE%3A20MICRONS" TargetMode="External"/><Relationship Id="rId1986" Type="http://schemas.openxmlformats.org/officeDocument/2006/relationships/hyperlink" Target="https://in.tradingview.com/chart/bXJLby4L/?symbol=NSE%3A20MICRONS" TargetMode="External"/><Relationship Id="rId1987" Type="http://schemas.openxmlformats.org/officeDocument/2006/relationships/hyperlink" Target="https://in.tradingview.com/chart/bXJLby4L/?symbol=NSE%3A20MICRONS" TargetMode="External"/><Relationship Id="rId1988" Type="http://schemas.openxmlformats.org/officeDocument/2006/relationships/hyperlink" Target="https://in.tradingview.com/chart/bXJLby4L/?symbol=NSE%3A20MICRONS" TargetMode="External"/><Relationship Id="rId1989" Type="http://schemas.openxmlformats.org/officeDocument/2006/relationships/hyperlink" Target="https://in.tradingview.com/chart/bXJLby4L/?symbol=NSE%3A20MICRONS" TargetMode="External"/><Relationship Id="rId1980" Type="http://schemas.openxmlformats.org/officeDocument/2006/relationships/hyperlink" Target="https://in.tradingview.com/chart/bXJLby4L/?symbol=NSE%3A20MICRONS" TargetMode="External"/><Relationship Id="rId1981" Type="http://schemas.openxmlformats.org/officeDocument/2006/relationships/hyperlink" Target="https://in.tradingview.com/chart/bXJLby4L/?symbol=NSE%3A20MICRONS" TargetMode="External"/><Relationship Id="rId1982" Type="http://schemas.openxmlformats.org/officeDocument/2006/relationships/hyperlink" Target="https://in.tradingview.com/chart/bXJLby4L/?symbol=NSE%3A20MICRONS" TargetMode="External"/><Relationship Id="rId1930" Type="http://schemas.openxmlformats.org/officeDocument/2006/relationships/hyperlink" Target="https://in.tradingview.com/chart/bXJLby4L/?symbol=NSE%3A20MICRONS" TargetMode="External"/><Relationship Id="rId1931" Type="http://schemas.openxmlformats.org/officeDocument/2006/relationships/hyperlink" Target="https://in.tradingview.com/chart/bXJLby4L/?symbol=NSE%3A20MICRONS" TargetMode="External"/><Relationship Id="rId1932" Type="http://schemas.openxmlformats.org/officeDocument/2006/relationships/hyperlink" Target="https://in.tradingview.com/chart/bXJLby4L/?symbol=NSE%3A20MICRONS" TargetMode="External"/><Relationship Id="rId1933" Type="http://schemas.openxmlformats.org/officeDocument/2006/relationships/hyperlink" Target="https://in.tradingview.com/chart/bXJLby4L/?symbol=NSE%3A20MICRONS" TargetMode="External"/><Relationship Id="rId1934" Type="http://schemas.openxmlformats.org/officeDocument/2006/relationships/hyperlink" Target="https://in.tradingview.com/chart/bXJLby4L/?symbol=NSE%3A20MICRONS" TargetMode="External"/><Relationship Id="rId1935" Type="http://schemas.openxmlformats.org/officeDocument/2006/relationships/hyperlink" Target="https://in.tradingview.com/chart/bXJLby4L/?symbol=NSE%3A20MICRONS" TargetMode="External"/><Relationship Id="rId1936" Type="http://schemas.openxmlformats.org/officeDocument/2006/relationships/hyperlink" Target="https://in.tradingview.com/chart/bXJLby4L/?symbol=NSE%3A20MICRONS" TargetMode="External"/><Relationship Id="rId1937" Type="http://schemas.openxmlformats.org/officeDocument/2006/relationships/hyperlink" Target="https://in.tradingview.com/chart/bXJLby4L/?symbol=NSE%3A20MICRONS" TargetMode="External"/><Relationship Id="rId1938" Type="http://schemas.openxmlformats.org/officeDocument/2006/relationships/hyperlink" Target="https://in.tradingview.com/chart/bXJLby4L/?symbol=NSE%3A20MICRONS" TargetMode="External"/><Relationship Id="rId1939" Type="http://schemas.openxmlformats.org/officeDocument/2006/relationships/hyperlink" Target="https://in.tradingview.com/chart/bXJLby4L/?symbol=NSE%3A20MICRONS" TargetMode="External"/><Relationship Id="rId1920" Type="http://schemas.openxmlformats.org/officeDocument/2006/relationships/hyperlink" Target="https://in.tradingview.com/chart/bXJLby4L/?symbol=NSE%3A20MICRONS" TargetMode="External"/><Relationship Id="rId1921" Type="http://schemas.openxmlformats.org/officeDocument/2006/relationships/hyperlink" Target="https://in.tradingview.com/chart/bXJLby4L/?symbol=NSE%3A20MICRONS" TargetMode="External"/><Relationship Id="rId1922" Type="http://schemas.openxmlformats.org/officeDocument/2006/relationships/hyperlink" Target="https://in.tradingview.com/chart/bXJLby4L/?symbol=NSE%3A20MICRONS" TargetMode="External"/><Relationship Id="rId1923" Type="http://schemas.openxmlformats.org/officeDocument/2006/relationships/hyperlink" Target="https://in.tradingview.com/chart/bXJLby4L/?symbol=NSE%3A20MICRONS" TargetMode="External"/><Relationship Id="rId1924" Type="http://schemas.openxmlformats.org/officeDocument/2006/relationships/hyperlink" Target="https://in.tradingview.com/chart/bXJLby4L/?symbol=NSE%3A20MICRONS" TargetMode="External"/><Relationship Id="rId1925" Type="http://schemas.openxmlformats.org/officeDocument/2006/relationships/hyperlink" Target="https://in.tradingview.com/chart/bXJLby4L/?symbol=NSE%3A20MICRONS" TargetMode="External"/><Relationship Id="rId1926" Type="http://schemas.openxmlformats.org/officeDocument/2006/relationships/hyperlink" Target="https://in.tradingview.com/chart/bXJLby4L/?symbol=NSE%3A20MICRONS" TargetMode="External"/><Relationship Id="rId1927" Type="http://schemas.openxmlformats.org/officeDocument/2006/relationships/hyperlink" Target="https://in.tradingview.com/chart/bXJLby4L/?symbol=NSE%3A20MICRONS" TargetMode="External"/><Relationship Id="rId1928" Type="http://schemas.openxmlformats.org/officeDocument/2006/relationships/hyperlink" Target="https://in.tradingview.com/chart/bXJLby4L/?symbol=NSE%3A20MICRONS" TargetMode="External"/><Relationship Id="rId1929" Type="http://schemas.openxmlformats.org/officeDocument/2006/relationships/hyperlink" Target="https://in.tradingview.com/chart/bXJLby4L/?symbol=NSE%3A20MICRONS" TargetMode="External"/><Relationship Id="rId1950" Type="http://schemas.openxmlformats.org/officeDocument/2006/relationships/hyperlink" Target="https://in.tradingview.com/chart/bXJLby4L/?symbol=NSE%3A20MICRONS" TargetMode="External"/><Relationship Id="rId1951" Type="http://schemas.openxmlformats.org/officeDocument/2006/relationships/hyperlink" Target="https://in.tradingview.com/chart/bXJLby4L/?symbol=NSE%3A20MICRONS" TargetMode="External"/><Relationship Id="rId1952" Type="http://schemas.openxmlformats.org/officeDocument/2006/relationships/hyperlink" Target="https://in.tradingview.com/chart/bXJLby4L/?symbol=NSE%3A20MICRONS" TargetMode="External"/><Relationship Id="rId1953" Type="http://schemas.openxmlformats.org/officeDocument/2006/relationships/hyperlink" Target="https://in.tradingview.com/chart/bXJLby4L/?symbol=NSE%3A20MICRONS" TargetMode="External"/><Relationship Id="rId1954" Type="http://schemas.openxmlformats.org/officeDocument/2006/relationships/hyperlink" Target="https://in.tradingview.com/chart/bXJLby4L/?symbol=NSE%3A20MICRONS" TargetMode="External"/><Relationship Id="rId1955" Type="http://schemas.openxmlformats.org/officeDocument/2006/relationships/hyperlink" Target="https://in.tradingview.com/chart/bXJLby4L/?symbol=NSE%3A20MICRONS" TargetMode="External"/><Relationship Id="rId1956" Type="http://schemas.openxmlformats.org/officeDocument/2006/relationships/hyperlink" Target="https://in.tradingview.com/chart/bXJLby4L/?symbol=NSE%3A20MICRONS" TargetMode="External"/><Relationship Id="rId1957" Type="http://schemas.openxmlformats.org/officeDocument/2006/relationships/hyperlink" Target="https://in.tradingview.com/chart/bXJLby4L/?symbol=NSE%3A20MICRONS" TargetMode="External"/><Relationship Id="rId1958" Type="http://schemas.openxmlformats.org/officeDocument/2006/relationships/hyperlink" Target="https://in.tradingview.com/chart/bXJLby4L/?symbol=NSE%3A20MICRONS" TargetMode="External"/><Relationship Id="rId1959" Type="http://schemas.openxmlformats.org/officeDocument/2006/relationships/hyperlink" Target="https://in.tradingview.com/chart/bXJLby4L/?symbol=NSE%3A20MICRONS" TargetMode="External"/><Relationship Id="rId1940" Type="http://schemas.openxmlformats.org/officeDocument/2006/relationships/hyperlink" Target="https://in.tradingview.com/chart/bXJLby4L/?symbol=NSE%3A20MICRONS" TargetMode="External"/><Relationship Id="rId1941" Type="http://schemas.openxmlformats.org/officeDocument/2006/relationships/hyperlink" Target="https://in.tradingview.com/chart/bXJLby4L/?symbol=NSE%3A20MICRONS" TargetMode="External"/><Relationship Id="rId1942" Type="http://schemas.openxmlformats.org/officeDocument/2006/relationships/hyperlink" Target="https://in.tradingview.com/chart/bXJLby4L/?symbol=NSE%3A20MICRONS" TargetMode="External"/><Relationship Id="rId1943" Type="http://schemas.openxmlformats.org/officeDocument/2006/relationships/hyperlink" Target="https://in.tradingview.com/chart/bXJLby4L/?symbol=NSE%3A20MICRONS" TargetMode="External"/><Relationship Id="rId1944" Type="http://schemas.openxmlformats.org/officeDocument/2006/relationships/hyperlink" Target="https://in.tradingview.com/chart/bXJLby4L/?symbol=NSE%3A20MICRONS" TargetMode="External"/><Relationship Id="rId1945" Type="http://schemas.openxmlformats.org/officeDocument/2006/relationships/hyperlink" Target="https://in.tradingview.com/chart/bXJLby4L/?symbol=NSE%3A20MICRONS" TargetMode="External"/><Relationship Id="rId1946" Type="http://schemas.openxmlformats.org/officeDocument/2006/relationships/hyperlink" Target="https://in.tradingview.com/chart/bXJLby4L/?symbol=NSE%3A20MICRONS" TargetMode="External"/><Relationship Id="rId1947" Type="http://schemas.openxmlformats.org/officeDocument/2006/relationships/hyperlink" Target="https://in.tradingview.com/chart/bXJLby4L/?symbol=NSE%3A20MICRONS" TargetMode="External"/><Relationship Id="rId1948" Type="http://schemas.openxmlformats.org/officeDocument/2006/relationships/hyperlink" Target="https://in.tradingview.com/chart/bXJLby4L/?symbol=NSE%3A20MICRONS" TargetMode="External"/><Relationship Id="rId1949" Type="http://schemas.openxmlformats.org/officeDocument/2006/relationships/hyperlink" Target="https://in.tradingview.com/chart/bXJLby4L/?symbol=NSE%3A20MICRONS" TargetMode="External"/><Relationship Id="rId2423" Type="http://schemas.openxmlformats.org/officeDocument/2006/relationships/hyperlink" Target="https://in.tradingview.com/chart/bXJLby4L/?symbol=NSE%3A20MICRONS" TargetMode="External"/><Relationship Id="rId2424" Type="http://schemas.openxmlformats.org/officeDocument/2006/relationships/hyperlink" Target="https://in.tradingview.com/chart/bXJLby4L/?symbol=NSE%3A20MICRONS" TargetMode="External"/><Relationship Id="rId2425" Type="http://schemas.openxmlformats.org/officeDocument/2006/relationships/hyperlink" Target="https://in.tradingview.com/chart/bXJLby4L/?symbol=NSE%3A20MICRONS" TargetMode="External"/><Relationship Id="rId2426" Type="http://schemas.openxmlformats.org/officeDocument/2006/relationships/hyperlink" Target="https://in.tradingview.com/chart/bXJLby4L/?symbol=NSE%3A20MICRONS" TargetMode="External"/><Relationship Id="rId2427" Type="http://schemas.openxmlformats.org/officeDocument/2006/relationships/hyperlink" Target="https://in.tradingview.com/chart/bXJLby4L/?symbol=NSE%3A20MICRONS" TargetMode="External"/><Relationship Id="rId2428" Type="http://schemas.openxmlformats.org/officeDocument/2006/relationships/hyperlink" Target="https://in.tradingview.com/chart/bXJLby4L/?symbol=NSE%3A20MICRONS" TargetMode="External"/><Relationship Id="rId2429" Type="http://schemas.openxmlformats.org/officeDocument/2006/relationships/hyperlink" Target="https://in.tradingview.com/chart/bXJLby4L/?symbol=NSE%3A20MICRONS" TargetMode="External"/><Relationship Id="rId509" Type="http://schemas.openxmlformats.org/officeDocument/2006/relationships/hyperlink" Target="https://in.tradingview.com/chart/bXJLby4L/?symbol=NSE%3A20MICRONS" TargetMode="External"/><Relationship Id="rId508" Type="http://schemas.openxmlformats.org/officeDocument/2006/relationships/hyperlink" Target="https://in.tradingview.com/chart/bXJLby4L/?symbol=NSE%3A20MICRONS" TargetMode="External"/><Relationship Id="rId503" Type="http://schemas.openxmlformats.org/officeDocument/2006/relationships/hyperlink" Target="https://in.tradingview.com/chart/bXJLby4L/?symbol=NSE%3A20MICRONS" TargetMode="External"/><Relationship Id="rId502" Type="http://schemas.openxmlformats.org/officeDocument/2006/relationships/hyperlink" Target="https://in.tradingview.com/chart/bXJLby4L/?symbol=NSE%3A20MICRONS" TargetMode="External"/><Relationship Id="rId501" Type="http://schemas.openxmlformats.org/officeDocument/2006/relationships/hyperlink" Target="https://in.tradingview.com/chart/bXJLby4L/?symbol=NSE%3A20MICRONS" TargetMode="External"/><Relationship Id="rId500" Type="http://schemas.openxmlformats.org/officeDocument/2006/relationships/hyperlink" Target="https://in.tradingview.com/chart/bXJLby4L/?symbol=NSE%3A20MICRONS" TargetMode="External"/><Relationship Id="rId507" Type="http://schemas.openxmlformats.org/officeDocument/2006/relationships/hyperlink" Target="https://in.tradingview.com/chart/bXJLby4L/?symbol=NSE%3A20MICRONS" TargetMode="External"/><Relationship Id="rId506" Type="http://schemas.openxmlformats.org/officeDocument/2006/relationships/hyperlink" Target="https://in.tradingview.com/chart/bXJLby4L/?symbol=NSE%3A20MICRONS" TargetMode="External"/><Relationship Id="rId505" Type="http://schemas.openxmlformats.org/officeDocument/2006/relationships/hyperlink" Target="https://in.tradingview.com/chart/bXJLby4L/?symbol=NSE%3A20MICRONS" TargetMode="External"/><Relationship Id="rId504" Type="http://schemas.openxmlformats.org/officeDocument/2006/relationships/hyperlink" Target="https://in.tradingview.com/chart/bXJLby4L/?symbol=NSE%3A20MICRONS" TargetMode="External"/><Relationship Id="rId2420" Type="http://schemas.openxmlformats.org/officeDocument/2006/relationships/hyperlink" Target="https://in.tradingview.com/chart/bXJLby4L/?symbol=NSE%3A20MICRONS" TargetMode="External"/><Relationship Id="rId2421" Type="http://schemas.openxmlformats.org/officeDocument/2006/relationships/hyperlink" Target="https://in.tradingview.com/chart/bXJLby4L/?symbol=NSE%3A20MICRONS" TargetMode="External"/><Relationship Id="rId2422" Type="http://schemas.openxmlformats.org/officeDocument/2006/relationships/hyperlink" Target="https://in.tradingview.com/chart/bXJLby4L/?symbol=NSE%3A20MICRONS" TargetMode="External"/><Relationship Id="rId2412" Type="http://schemas.openxmlformats.org/officeDocument/2006/relationships/hyperlink" Target="https://in.tradingview.com/chart/bXJLby4L/?symbol=NSE%3A20MICRONS" TargetMode="External"/><Relationship Id="rId2413" Type="http://schemas.openxmlformats.org/officeDocument/2006/relationships/hyperlink" Target="https://in.tradingview.com/chart/bXJLby4L/?symbol=NSE%3A20MICRONS" TargetMode="External"/><Relationship Id="rId2414" Type="http://schemas.openxmlformats.org/officeDocument/2006/relationships/hyperlink" Target="https://in.tradingview.com/chart/bXJLby4L/?symbol=NSE%3A20MICRONS" TargetMode="External"/><Relationship Id="rId2415" Type="http://schemas.openxmlformats.org/officeDocument/2006/relationships/hyperlink" Target="https://in.tradingview.com/chart/bXJLby4L/?symbol=NSE%3A20MICRONS" TargetMode="External"/><Relationship Id="rId2416" Type="http://schemas.openxmlformats.org/officeDocument/2006/relationships/hyperlink" Target="https://in.tradingview.com/chart/bXJLby4L/?symbol=NSE%3A20MICRONS" TargetMode="External"/><Relationship Id="rId2417" Type="http://schemas.openxmlformats.org/officeDocument/2006/relationships/hyperlink" Target="https://in.tradingview.com/chart/bXJLby4L/?symbol=NSE%3A20MICRONS" TargetMode="External"/><Relationship Id="rId2418" Type="http://schemas.openxmlformats.org/officeDocument/2006/relationships/hyperlink" Target="https://in.tradingview.com/chart/bXJLby4L/?symbol=NSE%3A20MICRONS" TargetMode="External"/><Relationship Id="rId2419" Type="http://schemas.openxmlformats.org/officeDocument/2006/relationships/hyperlink" Target="https://in.tradingview.com/chart/bXJLby4L/?symbol=NSE%3A20MICRONS" TargetMode="External"/><Relationship Id="rId2410" Type="http://schemas.openxmlformats.org/officeDocument/2006/relationships/hyperlink" Target="https://in.tradingview.com/chart/bXJLby4L/?symbol=NSE%3A20MICRONS" TargetMode="External"/><Relationship Id="rId2411" Type="http://schemas.openxmlformats.org/officeDocument/2006/relationships/hyperlink" Target="https://in.tradingview.com/chart/bXJLby4L/?symbol=NSE%3A20MICRONS" TargetMode="External"/><Relationship Id="rId1114" Type="http://schemas.openxmlformats.org/officeDocument/2006/relationships/hyperlink" Target="https://in.tradingview.com/chart/bXJLby4L/?symbol=NSE%3A20MICRONS" TargetMode="External"/><Relationship Id="rId2445" Type="http://schemas.openxmlformats.org/officeDocument/2006/relationships/hyperlink" Target="https://in.tradingview.com/chart/bXJLby4L/?symbol=NSE%3A20MICRONS" TargetMode="External"/><Relationship Id="rId1115" Type="http://schemas.openxmlformats.org/officeDocument/2006/relationships/hyperlink" Target="https://in.tradingview.com/chart/bXJLby4L/?symbol=NSE%3A20MICRONS" TargetMode="External"/><Relationship Id="rId2446" Type="http://schemas.openxmlformats.org/officeDocument/2006/relationships/hyperlink" Target="https://in.tradingview.com/chart/bXJLby4L/?symbol=NSE%3A20MICRONS" TargetMode="External"/><Relationship Id="rId1116" Type="http://schemas.openxmlformats.org/officeDocument/2006/relationships/hyperlink" Target="https://in.tradingview.com/chart/bXJLby4L/?symbol=NSE%3A20MICRONS" TargetMode="External"/><Relationship Id="rId2447" Type="http://schemas.openxmlformats.org/officeDocument/2006/relationships/hyperlink" Target="https://in.tradingview.com/chart/bXJLby4L/?symbol=NSE%3A20MICRONS" TargetMode="External"/><Relationship Id="rId1117" Type="http://schemas.openxmlformats.org/officeDocument/2006/relationships/hyperlink" Target="https://in.tradingview.com/chart/bXJLby4L/?symbol=NSE%3A20MICRONS" TargetMode="External"/><Relationship Id="rId2448" Type="http://schemas.openxmlformats.org/officeDocument/2006/relationships/hyperlink" Target="https://in.tradingview.com/chart/bXJLby4L/?symbol=NSE%3A20MICRONS" TargetMode="External"/><Relationship Id="rId1118" Type="http://schemas.openxmlformats.org/officeDocument/2006/relationships/hyperlink" Target="https://in.tradingview.com/chart/bXJLby4L/?symbol=NSE%3A20MICRONS" TargetMode="External"/><Relationship Id="rId2449" Type="http://schemas.openxmlformats.org/officeDocument/2006/relationships/hyperlink" Target="https://in.tradingview.com/chart/bXJLby4L/?symbol=NSE%3A20MICRONS" TargetMode="External"/><Relationship Id="rId1119" Type="http://schemas.openxmlformats.org/officeDocument/2006/relationships/hyperlink" Target="https://in.tradingview.com/chart/bXJLby4L/?symbol=NSE%3A20MICRONS" TargetMode="External"/><Relationship Id="rId525" Type="http://schemas.openxmlformats.org/officeDocument/2006/relationships/hyperlink" Target="https://in.tradingview.com/chart/bXJLby4L/?symbol=NSE%3A20MICRONS" TargetMode="External"/><Relationship Id="rId524" Type="http://schemas.openxmlformats.org/officeDocument/2006/relationships/hyperlink" Target="https://in.tradingview.com/chart/bXJLby4L/?symbol=NSE%3A20MICRONS" TargetMode="External"/><Relationship Id="rId523" Type="http://schemas.openxmlformats.org/officeDocument/2006/relationships/hyperlink" Target="https://in.tradingview.com/chart/bXJLby4L/?symbol=NSE%3A20MICRONS" TargetMode="External"/><Relationship Id="rId522" Type="http://schemas.openxmlformats.org/officeDocument/2006/relationships/hyperlink" Target="https://in.tradingview.com/chart/bXJLby4L/?symbol=NSE%3A20MICRONS" TargetMode="External"/><Relationship Id="rId529" Type="http://schemas.openxmlformats.org/officeDocument/2006/relationships/hyperlink" Target="https://in.tradingview.com/chart/bXJLby4L/?symbol=NSE%3A20MICRONS" TargetMode="External"/><Relationship Id="rId528" Type="http://schemas.openxmlformats.org/officeDocument/2006/relationships/hyperlink" Target="https://in.tradingview.com/chart/bXJLby4L/?symbol=NSE%3A20MICRONS" TargetMode="External"/><Relationship Id="rId527" Type="http://schemas.openxmlformats.org/officeDocument/2006/relationships/hyperlink" Target="https://in.tradingview.com/chart/bXJLby4L/?symbol=NSE%3A20MICRONS" TargetMode="External"/><Relationship Id="rId526" Type="http://schemas.openxmlformats.org/officeDocument/2006/relationships/hyperlink" Target="https://in.tradingview.com/chart/bXJLby4L/?symbol=NSE%3A20MICRONS" TargetMode="External"/><Relationship Id="rId2440" Type="http://schemas.openxmlformats.org/officeDocument/2006/relationships/hyperlink" Target="https://in.tradingview.com/chart/bXJLby4L/?symbol=NSE%3A20MICRONS" TargetMode="External"/><Relationship Id="rId521" Type="http://schemas.openxmlformats.org/officeDocument/2006/relationships/hyperlink" Target="https://in.tradingview.com/chart/bXJLby4L/?symbol=NSE%3A20MICRONS" TargetMode="External"/><Relationship Id="rId1110" Type="http://schemas.openxmlformats.org/officeDocument/2006/relationships/hyperlink" Target="https://in.tradingview.com/chart/bXJLby4L/?symbol=NSE%3A20MICRONS" TargetMode="External"/><Relationship Id="rId2441" Type="http://schemas.openxmlformats.org/officeDocument/2006/relationships/hyperlink" Target="https://in.tradingview.com/chart/bXJLby4L/?symbol=NSE%3A20MICRONS" TargetMode="External"/><Relationship Id="rId520" Type="http://schemas.openxmlformats.org/officeDocument/2006/relationships/hyperlink" Target="https://in.tradingview.com/chart/bXJLby4L/?symbol=NSE%3A20MICRONS" TargetMode="External"/><Relationship Id="rId1111" Type="http://schemas.openxmlformats.org/officeDocument/2006/relationships/hyperlink" Target="https://in.tradingview.com/chart/bXJLby4L/?symbol=NSE%3A20MICRONS" TargetMode="External"/><Relationship Id="rId2442" Type="http://schemas.openxmlformats.org/officeDocument/2006/relationships/hyperlink" Target="https://in.tradingview.com/chart/bXJLby4L/?symbol=NSE%3A20MICRONS" TargetMode="External"/><Relationship Id="rId1112" Type="http://schemas.openxmlformats.org/officeDocument/2006/relationships/hyperlink" Target="https://in.tradingview.com/chart/bXJLby4L/?symbol=NSE%3A20MICRONS" TargetMode="External"/><Relationship Id="rId2443" Type="http://schemas.openxmlformats.org/officeDocument/2006/relationships/hyperlink" Target="https://in.tradingview.com/chart/bXJLby4L/?symbol=NSE%3A20MICRONS" TargetMode="External"/><Relationship Id="rId1113" Type="http://schemas.openxmlformats.org/officeDocument/2006/relationships/hyperlink" Target="https://in.tradingview.com/chart/bXJLby4L/?symbol=NSE%3A20MICRONS" TargetMode="External"/><Relationship Id="rId2444" Type="http://schemas.openxmlformats.org/officeDocument/2006/relationships/hyperlink" Target="https://in.tradingview.com/chart/bXJLby4L/?symbol=NSE%3A20MICRONS" TargetMode="External"/><Relationship Id="rId1103" Type="http://schemas.openxmlformats.org/officeDocument/2006/relationships/hyperlink" Target="https://in.tradingview.com/chart/bXJLby4L/?symbol=NSE%3A20MICRONS" TargetMode="External"/><Relationship Id="rId2434" Type="http://schemas.openxmlformats.org/officeDocument/2006/relationships/hyperlink" Target="https://in.tradingview.com/chart/bXJLby4L/?symbol=NSE%3A20MICRONS" TargetMode="External"/><Relationship Id="rId1104" Type="http://schemas.openxmlformats.org/officeDocument/2006/relationships/hyperlink" Target="https://in.tradingview.com/chart/bXJLby4L/?symbol=NSE%3A20MICRONS" TargetMode="External"/><Relationship Id="rId2435" Type="http://schemas.openxmlformats.org/officeDocument/2006/relationships/hyperlink" Target="https://in.tradingview.com/chart/bXJLby4L/?symbol=NSE%3A20MICRONS" TargetMode="External"/><Relationship Id="rId1105" Type="http://schemas.openxmlformats.org/officeDocument/2006/relationships/hyperlink" Target="https://in.tradingview.com/chart/bXJLby4L/?symbol=NSE%3A20MICRONS" TargetMode="External"/><Relationship Id="rId2436" Type="http://schemas.openxmlformats.org/officeDocument/2006/relationships/hyperlink" Target="https://in.tradingview.com/chart/bXJLby4L/?symbol=NSE%3A20MICRONS" TargetMode="External"/><Relationship Id="rId1106" Type="http://schemas.openxmlformats.org/officeDocument/2006/relationships/hyperlink" Target="https://in.tradingview.com/chart/bXJLby4L/?symbol=NSE%3A20MICRONS" TargetMode="External"/><Relationship Id="rId2437" Type="http://schemas.openxmlformats.org/officeDocument/2006/relationships/hyperlink" Target="https://in.tradingview.com/chart/bXJLby4L/?symbol=NSE%3A20MICRONS" TargetMode="External"/><Relationship Id="rId1107" Type="http://schemas.openxmlformats.org/officeDocument/2006/relationships/hyperlink" Target="https://in.tradingview.com/chart/bXJLby4L/?symbol=NSE%3A20MICRONS" TargetMode="External"/><Relationship Id="rId2438" Type="http://schemas.openxmlformats.org/officeDocument/2006/relationships/hyperlink" Target="https://in.tradingview.com/chart/bXJLby4L/?symbol=NSE%3A20MICRONS" TargetMode="External"/><Relationship Id="rId1108" Type="http://schemas.openxmlformats.org/officeDocument/2006/relationships/hyperlink" Target="https://in.tradingview.com/chart/bXJLby4L/?symbol=NSE%3A20MICRONS" TargetMode="External"/><Relationship Id="rId2439" Type="http://schemas.openxmlformats.org/officeDocument/2006/relationships/hyperlink" Target="https://in.tradingview.com/chart/bXJLby4L/?symbol=NSE%3A20MICRONS" TargetMode="External"/><Relationship Id="rId1109" Type="http://schemas.openxmlformats.org/officeDocument/2006/relationships/hyperlink" Target="https://in.tradingview.com/chart/bXJLby4L/?symbol=NSE%3A20MICRONS" TargetMode="External"/><Relationship Id="rId519" Type="http://schemas.openxmlformats.org/officeDocument/2006/relationships/hyperlink" Target="https://in.tradingview.com/chart/bXJLby4L/?symbol=NSE%3A20MICRONS" TargetMode="External"/><Relationship Id="rId514" Type="http://schemas.openxmlformats.org/officeDocument/2006/relationships/hyperlink" Target="https://in.tradingview.com/chart/bXJLby4L/?symbol=NSE%3A20MICRONS" TargetMode="External"/><Relationship Id="rId513" Type="http://schemas.openxmlformats.org/officeDocument/2006/relationships/hyperlink" Target="https://in.tradingview.com/chart/bXJLby4L/?symbol=NSE%3A20MICRONS" TargetMode="External"/><Relationship Id="rId512" Type="http://schemas.openxmlformats.org/officeDocument/2006/relationships/hyperlink" Target="https://in.tradingview.com/chart/bXJLby4L/?symbol=NSE%3A20MICRONS" TargetMode="External"/><Relationship Id="rId511" Type="http://schemas.openxmlformats.org/officeDocument/2006/relationships/hyperlink" Target="https://in.tradingview.com/chart/bXJLby4L/?symbol=NSE%3A20MICRONS" TargetMode="External"/><Relationship Id="rId518" Type="http://schemas.openxmlformats.org/officeDocument/2006/relationships/hyperlink" Target="https://in.tradingview.com/chart/bXJLby4L/?symbol=NSE%3A20MICRONS" TargetMode="External"/><Relationship Id="rId517" Type="http://schemas.openxmlformats.org/officeDocument/2006/relationships/hyperlink" Target="https://in.tradingview.com/chart/bXJLby4L/?symbol=NSE%3A20MICRONS" TargetMode="External"/><Relationship Id="rId516" Type="http://schemas.openxmlformats.org/officeDocument/2006/relationships/hyperlink" Target="https://in.tradingview.com/chart/bXJLby4L/?symbol=NSE%3A20MICRONS" TargetMode="External"/><Relationship Id="rId515" Type="http://schemas.openxmlformats.org/officeDocument/2006/relationships/hyperlink" Target="https://in.tradingview.com/chart/bXJLby4L/?symbol=NSE%3A20MICRONS" TargetMode="External"/><Relationship Id="rId510" Type="http://schemas.openxmlformats.org/officeDocument/2006/relationships/hyperlink" Target="https://in.tradingview.com/chart/bXJLby4L/?symbol=NSE%3A20MICRONS" TargetMode="External"/><Relationship Id="rId2430" Type="http://schemas.openxmlformats.org/officeDocument/2006/relationships/hyperlink" Target="https://in.tradingview.com/chart/bXJLby4L/?symbol=NSE%3A20MICRONS" TargetMode="External"/><Relationship Id="rId1100" Type="http://schemas.openxmlformats.org/officeDocument/2006/relationships/hyperlink" Target="https://in.tradingview.com/chart/bXJLby4L/?symbol=NSE%3A20MICRONS" TargetMode="External"/><Relationship Id="rId2431" Type="http://schemas.openxmlformats.org/officeDocument/2006/relationships/hyperlink" Target="https://in.tradingview.com/chart/bXJLby4L/?symbol=NSE%3A20MICRONS" TargetMode="External"/><Relationship Id="rId1101" Type="http://schemas.openxmlformats.org/officeDocument/2006/relationships/hyperlink" Target="https://in.tradingview.com/chart/bXJLby4L/?symbol=NSE%3A20MICRONS" TargetMode="External"/><Relationship Id="rId2432" Type="http://schemas.openxmlformats.org/officeDocument/2006/relationships/hyperlink" Target="https://in.tradingview.com/chart/bXJLby4L/?symbol=NSE%3A20MICRONS" TargetMode="External"/><Relationship Id="rId1102" Type="http://schemas.openxmlformats.org/officeDocument/2006/relationships/hyperlink" Target="https://in.tradingview.com/chart/bXJLby4L/?symbol=NSE%3A20MICRONS" TargetMode="External"/><Relationship Id="rId2433" Type="http://schemas.openxmlformats.org/officeDocument/2006/relationships/hyperlink" Target="https://in.tradingview.com/chart/bXJLby4L/?symbol=NSE%3A20MICRONS" TargetMode="External"/><Relationship Id="rId2401" Type="http://schemas.openxmlformats.org/officeDocument/2006/relationships/hyperlink" Target="https://in.tradingview.com/chart/bXJLby4L/?symbol=NSE%3A20MICRONS" TargetMode="External"/><Relationship Id="rId2402" Type="http://schemas.openxmlformats.org/officeDocument/2006/relationships/hyperlink" Target="https://in.tradingview.com/chart/bXJLby4L/?symbol=NSE%3A20MICRONS" TargetMode="External"/><Relationship Id="rId2403" Type="http://schemas.openxmlformats.org/officeDocument/2006/relationships/hyperlink" Target="https://in.tradingview.com/chart/bXJLby4L/?symbol=NSE%3A20MICRONS" TargetMode="External"/><Relationship Id="rId2404" Type="http://schemas.openxmlformats.org/officeDocument/2006/relationships/hyperlink" Target="https://in.tradingview.com/chart/bXJLby4L/?symbol=NSE%3A20MICRONS" TargetMode="External"/><Relationship Id="rId2405" Type="http://schemas.openxmlformats.org/officeDocument/2006/relationships/hyperlink" Target="https://in.tradingview.com/chart/bXJLby4L/?symbol=NSE%3A20MICRONS" TargetMode="External"/><Relationship Id="rId2406" Type="http://schemas.openxmlformats.org/officeDocument/2006/relationships/hyperlink" Target="https://in.tradingview.com/chart/bXJLby4L/?symbol=NSE%3A20MICRONS" TargetMode="External"/><Relationship Id="rId2407" Type="http://schemas.openxmlformats.org/officeDocument/2006/relationships/hyperlink" Target="https://in.tradingview.com/chart/bXJLby4L/?symbol=NSE%3A20MICRONS" TargetMode="External"/><Relationship Id="rId2408" Type="http://schemas.openxmlformats.org/officeDocument/2006/relationships/hyperlink" Target="https://in.tradingview.com/chart/bXJLby4L/?symbol=NSE%3A20MICRONS" TargetMode="External"/><Relationship Id="rId2409" Type="http://schemas.openxmlformats.org/officeDocument/2006/relationships/hyperlink" Target="https://in.tradingview.com/chart/bXJLby4L/?symbol=NSE%3A20MICRONS" TargetMode="External"/><Relationship Id="rId2400" Type="http://schemas.openxmlformats.org/officeDocument/2006/relationships/hyperlink" Target="https://in.tradingview.com/chart/bXJLby4L/?symbol=NSE%3A20MICRONS" TargetMode="External"/><Relationship Id="rId590" Type="http://schemas.openxmlformats.org/officeDocument/2006/relationships/hyperlink" Target="https://in.tradingview.com/chart/bXJLby4L/?symbol=NSE%3A20MICRONS" TargetMode="External"/><Relationship Id="rId589" Type="http://schemas.openxmlformats.org/officeDocument/2006/relationships/hyperlink" Target="https://in.tradingview.com/chart/bXJLby4L/?symbol=NSE%3A20MICRONS" TargetMode="External"/><Relationship Id="rId588" Type="http://schemas.openxmlformats.org/officeDocument/2006/relationships/hyperlink" Target="https://in.tradingview.com/chart/bXJLby4L/?symbol=NSE%3A20MICRONS" TargetMode="External"/><Relationship Id="rId1170" Type="http://schemas.openxmlformats.org/officeDocument/2006/relationships/hyperlink" Target="https://in.tradingview.com/chart/bXJLby4L/?symbol=NSE%3A20MICRONS" TargetMode="External"/><Relationship Id="rId1171" Type="http://schemas.openxmlformats.org/officeDocument/2006/relationships/hyperlink" Target="https://in.tradingview.com/chart/bXJLby4L/?symbol=NSE%3A20MICRONS" TargetMode="External"/><Relationship Id="rId583" Type="http://schemas.openxmlformats.org/officeDocument/2006/relationships/hyperlink" Target="https://in.tradingview.com/chart/bXJLby4L/?symbol=NSE%3A20MICRONS" TargetMode="External"/><Relationship Id="rId1172" Type="http://schemas.openxmlformats.org/officeDocument/2006/relationships/hyperlink" Target="https://in.tradingview.com/chart/bXJLby4L/?symbol=NSE%3A20MICRONS" TargetMode="External"/><Relationship Id="rId582" Type="http://schemas.openxmlformats.org/officeDocument/2006/relationships/hyperlink" Target="https://in.tradingview.com/chart/bXJLby4L/?symbol=NSE%3A20MICRONS" TargetMode="External"/><Relationship Id="rId1173" Type="http://schemas.openxmlformats.org/officeDocument/2006/relationships/hyperlink" Target="https://in.tradingview.com/chart/bXJLby4L/?symbol=NSE%3A20MICRONS" TargetMode="External"/><Relationship Id="rId581" Type="http://schemas.openxmlformats.org/officeDocument/2006/relationships/hyperlink" Target="https://in.tradingview.com/chart/bXJLby4L/?symbol=NSE%3A20MICRONS" TargetMode="External"/><Relationship Id="rId1174" Type="http://schemas.openxmlformats.org/officeDocument/2006/relationships/hyperlink" Target="https://in.tradingview.com/chart/bXJLby4L/?symbol=NSE%3A20MICRONS" TargetMode="External"/><Relationship Id="rId580" Type="http://schemas.openxmlformats.org/officeDocument/2006/relationships/hyperlink" Target="https://in.tradingview.com/chart/bXJLby4L/?symbol=NSE%3A20MICRONS" TargetMode="External"/><Relationship Id="rId1175" Type="http://schemas.openxmlformats.org/officeDocument/2006/relationships/hyperlink" Target="https://in.tradingview.com/chart/bXJLby4L/?symbol=NSE%3A20MICRONS" TargetMode="External"/><Relationship Id="rId587" Type="http://schemas.openxmlformats.org/officeDocument/2006/relationships/hyperlink" Target="https://in.tradingview.com/chart/bXJLby4L/?symbol=NSE%3A20MICRONS" TargetMode="External"/><Relationship Id="rId1176" Type="http://schemas.openxmlformats.org/officeDocument/2006/relationships/hyperlink" Target="https://in.tradingview.com/chart/bXJLby4L/?symbol=NSE%3A20MICRONS" TargetMode="External"/><Relationship Id="rId586" Type="http://schemas.openxmlformats.org/officeDocument/2006/relationships/hyperlink" Target="https://in.tradingview.com/chart/bXJLby4L/?symbol=NSE%3A20MICRONS" TargetMode="External"/><Relationship Id="rId1177" Type="http://schemas.openxmlformats.org/officeDocument/2006/relationships/hyperlink" Target="https://in.tradingview.com/chart/bXJLby4L/?symbol=NSE%3A20MICRONS" TargetMode="External"/><Relationship Id="rId585" Type="http://schemas.openxmlformats.org/officeDocument/2006/relationships/hyperlink" Target="https://in.tradingview.com/chart/bXJLby4L/?symbol=NSE%3A20MICRONS" TargetMode="External"/><Relationship Id="rId1178" Type="http://schemas.openxmlformats.org/officeDocument/2006/relationships/hyperlink" Target="https://in.tradingview.com/chart/bXJLby4L/?symbol=NSE%3A20MICRONS" TargetMode="External"/><Relationship Id="rId584" Type="http://schemas.openxmlformats.org/officeDocument/2006/relationships/hyperlink" Target="https://in.tradingview.com/chart/bXJLby4L/?symbol=NSE%3A20MICRONS" TargetMode="External"/><Relationship Id="rId1179" Type="http://schemas.openxmlformats.org/officeDocument/2006/relationships/hyperlink" Target="https://in.tradingview.com/chart/bXJLby4L/?symbol=NSE%3A20MICRONS" TargetMode="External"/><Relationship Id="rId1169" Type="http://schemas.openxmlformats.org/officeDocument/2006/relationships/hyperlink" Target="https://in.tradingview.com/chart/bXJLby4L/?symbol=NSE%3A20MICRONS" TargetMode="External"/><Relationship Id="rId579" Type="http://schemas.openxmlformats.org/officeDocument/2006/relationships/hyperlink" Target="https://in.tradingview.com/chart/bXJLby4L/?symbol=NSE%3A20MICRONS" TargetMode="External"/><Relationship Id="rId578" Type="http://schemas.openxmlformats.org/officeDocument/2006/relationships/hyperlink" Target="https://in.tradingview.com/chart/bXJLby4L/?symbol=NSE%3A20MICRONS" TargetMode="External"/><Relationship Id="rId577" Type="http://schemas.openxmlformats.org/officeDocument/2006/relationships/hyperlink" Target="https://in.tradingview.com/chart/bXJLby4L/?symbol=NSE%3A20MICRONS" TargetMode="External"/><Relationship Id="rId2490" Type="http://schemas.openxmlformats.org/officeDocument/2006/relationships/hyperlink" Target="https://in.tradingview.com/chart/bXJLby4L/?symbol=NSE%3A20MICRONS" TargetMode="External"/><Relationship Id="rId1160" Type="http://schemas.openxmlformats.org/officeDocument/2006/relationships/hyperlink" Target="https://in.tradingview.com/chart/bXJLby4L/?symbol=NSE%3A20MICRONS" TargetMode="External"/><Relationship Id="rId2491" Type="http://schemas.openxmlformats.org/officeDocument/2006/relationships/hyperlink" Target="https://in.tradingview.com/chart/bXJLby4L/?symbol=NSE%3A20MICRONS" TargetMode="External"/><Relationship Id="rId572" Type="http://schemas.openxmlformats.org/officeDocument/2006/relationships/hyperlink" Target="https://in.tradingview.com/chart/bXJLby4L/?symbol=NSE%3A20MICRONS" TargetMode="External"/><Relationship Id="rId1161" Type="http://schemas.openxmlformats.org/officeDocument/2006/relationships/hyperlink" Target="https://in.tradingview.com/chart/bXJLby4L/?symbol=NSE%3A20MICRONS" TargetMode="External"/><Relationship Id="rId2492" Type="http://schemas.openxmlformats.org/officeDocument/2006/relationships/hyperlink" Target="https://in.tradingview.com/chart/bXJLby4L/?symbol=NSE%3A20MICRONS" TargetMode="External"/><Relationship Id="rId571" Type="http://schemas.openxmlformats.org/officeDocument/2006/relationships/hyperlink" Target="https://in.tradingview.com/chart/bXJLby4L/?symbol=NSE%3A20MICRONS" TargetMode="External"/><Relationship Id="rId1162" Type="http://schemas.openxmlformats.org/officeDocument/2006/relationships/hyperlink" Target="https://in.tradingview.com/chart/bXJLby4L/?symbol=NSE%3A20MICRONS" TargetMode="External"/><Relationship Id="rId2493" Type="http://schemas.openxmlformats.org/officeDocument/2006/relationships/hyperlink" Target="https://in.tradingview.com/chart/bXJLby4L/?symbol=NSE%3A20MICRONS" TargetMode="External"/><Relationship Id="rId570" Type="http://schemas.openxmlformats.org/officeDocument/2006/relationships/hyperlink" Target="https://in.tradingview.com/chart/bXJLby4L/?symbol=NSE%3A20MICRONS" TargetMode="External"/><Relationship Id="rId1163" Type="http://schemas.openxmlformats.org/officeDocument/2006/relationships/hyperlink" Target="https://in.tradingview.com/chart/bXJLby4L/?symbol=NSE%3A20MICRONS" TargetMode="External"/><Relationship Id="rId2494" Type="http://schemas.openxmlformats.org/officeDocument/2006/relationships/hyperlink" Target="https://in.tradingview.com/chart/bXJLby4L/?symbol=NSE%3A20MICRONS" TargetMode="External"/><Relationship Id="rId1164" Type="http://schemas.openxmlformats.org/officeDocument/2006/relationships/hyperlink" Target="https://in.tradingview.com/chart/bXJLby4L/?symbol=NSE%3A20MICRONS" TargetMode="External"/><Relationship Id="rId2495" Type="http://schemas.openxmlformats.org/officeDocument/2006/relationships/hyperlink" Target="https://in.tradingview.com/chart/bXJLby4L/?symbol=NSE%3A20MICRONS" TargetMode="External"/><Relationship Id="rId576" Type="http://schemas.openxmlformats.org/officeDocument/2006/relationships/hyperlink" Target="https://in.tradingview.com/chart/bXJLby4L/?symbol=NSE%3A20MICRONS" TargetMode="External"/><Relationship Id="rId1165" Type="http://schemas.openxmlformats.org/officeDocument/2006/relationships/hyperlink" Target="https://in.tradingview.com/chart/bXJLby4L/?symbol=NSE%3A20MICRONS" TargetMode="External"/><Relationship Id="rId2496" Type="http://schemas.openxmlformats.org/officeDocument/2006/relationships/hyperlink" Target="https://in.tradingview.com/chart/bXJLby4L/?symbol=NSE%3A20MICRONS" TargetMode="External"/><Relationship Id="rId575" Type="http://schemas.openxmlformats.org/officeDocument/2006/relationships/hyperlink" Target="https://in.tradingview.com/chart/bXJLby4L/?symbol=NSE%3A20MICRONS" TargetMode="External"/><Relationship Id="rId1166" Type="http://schemas.openxmlformats.org/officeDocument/2006/relationships/hyperlink" Target="https://in.tradingview.com/chart/bXJLby4L/?symbol=NSE%3A20MICRONS" TargetMode="External"/><Relationship Id="rId2497" Type="http://schemas.openxmlformats.org/officeDocument/2006/relationships/hyperlink" Target="https://in.tradingview.com/chart/bXJLby4L/?symbol=NSE%3A20MICRONS" TargetMode="External"/><Relationship Id="rId574" Type="http://schemas.openxmlformats.org/officeDocument/2006/relationships/hyperlink" Target="https://in.tradingview.com/chart/bXJLby4L/?symbol=NSE%3A20MICRONS" TargetMode="External"/><Relationship Id="rId1167" Type="http://schemas.openxmlformats.org/officeDocument/2006/relationships/hyperlink" Target="https://in.tradingview.com/chart/bXJLby4L/?symbol=NSE%3A20MICRONS" TargetMode="External"/><Relationship Id="rId2498" Type="http://schemas.openxmlformats.org/officeDocument/2006/relationships/hyperlink" Target="https://in.tradingview.com/chart/bXJLby4L/?symbol=NSE%3A20MICRONS" TargetMode="External"/><Relationship Id="rId573" Type="http://schemas.openxmlformats.org/officeDocument/2006/relationships/hyperlink" Target="https://in.tradingview.com/chart/bXJLby4L/?symbol=NSE%3A20MICRONS" TargetMode="External"/><Relationship Id="rId1168" Type="http://schemas.openxmlformats.org/officeDocument/2006/relationships/hyperlink" Target="https://in.tradingview.com/chart/bXJLby4L/?symbol=NSE%3A20MICRONS" TargetMode="External"/><Relationship Id="rId2499" Type="http://schemas.openxmlformats.org/officeDocument/2006/relationships/hyperlink" Target="https://in.tradingview.com/chart/bXJLby4L/?symbol=NSE%3A20MICRONS" TargetMode="External"/><Relationship Id="rId1190" Type="http://schemas.openxmlformats.org/officeDocument/2006/relationships/hyperlink" Target="https://in.tradingview.com/chart/bXJLby4L/?symbol=NSE%3A20MICRONS" TargetMode="External"/><Relationship Id="rId1191" Type="http://schemas.openxmlformats.org/officeDocument/2006/relationships/hyperlink" Target="https://in.tradingview.com/chart/bXJLby4L/?symbol=NSE%3A20MICRONS" TargetMode="External"/><Relationship Id="rId1192" Type="http://schemas.openxmlformats.org/officeDocument/2006/relationships/hyperlink" Target="https://in.tradingview.com/chart/bXJLby4L/?symbol=NSE%3A20MICRONS" TargetMode="External"/><Relationship Id="rId1193" Type="http://schemas.openxmlformats.org/officeDocument/2006/relationships/hyperlink" Target="https://in.tradingview.com/chart/bXJLby4L/?symbol=NSE%3A20MICRONS" TargetMode="External"/><Relationship Id="rId1194" Type="http://schemas.openxmlformats.org/officeDocument/2006/relationships/hyperlink" Target="https://in.tradingview.com/chart/bXJLby4L/?symbol=NSE%3A20MICRONS" TargetMode="External"/><Relationship Id="rId1195" Type="http://schemas.openxmlformats.org/officeDocument/2006/relationships/hyperlink" Target="https://in.tradingview.com/chart/bXJLby4L/?symbol=NSE%3A20MICRONS" TargetMode="External"/><Relationship Id="rId1196" Type="http://schemas.openxmlformats.org/officeDocument/2006/relationships/hyperlink" Target="https://in.tradingview.com/chart/bXJLby4L/?symbol=NSE%3A20MICRONS" TargetMode="External"/><Relationship Id="rId1197" Type="http://schemas.openxmlformats.org/officeDocument/2006/relationships/hyperlink" Target="https://in.tradingview.com/chart/bXJLby4L/?symbol=NSE%3A20MICRONS" TargetMode="External"/><Relationship Id="rId1198" Type="http://schemas.openxmlformats.org/officeDocument/2006/relationships/hyperlink" Target="https://in.tradingview.com/chart/bXJLby4L/?symbol=NSE%3A20MICRONS" TargetMode="External"/><Relationship Id="rId1199" Type="http://schemas.openxmlformats.org/officeDocument/2006/relationships/hyperlink" Target="https://in.tradingview.com/chart/bXJLby4L/?symbol=NSE%3A20MICRONS" TargetMode="External"/><Relationship Id="rId599" Type="http://schemas.openxmlformats.org/officeDocument/2006/relationships/hyperlink" Target="https://in.tradingview.com/chart/bXJLby4L/?symbol=NSE%3A20MICRONS" TargetMode="External"/><Relationship Id="rId1180" Type="http://schemas.openxmlformats.org/officeDocument/2006/relationships/hyperlink" Target="https://in.tradingview.com/chart/bXJLby4L/?symbol=NSE%3A20MICRONS" TargetMode="External"/><Relationship Id="rId1181" Type="http://schemas.openxmlformats.org/officeDocument/2006/relationships/hyperlink" Target="https://in.tradingview.com/chart/bXJLby4L/?symbol=NSE%3A20MICRONS" TargetMode="External"/><Relationship Id="rId1182" Type="http://schemas.openxmlformats.org/officeDocument/2006/relationships/hyperlink" Target="https://in.tradingview.com/chart/bXJLby4L/?symbol=NSE%3A20MICRONS" TargetMode="External"/><Relationship Id="rId594" Type="http://schemas.openxmlformats.org/officeDocument/2006/relationships/hyperlink" Target="https://in.tradingview.com/chart/bXJLby4L/?symbol=NSE%3A20MICRONS" TargetMode="External"/><Relationship Id="rId1183" Type="http://schemas.openxmlformats.org/officeDocument/2006/relationships/hyperlink" Target="https://in.tradingview.com/chart/bXJLby4L/?symbol=NSE%3A20MICRONS" TargetMode="External"/><Relationship Id="rId593" Type="http://schemas.openxmlformats.org/officeDocument/2006/relationships/hyperlink" Target="https://in.tradingview.com/chart/bXJLby4L/?symbol=NSE%3A20MICRONS" TargetMode="External"/><Relationship Id="rId1184" Type="http://schemas.openxmlformats.org/officeDocument/2006/relationships/hyperlink" Target="https://in.tradingview.com/chart/bXJLby4L/?symbol=NSE%3A20MICRONS" TargetMode="External"/><Relationship Id="rId592" Type="http://schemas.openxmlformats.org/officeDocument/2006/relationships/hyperlink" Target="https://in.tradingview.com/chart/bXJLby4L/?symbol=NSE%3A20MICRONS" TargetMode="External"/><Relationship Id="rId1185" Type="http://schemas.openxmlformats.org/officeDocument/2006/relationships/hyperlink" Target="https://in.tradingview.com/chart/bXJLby4L/?symbol=NSE%3A20MICRONS" TargetMode="External"/><Relationship Id="rId591" Type="http://schemas.openxmlformats.org/officeDocument/2006/relationships/hyperlink" Target="https://in.tradingview.com/chart/bXJLby4L/?symbol=NSE%3A20MICRONS" TargetMode="External"/><Relationship Id="rId1186" Type="http://schemas.openxmlformats.org/officeDocument/2006/relationships/hyperlink" Target="https://in.tradingview.com/chart/bXJLby4L/?symbol=NSE%3A20MICRONS" TargetMode="External"/><Relationship Id="rId598" Type="http://schemas.openxmlformats.org/officeDocument/2006/relationships/hyperlink" Target="https://in.tradingview.com/chart/bXJLby4L/?symbol=NSE%3A20MICRONS" TargetMode="External"/><Relationship Id="rId1187" Type="http://schemas.openxmlformats.org/officeDocument/2006/relationships/hyperlink" Target="https://in.tradingview.com/chart/bXJLby4L/?symbol=NSE%3A20MICRONS" TargetMode="External"/><Relationship Id="rId597" Type="http://schemas.openxmlformats.org/officeDocument/2006/relationships/hyperlink" Target="https://in.tradingview.com/chart/bXJLby4L/?symbol=NSE%3A20MICRONS" TargetMode="External"/><Relationship Id="rId1188" Type="http://schemas.openxmlformats.org/officeDocument/2006/relationships/hyperlink" Target="https://in.tradingview.com/chart/bXJLby4L/?symbol=NSE%3A20MICRONS" TargetMode="External"/><Relationship Id="rId596" Type="http://schemas.openxmlformats.org/officeDocument/2006/relationships/hyperlink" Target="https://in.tradingview.com/chart/bXJLby4L/?symbol=NSE%3A20MICRONS" TargetMode="External"/><Relationship Id="rId1189" Type="http://schemas.openxmlformats.org/officeDocument/2006/relationships/hyperlink" Target="https://in.tradingview.com/chart/bXJLby4L/?symbol=NSE%3A20MICRONS" TargetMode="External"/><Relationship Id="rId595" Type="http://schemas.openxmlformats.org/officeDocument/2006/relationships/hyperlink" Target="https://in.tradingview.com/chart/bXJLby4L/?symbol=NSE%3A20MICRONS" TargetMode="External"/><Relationship Id="rId1136" Type="http://schemas.openxmlformats.org/officeDocument/2006/relationships/hyperlink" Target="https://in.tradingview.com/chart/bXJLby4L/?symbol=NSE%3A20MICRONS" TargetMode="External"/><Relationship Id="rId2467" Type="http://schemas.openxmlformats.org/officeDocument/2006/relationships/hyperlink" Target="https://in.tradingview.com/chart/bXJLby4L/?symbol=NSE%3A20MICRONS" TargetMode="External"/><Relationship Id="rId1137" Type="http://schemas.openxmlformats.org/officeDocument/2006/relationships/hyperlink" Target="https://in.tradingview.com/chart/bXJLby4L/?symbol=NSE%3A20MICRONS" TargetMode="External"/><Relationship Id="rId2468" Type="http://schemas.openxmlformats.org/officeDocument/2006/relationships/hyperlink" Target="https://in.tradingview.com/chart/bXJLby4L/?symbol=NSE%3A20MICRONS" TargetMode="External"/><Relationship Id="rId1138" Type="http://schemas.openxmlformats.org/officeDocument/2006/relationships/hyperlink" Target="https://in.tradingview.com/chart/bXJLby4L/?symbol=NSE%3A20MICRONS" TargetMode="External"/><Relationship Id="rId2469" Type="http://schemas.openxmlformats.org/officeDocument/2006/relationships/hyperlink" Target="https://in.tradingview.com/chart/bXJLby4L/?symbol=NSE%3A20MICRONS" TargetMode="External"/><Relationship Id="rId1139" Type="http://schemas.openxmlformats.org/officeDocument/2006/relationships/hyperlink" Target="https://in.tradingview.com/chart/bXJLby4L/?symbol=NSE%3A20MICRONS" TargetMode="External"/><Relationship Id="rId547" Type="http://schemas.openxmlformats.org/officeDocument/2006/relationships/hyperlink" Target="https://in.tradingview.com/chart/bXJLby4L/?symbol=NSE%3A20MICRONS" TargetMode="External"/><Relationship Id="rId546" Type="http://schemas.openxmlformats.org/officeDocument/2006/relationships/hyperlink" Target="https://in.tradingview.com/chart/bXJLby4L/?symbol=NSE%3A20MICRONS" TargetMode="External"/><Relationship Id="rId545" Type="http://schemas.openxmlformats.org/officeDocument/2006/relationships/hyperlink" Target="https://in.tradingview.com/chart/bXJLby4L/?symbol=NSE%3A20MICRONS" TargetMode="External"/><Relationship Id="rId544" Type="http://schemas.openxmlformats.org/officeDocument/2006/relationships/hyperlink" Target="https://in.tradingview.com/chart/bXJLby4L/?symbol=NSE%3A20MICRONS" TargetMode="External"/><Relationship Id="rId549" Type="http://schemas.openxmlformats.org/officeDocument/2006/relationships/hyperlink" Target="https://in.tradingview.com/chart/bXJLby4L/?symbol=NSE%3A20MICRONS" TargetMode="External"/><Relationship Id="rId548" Type="http://schemas.openxmlformats.org/officeDocument/2006/relationships/hyperlink" Target="https://in.tradingview.com/chart/bXJLby4L/?symbol=NSE%3A20MICRONS" TargetMode="External"/><Relationship Id="rId2460" Type="http://schemas.openxmlformats.org/officeDocument/2006/relationships/hyperlink" Target="https://in.tradingview.com/chart/bXJLby4L/?symbol=NSE%3A20MICRONS" TargetMode="External"/><Relationship Id="rId1130" Type="http://schemas.openxmlformats.org/officeDocument/2006/relationships/hyperlink" Target="https://in.tradingview.com/chart/bXJLby4L/?symbol=NSE%3A20MICRONS" TargetMode="External"/><Relationship Id="rId2461" Type="http://schemas.openxmlformats.org/officeDocument/2006/relationships/hyperlink" Target="https://in.tradingview.com/chart/bXJLby4L/?symbol=NSE%3A20MICRONS" TargetMode="External"/><Relationship Id="rId1131" Type="http://schemas.openxmlformats.org/officeDocument/2006/relationships/hyperlink" Target="https://in.tradingview.com/chart/bXJLby4L/?symbol=NSE%3A20MICRONS" TargetMode="External"/><Relationship Id="rId2462" Type="http://schemas.openxmlformats.org/officeDocument/2006/relationships/hyperlink" Target="https://in.tradingview.com/chart/bXJLby4L/?symbol=NSE%3A20MICRONS" TargetMode="External"/><Relationship Id="rId543" Type="http://schemas.openxmlformats.org/officeDocument/2006/relationships/hyperlink" Target="https://in.tradingview.com/chart/bXJLby4L/?symbol=NSE%3A20MICRONS" TargetMode="External"/><Relationship Id="rId1132" Type="http://schemas.openxmlformats.org/officeDocument/2006/relationships/hyperlink" Target="https://in.tradingview.com/chart/bXJLby4L/?symbol=NSE%3A20MICRONS" TargetMode="External"/><Relationship Id="rId2463" Type="http://schemas.openxmlformats.org/officeDocument/2006/relationships/hyperlink" Target="https://in.tradingview.com/chart/bXJLby4L/?symbol=NSE%3A20MICRONS" TargetMode="External"/><Relationship Id="rId542" Type="http://schemas.openxmlformats.org/officeDocument/2006/relationships/hyperlink" Target="https://in.tradingview.com/chart/bXJLby4L/?symbol=NSE%3A20MICRONS" TargetMode="External"/><Relationship Id="rId1133" Type="http://schemas.openxmlformats.org/officeDocument/2006/relationships/hyperlink" Target="https://in.tradingview.com/chart/bXJLby4L/?symbol=NSE%3A20MICRONS" TargetMode="External"/><Relationship Id="rId2464" Type="http://schemas.openxmlformats.org/officeDocument/2006/relationships/hyperlink" Target="https://in.tradingview.com/chart/bXJLby4L/?symbol=NSE%3A20MICRONS" TargetMode="External"/><Relationship Id="rId541" Type="http://schemas.openxmlformats.org/officeDocument/2006/relationships/hyperlink" Target="https://in.tradingview.com/chart/bXJLby4L/?symbol=NSE%3A20MICRONS" TargetMode="External"/><Relationship Id="rId1134" Type="http://schemas.openxmlformats.org/officeDocument/2006/relationships/hyperlink" Target="https://in.tradingview.com/chart/bXJLby4L/?symbol=NSE%3A20MICRONS" TargetMode="External"/><Relationship Id="rId2465" Type="http://schemas.openxmlformats.org/officeDocument/2006/relationships/hyperlink" Target="https://in.tradingview.com/chart/bXJLby4L/?symbol=NSE%3A20MICRONS" TargetMode="External"/><Relationship Id="rId540" Type="http://schemas.openxmlformats.org/officeDocument/2006/relationships/hyperlink" Target="https://in.tradingview.com/chart/bXJLby4L/?symbol=NSE%3A20MICRONS" TargetMode="External"/><Relationship Id="rId1135" Type="http://schemas.openxmlformats.org/officeDocument/2006/relationships/hyperlink" Target="https://in.tradingview.com/chart/bXJLby4L/?symbol=NSE%3A20MICRONS" TargetMode="External"/><Relationship Id="rId2466" Type="http://schemas.openxmlformats.org/officeDocument/2006/relationships/hyperlink" Target="https://in.tradingview.com/chart/bXJLby4L/?symbol=NSE%3A20MICRONS" TargetMode="External"/><Relationship Id="rId1125" Type="http://schemas.openxmlformats.org/officeDocument/2006/relationships/hyperlink" Target="https://in.tradingview.com/chart/bXJLby4L/?symbol=NSE%3A20MICRONS" TargetMode="External"/><Relationship Id="rId2456" Type="http://schemas.openxmlformats.org/officeDocument/2006/relationships/hyperlink" Target="https://in.tradingview.com/chart/bXJLby4L/?symbol=NSE%3A20MICRONS" TargetMode="External"/><Relationship Id="rId1126" Type="http://schemas.openxmlformats.org/officeDocument/2006/relationships/hyperlink" Target="https://in.tradingview.com/chart/bXJLby4L/?symbol=NSE%3A20MICRONS" TargetMode="External"/><Relationship Id="rId2457" Type="http://schemas.openxmlformats.org/officeDocument/2006/relationships/hyperlink" Target="https://in.tradingview.com/chart/bXJLby4L/?symbol=NSE%3A20MICRONS" TargetMode="External"/><Relationship Id="rId1127" Type="http://schemas.openxmlformats.org/officeDocument/2006/relationships/hyperlink" Target="https://in.tradingview.com/chart/bXJLby4L/?symbol=NSE%3A20MICRONS" TargetMode="External"/><Relationship Id="rId2458" Type="http://schemas.openxmlformats.org/officeDocument/2006/relationships/hyperlink" Target="https://in.tradingview.com/chart/bXJLby4L/?symbol=NSE%3A20MICRONS" TargetMode="External"/><Relationship Id="rId1128" Type="http://schemas.openxmlformats.org/officeDocument/2006/relationships/hyperlink" Target="https://in.tradingview.com/chart/bXJLby4L/?symbol=NSE%3A20MICRONS" TargetMode="External"/><Relationship Id="rId2459" Type="http://schemas.openxmlformats.org/officeDocument/2006/relationships/hyperlink" Target="https://in.tradingview.com/chart/bXJLby4L/?symbol=NSE%3A20MICRONS" TargetMode="External"/><Relationship Id="rId1129" Type="http://schemas.openxmlformats.org/officeDocument/2006/relationships/hyperlink" Target="https://in.tradingview.com/chart/bXJLby4L/?symbol=NSE%3A20MICRONS" TargetMode="External"/><Relationship Id="rId536" Type="http://schemas.openxmlformats.org/officeDocument/2006/relationships/hyperlink" Target="https://in.tradingview.com/chart/bXJLby4L/?symbol=NSE%3A20MICRONS" TargetMode="External"/><Relationship Id="rId535" Type="http://schemas.openxmlformats.org/officeDocument/2006/relationships/hyperlink" Target="https://in.tradingview.com/chart/bXJLby4L/?symbol=NSE%3A20MICRONS" TargetMode="External"/><Relationship Id="rId534" Type="http://schemas.openxmlformats.org/officeDocument/2006/relationships/hyperlink" Target="https://in.tradingview.com/chart/bXJLby4L/?symbol=NSE%3A20MICRONS" TargetMode="External"/><Relationship Id="rId533" Type="http://schemas.openxmlformats.org/officeDocument/2006/relationships/hyperlink" Target="https://in.tradingview.com/chart/bXJLby4L/?symbol=NSE%3A20MICRONS" TargetMode="External"/><Relationship Id="rId539" Type="http://schemas.openxmlformats.org/officeDocument/2006/relationships/hyperlink" Target="https://in.tradingview.com/chart/bXJLby4L/?symbol=NSE%3A20MICRONS" TargetMode="External"/><Relationship Id="rId538" Type="http://schemas.openxmlformats.org/officeDocument/2006/relationships/hyperlink" Target="https://in.tradingview.com/chart/bXJLby4L/?symbol=NSE%3A20MICRONS" TargetMode="External"/><Relationship Id="rId537" Type="http://schemas.openxmlformats.org/officeDocument/2006/relationships/hyperlink" Target="https://in.tradingview.com/chart/bXJLby4L/?symbol=NSE%3A20MICRONS" TargetMode="External"/><Relationship Id="rId2450" Type="http://schemas.openxmlformats.org/officeDocument/2006/relationships/hyperlink" Target="https://in.tradingview.com/chart/bXJLby4L/?symbol=NSE%3A20MICRONS" TargetMode="External"/><Relationship Id="rId1120" Type="http://schemas.openxmlformats.org/officeDocument/2006/relationships/hyperlink" Target="https://in.tradingview.com/chart/bXJLby4L/?symbol=NSE%3A20MICRONS" TargetMode="External"/><Relationship Id="rId2451" Type="http://schemas.openxmlformats.org/officeDocument/2006/relationships/hyperlink" Target="https://in.tradingview.com/chart/bXJLby4L/?symbol=NSE%3A20MICRONS" TargetMode="External"/><Relationship Id="rId532" Type="http://schemas.openxmlformats.org/officeDocument/2006/relationships/hyperlink" Target="https://in.tradingview.com/chart/bXJLby4L/?symbol=NSE%3A20MICRONS" TargetMode="External"/><Relationship Id="rId1121" Type="http://schemas.openxmlformats.org/officeDocument/2006/relationships/hyperlink" Target="https://in.tradingview.com/chart/bXJLby4L/?symbol=NSE%3A20MICRONS" TargetMode="External"/><Relationship Id="rId2452" Type="http://schemas.openxmlformats.org/officeDocument/2006/relationships/hyperlink" Target="https://in.tradingview.com/chart/bXJLby4L/?symbol=NSE%3A20MICRONS" TargetMode="External"/><Relationship Id="rId531" Type="http://schemas.openxmlformats.org/officeDocument/2006/relationships/hyperlink" Target="https://in.tradingview.com/chart/bXJLby4L/?symbol=NSE%3A20MICRONS" TargetMode="External"/><Relationship Id="rId1122" Type="http://schemas.openxmlformats.org/officeDocument/2006/relationships/hyperlink" Target="https://in.tradingview.com/chart/bXJLby4L/?symbol=NSE%3A20MICRONS" TargetMode="External"/><Relationship Id="rId2453" Type="http://schemas.openxmlformats.org/officeDocument/2006/relationships/hyperlink" Target="https://in.tradingview.com/chart/bXJLby4L/?symbol=NSE%3A20MICRONS" TargetMode="External"/><Relationship Id="rId530" Type="http://schemas.openxmlformats.org/officeDocument/2006/relationships/hyperlink" Target="https://in.tradingview.com/chart/bXJLby4L/?symbol=NSE%3A20MICRONS" TargetMode="External"/><Relationship Id="rId1123" Type="http://schemas.openxmlformats.org/officeDocument/2006/relationships/hyperlink" Target="https://in.tradingview.com/chart/bXJLby4L/?symbol=NSE%3A20MICRONS" TargetMode="External"/><Relationship Id="rId2454" Type="http://schemas.openxmlformats.org/officeDocument/2006/relationships/hyperlink" Target="https://in.tradingview.com/chart/bXJLby4L/?symbol=NSE%3A20MICRONS" TargetMode="External"/><Relationship Id="rId1124" Type="http://schemas.openxmlformats.org/officeDocument/2006/relationships/hyperlink" Target="https://in.tradingview.com/chart/bXJLby4L/?symbol=NSE%3A20MICRONS" TargetMode="External"/><Relationship Id="rId2455" Type="http://schemas.openxmlformats.org/officeDocument/2006/relationships/hyperlink" Target="https://in.tradingview.com/chart/bXJLby4L/?symbol=NSE%3A20MICRONS" TargetMode="External"/><Relationship Id="rId1158" Type="http://schemas.openxmlformats.org/officeDocument/2006/relationships/hyperlink" Target="https://in.tradingview.com/chart/bXJLby4L/?symbol=NSE%3A20MICRONS" TargetMode="External"/><Relationship Id="rId2489" Type="http://schemas.openxmlformats.org/officeDocument/2006/relationships/hyperlink" Target="https://in.tradingview.com/chart/bXJLby4L/?symbol=NSE%3A20MICRONS" TargetMode="External"/><Relationship Id="rId1159" Type="http://schemas.openxmlformats.org/officeDocument/2006/relationships/hyperlink" Target="https://in.tradingview.com/chart/bXJLby4L/?symbol=NSE%3A20MICRONS" TargetMode="External"/><Relationship Id="rId569" Type="http://schemas.openxmlformats.org/officeDocument/2006/relationships/hyperlink" Target="https://in.tradingview.com/chart/bXJLby4L/?symbol=NSE%3A20MICRONS" TargetMode="External"/><Relationship Id="rId568" Type="http://schemas.openxmlformats.org/officeDocument/2006/relationships/hyperlink" Target="https://in.tradingview.com/chart/bXJLby4L/?symbol=NSE%3A20MICRONS" TargetMode="External"/><Relationship Id="rId567" Type="http://schemas.openxmlformats.org/officeDocument/2006/relationships/hyperlink" Target="https://in.tradingview.com/chart/bXJLby4L/?symbol=NSE%3A20MICRONS" TargetMode="External"/><Relationship Id="rId566" Type="http://schemas.openxmlformats.org/officeDocument/2006/relationships/hyperlink" Target="https://in.tradingview.com/chart/bXJLby4L/?symbol=NSE%3A20MICRONS" TargetMode="External"/><Relationship Id="rId2480" Type="http://schemas.openxmlformats.org/officeDocument/2006/relationships/hyperlink" Target="https://in.tradingview.com/chart/bXJLby4L/?symbol=NSE%3A20MICRONS" TargetMode="External"/><Relationship Id="rId561" Type="http://schemas.openxmlformats.org/officeDocument/2006/relationships/hyperlink" Target="https://in.tradingview.com/chart/bXJLby4L/?symbol=NSE%3A20MICRONS" TargetMode="External"/><Relationship Id="rId1150" Type="http://schemas.openxmlformats.org/officeDocument/2006/relationships/hyperlink" Target="https://in.tradingview.com/chart/bXJLby4L/?symbol=NSE%3A20MICRONS" TargetMode="External"/><Relationship Id="rId2481" Type="http://schemas.openxmlformats.org/officeDocument/2006/relationships/hyperlink" Target="https://in.tradingview.com/chart/bXJLby4L/?symbol=NSE%3A20MICRONS" TargetMode="External"/><Relationship Id="rId560" Type="http://schemas.openxmlformats.org/officeDocument/2006/relationships/hyperlink" Target="https://in.tradingview.com/chart/bXJLby4L/?symbol=NSE%3A20MICRONS" TargetMode="External"/><Relationship Id="rId1151" Type="http://schemas.openxmlformats.org/officeDocument/2006/relationships/hyperlink" Target="https://in.tradingview.com/chart/bXJLby4L/?symbol=NSE%3A20MICRONS" TargetMode="External"/><Relationship Id="rId2482" Type="http://schemas.openxmlformats.org/officeDocument/2006/relationships/hyperlink" Target="https://in.tradingview.com/chart/bXJLby4L/?symbol=NSE%3A20MICRONS" TargetMode="External"/><Relationship Id="rId1152" Type="http://schemas.openxmlformats.org/officeDocument/2006/relationships/hyperlink" Target="https://in.tradingview.com/chart/bXJLby4L/?symbol=NSE%3A20MICRONS" TargetMode="External"/><Relationship Id="rId2483" Type="http://schemas.openxmlformats.org/officeDocument/2006/relationships/hyperlink" Target="https://in.tradingview.com/chart/bXJLby4L/?symbol=NSE%3A20MICRONS" TargetMode="External"/><Relationship Id="rId1153" Type="http://schemas.openxmlformats.org/officeDocument/2006/relationships/hyperlink" Target="https://in.tradingview.com/chart/bXJLby4L/?symbol=NSE%3A20MICRONS" TargetMode="External"/><Relationship Id="rId2484" Type="http://schemas.openxmlformats.org/officeDocument/2006/relationships/hyperlink" Target="https://in.tradingview.com/chart/bXJLby4L/?symbol=NSE%3A20MICRONS" TargetMode="External"/><Relationship Id="rId565" Type="http://schemas.openxmlformats.org/officeDocument/2006/relationships/hyperlink" Target="https://in.tradingview.com/chart/bXJLby4L/?symbol=NSE%3A20MICRONS" TargetMode="External"/><Relationship Id="rId1154" Type="http://schemas.openxmlformats.org/officeDocument/2006/relationships/hyperlink" Target="https://in.tradingview.com/chart/bXJLby4L/?symbol=NSE%3A20MICRONS" TargetMode="External"/><Relationship Id="rId2485" Type="http://schemas.openxmlformats.org/officeDocument/2006/relationships/hyperlink" Target="https://in.tradingview.com/chart/bXJLby4L/?symbol=NSE%3A20MICRONS" TargetMode="External"/><Relationship Id="rId564" Type="http://schemas.openxmlformats.org/officeDocument/2006/relationships/hyperlink" Target="https://in.tradingview.com/chart/bXJLby4L/?symbol=NSE%3A20MICRONS" TargetMode="External"/><Relationship Id="rId1155" Type="http://schemas.openxmlformats.org/officeDocument/2006/relationships/hyperlink" Target="https://in.tradingview.com/chart/bXJLby4L/?symbol=NSE%3A20MICRONS" TargetMode="External"/><Relationship Id="rId2486" Type="http://schemas.openxmlformats.org/officeDocument/2006/relationships/hyperlink" Target="https://in.tradingview.com/chart/bXJLby4L/?symbol=NSE%3A20MICRONS" TargetMode="External"/><Relationship Id="rId563" Type="http://schemas.openxmlformats.org/officeDocument/2006/relationships/hyperlink" Target="https://in.tradingview.com/chart/bXJLby4L/?symbol=NSE%3A20MICRONS" TargetMode="External"/><Relationship Id="rId1156" Type="http://schemas.openxmlformats.org/officeDocument/2006/relationships/hyperlink" Target="https://in.tradingview.com/chart/bXJLby4L/?symbol=NSE%3A20MICRONS" TargetMode="External"/><Relationship Id="rId2487" Type="http://schemas.openxmlformats.org/officeDocument/2006/relationships/hyperlink" Target="https://in.tradingview.com/chart/bXJLby4L/?symbol=NSE%3A20MICRONS" TargetMode="External"/><Relationship Id="rId562" Type="http://schemas.openxmlformats.org/officeDocument/2006/relationships/hyperlink" Target="https://in.tradingview.com/chart/bXJLby4L/?symbol=NSE%3A20MICRONS" TargetMode="External"/><Relationship Id="rId1157" Type="http://schemas.openxmlformats.org/officeDocument/2006/relationships/hyperlink" Target="https://in.tradingview.com/chart/bXJLby4L/?symbol=NSE%3A20MICRONS" TargetMode="External"/><Relationship Id="rId2488" Type="http://schemas.openxmlformats.org/officeDocument/2006/relationships/hyperlink" Target="https://in.tradingview.com/chart/bXJLby4L/?symbol=NSE%3A20MICRONS" TargetMode="External"/><Relationship Id="rId1147" Type="http://schemas.openxmlformats.org/officeDocument/2006/relationships/hyperlink" Target="https://in.tradingview.com/chart/bXJLby4L/?symbol=NSE%3A20MICRONS" TargetMode="External"/><Relationship Id="rId2478" Type="http://schemas.openxmlformats.org/officeDocument/2006/relationships/hyperlink" Target="https://in.tradingview.com/chart/bXJLby4L/?symbol=NSE%3A20MICRONS" TargetMode="External"/><Relationship Id="rId1148" Type="http://schemas.openxmlformats.org/officeDocument/2006/relationships/hyperlink" Target="https://in.tradingview.com/chart/bXJLby4L/?symbol=NSE%3A20MICRONS" TargetMode="External"/><Relationship Id="rId2479" Type="http://schemas.openxmlformats.org/officeDocument/2006/relationships/hyperlink" Target="https://in.tradingview.com/chart/bXJLby4L/?symbol=NSE%3A20MICRONS" TargetMode="External"/><Relationship Id="rId1149" Type="http://schemas.openxmlformats.org/officeDocument/2006/relationships/hyperlink" Target="https://in.tradingview.com/chart/bXJLby4L/?symbol=NSE%3A20MICRONS" TargetMode="External"/><Relationship Id="rId558" Type="http://schemas.openxmlformats.org/officeDocument/2006/relationships/hyperlink" Target="https://in.tradingview.com/chart/bXJLby4L/?symbol=NSE%3A20MICRONS" TargetMode="External"/><Relationship Id="rId557" Type="http://schemas.openxmlformats.org/officeDocument/2006/relationships/hyperlink" Target="https://in.tradingview.com/chart/bXJLby4L/?symbol=NSE%3A20MICRONS" TargetMode="External"/><Relationship Id="rId556" Type="http://schemas.openxmlformats.org/officeDocument/2006/relationships/hyperlink" Target="https://in.tradingview.com/chart/bXJLby4L/?symbol=NSE%3A20MICRONS" TargetMode="External"/><Relationship Id="rId555" Type="http://schemas.openxmlformats.org/officeDocument/2006/relationships/hyperlink" Target="https://in.tradingview.com/chart/bXJLby4L/?symbol=NSE%3A20MICRONS" TargetMode="External"/><Relationship Id="rId559" Type="http://schemas.openxmlformats.org/officeDocument/2006/relationships/hyperlink" Target="https://in.tradingview.com/chart/bXJLby4L/?symbol=NSE%3A20MICRONS" TargetMode="External"/><Relationship Id="rId550" Type="http://schemas.openxmlformats.org/officeDocument/2006/relationships/hyperlink" Target="https://in.tradingview.com/chart/bXJLby4L/?symbol=NSE%3A20MICRONS" TargetMode="External"/><Relationship Id="rId2470" Type="http://schemas.openxmlformats.org/officeDocument/2006/relationships/hyperlink" Target="https://in.tradingview.com/chart/bXJLby4L/?symbol=NSE%3A20MICRONS" TargetMode="External"/><Relationship Id="rId1140" Type="http://schemas.openxmlformats.org/officeDocument/2006/relationships/hyperlink" Target="https://in.tradingview.com/chart/bXJLby4L/?symbol=NSE%3A20MICRONS" TargetMode="External"/><Relationship Id="rId2471" Type="http://schemas.openxmlformats.org/officeDocument/2006/relationships/hyperlink" Target="https://in.tradingview.com/chart/bXJLby4L/?symbol=NSE%3A20MICRONS" TargetMode="External"/><Relationship Id="rId1141" Type="http://schemas.openxmlformats.org/officeDocument/2006/relationships/hyperlink" Target="https://in.tradingview.com/chart/bXJLby4L/?symbol=NSE%3A20MICRONS" TargetMode="External"/><Relationship Id="rId2472" Type="http://schemas.openxmlformats.org/officeDocument/2006/relationships/hyperlink" Target="https://in.tradingview.com/chart/bXJLby4L/?symbol=NSE%3A20MICRONS" TargetMode="External"/><Relationship Id="rId1142" Type="http://schemas.openxmlformats.org/officeDocument/2006/relationships/hyperlink" Target="https://in.tradingview.com/chart/bXJLby4L/?symbol=NSE%3A20MICRONS" TargetMode="External"/><Relationship Id="rId2473" Type="http://schemas.openxmlformats.org/officeDocument/2006/relationships/hyperlink" Target="https://in.tradingview.com/chart/bXJLby4L/?symbol=NSE%3A20MICRONS" TargetMode="External"/><Relationship Id="rId554" Type="http://schemas.openxmlformats.org/officeDocument/2006/relationships/hyperlink" Target="https://in.tradingview.com/chart/bXJLby4L/?symbol=NSE%3A20MICRONS" TargetMode="External"/><Relationship Id="rId1143" Type="http://schemas.openxmlformats.org/officeDocument/2006/relationships/hyperlink" Target="https://in.tradingview.com/chart/bXJLby4L/?symbol=NSE%3A20MICRONS" TargetMode="External"/><Relationship Id="rId2474" Type="http://schemas.openxmlformats.org/officeDocument/2006/relationships/hyperlink" Target="https://in.tradingview.com/chart/bXJLby4L/?symbol=NSE%3A20MICRONS" TargetMode="External"/><Relationship Id="rId553" Type="http://schemas.openxmlformats.org/officeDocument/2006/relationships/hyperlink" Target="https://in.tradingview.com/chart/bXJLby4L/?symbol=NSE%3A20MICRONS" TargetMode="External"/><Relationship Id="rId1144" Type="http://schemas.openxmlformats.org/officeDocument/2006/relationships/hyperlink" Target="https://in.tradingview.com/chart/bXJLby4L/?symbol=NSE%3A20MICRONS" TargetMode="External"/><Relationship Id="rId2475" Type="http://schemas.openxmlformats.org/officeDocument/2006/relationships/hyperlink" Target="https://in.tradingview.com/chart/bXJLby4L/?symbol=NSE%3A20MICRONS" TargetMode="External"/><Relationship Id="rId552" Type="http://schemas.openxmlformats.org/officeDocument/2006/relationships/hyperlink" Target="https://in.tradingview.com/chart/bXJLby4L/?symbol=NSE%3A20MICRONS" TargetMode="External"/><Relationship Id="rId1145" Type="http://schemas.openxmlformats.org/officeDocument/2006/relationships/hyperlink" Target="https://in.tradingview.com/chart/bXJLby4L/?symbol=NSE%3A20MICRONS" TargetMode="External"/><Relationship Id="rId2476" Type="http://schemas.openxmlformats.org/officeDocument/2006/relationships/hyperlink" Target="https://in.tradingview.com/chart/bXJLby4L/?symbol=NSE%3A20MICRONS" TargetMode="External"/><Relationship Id="rId551" Type="http://schemas.openxmlformats.org/officeDocument/2006/relationships/hyperlink" Target="https://in.tradingview.com/chart/bXJLby4L/?symbol=NSE%3A20MICRONS" TargetMode="External"/><Relationship Id="rId1146" Type="http://schemas.openxmlformats.org/officeDocument/2006/relationships/hyperlink" Target="https://in.tradingview.com/chart/bXJLby4L/?symbol=NSE%3A20MICRONS" TargetMode="External"/><Relationship Id="rId2477" Type="http://schemas.openxmlformats.org/officeDocument/2006/relationships/hyperlink" Target="https://in.tradingview.com/chart/bXJLby4L/?symbol=NSE%3A20MICRONS" TargetMode="External"/><Relationship Id="rId495" Type="http://schemas.openxmlformats.org/officeDocument/2006/relationships/hyperlink" Target="https://in.tradingview.com/chart/bXJLby4L/?symbol=NSE%3A20MICRONS" TargetMode="External"/><Relationship Id="rId494" Type="http://schemas.openxmlformats.org/officeDocument/2006/relationships/hyperlink" Target="https://in.tradingview.com/chart/bXJLby4L/?symbol=NSE%3A20MICRONS" TargetMode="External"/><Relationship Id="rId493" Type="http://schemas.openxmlformats.org/officeDocument/2006/relationships/hyperlink" Target="https://in.tradingview.com/chart/bXJLby4L/?symbol=NSE%3A20MICRONS" TargetMode="External"/><Relationship Id="rId492" Type="http://schemas.openxmlformats.org/officeDocument/2006/relationships/hyperlink" Target="https://in.tradingview.com/chart/bXJLby4L/?symbol=NSE%3A20MICRONS" TargetMode="External"/><Relationship Id="rId499" Type="http://schemas.openxmlformats.org/officeDocument/2006/relationships/hyperlink" Target="https://in.tradingview.com/chart/bXJLby4L/?symbol=NSE%3A20MICRONS" TargetMode="External"/><Relationship Id="rId498" Type="http://schemas.openxmlformats.org/officeDocument/2006/relationships/hyperlink" Target="https://in.tradingview.com/chart/bXJLby4L/?symbol=NSE%3A20MICRONS" TargetMode="External"/><Relationship Id="rId497" Type="http://schemas.openxmlformats.org/officeDocument/2006/relationships/hyperlink" Target="https://in.tradingview.com/chart/bXJLby4L/?symbol=NSE%3A20MICRONS" TargetMode="External"/><Relationship Id="rId496" Type="http://schemas.openxmlformats.org/officeDocument/2006/relationships/hyperlink" Target="https://in.tradingview.com/chart/bXJLby4L/?symbol=NSE%3A20MICRONS" TargetMode="External"/><Relationship Id="rId1213" Type="http://schemas.openxmlformats.org/officeDocument/2006/relationships/hyperlink" Target="https://in.tradingview.com/chart/bXJLby4L/?symbol=NSE%3A20MICRONS" TargetMode="External"/><Relationship Id="rId1214" Type="http://schemas.openxmlformats.org/officeDocument/2006/relationships/hyperlink" Target="https://in.tradingview.com/chart/bXJLby4L/?symbol=NSE%3A20MICRONS" TargetMode="External"/><Relationship Id="rId1215" Type="http://schemas.openxmlformats.org/officeDocument/2006/relationships/hyperlink" Target="https://in.tradingview.com/chart/bXJLby4L/?symbol=NSE%3A20MICRONS" TargetMode="External"/><Relationship Id="rId1216" Type="http://schemas.openxmlformats.org/officeDocument/2006/relationships/hyperlink" Target="https://in.tradingview.com/chart/bXJLby4L/?symbol=NSE%3A20MICRONS" TargetMode="External"/><Relationship Id="rId1217" Type="http://schemas.openxmlformats.org/officeDocument/2006/relationships/hyperlink" Target="https://in.tradingview.com/chart/bXJLby4L/?symbol=NSE%3A20MICRONS" TargetMode="External"/><Relationship Id="rId1218" Type="http://schemas.openxmlformats.org/officeDocument/2006/relationships/hyperlink" Target="https://in.tradingview.com/chart/bXJLby4L/?symbol=NSE%3A20MICRONS" TargetMode="External"/><Relationship Id="rId1219" Type="http://schemas.openxmlformats.org/officeDocument/2006/relationships/hyperlink" Target="https://in.tradingview.com/chart/bXJLby4L/?symbol=NSE%3A20MICRONS" TargetMode="External"/><Relationship Id="rId1210" Type="http://schemas.openxmlformats.org/officeDocument/2006/relationships/hyperlink" Target="https://in.tradingview.com/chart/bXJLby4L/?symbol=NSE%3A20MICRONS" TargetMode="External"/><Relationship Id="rId1211" Type="http://schemas.openxmlformats.org/officeDocument/2006/relationships/hyperlink" Target="https://in.tradingview.com/chart/bXJLby4L/?symbol=NSE%3A20MICRONS" TargetMode="External"/><Relationship Id="rId1212" Type="http://schemas.openxmlformats.org/officeDocument/2006/relationships/hyperlink" Target="https://in.tradingview.com/chart/bXJLby4L/?symbol=NSE%3A20MICRONS" TargetMode="External"/><Relationship Id="rId1202" Type="http://schemas.openxmlformats.org/officeDocument/2006/relationships/hyperlink" Target="https://in.tradingview.com/chart/bXJLby4L/?symbol=NSE%3A20MICRONS" TargetMode="External"/><Relationship Id="rId1203" Type="http://schemas.openxmlformats.org/officeDocument/2006/relationships/hyperlink" Target="https://in.tradingview.com/chart/bXJLby4L/?symbol=NSE%3A20MICRONS" TargetMode="External"/><Relationship Id="rId1204" Type="http://schemas.openxmlformats.org/officeDocument/2006/relationships/hyperlink" Target="https://in.tradingview.com/chart/bXJLby4L/?symbol=NSE%3A20MICRONS" TargetMode="External"/><Relationship Id="rId1205" Type="http://schemas.openxmlformats.org/officeDocument/2006/relationships/hyperlink" Target="https://in.tradingview.com/chart/bXJLby4L/?symbol=NSE%3A20MICRONS" TargetMode="External"/><Relationship Id="rId1206" Type="http://schemas.openxmlformats.org/officeDocument/2006/relationships/hyperlink" Target="https://in.tradingview.com/chart/bXJLby4L/?symbol=NSE%3A20MICRONS" TargetMode="External"/><Relationship Id="rId1207" Type="http://schemas.openxmlformats.org/officeDocument/2006/relationships/hyperlink" Target="https://in.tradingview.com/chart/bXJLby4L/?symbol=NSE%3A20MICRONS" TargetMode="External"/><Relationship Id="rId1208" Type="http://schemas.openxmlformats.org/officeDocument/2006/relationships/hyperlink" Target="https://in.tradingview.com/chart/bXJLby4L/?symbol=NSE%3A20MICRONS" TargetMode="External"/><Relationship Id="rId1209" Type="http://schemas.openxmlformats.org/officeDocument/2006/relationships/hyperlink" Target="https://in.tradingview.com/chart/bXJLby4L/?symbol=NSE%3A20MICRONS" TargetMode="External"/><Relationship Id="rId1200" Type="http://schemas.openxmlformats.org/officeDocument/2006/relationships/hyperlink" Target="https://in.tradingview.com/chart/bXJLby4L/?symbol=NSE%3A20MICRONS" TargetMode="External"/><Relationship Id="rId1201" Type="http://schemas.openxmlformats.org/officeDocument/2006/relationships/hyperlink" Target="https://in.tradingview.com/chart/bXJLby4L/?symbol=NSE%3A20MICRONS" TargetMode="External"/><Relationship Id="rId1235" Type="http://schemas.openxmlformats.org/officeDocument/2006/relationships/hyperlink" Target="https://in.tradingview.com/chart/bXJLby4L/?symbol=NSE%3A20MICRONS" TargetMode="External"/><Relationship Id="rId1236" Type="http://schemas.openxmlformats.org/officeDocument/2006/relationships/hyperlink" Target="https://in.tradingview.com/chart/bXJLby4L/?symbol=NSE%3A20MICRONS" TargetMode="External"/><Relationship Id="rId1237" Type="http://schemas.openxmlformats.org/officeDocument/2006/relationships/hyperlink" Target="https://in.tradingview.com/chart/bXJLby4L/?symbol=NSE%3A20MICRONS" TargetMode="External"/><Relationship Id="rId1238" Type="http://schemas.openxmlformats.org/officeDocument/2006/relationships/hyperlink" Target="https://in.tradingview.com/chart/bXJLby4L/?symbol=NSE%3A20MICRONS" TargetMode="External"/><Relationship Id="rId1239" Type="http://schemas.openxmlformats.org/officeDocument/2006/relationships/hyperlink" Target="https://in.tradingview.com/chart/bXJLby4L/?symbol=NSE%3A20MICRONS" TargetMode="External"/><Relationship Id="rId409" Type="http://schemas.openxmlformats.org/officeDocument/2006/relationships/hyperlink" Target="https://in.tradingview.com/chart/bXJLby4L/?symbol=NSE%3A20MICRONS" TargetMode="External"/><Relationship Id="rId404" Type="http://schemas.openxmlformats.org/officeDocument/2006/relationships/hyperlink" Target="https://in.tradingview.com/chart/bXJLby4L/?symbol=NSE%3A20MICRONS" TargetMode="External"/><Relationship Id="rId403" Type="http://schemas.openxmlformats.org/officeDocument/2006/relationships/hyperlink" Target="https://in.tradingview.com/chart/bXJLby4L/?symbol=NSE%3A20MICRONS" TargetMode="External"/><Relationship Id="rId402" Type="http://schemas.openxmlformats.org/officeDocument/2006/relationships/hyperlink" Target="https://in.tradingview.com/chart/bXJLby4L/?symbol=NSE%3A20MICRONS" TargetMode="External"/><Relationship Id="rId401" Type="http://schemas.openxmlformats.org/officeDocument/2006/relationships/hyperlink" Target="https://in.tradingview.com/chart/bXJLby4L/?symbol=NSE%3A20MICRONS" TargetMode="External"/><Relationship Id="rId408" Type="http://schemas.openxmlformats.org/officeDocument/2006/relationships/hyperlink" Target="https://in.tradingview.com/chart/bXJLby4L/?symbol=NSE%3A20MICRONS" TargetMode="External"/><Relationship Id="rId407" Type="http://schemas.openxmlformats.org/officeDocument/2006/relationships/hyperlink" Target="https://in.tradingview.com/chart/bXJLby4L/?symbol=NSE%3A20MICRONS" TargetMode="External"/><Relationship Id="rId406" Type="http://schemas.openxmlformats.org/officeDocument/2006/relationships/hyperlink" Target="https://in.tradingview.com/chart/bXJLby4L/?symbol=NSE%3A20MICRONS" TargetMode="External"/><Relationship Id="rId405" Type="http://schemas.openxmlformats.org/officeDocument/2006/relationships/hyperlink" Target="https://in.tradingview.com/chart/bXJLby4L/?symbol=NSE%3A20MICRONS" TargetMode="External"/><Relationship Id="rId1230" Type="http://schemas.openxmlformats.org/officeDocument/2006/relationships/hyperlink" Target="https://in.tradingview.com/chart/bXJLby4L/?symbol=NSE%3A20MICRONS" TargetMode="External"/><Relationship Id="rId400" Type="http://schemas.openxmlformats.org/officeDocument/2006/relationships/hyperlink" Target="https://in.tradingview.com/chart/bXJLby4L/?symbol=NSE%3A20MICRONS" TargetMode="External"/><Relationship Id="rId1231" Type="http://schemas.openxmlformats.org/officeDocument/2006/relationships/hyperlink" Target="https://in.tradingview.com/chart/bXJLby4L/?symbol=NSE%3A20MICRONS" TargetMode="External"/><Relationship Id="rId1232" Type="http://schemas.openxmlformats.org/officeDocument/2006/relationships/hyperlink" Target="https://in.tradingview.com/chart/bXJLby4L/?symbol=NSE%3A20MICRONS" TargetMode="External"/><Relationship Id="rId1233" Type="http://schemas.openxmlformats.org/officeDocument/2006/relationships/hyperlink" Target="https://in.tradingview.com/chart/bXJLby4L/?symbol=NSE%3A20MICRONS" TargetMode="External"/><Relationship Id="rId1234" Type="http://schemas.openxmlformats.org/officeDocument/2006/relationships/hyperlink" Target="https://in.tradingview.com/chart/bXJLby4L/?symbol=NSE%3A20MICRONS" TargetMode="External"/><Relationship Id="rId1224" Type="http://schemas.openxmlformats.org/officeDocument/2006/relationships/hyperlink" Target="https://in.tradingview.com/chart/bXJLby4L/?symbol=NSE%3A20MICRONS" TargetMode="External"/><Relationship Id="rId1225" Type="http://schemas.openxmlformats.org/officeDocument/2006/relationships/hyperlink" Target="https://in.tradingview.com/chart/bXJLby4L/?symbol=NSE%3A20MICRONS" TargetMode="External"/><Relationship Id="rId1226" Type="http://schemas.openxmlformats.org/officeDocument/2006/relationships/hyperlink" Target="https://in.tradingview.com/chart/bXJLby4L/?symbol=NSE%3A20MICRONS" TargetMode="External"/><Relationship Id="rId1227" Type="http://schemas.openxmlformats.org/officeDocument/2006/relationships/hyperlink" Target="https://in.tradingview.com/chart/bXJLby4L/?symbol=NSE%3A20MICRONS" TargetMode="External"/><Relationship Id="rId1228" Type="http://schemas.openxmlformats.org/officeDocument/2006/relationships/hyperlink" Target="https://in.tradingview.com/chart/bXJLby4L/?symbol=NSE%3A20MICRONS" TargetMode="External"/><Relationship Id="rId1229" Type="http://schemas.openxmlformats.org/officeDocument/2006/relationships/hyperlink" Target="https://in.tradingview.com/chart/bXJLby4L/?symbol=NSE%3A20MICRONS" TargetMode="External"/><Relationship Id="rId1220" Type="http://schemas.openxmlformats.org/officeDocument/2006/relationships/hyperlink" Target="https://in.tradingview.com/chart/bXJLby4L/?symbol=NSE%3A20MICRONS" TargetMode="External"/><Relationship Id="rId1221" Type="http://schemas.openxmlformats.org/officeDocument/2006/relationships/hyperlink" Target="https://in.tradingview.com/chart/bXJLby4L/?symbol=NSE%3A20MICRONS" TargetMode="External"/><Relationship Id="rId1222" Type="http://schemas.openxmlformats.org/officeDocument/2006/relationships/hyperlink" Target="https://in.tradingview.com/chart/bXJLby4L/?symbol=NSE%3A20MICRONS" TargetMode="External"/><Relationship Id="rId1223" Type="http://schemas.openxmlformats.org/officeDocument/2006/relationships/hyperlink" Target="https://in.tradingview.com/chart/bXJLby4L/?symbol=NSE%3A20MICRONS" TargetMode="External"/><Relationship Id="rId2500" Type="http://schemas.openxmlformats.org/officeDocument/2006/relationships/hyperlink" Target="https://in.tradingview.com/chart/bXJLby4L/?symbol=NSE%3A20MICRONS" TargetMode="External"/><Relationship Id="rId2501" Type="http://schemas.openxmlformats.org/officeDocument/2006/relationships/drawing" Target="../drawings/drawing3.xml"/><Relationship Id="rId469" Type="http://schemas.openxmlformats.org/officeDocument/2006/relationships/hyperlink" Target="https://in.tradingview.com/chart/bXJLby4L/?symbol=NSE%3A20MICRONS" TargetMode="External"/><Relationship Id="rId468" Type="http://schemas.openxmlformats.org/officeDocument/2006/relationships/hyperlink" Target="https://in.tradingview.com/chart/bXJLby4L/?symbol=NSE%3A20MICRONS" TargetMode="External"/><Relationship Id="rId467" Type="http://schemas.openxmlformats.org/officeDocument/2006/relationships/hyperlink" Target="https://in.tradingview.com/chart/bXJLby4L/?symbol=NSE%3A20MICRONS" TargetMode="External"/><Relationship Id="rId1290" Type="http://schemas.openxmlformats.org/officeDocument/2006/relationships/hyperlink" Target="https://in.tradingview.com/chart/bXJLby4L/?symbol=NSE%3A20MICRONS" TargetMode="External"/><Relationship Id="rId1291" Type="http://schemas.openxmlformats.org/officeDocument/2006/relationships/hyperlink" Target="https://in.tradingview.com/chart/bXJLby4L/?symbol=NSE%3A20MICRONS" TargetMode="External"/><Relationship Id="rId1292" Type="http://schemas.openxmlformats.org/officeDocument/2006/relationships/hyperlink" Target="https://in.tradingview.com/chart/bXJLby4L/?symbol=NSE%3A20MICRONS" TargetMode="External"/><Relationship Id="rId462" Type="http://schemas.openxmlformats.org/officeDocument/2006/relationships/hyperlink" Target="https://in.tradingview.com/chart/bXJLby4L/?symbol=NSE%3A20MICRONS" TargetMode="External"/><Relationship Id="rId1293" Type="http://schemas.openxmlformats.org/officeDocument/2006/relationships/hyperlink" Target="https://in.tradingview.com/chart/bXJLby4L/?symbol=NSE%3A20MICRONS" TargetMode="External"/><Relationship Id="rId461" Type="http://schemas.openxmlformats.org/officeDocument/2006/relationships/hyperlink" Target="https://in.tradingview.com/chart/bXJLby4L/?symbol=NSE%3A20MICRONS" TargetMode="External"/><Relationship Id="rId1294" Type="http://schemas.openxmlformats.org/officeDocument/2006/relationships/hyperlink" Target="https://in.tradingview.com/chart/bXJLby4L/?symbol=NSE%3A20MICRONS" TargetMode="External"/><Relationship Id="rId460" Type="http://schemas.openxmlformats.org/officeDocument/2006/relationships/hyperlink" Target="https://in.tradingview.com/chart/bXJLby4L/?symbol=NSE%3A20MICRONS" TargetMode="External"/><Relationship Id="rId1295" Type="http://schemas.openxmlformats.org/officeDocument/2006/relationships/hyperlink" Target="https://in.tradingview.com/chart/bXJLby4L/?symbol=NSE%3A20MICRONS" TargetMode="External"/><Relationship Id="rId1296" Type="http://schemas.openxmlformats.org/officeDocument/2006/relationships/hyperlink" Target="https://in.tradingview.com/chart/bXJLby4L/?symbol=NSE%3A20MICRONS" TargetMode="External"/><Relationship Id="rId466" Type="http://schemas.openxmlformats.org/officeDocument/2006/relationships/hyperlink" Target="https://in.tradingview.com/chart/bXJLby4L/?symbol=NSE%3A20MICRONS" TargetMode="External"/><Relationship Id="rId1297" Type="http://schemas.openxmlformats.org/officeDocument/2006/relationships/hyperlink" Target="https://in.tradingview.com/chart/bXJLby4L/?symbol=NSE%3A20MICRONS" TargetMode="External"/><Relationship Id="rId465" Type="http://schemas.openxmlformats.org/officeDocument/2006/relationships/hyperlink" Target="https://in.tradingview.com/chart/bXJLby4L/?symbol=NSE%3A20MICRONS" TargetMode="External"/><Relationship Id="rId1298" Type="http://schemas.openxmlformats.org/officeDocument/2006/relationships/hyperlink" Target="https://in.tradingview.com/chart/bXJLby4L/?symbol=NSE%3A20MICRONS" TargetMode="External"/><Relationship Id="rId464" Type="http://schemas.openxmlformats.org/officeDocument/2006/relationships/hyperlink" Target="https://in.tradingview.com/chart/bXJLby4L/?symbol=NSE%3A20MICRONS" TargetMode="External"/><Relationship Id="rId1299" Type="http://schemas.openxmlformats.org/officeDocument/2006/relationships/hyperlink" Target="https://in.tradingview.com/chart/bXJLby4L/?symbol=NSE%3A20MICRONS" TargetMode="External"/><Relationship Id="rId463" Type="http://schemas.openxmlformats.org/officeDocument/2006/relationships/hyperlink" Target="https://in.tradingview.com/chart/bXJLby4L/?symbol=NSE%3A20MICRONS" TargetMode="External"/><Relationship Id="rId459" Type="http://schemas.openxmlformats.org/officeDocument/2006/relationships/hyperlink" Target="https://in.tradingview.com/chart/bXJLby4L/?symbol=NSE%3A20MICRONS" TargetMode="External"/><Relationship Id="rId458" Type="http://schemas.openxmlformats.org/officeDocument/2006/relationships/hyperlink" Target="https://in.tradingview.com/chart/bXJLby4L/?symbol=NSE%3A20MICRONS" TargetMode="External"/><Relationship Id="rId457" Type="http://schemas.openxmlformats.org/officeDocument/2006/relationships/hyperlink" Target="https://in.tradingview.com/chart/bXJLby4L/?symbol=NSE%3A20MICRONS" TargetMode="External"/><Relationship Id="rId456" Type="http://schemas.openxmlformats.org/officeDocument/2006/relationships/hyperlink" Target="https://in.tradingview.com/chart/bXJLby4L/?symbol=NSE%3A20MICRONS" TargetMode="External"/><Relationship Id="rId1280" Type="http://schemas.openxmlformats.org/officeDocument/2006/relationships/hyperlink" Target="https://in.tradingview.com/chart/bXJLby4L/?symbol=NSE%3A20MICRONS" TargetMode="External"/><Relationship Id="rId1281" Type="http://schemas.openxmlformats.org/officeDocument/2006/relationships/hyperlink" Target="https://in.tradingview.com/chart/bXJLby4L/?symbol=NSE%3A20MICRONS" TargetMode="External"/><Relationship Id="rId451" Type="http://schemas.openxmlformats.org/officeDocument/2006/relationships/hyperlink" Target="https://in.tradingview.com/chart/bXJLby4L/?symbol=NSE%3A20MICRONS" TargetMode="External"/><Relationship Id="rId1282" Type="http://schemas.openxmlformats.org/officeDocument/2006/relationships/hyperlink" Target="https://in.tradingview.com/chart/bXJLby4L/?symbol=NSE%3A20MICRONS" TargetMode="External"/><Relationship Id="rId450" Type="http://schemas.openxmlformats.org/officeDocument/2006/relationships/hyperlink" Target="https://in.tradingview.com/chart/bXJLby4L/?symbol=NSE%3A20MICRONS" TargetMode="External"/><Relationship Id="rId1283" Type="http://schemas.openxmlformats.org/officeDocument/2006/relationships/hyperlink" Target="https://in.tradingview.com/chart/bXJLby4L/?symbol=NSE%3A20MICRONS" TargetMode="External"/><Relationship Id="rId1284" Type="http://schemas.openxmlformats.org/officeDocument/2006/relationships/hyperlink" Target="https://in.tradingview.com/chart/bXJLby4L/?symbol=NSE%3A20MICRONS" TargetMode="External"/><Relationship Id="rId1285" Type="http://schemas.openxmlformats.org/officeDocument/2006/relationships/hyperlink" Target="https://in.tradingview.com/chart/bXJLby4L/?symbol=NSE%3A20MICRONS" TargetMode="External"/><Relationship Id="rId455" Type="http://schemas.openxmlformats.org/officeDocument/2006/relationships/hyperlink" Target="https://in.tradingview.com/chart/bXJLby4L/?symbol=NSE%3A20MICRONS" TargetMode="External"/><Relationship Id="rId1286" Type="http://schemas.openxmlformats.org/officeDocument/2006/relationships/hyperlink" Target="https://in.tradingview.com/chart/bXJLby4L/?symbol=NSE%3A20MICRONS" TargetMode="External"/><Relationship Id="rId454" Type="http://schemas.openxmlformats.org/officeDocument/2006/relationships/hyperlink" Target="https://in.tradingview.com/chart/bXJLby4L/?symbol=NSE%3A20MICRONS" TargetMode="External"/><Relationship Id="rId1287" Type="http://schemas.openxmlformats.org/officeDocument/2006/relationships/hyperlink" Target="https://in.tradingview.com/chart/bXJLby4L/?symbol=NSE%3A20MICRONS" TargetMode="External"/><Relationship Id="rId453" Type="http://schemas.openxmlformats.org/officeDocument/2006/relationships/hyperlink" Target="https://in.tradingview.com/chart/bXJLby4L/?symbol=NSE%3A20MICRONS" TargetMode="External"/><Relationship Id="rId1288" Type="http://schemas.openxmlformats.org/officeDocument/2006/relationships/hyperlink" Target="https://in.tradingview.com/chart/bXJLby4L/?symbol=NSE%3A20MICRONS" TargetMode="External"/><Relationship Id="rId452" Type="http://schemas.openxmlformats.org/officeDocument/2006/relationships/hyperlink" Target="https://in.tradingview.com/chart/bXJLby4L/?symbol=NSE%3A20MICRONS" TargetMode="External"/><Relationship Id="rId1289" Type="http://schemas.openxmlformats.org/officeDocument/2006/relationships/hyperlink" Target="https://in.tradingview.com/chart/bXJLby4L/?symbol=NSE%3A20MICRONS" TargetMode="External"/><Relationship Id="rId491" Type="http://schemas.openxmlformats.org/officeDocument/2006/relationships/hyperlink" Target="https://in.tradingview.com/chart/bXJLby4L/?symbol=NSE%3A20MICRONS" TargetMode="External"/><Relationship Id="rId490" Type="http://schemas.openxmlformats.org/officeDocument/2006/relationships/hyperlink" Target="https://in.tradingview.com/chart/bXJLby4L/?symbol=NSE%3A20MICRONS" TargetMode="External"/><Relationship Id="rId489" Type="http://schemas.openxmlformats.org/officeDocument/2006/relationships/hyperlink" Target="https://in.tradingview.com/chart/bXJLby4L/?symbol=NSE%3A20MICRONS" TargetMode="External"/><Relationship Id="rId484" Type="http://schemas.openxmlformats.org/officeDocument/2006/relationships/hyperlink" Target="https://in.tradingview.com/chart/bXJLby4L/?symbol=NSE%3A20MICRONS" TargetMode="External"/><Relationship Id="rId483" Type="http://schemas.openxmlformats.org/officeDocument/2006/relationships/hyperlink" Target="https://in.tradingview.com/chart/bXJLby4L/?symbol=NSE%3A20MICRONS" TargetMode="External"/><Relationship Id="rId482" Type="http://schemas.openxmlformats.org/officeDocument/2006/relationships/hyperlink" Target="https://in.tradingview.com/chart/bXJLby4L/?symbol=NSE%3A20MICRONS" TargetMode="External"/><Relationship Id="rId481" Type="http://schemas.openxmlformats.org/officeDocument/2006/relationships/hyperlink" Target="https://in.tradingview.com/chart/bXJLby4L/?symbol=NSE%3A20MICRONS" TargetMode="External"/><Relationship Id="rId488" Type="http://schemas.openxmlformats.org/officeDocument/2006/relationships/hyperlink" Target="https://in.tradingview.com/chart/bXJLby4L/?symbol=NSE%3A20MICRONS" TargetMode="External"/><Relationship Id="rId487" Type="http://schemas.openxmlformats.org/officeDocument/2006/relationships/hyperlink" Target="https://in.tradingview.com/chart/bXJLby4L/?symbol=NSE%3A20MICRONS" TargetMode="External"/><Relationship Id="rId486" Type="http://schemas.openxmlformats.org/officeDocument/2006/relationships/hyperlink" Target="https://in.tradingview.com/chart/bXJLby4L/?symbol=NSE%3A20MICRONS" TargetMode="External"/><Relationship Id="rId485" Type="http://schemas.openxmlformats.org/officeDocument/2006/relationships/hyperlink" Target="https://in.tradingview.com/chart/bXJLby4L/?symbol=NSE%3A20MICRONS" TargetMode="External"/><Relationship Id="rId480" Type="http://schemas.openxmlformats.org/officeDocument/2006/relationships/hyperlink" Target="https://in.tradingview.com/chart/bXJLby4L/?symbol=NSE%3A20MICRONS" TargetMode="External"/><Relationship Id="rId479" Type="http://schemas.openxmlformats.org/officeDocument/2006/relationships/hyperlink" Target="https://in.tradingview.com/chart/bXJLby4L/?symbol=NSE%3A20MICRONS" TargetMode="External"/><Relationship Id="rId478" Type="http://schemas.openxmlformats.org/officeDocument/2006/relationships/hyperlink" Target="https://in.tradingview.com/chart/bXJLby4L/?symbol=NSE%3A20MICRONS" TargetMode="External"/><Relationship Id="rId473" Type="http://schemas.openxmlformats.org/officeDocument/2006/relationships/hyperlink" Target="https://in.tradingview.com/chart/bXJLby4L/?symbol=NSE%3A20MICRONS" TargetMode="External"/><Relationship Id="rId472" Type="http://schemas.openxmlformats.org/officeDocument/2006/relationships/hyperlink" Target="https://in.tradingview.com/chart/bXJLby4L/?symbol=NSE%3A20MICRONS" TargetMode="External"/><Relationship Id="rId471" Type="http://schemas.openxmlformats.org/officeDocument/2006/relationships/hyperlink" Target="https://in.tradingview.com/chart/bXJLby4L/?symbol=NSE%3A20MICRONS" TargetMode="External"/><Relationship Id="rId470" Type="http://schemas.openxmlformats.org/officeDocument/2006/relationships/hyperlink" Target="https://in.tradingview.com/chart/bXJLby4L/?symbol=NSE%3A20MICRONS" TargetMode="External"/><Relationship Id="rId477" Type="http://schemas.openxmlformats.org/officeDocument/2006/relationships/hyperlink" Target="https://in.tradingview.com/chart/bXJLby4L/?symbol=NSE%3A20MICRONS" TargetMode="External"/><Relationship Id="rId476" Type="http://schemas.openxmlformats.org/officeDocument/2006/relationships/hyperlink" Target="https://in.tradingview.com/chart/bXJLby4L/?symbol=NSE%3A20MICRONS" TargetMode="External"/><Relationship Id="rId475" Type="http://schemas.openxmlformats.org/officeDocument/2006/relationships/hyperlink" Target="https://in.tradingview.com/chart/bXJLby4L/?symbol=NSE%3A20MICRONS" TargetMode="External"/><Relationship Id="rId474" Type="http://schemas.openxmlformats.org/officeDocument/2006/relationships/hyperlink" Target="https://in.tradingview.com/chart/bXJLby4L/?symbol=NSE%3A20MICRONS" TargetMode="External"/><Relationship Id="rId1257" Type="http://schemas.openxmlformats.org/officeDocument/2006/relationships/hyperlink" Target="https://in.tradingview.com/chart/bXJLby4L/?symbol=NSE%3A20MICRONS" TargetMode="External"/><Relationship Id="rId1258" Type="http://schemas.openxmlformats.org/officeDocument/2006/relationships/hyperlink" Target="https://in.tradingview.com/chart/bXJLby4L/?symbol=NSE%3A20MICRONS" TargetMode="External"/><Relationship Id="rId1259" Type="http://schemas.openxmlformats.org/officeDocument/2006/relationships/hyperlink" Target="https://in.tradingview.com/chart/bXJLby4L/?symbol=NSE%3A20MICRONS" TargetMode="External"/><Relationship Id="rId426" Type="http://schemas.openxmlformats.org/officeDocument/2006/relationships/hyperlink" Target="https://in.tradingview.com/chart/bXJLby4L/?symbol=NSE%3A20MICRONS" TargetMode="External"/><Relationship Id="rId425" Type="http://schemas.openxmlformats.org/officeDocument/2006/relationships/hyperlink" Target="https://in.tradingview.com/chart/bXJLby4L/?symbol=NSE%3A20MICRONS" TargetMode="External"/><Relationship Id="rId424" Type="http://schemas.openxmlformats.org/officeDocument/2006/relationships/hyperlink" Target="https://in.tradingview.com/chart/bXJLby4L/?symbol=NSE%3A20MICRONS" TargetMode="External"/><Relationship Id="rId423" Type="http://schemas.openxmlformats.org/officeDocument/2006/relationships/hyperlink" Target="https://in.tradingview.com/chart/bXJLby4L/?symbol=NSE%3A20MICRONS" TargetMode="External"/><Relationship Id="rId429" Type="http://schemas.openxmlformats.org/officeDocument/2006/relationships/hyperlink" Target="https://in.tradingview.com/chart/bXJLby4L/?symbol=NSE%3A20MICRONS" TargetMode="External"/><Relationship Id="rId428" Type="http://schemas.openxmlformats.org/officeDocument/2006/relationships/hyperlink" Target="https://in.tradingview.com/chart/bXJLby4L/?symbol=NSE%3A20MICRONS" TargetMode="External"/><Relationship Id="rId427" Type="http://schemas.openxmlformats.org/officeDocument/2006/relationships/hyperlink" Target="https://in.tradingview.com/chart/bXJLby4L/?symbol=NSE%3A20MICRONS" TargetMode="External"/><Relationship Id="rId1250" Type="http://schemas.openxmlformats.org/officeDocument/2006/relationships/hyperlink" Target="https://in.tradingview.com/chart/bXJLby4L/?symbol=NSE%3A20MICRONS" TargetMode="External"/><Relationship Id="rId1251" Type="http://schemas.openxmlformats.org/officeDocument/2006/relationships/hyperlink" Target="https://in.tradingview.com/chart/bXJLby4L/?symbol=NSE%3A20MICRONS" TargetMode="External"/><Relationship Id="rId1252" Type="http://schemas.openxmlformats.org/officeDocument/2006/relationships/hyperlink" Target="https://in.tradingview.com/chart/bXJLby4L/?symbol=NSE%3A20MICRONS" TargetMode="External"/><Relationship Id="rId422" Type="http://schemas.openxmlformats.org/officeDocument/2006/relationships/hyperlink" Target="https://in.tradingview.com/chart/bXJLby4L/?symbol=NSE%3A20MICRONS" TargetMode="External"/><Relationship Id="rId1253" Type="http://schemas.openxmlformats.org/officeDocument/2006/relationships/hyperlink" Target="https://in.tradingview.com/chart/bXJLby4L/?symbol=NSE%3A20MICRONS" TargetMode="External"/><Relationship Id="rId421" Type="http://schemas.openxmlformats.org/officeDocument/2006/relationships/hyperlink" Target="https://in.tradingview.com/chart/bXJLby4L/?symbol=NSE%3A20MICRONS" TargetMode="External"/><Relationship Id="rId1254" Type="http://schemas.openxmlformats.org/officeDocument/2006/relationships/hyperlink" Target="https://in.tradingview.com/chart/bXJLby4L/?symbol=NSE%3A20MICRONS" TargetMode="External"/><Relationship Id="rId420" Type="http://schemas.openxmlformats.org/officeDocument/2006/relationships/hyperlink" Target="https://in.tradingview.com/chart/bXJLby4L/?symbol=NSE%3A20MICRONS" TargetMode="External"/><Relationship Id="rId1255" Type="http://schemas.openxmlformats.org/officeDocument/2006/relationships/hyperlink" Target="https://in.tradingview.com/chart/bXJLby4L/?symbol=NSE%3A20MICRONS" TargetMode="External"/><Relationship Id="rId1256" Type="http://schemas.openxmlformats.org/officeDocument/2006/relationships/hyperlink" Target="https://in.tradingview.com/chart/bXJLby4L/?symbol=NSE%3A20MICRONS" TargetMode="External"/><Relationship Id="rId1246" Type="http://schemas.openxmlformats.org/officeDocument/2006/relationships/hyperlink" Target="https://in.tradingview.com/chart/bXJLby4L/?symbol=NSE%3A20MICRONS" TargetMode="External"/><Relationship Id="rId1247" Type="http://schemas.openxmlformats.org/officeDocument/2006/relationships/hyperlink" Target="https://in.tradingview.com/chart/bXJLby4L/?symbol=NSE%3A20MICRONS" TargetMode="External"/><Relationship Id="rId1248" Type="http://schemas.openxmlformats.org/officeDocument/2006/relationships/hyperlink" Target="https://in.tradingview.com/chart/bXJLby4L/?symbol=NSE%3A20MICRONS" TargetMode="External"/><Relationship Id="rId1249" Type="http://schemas.openxmlformats.org/officeDocument/2006/relationships/hyperlink" Target="https://in.tradingview.com/chart/bXJLby4L/?symbol=NSE%3A20MICRONS" TargetMode="External"/><Relationship Id="rId415" Type="http://schemas.openxmlformats.org/officeDocument/2006/relationships/hyperlink" Target="https://in.tradingview.com/chart/bXJLby4L/?symbol=NSE%3A20MICRONS" TargetMode="External"/><Relationship Id="rId414" Type="http://schemas.openxmlformats.org/officeDocument/2006/relationships/hyperlink" Target="https://in.tradingview.com/chart/bXJLby4L/?symbol=NSE%3A20MICRONS" TargetMode="External"/><Relationship Id="rId413" Type="http://schemas.openxmlformats.org/officeDocument/2006/relationships/hyperlink" Target="https://in.tradingview.com/chart/bXJLby4L/?symbol=NSE%3A20MICRONS" TargetMode="External"/><Relationship Id="rId412" Type="http://schemas.openxmlformats.org/officeDocument/2006/relationships/hyperlink" Target="https://in.tradingview.com/chart/bXJLby4L/?symbol=NSE%3A20MICRONS" TargetMode="External"/><Relationship Id="rId419" Type="http://schemas.openxmlformats.org/officeDocument/2006/relationships/hyperlink" Target="https://in.tradingview.com/chart/bXJLby4L/?symbol=NSE%3A20MICRONS" TargetMode="External"/><Relationship Id="rId418" Type="http://schemas.openxmlformats.org/officeDocument/2006/relationships/hyperlink" Target="https://in.tradingview.com/chart/bXJLby4L/?symbol=NSE%3A20MICRONS" TargetMode="External"/><Relationship Id="rId417" Type="http://schemas.openxmlformats.org/officeDocument/2006/relationships/hyperlink" Target="https://in.tradingview.com/chart/bXJLby4L/?symbol=NSE%3A20MICRONS" TargetMode="External"/><Relationship Id="rId416" Type="http://schemas.openxmlformats.org/officeDocument/2006/relationships/hyperlink" Target="https://in.tradingview.com/chart/bXJLby4L/?symbol=NSE%3A20MICRONS" TargetMode="External"/><Relationship Id="rId1240" Type="http://schemas.openxmlformats.org/officeDocument/2006/relationships/hyperlink" Target="https://in.tradingview.com/chart/bXJLby4L/?symbol=NSE%3A20MICRONS" TargetMode="External"/><Relationship Id="rId1241" Type="http://schemas.openxmlformats.org/officeDocument/2006/relationships/hyperlink" Target="https://in.tradingview.com/chart/bXJLby4L/?symbol=NSE%3A20MICRONS" TargetMode="External"/><Relationship Id="rId411" Type="http://schemas.openxmlformats.org/officeDocument/2006/relationships/hyperlink" Target="https://in.tradingview.com/chart/bXJLby4L/?symbol=NSE%3A20MICRONS" TargetMode="External"/><Relationship Id="rId1242" Type="http://schemas.openxmlformats.org/officeDocument/2006/relationships/hyperlink" Target="https://in.tradingview.com/chart/bXJLby4L/?symbol=NSE%3A20MICRONS" TargetMode="External"/><Relationship Id="rId410" Type="http://schemas.openxmlformats.org/officeDocument/2006/relationships/hyperlink" Target="https://in.tradingview.com/chart/bXJLby4L/?symbol=NSE%3A20MICRONS" TargetMode="External"/><Relationship Id="rId1243" Type="http://schemas.openxmlformats.org/officeDocument/2006/relationships/hyperlink" Target="https://in.tradingview.com/chart/bXJLby4L/?symbol=NSE%3A20MICRONS" TargetMode="External"/><Relationship Id="rId1244" Type="http://schemas.openxmlformats.org/officeDocument/2006/relationships/hyperlink" Target="https://in.tradingview.com/chart/bXJLby4L/?symbol=NSE%3A20MICRONS" TargetMode="External"/><Relationship Id="rId1245" Type="http://schemas.openxmlformats.org/officeDocument/2006/relationships/hyperlink" Target="https://in.tradingview.com/chart/bXJLby4L/?symbol=NSE%3A20MICRONS" TargetMode="External"/><Relationship Id="rId1279" Type="http://schemas.openxmlformats.org/officeDocument/2006/relationships/hyperlink" Target="https://in.tradingview.com/chart/bXJLby4L/?symbol=NSE%3A20MICRONS" TargetMode="External"/><Relationship Id="rId448" Type="http://schemas.openxmlformats.org/officeDocument/2006/relationships/hyperlink" Target="https://in.tradingview.com/chart/bXJLby4L/?symbol=NSE%3A20MICRONS" TargetMode="External"/><Relationship Id="rId447" Type="http://schemas.openxmlformats.org/officeDocument/2006/relationships/hyperlink" Target="https://in.tradingview.com/chart/bXJLby4L/?symbol=NSE%3A20MICRONS" TargetMode="External"/><Relationship Id="rId446" Type="http://schemas.openxmlformats.org/officeDocument/2006/relationships/hyperlink" Target="https://in.tradingview.com/chart/bXJLby4L/?symbol=NSE%3A20MICRONS" TargetMode="External"/><Relationship Id="rId445" Type="http://schemas.openxmlformats.org/officeDocument/2006/relationships/hyperlink" Target="https://in.tradingview.com/chart/bXJLby4L/?symbol=NSE%3A20MICRONS" TargetMode="External"/><Relationship Id="rId449" Type="http://schemas.openxmlformats.org/officeDocument/2006/relationships/hyperlink" Target="https://in.tradingview.com/chart/bXJLby4L/?symbol=NSE%3A20MICRONS" TargetMode="External"/><Relationship Id="rId1270" Type="http://schemas.openxmlformats.org/officeDocument/2006/relationships/hyperlink" Target="https://in.tradingview.com/chart/bXJLby4L/?symbol=NSE%3A20MICRONS" TargetMode="External"/><Relationship Id="rId440" Type="http://schemas.openxmlformats.org/officeDocument/2006/relationships/hyperlink" Target="https://in.tradingview.com/chart/bXJLby4L/?symbol=NSE%3A20MICRONS" TargetMode="External"/><Relationship Id="rId1271" Type="http://schemas.openxmlformats.org/officeDocument/2006/relationships/hyperlink" Target="https://in.tradingview.com/chart/bXJLby4L/?symbol=NSE%3A20MICRONS" TargetMode="External"/><Relationship Id="rId1272" Type="http://schemas.openxmlformats.org/officeDocument/2006/relationships/hyperlink" Target="https://in.tradingview.com/chart/bXJLby4L/?symbol=NSE%3A20MICRONS" TargetMode="External"/><Relationship Id="rId1273" Type="http://schemas.openxmlformats.org/officeDocument/2006/relationships/hyperlink" Target="https://in.tradingview.com/chart/bXJLby4L/?symbol=NSE%3A20MICRONS" TargetMode="External"/><Relationship Id="rId1274" Type="http://schemas.openxmlformats.org/officeDocument/2006/relationships/hyperlink" Target="https://in.tradingview.com/chart/bXJLby4L/?symbol=NSE%3A20MICRONS" TargetMode="External"/><Relationship Id="rId444" Type="http://schemas.openxmlformats.org/officeDocument/2006/relationships/hyperlink" Target="https://in.tradingview.com/chart/bXJLby4L/?symbol=NSE%3A20MICRONS" TargetMode="External"/><Relationship Id="rId1275" Type="http://schemas.openxmlformats.org/officeDocument/2006/relationships/hyperlink" Target="https://in.tradingview.com/chart/bXJLby4L/?symbol=NSE%3A20MICRONS" TargetMode="External"/><Relationship Id="rId443" Type="http://schemas.openxmlformats.org/officeDocument/2006/relationships/hyperlink" Target="https://in.tradingview.com/chart/bXJLby4L/?symbol=NSE%3A20MICRONS" TargetMode="External"/><Relationship Id="rId1276" Type="http://schemas.openxmlformats.org/officeDocument/2006/relationships/hyperlink" Target="https://in.tradingview.com/chart/bXJLby4L/?symbol=NSE%3A20MICRONS" TargetMode="External"/><Relationship Id="rId442" Type="http://schemas.openxmlformats.org/officeDocument/2006/relationships/hyperlink" Target="https://in.tradingview.com/chart/bXJLby4L/?symbol=NSE%3A20MICRONS" TargetMode="External"/><Relationship Id="rId1277" Type="http://schemas.openxmlformats.org/officeDocument/2006/relationships/hyperlink" Target="https://in.tradingview.com/chart/bXJLby4L/?symbol=NSE%3A20MICRONS" TargetMode="External"/><Relationship Id="rId441" Type="http://schemas.openxmlformats.org/officeDocument/2006/relationships/hyperlink" Target="https://in.tradingview.com/chart/bXJLby4L/?symbol=NSE%3A20MICRONS" TargetMode="External"/><Relationship Id="rId1278" Type="http://schemas.openxmlformats.org/officeDocument/2006/relationships/hyperlink" Target="https://in.tradingview.com/chart/bXJLby4L/?symbol=NSE%3A20MICRONS" TargetMode="External"/><Relationship Id="rId1268" Type="http://schemas.openxmlformats.org/officeDocument/2006/relationships/hyperlink" Target="https://in.tradingview.com/chart/bXJLby4L/?symbol=NSE%3A20MICRONS" TargetMode="External"/><Relationship Id="rId1269" Type="http://schemas.openxmlformats.org/officeDocument/2006/relationships/hyperlink" Target="https://in.tradingview.com/chart/bXJLby4L/?symbol=NSE%3A20MICRONS" TargetMode="External"/><Relationship Id="rId437" Type="http://schemas.openxmlformats.org/officeDocument/2006/relationships/hyperlink" Target="https://in.tradingview.com/chart/bXJLby4L/?symbol=NSE%3A20MICRONS" TargetMode="External"/><Relationship Id="rId436" Type="http://schemas.openxmlformats.org/officeDocument/2006/relationships/hyperlink" Target="https://in.tradingview.com/chart/bXJLby4L/?symbol=NSE%3A20MICRONS" TargetMode="External"/><Relationship Id="rId435" Type="http://schemas.openxmlformats.org/officeDocument/2006/relationships/hyperlink" Target="https://in.tradingview.com/chart/bXJLby4L/?symbol=NSE%3A20MICRONS" TargetMode="External"/><Relationship Id="rId434" Type="http://schemas.openxmlformats.org/officeDocument/2006/relationships/hyperlink" Target="https://in.tradingview.com/chart/bXJLby4L/?symbol=NSE%3A20MICRONS" TargetMode="External"/><Relationship Id="rId439" Type="http://schemas.openxmlformats.org/officeDocument/2006/relationships/hyperlink" Target="https://in.tradingview.com/chart/bXJLby4L/?symbol=NSE%3A20MICRONS" TargetMode="External"/><Relationship Id="rId438" Type="http://schemas.openxmlformats.org/officeDocument/2006/relationships/hyperlink" Target="https://in.tradingview.com/chart/bXJLby4L/?symbol=NSE%3A20MICRONS" TargetMode="External"/><Relationship Id="rId1260" Type="http://schemas.openxmlformats.org/officeDocument/2006/relationships/hyperlink" Target="https://in.tradingview.com/chart/bXJLby4L/?symbol=NSE%3A20MICRONS" TargetMode="External"/><Relationship Id="rId1261" Type="http://schemas.openxmlformats.org/officeDocument/2006/relationships/hyperlink" Target="https://in.tradingview.com/chart/bXJLby4L/?symbol=NSE%3A20MICRONS" TargetMode="External"/><Relationship Id="rId1262" Type="http://schemas.openxmlformats.org/officeDocument/2006/relationships/hyperlink" Target="https://in.tradingview.com/chart/bXJLby4L/?symbol=NSE%3A20MICRONS" TargetMode="External"/><Relationship Id="rId1263" Type="http://schemas.openxmlformats.org/officeDocument/2006/relationships/hyperlink" Target="https://in.tradingview.com/chart/bXJLby4L/?symbol=NSE%3A20MICRONS" TargetMode="External"/><Relationship Id="rId433" Type="http://schemas.openxmlformats.org/officeDocument/2006/relationships/hyperlink" Target="https://in.tradingview.com/chart/bXJLby4L/?symbol=NSE%3A20MICRONS" TargetMode="External"/><Relationship Id="rId1264" Type="http://schemas.openxmlformats.org/officeDocument/2006/relationships/hyperlink" Target="https://in.tradingview.com/chart/bXJLby4L/?symbol=NSE%3A20MICRONS" TargetMode="External"/><Relationship Id="rId432" Type="http://schemas.openxmlformats.org/officeDocument/2006/relationships/hyperlink" Target="https://in.tradingview.com/chart/bXJLby4L/?symbol=NSE%3A20MICRONS" TargetMode="External"/><Relationship Id="rId1265" Type="http://schemas.openxmlformats.org/officeDocument/2006/relationships/hyperlink" Target="https://in.tradingview.com/chart/bXJLby4L/?symbol=NSE%3A20MICRONS" TargetMode="External"/><Relationship Id="rId431" Type="http://schemas.openxmlformats.org/officeDocument/2006/relationships/hyperlink" Target="https://in.tradingview.com/chart/bXJLby4L/?symbol=NSE%3A20MICRONS" TargetMode="External"/><Relationship Id="rId1266" Type="http://schemas.openxmlformats.org/officeDocument/2006/relationships/hyperlink" Target="https://in.tradingview.com/chart/bXJLby4L/?symbol=NSE%3A20MICRONS" TargetMode="External"/><Relationship Id="rId430" Type="http://schemas.openxmlformats.org/officeDocument/2006/relationships/hyperlink" Target="https://in.tradingview.com/chart/bXJLby4L/?symbol=NSE%3A20MICRONS" TargetMode="External"/><Relationship Id="rId1267" Type="http://schemas.openxmlformats.org/officeDocument/2006/relationships/hyperlink" Target="https://in.tradingview.com/chart/bXJLby4L/?symbol=NSE%3A20MICRONS" TargetMode="External"/><Relationship Id="rId1" Type="http://schemas.openxmlformats.org/officeDocument/2006/relationships/hyperlink" Target="https://in.tradingview.com/chart/bXJLby4L/?symbol=NSE%3A20MICRONS" TargetMode="External"/><Relationship Id="rId2" Type="http://schemas.openxmlformats.org/officeDocument/2006/relationships/hyperlink" Target="https://in.tradingview.com/chart/bXJLby4L/?symbol=NSE%3A20MICRONS" TargetMode="External"/><Relationship Id="rId3" Type="http://schemas.openxmlformats.org/officeDocument/2006/relationships/hyperlink" Target="https://in.tradingview.com/chart/bXJLby4L/?symbol=NSE%3A20MICRONS" TargetMode="External"/><Relationship Id="rId4" Type="http://schemas.openxmlformats.org/officeDocument/2006/relationships/hyperlink" Target="https://in.tradingview.com/chart/bXJLby4L/?symbol=NSE%3A20MICRONS" TargetMode="External"/><Relationship Id="rId9" Type="http://schemas.openxmlformats.org/officeDocument/2006/relationships/hyperlink" Target="https://in.tradingview.com/chart/bXJLby4L/?symbol=NSE%3A20MICRONS" TargetMode="External"/><Relationship Id="rId5" Type="http://schemas.openxmlformats.org/officeDocument/2006/relationships/hyperlink" Target="https://in.tradingview.com/chart/bXJLby4L/?symbol=NSE%3A20MICRONS" TargetMode="External"/><Relationship Id="rId6" Type="http://schemas.openxmlformats.org/officeDocument/2006/relationships/hyperlink" Target="https://in.tradingview.com/chart/bXJLby4L/?symbol=NSE%3A20MICRONS" TargetMode="External"/><Relationship Id="rId7" Type="http://schemas.openxmlformats.org/officeDocument/2006/relationships/hyperlink" Target="https://in.tradingview.com/chart/bXJLby4L/?symbol=NSE%3A20MICRONS" TargetMode="External"/><Relationship Id="rId8" Type="http://schemas.openxmlformats.org/officeDocument/2006/relationships/hyperlink" Target="https://in.tradingview.com/chart/bXJLby4L/?symbol=NSE%3A20MICRONS" TargetMode="External"/><Relationship Id="rId808" Type="http://schemas.openxmlformats.org/officeDocument/2006/relationships/hyperlink" Target="https://in.tradingview.com/chart/bXJLby4L/?symbol=NSE%3A20MICRONS" TargetMode="External"/><Relationship Id="rId807" Type="http://schemas.openxmlformats.org/officeDocument/2006/relationships/hyperlink" Target="https://in.tradingview.com/chart/bXJLby4L/?symbol=NSE%3A20MICRONS" TargetMode="External"/><Relationship Id="rId806" Type="http://schemas.openxmlformats.org/officeDocument/2006/relationships/hyperlink" Target="https://in.tradingview.com/chart/bXJLby4L/?symbol=NSE%3A20MICRONS" TargetMode="External"/><Relationship Id="rId805" Type="http://schemas.openxmlformats.org/officeDocument/2006/relationships/hyperlink" Target="https://in.tradingview.com/chart/bXJLby4L/?symbol=NSE%3A20MICRONS" TargetMode="External"/><Relationship Id="rId809" Type="http://schemas.openxmlformats.org/officeDocument/2006/relationships/hyperlink" Target="https://in.tradingview.com/chart/bXJLby4L/?symbol=NSE%3A20MICRONS" TargetMode="External"/><Relationship Id="rId800" Type="http://schemas.openxmlformats.org/officeDocument/2006/relationships/hyperlink" Target="https://in.tradingview.com/chart/bXJLby4L/?symbol=NSE%3A20MICRONS" TargetMode="External"/><Relationship Id="rId804" Type="http://schemas.openxmlformats.org/officeDocument/2006/relationships/hyperlink" Target="https://in.tradingview.com/chart/bXJLby4L/?symbol=NSE%3A20MICRONS" TargetMode="External"/><Relationship Id="rId803" Type="http://schemas.openxmlformats.org/officeDocument/2006/relationships/hyperlink" Target="https://in.tradingview.com/chart/bXJLby4L/?symbol=NSE%3A20MICRONS" TargetMode="External"/><Relationship Id="rId802" Type="http://schemas.openxmlformats.org/officeDocument/2006/relationships/hyperlink" Target="https://in.tradingview.com/chart/bXJLby4L/?symbol=NSE%3A20MICRONS" TargetMode="External"/><Relationship Id="rId801" Type="http://schemas.openxmlformats.org/officeDocument/2006/relationships/hyperlink" Target="https://in.tradingview.com/chart/bXJLby4L/?symbol=NSE%3A20MICRONS" TargetMode="External"/><Relationship Id="rId1334" Type="http://schemas.openxmlformats.org/officeDocument/2006/relationships/hyperlink" Target="https://in.tradingview.com/chart/bXJLby4L/?symbol=NSE%3A20MICRONS" TargetMode="External"/><Relationship Id="rId1335" Type="http://schemas.openxmlformats.org/officeDocument/2006/relationships/hyperlink" Target="https://in.tradingview.com/chart/bXJLby4L/?symbol=NSE%3A20MICRONS" TargetMode="External"/><Relationship Id="rId1336" Type="http://schemas.openxmlformats.org/officeDocument/2006/relationships/hyperlink" Target="https://in.tradingview.com/chart/bXJLby4L/?symbol=NSE%3A20MICRONS" TargetMode="External"/><Relationship Id="rId1337" Type="http://schemas.openxmlformats.org/officeDocument/2006/relationships/hyperlink" Target="https://in.tradingview.com/chart/bXJLby4L/?symbol=NSE%3A20MICRONS" TargetMode="External"/><Relationship Id="rId1338" Type="http://schemas.openxmlformats.org/officeDocument/2006/relationships/hyperlink" Target="https://in.tradingview.com/chart/bXJLby4L/?symbol=NSE%3A20MICRONS" TargetMode="External"/><Relationship Id="rId1339" Type="http://schemas.openxmlformats.org/officeDocument/2006/relationships/hyperlink" Target="https://in.tradingview.com/chart/bXJLby4L/?symbol=NSE%3A20MICRONS" TargetMode="External"/><Relationship Id="rId745" Type="http://schemas.openxmlformats.org/officeDocument/2006/relationships/hyperlink" Target="https://in.tradingview.com/chart/bXJLby4L/?symbol=NSE%3A20MICRONS" TargetMode="External"/><Relationship Id="rId744" Type="http://schemas.openxmlformats.org/officeDocument/2006/relationships/hyperlink" Target="https://in.tradingview.com/chart/bXJLby4L/?symbol=NSE%3A20MICRONS" TargetMode="External"/><Relationship Id="rId743" Type="http://schemas.openxmlformats.org/officeDocument/2006/relationships/hyperlink" Target="https://in.tradingview.com/chart/bXJLby4L/?symbol=NSE%3A20MICRONS" TargetMode="External"/><Relationship Id="rId742" Type="http://schemas.openxmlformats.org/officeDocument/2006/relationships/hyperlink" Target="https://in.tradingview.com/chart/bXJLby4L/?symbol=NSE%3A20MICRONS" TargetMode="External"/><Relationship Id="rId749" Type="http://schemas.openxmlformats.org/officeDocument/2006/relationships/hyperlink" Target="https://in.tradingview.com/chart/bXJLby4L/?symbol=NSE%3A20MICRONS" TargetMode="External"/><Relationship Id="rId748" Type="http://schemas.openxmlformats.org/officeDocument/2006/relationships/hyperlink" Target="https://in.tradingview.com/chart/bXJLby4L/?symbol=NSE%3A20MICRONS" TargetMode="External"/><Relationship Id="rId747" Type="http://schemas.openxmlformats.org/officeDocument/2006/relationships/hyperlink" Target="https://in.tradingview.com/chart/bXJLby4L/?symbol=NSE%3A20MICRONS" TargetMode="External"/><Relationship Id="rId746" Type="http://schemas.openxmlformats.org/officeDocument/2006/relationships/hyperlink" Target="https://in.tradingview.com/chart/bXJLby4L/?symbol=NSE%3A20MICRONS" TargetMode="External"/><Relationship Id="rId741" Type="http://schemas.openxmlformats.org/officeDocument/2006/relationships/hyperlink" Target="https://in.tradingview.com/chart/bXJLby4L/?symbol=NSE%3A20MICRONS" TargetMode="External"/><Relationship Id="rId1330" Type="http://schemas.openxmlformats.org/officeDocument/2006/relationships/hyperlink" Target="https://in.tradingview.com/chart/bXJLby4L/?symbol=NSE%3A20MICRONS" TargetMode="External"/><Relationship Id="rId740" Type="http://schemas.openxmlformats.org/officeDocument/2006/relationships/hyperlink" Target="https://in.tradingview.com/chart/bXJLby4L/?symbol=NSE%3A20MICRONS" TargetMode="External"/><Relationship Id="rId1331" Type="http://schemas.openxmlformats.org/officeDocument/2006/relationships/hyperlink" Target="https://in.tradingview.com/chart/bXJLby4L/?symbol=NSE%3A20MICRONS" TargetMode="External"/><Relationship Id="rId1332" Type="http://schemas.openxmlformats.org/officeDocument/2006/relationships/hyperlink" Target="https://in.tradingview.com/chart/bXJLby4L/?symbol=NSE%3A20MICRONS" TargetMode="External"/><Relationship Id="rId1333" Type="http://schemas.openxmlformats.org/officeDocument/2006/relationships/hyperlink" Target="https://in.tradingview.com/chart/bXJLby4L/?symbol=NSE%3A20MICRONS" TargetMode="External"/><Relationship Id="rId1323" Type="http://schemas.openxmlformats.org/officeDocument/2006/relationships/hyperlink" Target="https://in.tradingview.com/chart/bXJLby4L/?symbol=NSE%3A20MICRONS" TargetMode="External"/><Relationship Id="rId1324" Type="http://schemas.openxmlformats.org/officeDocument/2006/relationships/hyperlink" Target="https://in.tradingview.com/chart/bXJLby4L/?symbol=NSE%3A20MICRONS" TargetMode="External"/><Relationship Id="rId1325" Type="http://schemas.openxmlformats.org/officeDocument/2006/relationships/hyperlink" Target="https://in.tradingview.com/chart/bXJLby4L/?symbol=NSE%3A20MICRONS" TargetMode="External"/><Relationship Id="rId1326" Type="http://schemas.openxmlformats.org/officeDocument/2006/relationships/hyperlink" Target="https://in.tradingview.com/chart/bXJLby4L/?symbol=NSE%3A20MICRONS" TargetMode="External"/><Relationship Id="rId1327" Type="http://schemas.openxmlformats.org/officeDocument/2006/relationships/hyperlink" Target="https://in.tradingview.com/chart/bXJLby4L/?symbol=NSE%3A20MICRONS" TargetMode="External"/><Relationship Id="rId1328" Type="http://schemas.openxmlformats.org/officeDocument/2006/relationships/hyperlink" Target="https://in.tradingview.com/chart/bXJLby4L/?symbol=NSE%3A20MICRONS" TargetMode="External"/><Relationship Id="rId1329" Type="http://schemas.openxmlformats.org/officeDocument/2006/relationships/hyperlink" Target="https://in.tradingview.com/chart/bXJLby4L/?symbol=NSE%3A20MICRONS" TargetMode="External"/><Relationship Id="rId739" Type="http://schemas.openxmlformats.org/officeDocument/2006/relationships/hyperlink" Target="https://in.tradingview.com/chart/bXJLby4L/?symbol=NSE%3A20MICRONS" TargetMode="External"/><Relationship Id="rId734" Type="http://schemas.openxmlformats.org/officeDocument/2006/relationships/hyperlink" Target="https://in.tradingview.com/chart/bXJLby4L/?symbol=NSE%3A20MICRONS" TargetMode="External"/><Relationship Id="rId733" Type="http://schemas.openxmlformats.org/officeDocument/2006/relationships/hyperlink" Target="https://in.tradingview.com/chart/bXJLby4L/?symbol=NSE%3A20MICRONS" TargetMode="External"/><Relationship Id="rId732" Type="http://schemas.openxmlformats.org/officeDocument/2006/relationships/hyperlink" Target="https://in.tradingview.com/chart/bXJLby4L/?symbol=NSE%3A20MICRONS" TargetMode="External"/><Relationship Id="rId731" Type="http://schemas.openxmlformats.org/officeDocument/2006/relationships/hyperlink" Target="https://in.tradingview.com/chart/bXJLby4L/?symbol=NSE%3A20MICRONS" TargetMode="External"/><Relationship Id="rId738" Type="http://schemas.openxmlformats.org/officeDocument/2006/relationships/hyperlink" Target="https://in.tradingview.com/chart/bXJLby4L/?symbol=NSE%3A20MICRONS" TargetMode="External"/><Relationship Id="rId737" Type="http://schemas.openxmlformats.org/officeDocument/2006/relationships/hyperlink" Target="https://in.tradingview.com/chart/bXJLby4L/?symbol=NSE%3A20MICRONS" TargetMode="External"/><Relationship Id="rId736" Type="http://schemas.openxmlformats.org/officeDocument/2006/relationships/hyperlink" Target="https://in.tradingview.com/chart/bXJLby4L/?symbol=NSE%3A20MICRONS" TargetMode="External"/><Relationship Id="rId735" Type="http://schemas.openxmlformats.org/officeDocument/2006/relationships/hyperlink" Target="https://in.tradingview.com/chart/bXJLby4L/?symbol=NSE%3A20MICRONS" TargetMode="External"/><Relationship Id="rId730" Type="http://schemas.openxmlformats.org/officeDocument/2006/relationships/hyperlink" Target="https://in.tradingview.com/chart/bXJLby4L/?symbol=NSE%3A20MICRONS" TargetMode="External"/><Relationship Id="rId1320" Type="http://schemas.openxmlformats.org/officeDocument/2006/relationships/hyperlink" Target="https://in.tradingview.com/chart/bXJLby4L/?symbol=NSE%3A20MICRONS" TargetMode="External"/><Relationship Id="rId1321" Type="http://schemas.openxmlformats.org/officeDocument/2006/relationships/hyperlink" Target="https://in.tradingview.com/chart/bXJLby4L/?symbol=NSE%3A20MICRONS" TargetMode="External"/><Relationship Id="rId1322" Type="http://schemas.openxmlformats.org/officeDocument/2006/relationships/hyperlink" Target="https://in.tradingview.com/chart/bXJLby4L/?symbol=NSE%3A20MICRONS" TargetMode="External"/><Relationship Id="rId1356" Type="http://schemas.openxmlformats.org/officeDocument/2006/relationships/hyperlink" Target="https://in.tradingview.com/chart/bXJLby4L/?symbol=NSE%3A20MICRONS" TargetMode="External"/><Relationship Id="rId1357" Type="http://schemas.openxmlformats.org/officeDocument/2006/relationships/hyperlink" Target="https://in.tradingview.com/chart/bXJLby4L/?symbol=NSE%3A20MICRONS" TargetMode="External"/><Relationship Id="rId1358" Type="http://schemas.openxmlformats.org/officeDocument/2006/relationships/hyperlink" Target="https://in.tradingview.com/chart/bXJLby4L/?symbol=NSE%3A20MICRONS" TargetMode="External"/><Relationship Id="rId1359" Type="http://schemas.openxmlformats.org/officeDocument/2006/relationships/hyperlink" Target="https://in.tradingview.com/chart/bXJLby4L/?symbol=NSE%3A20MICRONS" TargetMode="External"/><Relationship Id="rId767" Type="http://schemas.openxmlformats.org/officeDocument/2006/relationships/hyperlink" Target="https://in.tradingview.com/chart/bXJLby4L/?symbol=NSE%3A20MICRONS" TargetMode="External"/><Relationship Id="rId766" Type="http://schemas.openxmlformats.org/officeDocument/2006/relationships/hyperlink" Target="https://in.tradingview.com/chart/bXJLby4L/?symbol=NSE%3A20MICRONS" TargetMode="External"/><Relationship Id="rId765" Type="http://schemas.openxmlformats.org/officeDocument/2006/relationships/hyperlink" Target="https://in.tradingview.com/chart/bXJLby4L/?symbol=NSE%3A20MICRONS" TargetMode="External"/><Relationship Id="rId764" Type="http://schemas.openxmlformats.org/officeDocument/2006/relationships/hyperlink" Target="https://in.tradingview.com/chart/bXJLby4L/?symbol=NSE%3A20MICRONS" TargetMode="External"/><Relationship Id="rId769" Type="http://schemas.openxmlformats.org/officeDocument/2006/relationships/hyperlink" Target="https://in.tradingview.com/chart/bXJLby4L/?symbol=NSE%3A20MICRONS" TargetMode="External"/><Relationship Id="rId768" Type="http://schemas.openxmlformats.org/officeDocument/2006/relationships/hyperlink" Target="https://in.tradingview.com/chart/bXJLby4L/?symbol=NSE%3A20MICRONS" TargetMode="External"/><Relationship Id="rId1350" Type="http://schemas.openxmlformats.org/officeDocument/2006/relationships/hyperlink" Target="https://in.tradingview.com/chart/bXJLby4L/?symbol=NSE%3A20MICRONS" TargetMode="External"/><Relationship Id="rId1351" Type="http://schemas.openxmlformats.org/officeDocument/2006/relationships/hyperlink" Target="https://in.tradingview.com/chart/bXJLby4L/?symbol=NSE%3A20MICRONS" TargetMode="External"/><Relationship Id="rId763" Type="http://schemas.openxmlformats.org/officeDocument/2006/relationships/hyperlink" Target="https://in.tradingview.com/chart/bXJLby4L/?symbol=NSE%3A20MICRONS" TargetMode="External"/><Relationship Id="rId1352" Type="http://schemas.openxmlformats.org/officeDocument/2006/relationships/hyperlink" Target="https://in.tradingview.com/chart/bXJLby4L/?symbol=NSE%3A20MICRONS" TargetMode="External"/><Relationship Id="rId762" Type="http://schemas.openxmlformats.org/officeDocument/2006/relationships/hyperlink" Target="https://in.tradingview.com/chart/bXJLby4L/?symbol=NSE%3A20MICRONS" TargetMode="External"/><Relationship Id="rId1353" Type="http://schemas.openxmlformats.org/officeDocument/2006/relationships/hyperlink" Target="https://in.tradingview.com/chart/bXJLby4L/?symbol=NSE%3A20MICRONS" TargetMode="External"/><Relationship Id="rId761" Type="http://schemas.openxmlformats.org/officeDocument/2006/relationships/hyperlink" Target="https://in.tradingview.com/chart/bXJLby4L/?symbol=NSE%3A20MICRONS" TargetMode="External"/><Relationship Id="rId1354" Type="http://schemas.openxmlformats.org/officeDocument/2006/relationships/hyperlink" Target="https://in.tradingview.com/chart/bXJLby4L/?symbol=NSE%3A20MICRONS" TargetMode="External"/><Relationship Id="rId760" Type="http://schemas.openxmlformats.org/officeDocument/2006/relationships/hyperlink" Target="https://in.tradingview.com/chart/bXJLby4L/?symbol=NSE%3A20MICRONS" TargetMode="External"/><Relationship Id="rId1355" Type="http://schemas.openxmlformats.org/officeDocument/2006/relationships/hyperlink" Target="https://in.tradingview.com/chart/bXJLby4L/?symbol=NSE%3A20MICRONS" TargetMode="External"/><Relationship Id="rId1345" Type="http://schemas.openxmlformats.org/officeDocument/2006/relationships/hyperlink" Target="https://in.tradingview.com/chart/bXJLby4L/?symbol=NSE%3A20MICRONS" TargetMode="External"/><Relationship Id="rId1346" Type="http://schemas.openxmlformats.org/officeDocument/2006/relationships/hyperlink" Target="https://in.tradingview.com/chart/bXJLby4L/?symbol=NSE%3A20MICRONS" TargetMode="External"/><Relationship Id="rId1347" Type="http://schemas.openxmlformats.org/officeDocument/2006/relationships/hyperlink" Target="https://in.tradingview.com/chart/bXJLby4L/?symbol=NSE%3A20MICRONS" TargetMode="External"/><Relationship Id="rId1348" Type="http://schemas.openxmlformats.org/officeDocument/2006/relationships/hyperlink" Target="https://in.tradingview.com/chart/bXJLby4L/?symbol=NSE%3A20MICRONS" TargetMode="External"/><Relationship Id="rId1349" Type="http://schemas.openxmlformats.org/officeDocument/2006/relationships/hyperlink" Target="https://in.tradingview.com/chart/bXJLby4L/?symbol=NSE%3A20MICRONS" TargetMode="External"/><Relationship Id="rId756" Type="http://schemas.openxmlformats.org/officeDocument/2006/relationships/hyperlink" Target="https://in.tradingview.com/chart/bXJLby4L/?symbol=NSE%3A20MICRONS" TargetMode="External"/><Relationship Id="rId755" Type="http://schemas.openxmlformats.org/officeDocument/2006/relationships/hyperlink" Target="https://in.tradingview.com/chart/bXJLby4L/?symbol=NSE%3A20MICRONS" TargetMode="External"/><Relationship Id="rId754" Type="http://schemas.openxmlformats.org/officeDocument/2006/relationships/hyperlink" Target="https://in.tradingview.com/chart/bXJLby4L/?symbol=NSE%3A20MICRONS" TargetMode="External"/><Relationship Id="rId753" Type="http://schemas.openxmlformats.org/officeDocument/2006/relationships/hyperlink" Target="https://in.tradingview.com/chart/bXJLby4L/?symbol=NSE%3A20MICRONS" TargetMode="External"/><Relationship Id="rId759" Type="http://schemas.openxmlformats.org/officeDocument/2006/relationships/hyperlink" Target="https://in.tradingview.com/chart/bXJLby4L/?symbol=NSE%3A20MICRONS" TargetMode="External"/><Relationship Id="rId758" Type="http://schemas.openxmlformats.org/officeDocument/2006/relationships/hyperlink" Target="https://in.tradingview.com/chart/bXJLby4L/?symbol=NSE%3A20MICRONS" TargetMode="External"/><Relationship Id="rId757" Type="http://schemas.openxmlformats.org/officeDocument/2006/relationships/hyperlink" Target="https://in.tradingview.com/chart/bXJLby4L/?symbol=NSE%3A20MICRONS" TargetMode="External"/><Relationship Id="rId1340" Type="http://schemas.openxmlformats.org/officeDocument/2006/relationships/hyperlink" Target="https://in.tradingview.com/chart/bXJLby4L/?symbol=NSE%3A20MICRONS" TargetMode="External"/><Relationship Id="rId752" Type="http://schemas.openxmlformats.org/officeDocument/2006/relationships/hyperlink" Target="https://in.tradingview.com/chart/bXJLby4L/?symbol=NSE%3A20MICRONS" TargetMode="External"/><Relationship Id="rId1341" Type="http://schemas.openxmlformats.org/officeDocument/2006/relationships/hyperlink" Target="https://in.tradingview.com/chart/bXJLby4L/?symbol=NSE%3A20MICRONS" TargetMode="External"/><Relationship Id="rId751" Type="http://schemas.openxmlformats.org/officeDocument/2006/relationships/hyperlink" Target="https://in.tradingview.com/chart/bXJLby4L/?symbol=NSE%3A20MICRONS" TargetMode="External"/><Relationship Id="rId1342" Type="http://schemas.openxmlformats.org/officeDocument/2006/relationships/hyperlink" Target="https://in.tradingview.com/chart/bXJLby4L/?symbol=NSE%3A20MICRONS" TargetMode="External"/><Relationship Id="rId750" Type="http://schemas.openxmlformats.org/officeDocument/2006/relationships/hyperlink" Target="https://in.tradingview.com/chart/bXJLby4L/?symbol=NSE%3A20MICRONS" TargetMode="External"/><Relationship Id="rId1343" Type="http://schemas.openxmlformats.org/officeDocument/2006/relationships/hyperlink" Target="https://in.tradingview.com/chart/bXJLby4L/?symbol=NSE%3A20MICRONS" TargetMode="External"/><Relationship Id="rId1344" Type="http://schemas.openxmlformats.org/officeDocument/2006/relationships/hyperlink" Target="https://in.tradingview.com/chart/bXJLby4L/?symbol=NSE%3A20MICRONS" TargetMode="External"/><Relationship Id="rId709" Type="http://schemas.openxmlformats.org/officeDocument/2006/relationships/hyperlink" Target="https://in.tradingview.com/chart/bXJLby4L/?symbol=NSE%3A20MICRONS" TargetMode="External"/><Relationship Id="rId708" Type="http://schemas.openxmlformats.org/officeDocument/2006/relationships/hyperlink" Target="https://in.tradingview.com/chart/bXJLby4L/?symbol=NSE%3A20MICRONS" TargetMode="External"/><Relationship Id="rId707" Type="http://schemas.openxmlformats.org/officeDocument/2006/relationships/hyperlink" Target="https://in.tradingview.com/chart/bXJLby4L/?symbol=NSE%3A20MICRONS" TargetMode="External"/><Relationship Id="rId706" Type="http://schemas.openxmlformats.org/officeDocument/2006/relationships/hyperlink" Target="https://in.tradingview.com/chart/bXJLby4L/?symbol=NSE%3A20MICRONS" TargetMode="External"/><Relationship Id="rId701" Type="http://schemas.openxmlformats.org/officeDocument/2006/relationships/hyperlink" Target="https://in.tradingview.com/chart/bXJLby4L/?symbol=NSE%3A20MICRONS" TargetMode="External"/><Relationship Id="rId700" Type="http://schemas.openxmlformats.org/officeDocument/2006/relationships/hyperlink" Target="https://in.tradingview.com/chart/bXJLby4L/?symbol=NSE%3A20MICRONS" TargetMode="External"/><Relationship Id="rId705" Type="http://schemas.openxmlformats.org/officeDocument/2006/relationships/hyperlink" Target="https://in.tradingview.com/chart/bXJLby4L/?symbol=NSE%3A20MICRONS" TargetMode="External"/><Relationship Id="rId704" Type="http://schemas.openxmlformats.org/officeDocument/2006/relationships/hyperlink" Target="https://in.tradingview.com/chart/bXJLby4L/?symbol=NSE%3A20MICRONS" TargetMode="External"/><Relationship Id="rId703" Type="http://schemas.openxmlformats.org/officeDocument/2006/relationships/hyperlink" Target="https://in.tradingview.com/chart/bXJLby4L/?symbol=NSE%3A20MICRONS" TargetMode="External"/><Relationship Id="rId702" Type="http://schemas.openxmlformats.org/officeDocument/2006/relationships/hyperlink" Target="https://in.tradingview.com/chart/bXJLby4L/?symbol=NSE%3A20MICRONS" TargetMode="External"/><Relationship Id="rId1312" Type="http://schemas.openxmlformats.org/officeDocument/2006/relationships/hyperlink" Target="https://in.tradingview.com/chart/bXJLby4L/?symbol=NSE%3A20MICRONS" TargetMode="External"/><Relationship Id="rId1313" Type="http://schemas.openxmlformats.org/officeDocument/2006/relationships/hyperlink" Target="https://in.tradingview.com/chart/bXJLby4L/?symbol=NSE%3A20MICRONS" TargetMode="External"/><Relationship Id="rId1314" Type="http://schemas.openxmlformats.org/officeDocument/2006/relationships/hyperlink" Target="https://in.tradingview.com/chart/bXJLby4L/?symbol=NSE%3A20MICRONS" TargetMode="External"/><Relationship Id="rId1315" Type="http://schemas.openxmlformats.org/officeDocument/2006/relationships/hyperlink" Target="https://in.tradingview.com/chart/bXJLby4L/?symbol=NSE%3A20MICRONS" TargetMode="External"/><Relationship Id="rId1316" Type="http://schemas.openxmlformats.org/officeDocument/2006/relationships/hyperlink" Target="https://in.tradingview.com/chart/bXJLby4L/?symbol=NSE%3A20MICRONS" TargetMode="External"/><Relationship Id="rId1317" Type="http://schemas.openxmlformats.org/officeDocument/2006/relationships/hyperlink" Target="https://in.tradingview.com/chart/bXJLby4L/?symbol=NSE%3A20MICRONS" TargetMode="External"/><Relationship Id="rId1318" Type="http://schemas.openxmlformats.org/officeDocument/2006/relationships/hyperlink" Target="https://in.tradingview.com/chart/bXJLby4L/?symbol=NSE%3A20MICRONS" TargetMode="External"/><Relationship Id="rId1319" Type="http://schemas.openxmlformats.org/officeDocument/2006/relationships/hyperlink" Target="https://in.tradingview.com/chart/bXJLby4L/?symbol=NSE%3A20MICRONS" TargetMode="External"/><Relationship Id="rId729" Type="http://schemas.openxmlformats.org/officeDocument/2006/relationships/hyperlink" Target="https://in.tradingview.com/chart/bXJLby4L/?symbol=NSE%3A20MICRONS" TargetMode="External"/><Relationship Id="rId728" Type="http://schemas.openxmlformats.org/officeDocument/2006/relationships/hyperlink" Target="https://in.tradingview.com/chart/bXJLby4L/?symbol=NSE%3A20MICRONS" TargetMode="External"/><Relationship Id="rId723" Type="http://schemas.openxmlformats.org/officeDocument/2006/relationships/hyperlink" Target="https://in.tradingview.com/chart/bXJLby4L/?symbol=NSE%3A20MICRONS" TargetMode="External"/><Relationship Id="rId722" Type="http://schemas.openxmlformats.org/officeDocument/2006/relationships/hyperlink" Target="https://in.tradingview.com/chart/bXJLby4L/?symbol=NSE%3A20MICRONS" TargetMode="External"/><Relationship Id="rId721" Type="http://schemas.openxmlformats.org/officeDocument/2006/relationships/hyperlink" Target="https://in.tradingview.com/chart/bXJLby4L/?symbol=NSE%3A20MICRONS" TargetMode="External"/><Relationship Id="rId720" Type="http://schemas.openxmlformats.org/officeDocument/2006/relationships/hyperlink" Target="https://in.tradingview.com/chart/bXJLby4L/?symbol=NSE%3A20MICRONS" TargetMode="External"/><Relationship Id="rId727" Type="http://schemas.openxmlformats.org/officeDocument/2006/relationships/hyperlink" Target="https://in.tradingview.com/chart/bXJLby4L/?symbol=NSE%3A20MICRONS" TargetMode="External"/><Relationship Id="rId726" Type="http://schemas.openxmlformats.org/officeDocument/2006/relationships/hyperlink" Target="https://in.tradingview.com/chart/bXJLby4L/?symbol=NSE%3A20MICRONS" TargetMode="External"/><Relationship Id="rId725" Type="http://schemas.openxmlformats.org/officeDocument/2006/relationships/hyperlink" Target="https://in.tradingview.com/chart/bXJLby4L/?symbol=NSE%3A20MICRONS" TargetMode="External"/><Relationship Id="rId724" Type="http://schemas.openxmlformats.org/officeDocument/2006/relationships/hyperlink" Target="https://in.tradingview.com/chart/bXJLby4L/?symbol=NSE%3A20MICRONS" TargetMode="External"/><Relationship Id="rId1310" Type="http://schemas.openxmlformats.org/officeDocument/2006/relationships/hyperlink" Target="https://in.tradingview.com/chart/bXJLby4L/?symbol=NSE%3A20MICRONS" TargetMode="External"/><Relationship Id="rId1311" Type="http://schemas.openxmlformats.org/officeDocument/2006/relationships/hyperlink" Target="https://in.tradingview.com/chart/bXJLby4L/?symbol=NSE%3A20MICRONS" TargetMode="External"/><Relationship Id="rId1301" Type="http://schemas.openxmlformats.org/officeDocument/2006/relationships/hyperlink" Target="https://in.tradingview.com/chart/bXJLby4L/?symbol=NSE%3A20MICRONS" TargetMode="External"/><Relationship Id="rId1302" Type="http://schemas.openxmlformats.org/officeDocument/2006/relationships/hyperlink" Target="https://in.tradingview.com/chart/bXJLby4L/?symbol=NSE%3A20MICRONS" TargetMode="External"/><Relationship Id="rId1303" Type="http://schemas.openxmlformats.org/officeDocument/2006/relationships/hyperlink" Target="https://in.tradingview.com/chart/bXJLby4L/?symbol=NSE%3A20MICRONS" TargetMode="External"/><Relationship Id="rId1304" Type="http://schemas.openxmlformats.org/officeDocument/2006/relationships/hyperlink" Target="https://in.tradingview.com/chart/bXJLby4L/?symbol=NSE%3A20MICRONS" TargetMode="External"/><Relationship Id="rId1305" Type="http://schemas.openxmlformats.org/officeDocument/2006/relationships/hyperlink" Target="https://in.tradingview.com/chart/bXJLby4L/?symbol=NSE%3A20MICRONS" TargetMode="External"/><Relationship Id="rId1306" Type="http://schemas.openxmlformats.org/officeDocument/2006/relationships/hyperlink" Target="https://in.tradingview.com/chart/bXJLby4L/?symbol=NSE%3A20MICRONS" TargetMode="External"/><Relationship Id="rId1307" Type="http://schemas.openxmlformats.org/officeDocument/2006/relationships/hyperlink" Target="https://in.tradingview.com/chart/bXJLby4L/?symbol=NSE%3A20MICRONS" TargetMode="External"/><Relationship Id="rId1308" Type="http://schemas.openxmlformats.org/officeDocument/2006/relationships/hyperlink" Target="https://in.tradingview.com/chart/bXJLby4L/?symbol=NSE%3A20MICRONS" TargetMode="External"/><Relationship Id="rId1309" Type="http://schemas.openxmlformats.org/officeDocument/2006/relationships/hyperlink" Target="https://in.tradingview.com/chart/bXJLby4L/?symbol=NSE%3A20MICRONS" TargetMode="External"/><Relationship Id="rId719" Type="http://schemas.openxmlformats.org/officeDocument/2006/relationships/hyperlink" Target="https://in.tradingview.com/chart/bXJLby4L/?symbol=NSE%3A20MICRONS" TargetMode="External"/><Relationship Id="rId718" Type="http://schemas.openxmlformats.org/officeDocument/2006/relationships/hyperlink" Target="https://in.tradingview.com/chart/bXJLby4L/?symbol=NSE%3A20MICRONS" TargetMode="External"/><Relationship Id="rId717" Type="http://schemas.openxmlformats.org/officeDocument/2006/relationships/hyperlink" Target="https://in.tradingview.com/chart/bXJLby4L/?symbol=NSE%3A20MICRONS" TargetMode="External"/><Relationship Id="rId712" Type="http://schemas.openxmlformats.org/officeDocument/2006/relationships/hyperlink" Target="https://in.tradingview.com/chart/bXJLby4L/?symbol=NSE%3A20MICRONS" TargetMode="External"/><Relationship Id="rId711" Type="http://schemas.openxmlformats.org/officeDocument/2006/relationships/hyperlink" Target="https://in.tradingview.com/chart/bXJLby4L/?symbol=NSE%3A20MICRONS" TargetMode="External"/><Relationship Id="rId710" Type="http://schemas.openxmlformats.org/officeDocument/2006/relationships/hyperlink" Target="https://in.tradingview.com/chart/bXJLby4L/?symbol=NSE%3A20MICRONS" TargetMode="External"/><Relationship Id="rId716" Type="http://schemas.openxmlformats.org/officeDocument/2006/relationships/hyperlink" Target="https://in.tradingview.com/chart/bXJLby4L/?symbol=NSE%3A20MICRONS" TargetMode="External"/><Relationship Id="rId715" Type="http://schemas.openxmlformats.org/officeDocument/2006/relationships/hyperlink" Target="https://in.tradingview.com/chart/bXJLby4L/?symbol=NSE%3A20MICRONS" TargetMode="External"/><Relationship Id="rId714" Type="http://schemas.openxmlformats.org/officeDocument/2006/relationships/hyperlink" Target="https://in.tradingview.com/chart/bXJLby4L/?symbol=NSE%3A20MICRONS" TargetMode="External"/><Relationship Id="rId713" Type="http://schemas.openxmlformats.org/officeDocument/2006/relationships/hyperlink" Target="https://in.tradingview.com/chart/bXJLby4L/?symbol=NSE%3A20MICRONS" TargetMode="External"/><Relationship Id="rId1300" Type="http://schemas.openxmlformats.org/officeDocument/2006/relationships/hyperlink" Target="https://in.tradingview.com/chart/bXJLby4L/?symbol=NSE%3A20MICRONS" TargetMode="External"/><Relationship Id="rId1378" Type="http://schemas.openxmlformats.org/officeDocument/2006/relationships/hyperlink" Target="https://in.tradingview.com/chart/bXJLby4L/?symbol=NSE%3A20MICRONS" TargetMode="External"/><Relationship Id="rId1379" Type="http://schemas.openxmlformats.org/officeDocument/2006/relationships/hyperlink" Target="https://in.tradingview.com/chart/bXJLby4L/?symbol=NSE%3A20MICRONS" TargetMode="External"/><Relationship Id="rId789" Type="http://schemas.openxmlformats.org/officeDocument/2006/relationships/hyperlink" Target="https://in.tradingview.com/chart/bXJLby4L/?symbol=NSE%3A20MICRONS" TargetMode="External"/><Relationship Id="rId788" Type="http://schemas.openxmlformats.org/officeDocument/2006/relationships/hyperlink" Target="https://in.tradingview.com/chart/bXJLby4L/?symbol=NSE%3A20MICRONS" TargetMode="External"/><Relationship Id="rId787" Type="http://schemas.openxmlformats.org/officeDocument/2006/relationships/hyperlink" Target="https://in.tradingview.com/chart/bXJLby4L/?symbol=NSE%3A20MICRONS" TargetMode="External"/><Relationship Id="rId786" Type="http://schemas.openxmlformats.org/officeDocument/2006/relationships/hyperlink" Target="https://in.tradingview.com/chart/bXJLby4L/?symbol=NSE%3A20MICRONS" TargetMode="External"/><Relationship Id="rId781" Type="http://schemas.openxmlformats.org/officeDocument/2006/relationships/hyperlink" Target="https://in.tradingview.com/chart/bXJLby4L/?symbol=NSE%3A20MICRONS" TargetMode="External"/><Relationship Id="rId1370" Type="http://schemas.openxmlformats.org/officeDocument/2006/relationships/hyperlink" Target="https://in.tradingview.com/chart/bXJLby4L/?symbol=NSE%3A20MICRONS" TargetMode="External"/><Relationship Id="rId780" Type="http://schemas.openxmlformats.org/officeDocument/2006/relationships/hyperlink" Target="https://in.tradingview.com/chart/bXJLby4L/?symbol=NSE%3A20MICRONS" TargetMode="External"/><Relationship Id="rId1371" Type="http://schemas.openxmlformats.org/officeDocument/2006/relationships/hyperlink" Target="https://in.tradingview.com/chart/bXJLby4L/?symbol=NSE%3A20MICRONS" TargetMode="External"/><Relationship Id="rId1372" Type="http://schemas.openxmlformats.org/officeDocument/2006/relationships/hyperlink" Target="https://in.tradingview.com/chart/bXJLby4L/?symbol=NSE%3A20MICRONS" TargetMode="External"/><Relationship Id="rId1373" Type="http://schemas.openxmlformats.org/officeDocument/2006/relationships/hyperlink" Target="https://in.tradingview.com/chart/bXJLby4L/?symbol=NSE%3A20MICRONS" TargetMode="External"/><Relationship Id="rId785" Type="http://schemas.openxmlformats.org/officeDocument/2006/relationships/hyperlink" Target="https://in.tradingview.com/chart/bXJLby4L/?symbol=NSE%3A20MICRONS" TargetMode="External"/><Relationship Id="rId1374" Type="http://schemas.openxmlformats.org/officeDocument/2006/relationships/hyperlink" Target="https://in.tradingview.com/chart/bXJLby4L/?symbol=NSE%3A20MICRONS" TargetMode="External"/><Relationship Id="rId784" Type="http://schemas.openxmlformats.org/officeDocument/2006/relationships/hyperlink" Target="https://in.tradingview.com/chart/bXJLby4L/?symbol=NSE%3A20MICRONS" TargetMode="External"/><Relationship Id="rId1375" Type="http://schemas.openxmlformats.org/officeDocument/2006/relationships/hyperlink" Target="https://in.tradingview.com/chart/bXJLby4L/?symbol=NSE%3A20MICRONS" TargetMode="External"/><Relationship Id="rId783" Type="http://schemas.openxmlformats.org/officeDocument/2006/relationships/hyperlink" Target="https://in.tradingview.com/chart/bXJLby4L/?symbol=NSE%3A20MICRONS" TargetMode="External"/><Relationship Id="rId1376" Type="http://schemas.openxmlformats.org/officeDocument/2006/relationships/hyperlink" Target="https://in.tradingview.com/chart/bXJLby4L/?symbol=NSE%3A20MICRONS" TargetMode="External"/><Relationship Id="rId782" Type="http://schemas.openxmlformats.org/officeDocument/2006/relationships/hyperlink" Target="https://in.tradingview.com/chart/bXJLby4L/?symbol=NSE%3A20MICRONS" TargetMode="External"/><Relationship Id="rId1377" Type="http://schemas.openxmlformats.org/officeDocument/2006/relationships/hyperlink" Target="https://in.tradingview.com/chart/bXJLby4L/?symbol=NSE%3A20MICRONS" TargetMode="External"/><Relationship Id="rId1367" Type="http://schemas.openxmlformats.org/officeDocument/2006/relationships/hyperlink" Target="https://in.tradingview.com/chart/bXJLby4L/?symbol=NSE%3A20MICRONS" TargetMode="External"/><Relationship Id="rId1368" Type="http://schemas.openxmlformats.org/officeDocument/2006/relationships/hyperlink" Target="https://in.tradingview.com/chart/bXJLby4L/?symbol=NSE%3A20MICRONS" TargetMode="External"/><Relationship Id="rId1369" Type="http://schemas.openxmlformats.org/officeDocument/2006/relationships/hyperlink" Target="https://in.tradingview.com/chart/bXJLby4L/?symbol=NSE%3A20MICRONS" TargetMode="External"/><Relationship Id="rId778" Type="http://schemas.openxmlformats.org/officeDocument/2006/relationships/hyperlink" Target="https://in.tradingview.com/chart/bXJLby4L/?symbol=NSE%3A20MICRONS" TargetMode="External"/><Relationship Id="rId777" Type="http://schemas.openxmlformats.org/officeDocument/2006/relationships/hyperlink" Target="https://in.tradingview.com/chart/bXJLby4L/?symbol=NSE%3A20MICRONS" TargetMode="External"/><Relationship Id="rId776" Type="http://schemas.openxmlformats.org/officeDocument/2006/relationships/hyperlink" Target="https://in.tradingview.com/chart/bXJLby4L/?symbol=NSE%3A20MICRONS" TargetMode="External"/><Relationship Id="rId775" Type="http://schemas.openxmlformats.org/officeDocument/2006/relationships/hyperlink" Target="https://in.tradingview.com/chart/bXJLby4L/?symbol=NSE%3A20MICRONS" TargetMode="External"/><Relationship Id="rId779" Type="http://schemas.openxmlformats.org/officeDocument/2006/relationships/hyperlink" Target="https://in.tradingview.com/chart/bXJLby4L/?symbol=NSE%3A20MICRONS" TargetMode="External"/><Relationship Id="rId770" Type="http://schemas.openxmlformats.org/officeDocument/2006/relationships/hyperlink" Target="https://in.tradingview.com/chart/bXJLby4L/?symbol=NSE%3A20MICRONS" TargetMode="External"/><Relationship Id="rId1360" Type="http://schemas.openxmlformats.org/officeDocument/2006/relationships/hyperlink" Target="https://in.tradingview.com/chart/bXJLby4L/?symbol=NSE%3A20MICRONS" TargetMode="External"/><Relationship Id="rId1361" Type="http://schemas.openxmlformats.org/officeDocument/2006/relationships/hyperlink" Target="https://in.tradingview.com/chart/bXJLby4L/?symbol=NSE%3A20MICRONS" TargetMode="External"/><Relationship Id="rId1362" Type="http://schemas.openxmlformats.org/officeDocument/2006/relationships/hyperlink" Target="https://in.tradingview.com/chart/bXJLby4L/?symbol=NSE%3A20MICRONS" TargetMode="External"/><Relationship Id="rId774" Type="http://schemas.openxmlformats.org/officeDocument/2006/relationships/hyperlink" Target="https://in.tradingview.com/chart/bXJLby4L/?symbol=NSE%3A20MICRONS" TargetMode="External"/><Relationship Id="rId1363" Type="http://schemas.openxmlformats.org/officeDocument/2006/relationships/hyperlink" Target="https://in.tradingview.com/chart/bXJLby4L/?symbol=NSE%3A20MICRONS" TargetMode="External"/><Relationship Id="rId773" Type="http://schemas.openxmlformats.org/officeDocument/2006/relationships/hyperlink" Target="https://in.tradingview.com/chart/bXJLby4L/?symbol=NSE%3A20MICRONS" TargetMode="External"/><Relationship Id="rId1364" Type="http://schemas.openxmlformats.org/officeDocument/2006/relationships/hyperlink" Target="https://in.tradingview.com/chart/bXJLby4L/?symbol=NSE%3A20MICRONS" TargetMode="External"/><Relationship Id="rId772" Type="http://schemas.openxmlformats.org/officeDocument/2006/relationships/hyperlink" Target="https://in.tradingview.com/chart/bXJLby4L/?symbol=NSE%3A20MICRONS" TargetMode="External"/><Relationship Id="rId1365" Type="http://schemas.openxmlformats.org/officeDocument/2006/relationships/hyperlink" Target="https://in.tradingview.com/chart/bXJLby4L/?symbol=NSE%3A20MICRONS" TargetMode="External"/><Relationship Id="rId771" Type="http://schemas.openxmlformats.org/officeDocument/2006/relationships/hyperlink" Target="https://in.tradingview.com/chart/bXJLby4L/?symbol=NSE%3A20MICRONS" TargetMode="External"/><Relationship Id="rId1366" Type="http://schemas.openxmlformats.org/officeDocument/2006/relationships/hyperlink" Target="https://in.tradingview.com/chart/bXJLby4L/?symbol=NSE%3A20MICRONS" TargetMode="External"/><Relationship Id="rId1390" Type="http://schemas.openxmlformats.org/officeDocument/2006/relationships/hyperlink" Target="https://in.tradingview.com/chart/bXJLby4L/?symbol=NSE%3A20MICRONS" TargetMode="External"/><Relationship Id="rId1391" Type="http://schemas.openxmlformats.org/officeDocument/2006/relationships/hyperlink" Target="https://in.tradingview.com/chart/bXJLby4L/?symbol=NSE%3A20MICRONS" TargetMode="External"/><Relationship Id="rId1392" Type="http://schemas.openxmlformats.org/officeDocument/2006/relationships/hyperlink" Target="https://in.tradingview.com/chart/bXJLby4L/?symbol=NSE%3A20MICRONS" TargetMode="External"/><Relationship Id="rId1393" Type="http://schemas.openxmlformats.org/officeDocument/2006/relationships/hyperlink" Target="https://in.tradingview.com/chart/bXJLby4L/?symbol=NSE%3A20MICRONS" TargetMode="External"/><Relationship Id="rId1394" Type="http://schemas.openxmlformats.org/officeDocument/2006/relationships/hyperlink" Target="https://in.tradingview.com/chart/bXJLby4L/?symbol=NSE%3A20MICRONS" TargetMode="External"/><Relationship Id="rId1395" Type="http://schemas.openxmlformats.org/officeDocument/2006/relationships/hyperlink" Target="https://in.tradingview.com/chart/bXJLby4L/?symbol=NSE%3A20MICRONS" TargetMode="External"/><Relationship Id="rId1396" Type="http://schemas.openxmlformats.org/officeDocument/2006/relationships/hyperlink" Target="https://in.tradingview.com/chart/bXJLby4L/?symbol=NSE%3A20MICRONS" TargetMode="External"/><Relationship Id="rId1397" Type="http://schemas.openxmlformats.org/officeDocument/2006/relationships/hyperlink" Target="https://in.tradingview.com/chart/bXJLby4L/?symbol=NSE%3A20MICRONS" TargetMode="External"/><Relationship Id="rId1398" Type="http://schemas.openxmlformats.org/officeDocument/2006/relationships/hyperlink" Target="https://in.tradingview.com/chart/bXJLby4L/?symbol=NSE%3A20MICRONS" TargetMode="External"/><Relationship Id="rId1399" Type="http://schemas.openxmlformats.org/officeDocument/2006/relationships/hyperlink" Target="https://in.tradingview.com/chart/bXJLby4L/?symbol=NSE%3A20MICRONS" TargetMode="External"/><Relationship Id="rId1389" Type="http://schemas.openxmlformats.org/officeDocument/2006/relationships/hyperlink" Target="https://in.tradingview.com/chart/bXJLby4L/?symbol=NSE%3A20MICRONS" TargetMode="External"/><Relationship Id="rId799" Type="http://schemas.openxmlformats.org/officeDocument/2006/relationships/hyperlink" Target="https://in.tradingview.com/chart/bXJLby4L/?symbol=NSE%3A20MICRONS" TargetMode="External"/><Relationship Id="rId798" Type="http://schemas.openxmlformats.org/officeDocument/2006/relationships/hyperlink" Target="https://in.tradingview.com/chart/bXJLby4L/?symbol=NSE%3A20MICRONS" TargetMode="External"/><Relationship Id="rId797" Type="http://schemas.openxmlformats.org/officeDocument/2006/relationships/hyperlink" Target="https://in.tradingview.com/chart/bXJLby4L/?symbol=NSE%3A20MICRONS" TargetMode="External"/><Relationship Id="rId1380" Type="http://schemas.openxmlformats.org/officeDocument/2006/relationships/hyperlink" Target="https://in.tradingview.com/chart/bXJLby4L/?symbol=NSE%3A20MICRONS" TargetMode="External"/><Relationship Id="rId792" Type="http://schemas.openxmlformats.org/officeDocument/2006/relationships/hyperlink" Target="https://in.tradingview.com/chart/bXJLby4L/?symbol=NSE%3A20MICRONS" TargetMode="External"/><Relationship Id="rId1381" Type="http://schemas.openxmlformats.org/officeDocument/2006/relationships/hyperlink" Target="https://in.tradingview.com/chart/bXJLby4L/?symbol=NSE%3A20MICRONS" TargetMode="External"/><Relationship Id="rId791" Type="http://schemas.openxmlformats.org/officeDocument/2006/relationships/hyperlink" Target="https://in.tradingview.com/chart/bXJLby4L/?symbol=NSE%3A20MICRONS" TargetMode="External"/><Relationship Id="rId1382" Type="http://schemas.openxmlformats.org/officeDocument/2006/relationships/hyperlink" Target="https://in.tradingview.com/chart/bXJLby4L/?symbol=NSE%3A20MICRONS" TargetMode="External"/><Relationship Id="rId790" Type="http://schemas.openxmlformats.org/officeDocument/2006/relationships/hyperlink" Target="https://in.tradingview.com/chart/bXJLby4L/?symbol=NSE%3A20MICRONS" TargetMode="External"/><Relationship Id="rId1383" Type="http://schemas.openxmlformats.org/officeDocument/2006/relationships/hyperlink" Target="https://in.tradingview.com/chart/bXJLby4L/?symbol=NSE%3A20MICRONS" TargetMode="External"/><Relationship Id="rId1384" Type="http://schemas.openxmlformats.org/officeDocument/2006/relationships/hyperlink" Target="https://in.tradingview.com/chart/bXJLby4L/?symbol=NSE%3A20MICRONS" TargetMode="External"/><Relationship Id="rId796" Type="http://schemas.openxmlformats.org/officeDocument/2006/relationships/hyperlink" Target="https://in.tradingview.com/chart/bXJLby4L/?symbol=NSE%3A20MICRONS" TargetMode="External"/><Relationship Id="rId1385" Type="http://schemas.openxmlformats.org/officeDocument/2006/relationships/hyperlink" Target="https://in.tradingview.com/chart/bXJLby4L/?symbol=NSE%3A20MICRONS" TargetMode="External"/><Relationship Id="rId795" Type="http://schemas.openxmlformats.org/officeDocument/2006/relationships/hyperlink" Target="https://in.tradingview.com/chart/bXJLby4L/?symbol=NSE%3A20MICRONS" TargetMode="External"/><Relationship Id="rId1386" Type="http://schemas.openxmlformats.org/officeDocument/2006/relationships/hyperlink" Target="https://in.tradingview.com/chart/bXJLby4L/?symbol=NSE%3A20MICRONS" TargetMode="External"/><Relationship Id="rId794" Type="http://schemas.openxmlformats.org/officeDocument/2006/relationships/hyperlink" Target="https://in.tradingview.com/chart/bXJLby4L/?symbol=NSE%3A20MICRONS" TargetMode="External"/><Relationship Id="rId1387" Type="http://schemas.openxmlformats.org/officeDocument/2006/relationships/hyperlink" Target="https://in.tradingview.com/chart/bXJLby4L/?symbol=NSE%3A20MICRONS" TargetMode="External"/><Relationship Id="rId793" Type="http://schemas.openxmlformats.org/officeDocument/2006/relationships/hyperlink" Target="https://in.tradingview.com/chart/bXJLby4L/?symbol=NSE%3A20MICRONS" TargetMode="External"/><Relationship Id="rId1388" Type="http://schemas.openxmlformats.org/officeDocument/2006/relationships/hyperlink" Target="https://in.tradingview.com/chart/bXJLby4L/?symbol=NSE%3A20MICRONS" TargetMode="External"/><Relationship Id="rId1455" Type="http://schemas.openxmlformats.org/officeDocument/2006/relationships/hyperlink" Target="https://in.tradingview.com/chart/bXJLby4L/?symbol=NSE%3A20MICRONS" TargetMode="External"/><Relationship Id="rId1456" Type="http://schemas.openxmlformats.org/officeDocument/2006/relationships/hyperlink" Target="https://in.tradingview.com/chart/bXJLby4L/?symbol=NSE%3A20MICRONS" TargetMode="External"/><Relationship Id="rId1457" Type="http://schemas.openxmlformats.org/officeDocument/2006/relationships/hyperlink" Target="https://in.tradingview.com/chart/bXJLby4L/?symbol=NSE%3A20MICRONS" TargetMode="External"/><Relationship Id="rId1458" Type="http://schemas.openxmlformats.org/officeDocument/2006/relationships/hyperlink" Target="https://in.tradingview.com/chart/bXJLby4L/?symbol=NSE%3A20MICRONS" TargetMode="External"/><Relationship Id="rId1459" Type="http://schemas.openxmlformats.org/officeDocument/2006/relationships/hyperlink" Target="https://in.tradingview.com/chart/bXJLby4L/?symbol=NSE%3A20MICRONS" TargetMode="External"/><Relationship Id="rId629" Type="http://schemas.openxmlformats.org/officeDocument/2006/relationships/hyperlink" Target="https://in.tradingview.com/chart/bXJLby4L/?symbol=NSE%3A20MICRONS" TargetMode="External"/><Relationship Id="rId624" Type="http://schemas.openxmlformats.org/officeDocument/2006/relationships/hyperlink" Target="https://in.tradingview.com/chart/bXJLby4L/?symbol=NSE%3A20MICRONS" TargetMode="External"/><Relationship Id="rId623" Type="http://schemas.openxmlformats.org/officeDocument/2006/relationships/hyperlink" Target="https://in.tradingview.com/chart/bXJLby4L/?symbol=NSE%3A20MICRONS" TargetMode="External"/><Relationship Id="rId622" Type="http://schemas.openxmlformats.org/officeDocument/2006/relationships/hyperlink" Target="https://in.tradingview.com/chart/bXJLby4L/?symbol=NSE%3A20MICRONS" TargetMode="External"/><Relationship Id="rId621" Type="http://schemas.openxmlformats.org/officeDocument/2006/relationships/hyperlink" Target="https://in.tradingview.com/chart/bXJLby4L/?symbol=NSE%3A20MICRONS" TargetMode="External"/><Relationship Id="rId628" Type="http://schemas.openxmlformats.org/officeDocument/2006/relationships/hyperlink" Target="https://in.tradingview.com/chart/bXJLby4L/?symbol=NSE%3A20MICRONS" TargetMode="External"/><Relationship Id="rId627" Type="http://schemas.openxmlformats.org/officeDocument/2006/relationships/hyperlink" Target="https://in.tradingview.com/chart/bXJLby4L/?symbol=NSE%3A20MICRONS" TargetMode="External"/><Relationship Id="rId626" Type="http://schemas.openxmlformats.org/officeDocument/2006/relationships/hyperlink" Target="https://in.tradingview.com/chart/bXJLby4L/?symbol=NSE%3A20MICRONS" TargetMode="External"/><Relationship Id="rId625" Type="http://schemas.openxmlformats.org/officeDocument/2006/relationships/hyperlink" Target="https://in.tradingview.com/chart/bXJLby4L/?symbol=NSE%3A20MICRONS" TargetMode="External"/><Relationship Id="rId1450" Type="http://schemas.openxmlformats.org/officeDocument/2006/relationships/hyperlink" Target="https://in.tradingview.com/chart/bXJLby4L/?symbol=NSE%3A20MICRONS" TargetMode="External"/><Relationship Id="rId620" Type="http://schemas.openxmlformats.org/officeDocument/2006/relationships/hyperlink" Target="https://in.tradingview.com/chart/bXJLby4L/?symbol=NSE%3A20MICRONS" TargetMode="External"/><Relationship Id="rId1451" Type="http://schemas.openxmlformats.org/officeDocument/2006/relationships/hyperlink" Target="https://in.tradingview.com/chart/bXJLby4L/?symbol=NSE%3A20MICRONS" TargetMode="External"/><Relationship Id="rId1452" Type="http://schemas.openxmlformats.org/officeDocument/2006/relationships/hyperlink" Target="https://in.tradingview.com/chart/bXJLby4L/?symbol=NSE%3A20MICRONS" TargetMode="External"/><Relationship Id="rId1453" Type="http://schemas.openxmlformats.org/officeDocument/2006/relationships/hyperlink" Target="https://in.tradingview.com/chart/bXJLby4L/?symbol=NSE%3A20MICRONS" TargetMode="External"/><Relationship Id="rId1454" Type="http://schemas.openxmlformats.org/officeDocument/2006/relationships/hyperlink" Target="https://in.tradingview.com/chart/bXJLby4L/?symbol=NSE%3A20MICRONS" TargetMode="External"/><Relationship Id="rId1444" Type="http://schemas.openxmlformats.org/officeDocument/2006/relationships/hyperlink" Target="https://in.tradingview.com/chart/bXJLby4L/?symbol=NSE%3A20MICRONS" TargetMode="External"/><Relationship Id="rId1445" Type="http://schemas.openxmlformats.org/officeDocument/2006/relationships/hyperlink" Target="https://in.tradingview.com/chart/bXJLby4L/?symbol=NSE%3A20MICRONS" TargetMode="External"/><Relationship Id="rId1446" Type="http://schemas.openxmlformats.org/officeDocument/2006/relationships/hyperlink" Target="https://in.tradingview.com/chart/bXJLby4L/?symbol=NSE%3A20MICRONS" TargetMode="External"/><Relationship Id="rId1447" Type="http://schemas.openxmlformats.org/officeDocument/2006/relationships/hyperlink" Target="https://in.tradingview.com/chart/bXJLby4L/?symbol=NSE%3A20MICRONS" TargetMode="External"/><Relationship Id="rId1448" Type="http://schemas.openxmlformats.org/officeDocument/2006/relationships/hyperlink" Target="https://in.tradingview.com/chart/bXJLby4L/?symbol=NSE%3A20MICRONS" TargetMode="External"/><Relationship Id="rId1449" Type="http://schemas.openxmlformats.org/officeDocument/2006/relationships/hyperlink" Target="https://in.tradingview.com/chart/bXJLby4L/?symbol=NSE%3A20MICRONS" TargetMode="External"/><Relationship Id="rId619" Type="http://schemas.openxmlformats.org/officeDocument/2006/relationships/hyperlink" Target="https://in.tradingview.com/chart/bXJLby4L/?symbol=NSE%3A20MICRONS" TargetMode="External"/><Relationship Id="rId618" Type="http://schemas.openxmlformats.org/officeDocument/2006/relationships/hyperlink" Target="https://in.tradingview.com/chart/bXJLby4L/?symbol=NSE%3A20MICRONS" TargetMode="External"/><Relationship Id="rId613" Type="http://schemas.openxmlformats.org/officeDocument/2006/relationships/hyperlink" Target="https://in.tradingview.com/chart/bXJLby4L/?symbol=NSE%3A20MICRONS" TargetMode="External"/><Relationship Id="rId612" Type="http://schemas.openxmlformats.org/officeDocument/2006/relationships/hyperlink" Target="https://in.tradingview.com/chart/bXJLby4L/?symbol=NSE%3A20MICRONS" TargetMode="External"/><Relationship Id="rId611" Type="http://schemas.openxmlformats.org/officeDocument/2006/relationships/hyperlink" Target="https://in.tradingview.com/chart/bXJLby4L/?symbol=NSE%3A20MICRONS" TargetMode="External"/><Relationship Id="rId610" Type="http://schemas.openxmlformats.org/officeDocument/2006/relationships/hyperlink" Target="https://in.tradingview.com/chart/bXJLby4L/?symbol=NSE%3A20MICRONS" TargetMode="External"/><Relationship Id="rId617" Type="http://schemas.openxmlformats.org/officeDocument/2006/relationships/hyperlink" Target="https://in.tradingview.com/chart/bXJLby4L/?symbol=NSE%3A20MICRONS" TargetMode="External"/><Relationship Id="rId616" Type="http://schemas.openxmlformats.org/officeDocument/2006/relationships/hyperlink" Target="https://in.tradingview.com/chart/bXJLby4L/?symbol=NSE%3A20MICRONS" TargetMode="External"/><Relationship Id="rId615" Type="http://schemas.openxmlformats.org/officeDocument/2006/relationships/hyperlink" Target="https://in.tradingview.com/chart/bXJLby4L/?symbol=NSE%3A20MICRONS" TargetMode="External"/><Relationship Id="rId614" Type="http://schemas.openxmlformats.org/officeDocument/2006/relationships/hyperlink" Target="https://in.tradingview.com/chart/bXJLby4L/?symbol=NSE%3A20MICRONS" TargetMode="External"/><Relationship Id="rId1440" Type="http://schemas.openxmlformats.org/officeDocument/2006/relationships/hyperlink" Target="https://in.tradingview.com/chart/bXJLby4L/?symbol=NSE%3A20MICRONS" TargetMode="External"/><Relationship Id="rId1441" Type="http://schemas.openxmlformats.org/officeDocument/2006/relationships/hyperlink" Target="https://in.tradingview.com/chart/bXJLby4L/?symbol=NSE%3A20MICRONS" TargetMode="External"/><Relationship Id="rId1442" Type="http://schemas.openxmlformats.org/officeDocument/2006/relationships/hyperlink" Target="https://in.tradingview.com/chart/bXJLby4L/?symbol=NSE%3A20MICRONS" TargetMode="External"/><Relationship Id="rId1443" Type="http://schemas.openxmlformats.org/officeDocument/2006/relationships/hyperlink" Target="https://in.tradingview.com/chart/bXJLby4L/?symbol=NSE%3A20MICRONS" TargetMode="External"/><Relationship Id="rId1477" Type="http://schemas.openxmlformats.org/officeDocument/2006/relationships/hyperlink" Target="https://in.tradingview.com/chart/bXJLby4L/?symbol=NSE%3A20MICRONS" TargetMode="External"/><Relationship Id="rId1478" Type="http://schemas.openxmlformats.org/officeDocument/2006/relationships/hyperlink" Target="https://in.tradingview.com/chart/bXJLby4L/?symbol=NSE%3A20MICRONS" TargetMode="External"/><Relationship Id="rId1479" Type="http://schemas.openxmlformats.org/officeDocument/2006/relationships/hyperlink" Target="https://in.tradingview.com/chart/bXJLby4L/?symbol=NSE%3A20MICRONS" TargetMode="External"/><Relationship Id="rId646" Type="http://schemas.openxmlformats.org/officeDocument/2006/relationships/hyperlink" Target="https://in.tradingview.com/chart/bXJLby4L/?symbol=NSE%3A20MICRONS" TargetMode="External"/><Relationship Id="rId645" Type="http://schemas.openxmlformats.org/officeDocument/2006/relationships/hyperlink" Target="https://in.tradingview.com/chart/bXJLby4L/?symbol=NSE%3A20MICRONS" TargetMode="External"/><Relationship Id="rId644" Type="http://schemas.openxmlformats.org/officeDocument/2006/relationships/hyperlink" Target="https://in.tradingview.com/chart/bXJLby4L/?symbol=NSE%3A20MICRONS" TargetMode="External"/><Relationship Id="rId643" Type="http://schemas.openxmlformats.org/officeDocument/2006/relationships/hyperlink" Target="https://in.tradingview.com/chart/bXJLby4L/?symbol=NSE%3A20MICRONS" TargetMode="External"/><Relationship Id="rId649" Type="http://schemas.openxmlformats.org/officeDocument/2006/relationships/hyperlink" Target="https://in.tradingview.com/chart/bXJLby4L/?symbol=NSE%3A20MICRONS" TargetMode="External"/><Relationship Id="rId648" Type="http://schemas.openxmlformats.org/officeDocument/2006/relationships/hyperlink" Target="https://in.tradingview.com/chart/bXJLby4L/?symbol=NSE%3A20MICRONS" TargetMode="External"/><Relationship Id="rId647" Type="http://schemas.openxmlformats.org/officeDocument/2006/relationships/hyperlink" Target="https://in.tradingview.com/chart/bXJLby4L/?symbol=NSE%3A20MICRONS" TargetMode="External"/><Relationship Id="rId1470" Type="http://schemas.openxmlformats.org/officeDocument/2006/relationships/hyperlink" Target="https://in.tradingview.com/chart/bXJLby4L/?symbol=NSE%3A20MICRONS" TargetMode="External"/><Relationship Id="rId1471" Type="http://schemas.openxmlformats.org/officeDocument/2006/relationships/hyperlink" Target="https://in.tradingview.com/chart/bXJLby4L/?symbol=NSE%3A20MICRONS" TargetMode="External"/><Relationship Id="rId1472" Type="http://schemas.openxmlformats.org/officeDocument/2006/relationships/hyperlink" Target="https://in.tradingview.com/chart/bXJLby4L/?symbol=NSE%3A20MICRONS" TargetMode="External"/><Relationship Id="rId642" Type="http://schemas.openxmlformats.org/officeDocument/2006/relationships/hyperlink" Target="https://in.tradingview.com/chart/bXJLby4L/?symbol=NSE%3A20MICRONS" TargetMode="External"/><Relationship Id="rId1473" Type="http://schemas.openxmlformats.org/officeDocument/2006/relationships/hyperlink" Target="https://in.tradingview.com/chart/bXJLby4L/?symbol=NSE%3A20MICRONS" TargetMode="External"/><Relationship Id="rId641" Type="http://schemas.openxmlformats.org/officeDocument/2006/relationships/hyperlink" Target="https://in.tradingview.com/chart/bXJLby4L/?symbol=NSE%3A20MICRONS" TargetMode="External"/><Relationship Id="rId1474" Type="http://schemas.openxmlformats.org/officeDocument/2006/relationships/hyperlink" Target="https://in.tradingview.com/chart/bXJLby4L/?symbol=NSE%3A20MICRONS" TargetMode="External"/><Relationship Id="rId640" Type="http://schemas.openxmlformats.org/officeDocument/2006/relationships/hyperlink" Target="https://in.tradingview.com/chart/bXJLby4L/?symbol=NSE%3A20MICRONS" TargetMode="External"/><Relationship Id="rId1475" Type="http://schemas.openxmlformats.org/officeDocument/2006/relationships/hyperlink" Target="https://in.tradingview.com/chart/bXJLby4L/?symbol=NSE%3A20MICRONS" TargetMode="External"/><Relationship Id="rId1476" Type="http://schemas.openxmlformats.org/officeDocument/2006/relationships/hyperlink" Target="https://in.tradingview.com/chart/bXJLby4L/?symbol=NSE%3A20MICRONS" TargetMode="External"/><Relationship Id="rId1466" Type="http://schemas.openxmlformats.org/officeDocument/2006/relationships/hyperlink" Target="https://in.tradingview.com/chart/bXJLby4L/?symbol=NSE%3A20MICRONS" TargetMode="External"/><Relationship Id="rId1467" Type="http://schemas.openxmlformats.org/officeDocument/2006/relationships/hyperlink" Target="https://in.tradingview.com/chart/bXJLby4L/?symbol=NSE%3A20MICRONS" TargetMode="External"/><Relationship Id="rId1468" Type="http://schemas.openxmlformats.org/officeDocument/2006/relationships/hyperlink" Target="https://in.tradingview.com/chart/bXJLby4L/?symbol=NSE%3A20MICRONS" TargetMode="External"/><Relationship Id="rId1469" Type="http://schemas.openxmlformats.org/officeDocument/2006/relationships/hyperlink" Target="https://in.tradingview.com/chart/bXJLby4L/?symbol=NSE%3A20MICRONS" TargetMode="External"/><Relationship Id="rId635" Type="http://schemas.openxmlformats.org/officeDocument/2006/relationships/hyperlink" Target="https://in.tradingview.com/chart/bXJLby4L/?symbol=NSE%3A20MICRONS" TargetMode="External"/><Relationship Id="rId634" Type="http://schemas.openxmlformats.org/officeDocument/2006/relationships/hyperlink" Target="https://in.tradingview.com/chart/bXJLby4L/?symbol=NSE%3A20MICRONS" TargetMode="External"/><Relationship Id="rId633" Type="http://schemas.openxmlformats.org/officeDocument/2006/relationships/hyperlink" Target="https://in.tradingview.com/chart/bXJLby4L/?symbol=NSE%3A20MICRONS" TargetMode="External"/><Relationship Id="rId632" Type="http://schemas.openxmlformats.org/officeDocument/2006/relationships/hyperlink" Target="https://in.tradingview.com/chart/bXJLby4L/?symbol=NSE%3A20MICRONS" TargetMode="External"/><Relationship Id="rId639" Type="http://schemas.openxmlformats.org/officeDocument/2006/relationships/hyperlink" Target="https://in.tradingview.com/chart/bXJLby4L/?symbol=NSE%3A20MICRONS" TargetMode="External"/><Relationship Id="rId638" Type="http://schemas.openxmlformats.org/officeDocument/2006/relationships/hyperlink" Target="https://in.tradingview.com/chart/bXJLby4L/?symbol=NSE%3A20MICRONS" TargetMode="External"/><Relationship Id="rId637" Type="http://schemas.openxmlformats.org/officeDocument/2006/relationships/hyperlink" Target="https://in.tradingview.com/chart/bXJLby4L/?symbol=NSE%3A20MICRONS" TargetMode="External"/><Relationship Id="rId636" Type="http://schemas.openxmlformats.org/officeDocument/2006/relationships/hyperlink" Target="https://in.tradingview.com/chart/bXJLby4L/?symbol=NSE%3A20MICRONS" TargetMode="External"/><Relationship Id="rId1460" Type="http://schemas.openxmlformats.org/officeDocument/2006/relationships/hyperlink" Target="https://in.tradingview.com/chart/bXJLby4L/?symbol=NSE%3A20MICRONS" TargetMode="External"/><Relationship Id="rId1461" Type="http://schemas.openxmlformats.org/officeDocument/2006/relationships/hyperlink" Target="https://in.tradingview.com/chart/bXJLby4L/?symbol=NSE%3A20MICRONS" TargetMode="External"/><Relationship Id="rId631" Type="http://schemas.openxmlformats.org/officeDocument/2006/relationships/hyperlink" Target="https://in.tradingview.com/chart/bXJLby4L/?symbol=NSE%3A20MICRONS" TargetMode="External"/><Relationship Id="rId1462" Type="http://schemas.openxmlformats.org/officeDocument/2006/relationships/hyperlink" Target="https://in.tradingview.com/chart/bXJLby4L/?symbol=NSE%3A20MICRONS" TargetMode="External"/><Relationship Id="rId630" Type="http://schemas.openxmlformats.org/officeDocument/2006/relationships/hyperlink" Target="https://in.tradingview.com/chart/bXJLby4L/?symbol=NSE%3A20MICRONS" TargetMode="External"/><Relationship Id="rId1463" Type="http://schemas.openxmlformats.org/officeDocument/2006/relationships/hyperlink" Target="https://in.tradingview.com/chart/bXJLby4L/?symbol=NSE%3A20MICRONS" TargetMode="External"/><Relationship Id="rId1464" Type="http://schemas.openxmlformats.org/officeDocument/2006/relationships/hyperlink" Target="https://in.tradingview.com/chart/bXJLby4L/?symbol=NSE%3A20MICRONS" TargetMode="External"/><Relationship Id="rId1465" Type="http://schemas.openxmlformats.org/officeDocument/2006/relationships/hyperlink" Target="https://in.tradingview.com/chart/bXJLby4L/?symbol=NSE%3A20MICRONS" TargetMode="External"/><Relationship Id="rId1411" Type="http://schemas.openxmlformats.org/officeDocument/2006/relationships/hyperlink" Target="https://in.tradingview.com/chart/bXJLby4L/?symbol=NSE%3A20MICRONS" TargetMode="External"/><Relationship Id="rId1412" Type="http://schemas.openxmlformats.org/officeDocument/2006/relationships/hyperlink" Target="https://in.tradingview.com/chart/bXJLby4L/?symbol=NSE%3A20MICRONS" TargetMode="External"/><Relationship Id="rId1413" Type="http://schemas.openxmlformats.org/officeDocument/2006/relationships/hyperlink" Target="https://in.tradingview.com/chart/bXJLby4L/?symbol=NSE%3A20MICRONS" TargetMode="External"/><Relationship Id="rId1414" Type="http://schemas.openxmlformats.org/officeDocument/2006/relationships/hyperlink" Target="https://in.tradingview.com/chart/bXJLby4L/?symbol=NSE%3A20MICRONS" TargetMode="External"/><Relationship Id="rId1415" Type="http://schemas.openxmlformats.org/officeDocument/2006/relationships/hyperlink" Target="https://in.tradingview.com/chart/bXJLby4L/?symbol=NSE%3A20MICRONS" TargetMode="External"/><Relationship Id="rId1416" Type="http://schemas.openxmlformats.org/officeDocument/2006/relationships/hyperlink" Target="https://in.tradingview.com/chart/bXJLby4L/?symbol=NSE%3A20MICRONS" TargetMode="External"/><Relationship Id="rId1417" Type="http://schemas.openxmlformats.org/officeDocument/2006/relationships/hyperlink" Target="https://in.tradingview.com/chart/bXJLby4L/?symbol=NSE%3A20MICRONS" TargetMode="External"/><Relationship Id="rId1418" Type="http://schemas.openxmlformats.org/officeDocument/2006/relationships/hyperlink" Target="https://in.tradingview.com/chart/bXJLby4L/?symbol=NSE%3A20MICRONS" TargetMode="External"/><Relationship Id="rId1419" Type="http://schemas.openxmlformats.org/officeDocument/2006/relationships/hyperlink" Target="https://in.tradingview.com/chart/bXJLby4L/?symbol=NSE%3A20MICRONS" TargetMode="External"/><Relationship Id="rId1410" Type="http://schemas.openxmlformats.org/officeDocument/2006/relationships/hyperlink" Target="https://in.tradingview.com/chart/bXJLby4L/?symbol=NSE%3A20MICRONS" TargetMode="External"/><Relationship Id="rId1400" Type="http://schemas.openxmlformats.org/officeDocument/2006/relationships/hyperlink" Target="https://in.tradingview.com/chart/bXJLby4L/?symbol=NSE%3A20MICRONS" TargetMode="External"/><Relationship Id="rId1401" Type="http://schemas.openxmlformats.org/officeDocument/2006/relationships/hyperlink" Target="https://in.tradingview.com/chart/bXJLby4L/?symbol=NSE%3A20MICRONS" TargetMode="External"/><Relationship Id="rId1402" Type="http://schemas.openxmlformats.org/officeDocument/2006/relationships/hyperlink" Target="https://in.tradingview.com/chart/bXJLby4L/?symbol=NSE%3A20MICRONS" TargetMode="External"/><Relationship Id="rId1403" Type="http://schemas.openxmlformats.org/officeDocument/2006/relationships/hyperlink" Target="https://in.tradingview.com/chart/bXJLby4L/?symbol=NSE%3A20MICRONS" TargetMode="External"/><Relationship Id="rId1404" Type="http://schemas.openxmlformats.org/officeDocument/2006/relationships/hyperlink" Target="https://in.tradingview.com/chart/bXJLby4L/?symbol=NSE%3A20MICRONS" TargetMode="External"/><Relationship Id="rId1405" Type="http://schemas.openxmlformats.org/officeDocument/2006/relationships/hyperlink" Target="https://in.tradingview.com/chart/bXJLby4L/?symbol=NSE%3A20MICRONS" TargetMode="External"/><Relationship Id="rId1406" Type="http://schemas.openxmlformats.org/officeDocument/2006/relationships/hyperlink" Target="https://in.tradingview.com/chart/bXJLby4L/?symbol=NSE%3A20MICRONS" TargetMode="External"/><Relationship Id="rId1407" Type="http://schemas.openxmlformats.org/officeDocument/2006/relationships/hyperlink" Target="https://in.tradingview.com/chart/bXJLby4L/?symbol=NSE%3A20MICRONS" TargetMode="External"/><Relationship Id="rId1408" Type="http://schemas.openxmlformats.org/officeDocument/2006/relationships/hyperlink" Target="https://in.tradingview.com/chart/bXJLby4L/?symbol=NSE%3A20MICRONS" TargetMode="External"/><Relationship Id="rId1409" Type="http://schemas.openxmlformats.org/officeDocument/2006/relationships/hyperlink" Target="https://in.tradingview.com/chart/bXJLby4L/?symbol=NSE%3A20MICRONS" TargetMode="External"/><Relationship Id="rId1433" Type="http://schemas.openxmlformats.org/officeDocument/2006/relationships/hyperlink" Target="https://in.tradingview.com/chart/bXJLby4L/?symbol=NSE%3A20MICRONS" TargetMode="External"/><Relationship Id="rId1434" Type="http://schemas.openxmlformats.org/officeDocument/2006/relationships/hyperlink" Target="https://in.tradingview.com/chart/bXJLby4L/?symbol=NSE%3A20MICRONS" TargetMode="External"/><Relationship Id="rId1435" Type="http://schemas.openxmlformats.org/officeDocument/2006/relationships/hyperlink" Target="https://in.tradingview.com/chart/bXJLby4L/?symbol=NSE%3A20MICRONS" TargetMode="External"/><Relationship Id="rId1436" Type="http://schemas.openxmlformats.org/officeDocument/2006/relationships/hyperlink" Target="https://in.tradingview.com/chart/bXJLby4L/?symbol=NSE%3A20MICRONS" TargetMode="External"/><Relationship Id="rId1437" Type="http://schemas.openxmlformats.org/officeDocument/2006/relationships/hyperlink" Target="https://in.tradingview.com/chart/bXJLby4L/?symbol=NSE%3A20MICRONS" TargetMode="External"/><Relationship Id="rId1438" Type="http://schemas.openxmlformats.org/officeDocument/2006/relationships/hyperlink" Target="https://in.tradingview.com/chart/bXJLby4L/?symbol=NSE%3A20MICRONS" TargetMode="External"/><Relationship Id="rId1439" Type="http://schemas.openxmlformats.org/officeDocument/2006/relationships/hyperlink" Target="https://in.tradingview.com/chart/bXJLby4L/?symbol=NSE%3A20MICRONS" TargetMode="External"/><Relationship Id="rId609" Type="http://schemas.openxmlformats.org/officeDocument/2006/relationships/hyperlink" Target="https://in.tradingview.com/chart/bXJLby4L/?symbol=NSE%3A20MICRONS" TargetMode="External"/><Relationship Id="rId608" Type="http://schemas.openxmlformats.org/officeDocument/2006/relationships/hyperlink" Target="https://in.tradingview.com/chart/bXJLby4L/?symbol=NSE%3A20MICRONS" TargetMode="External"/><Relationship Id="rId607" Type="http://schemas.openxmlformats.org/officeDocument/2006/relationships/hyperlink" Target="https://in.tradingview.com/chart/bXJLby4L/?symbol=NSE%3A20MICRONS" TargetMode="External"/><Relationship Id="rId602" Type="http://schemas.openxmlformats.org/officeDocument/2006/relationships/hyperlink" Target="https://in.tradingview.com/chart/bXJLby4L/?symbol=NSE%3A20MICRONS" TargetMode="External"/><Relationship Id="rId601" Type="http://schemas.openxmlformats.org/officeDocument/2006/relationships/hyperlink" Target="https://in.tradingview.com/chart/bXJLby4L/?symbol=NSE%3A20MICRONS" TargetMode="External"/><Relationship Id="rId600" Type="http://schemas.openxmlformats.org/officeDocument/2006/relationships/hyperlink" Target="https://in.tradingview.com/chart/bXJLby4L/?symbol=NSE%3A20MICRONS" TargetMode="External"/><Relationship Id="rId606" Type="http://schemas.openxmlformats.org/officeDocument/2006/relationships/hyperlink" Target="https://in.tradingview.com/chart/bXJLby4L/?symbol=NSE%3A20MICRONS" TargetMode="External"/><Relationship Id="rId605" Type="http://schemas.openxmlformats.org/officeDocument/2006/relationships/hyperlink" Target="https://in.tradingview.com/chart/bXJLby4L/?symbol=NSE%3A20MICRONS" TargetMode="External"/><Relationship Id="rId604" Type="http://schemas.openxmlformats.org/officeDocument/2006/relationships/hyperlink" Target="https://in.tradingview.com/chart/bXJLby4L/?symbol=NSE%3A20MICRONS" TargetMode="External"/><Relationship Id="rId603" Type="http://schemas.openxmlformats.org/officeDocument/2006/relationships/hyperlink" Target="https://in.tradingview.com/chart/bXJLby4L/?symbol=NSE%3A20MICRONS" TargetMode="External"/><Relationship Id="rId1430" Type="http://schemas.openxmlformats.org/officeDocument/2006/relationships/hyperlink" Target="https://in.tradingview.com/chart/bXJLby4L/?symbol=NSE%3A20MICRONS" TargetMode="External"/><Relationship Id="rId1431" Type="http://schemas.openxmlformats.org/officeDocument/2006/relationships/hyperlink" Target="https://in.tradingview.com/chart/bXJLby4L/?symbol=NSE%3A20MICRONS" TargetMode="External"/><Relationship Id="rId1432" Type="http://schemas.openxmlformats.org/officeDocument/2006/relationships/hyperlink" Target="https://in.tradingview.com/chart/bXJLby4L/?symbol=NSE%3A20MICRONS" TargetMode="External"/><Relationship Id="rId1422" Type="http://schemas.openxmlformats.org/officeDocument/2006/relationships/hyperlink" Target="https://in.tradingview.com/chart/bXJLby4L/?symbol=NSE%3A20MICRONS" TargetMode="External"/><Relationship Id="rId1423" Type="http://schemas.openxmlformats.org/officeDocument/2006/relationships/hyperlink" Target="https://in.tradingview.com/chart/bXJLby4L/?symbol=NSE%3A20MICRONS" TargetMode="External"/><Relationship Id="rId1424" Type="http://schemas.openxmlformats.org/officeDocument/2006/relationships/hyperlink" Target="https://in.tradingview.com/chart/bXJLby4L/?symbol=NSE%3A20MICRONS" TargetMode="External"/><Relationship Id="rId1425" Type="http://schemas.openxmlformats.org/officeDocument/2006/relationships/hyperlink" Target="https://in.tradingview.com/chart/bXJLby4L/?symbol=NSE%3A20MICRONS" TargetMode="External"/><Relationship Id="rId1426" Type="http://schemas.openxmlformats.org/officeDocument/2006/relationships/hyperlink" Target="https://in.tradingview.com/chart/bXJLby4L/?symbol=NSE%3A20MICRONS" TargetMode="External"/><Relationship Id="rId1427" Type="http://schemas.openxmlformats.org/officeDocument/2006/relationships/hyperlink" Target="https://in.tradingview.com/chart/bXJLby4L/?symbol=NSE%3A20MICRONS" TargetMode="External"/><Relationship Id="rId1428" Type="http://schemas.openxmlformats.org/officeDocument/2006/relationships/hyperlink" Target="https://in.tradingview.com/chart/bXJLby4L/?symbol=NSE%3A20MICRONS" TargetMode="External"/><Relationship Id="rId1429" Type="http://schemas.openxmlformats.org/officeDocument/2006/relationships/hyperlink" Target="https://in.tradingview.com/chart/bXJLby4L/?symbol=NSE%3A20MICRONS" TargetMode="External"/><Relationship Id="rId1420" Type="http://schemas.openxmlformats.org/officeDocument/2006/relationships/hyperlink" Target="https://in.tradingview.com/chart/bXJLby4L/?symbol=NSE%3A20MICRONS" TargetMode="External"/><Relationship Id="rId1421" Type="http://schemas.openxmlformats.org/officeDocument/2006/relationships/hyperlink" Target="https://in.tradingview.com/chart/bXJLby4L/?symbol=NSE%3A20MICRONS" TargetMode="External"/><Relationship Id="rId699" Type="http://schemas.openxmlformats.org/officeDocument/2006/relationships/hyperlink" Target="https://in.tradingview.com/chart/bXJLby4L/?symbol=NSE%3A20MICRONS" TargetMode="External"/><Relationship Id="rId698" Type="http://schemas.openxmlformats.org/officeDocument/2006/relationships/hyperlink" Target="https://in.tradingview.com/chart/bXJLby4L/?symbol=NSE%3A20MICRONS" TargetMode="External"/><Relationship Id="rId693" Type="http://schemas.openxmlformats.org/officeDocument/2006/relationships/hyperlink" Target="https://in.tradingview.com/chart/bXJLby4L/?symbol=NSE%3A20MICRONS" TargetMode="External"/><Relationship Id="rId692" Type="http://schemas.openxmlformats.org/officeDocument/2006/relationships/hyperlink" Target="https://in.tradingview.com/chart/bXJLby4L/?symbol=NSE%3A20MICRONS" TargetMode="External"/><Relationship Id="rId691" Type="http://schemas.openxmlformats.org/officeDocument/2006/relationships/hyperlink" Target="https://in.tradingview.com/chart/bXJLby4L/?symbol=NSE%3A20MICRONS" TargetMode="External"/><Relationship Id="rId690" Type="http://schemas.openxmlformats.org/officeDocument/2006/relationships/hyperlink" Target="https://in.tradingview.com/chart/bXJLby4L/?symbol=NSE%3A20MICRONS" TargetMode="External"/><Relationship Id="rId697" Type="http://schemas.openxmlformats.org/officeDocument/2006/relationships/hyperlink" Target="https://in.tradingview.com/chart/bXJLby4L/?symbol=NSE%3A20MICRONS" TargetMode="External"/><Relationship Id="rId696" Type="http://schemas.openxmlformats.org/officeDocument/2006/relationships/hyperlink" Target="https://in.tradingview.com/chart/bXJLby4L/?symbol=NSE%3A20MICRONS" TargetMode="External"/><Relationship Id="rId695" Type="http://schemas.openxmlformats.org/officeDocument/2006/relationships/hyperlink" Target="https://in.tradingview.com/chart/bXJLby4L/?symbol=NSE%3A20MICRONS" TargetMode="External"/><Relationship Id="rId694" Type="http://schemas.openxmlformats.org/officeDocument/2006/relationships/hyperlink" Target="https://in.tradingview.com/chart/bXJLby4L/?symbol=NSE%3A20MICRONS" TargetMode="External"/><Relationship Id="rId1499" Type="http://schemas.openxmlformats.org/officeDocument/2006/relationships/hyperlink" Target="https://in.tradingview.com/chart/bXJLby4L/?symbol=NSE%3A20MICRONS" TargetMode="External"/><Relationship Id="rId668" Type="http://schemas.openxmlformats.org/officeDocument/2006/relationships/hyperlink" Target="https://in.tradingview.com/chart/bXJLby4L/?symbol=NSE%3A20MICRONS" TargetMode="External"/><Relationship Id="rId667" Type="http://schemas.openxmlformats.org/officeDocument/2006/relationships/hyperlink" Target="https://in.tradingview.com/chart/bXJLby4L/?symbol=NSE%3A20MICRONS" TargetMode="External"/><Relationship Id="rId666" Type="http://schemas.openxmlformats.org/officeDocument/2006/relationships/hyperlink" Target="https://in.tradingview.com/chart/bXJLby4L/?symbol=NSE%3A20MICRONS" TargetMode="External"/><Relationship Id="rId665" Type="http://schemas.openxmlformats.org/officeDocument/2006/relationships/hyperlink" Target="https://in.tradingview.com/chart/bXJLby4L/?symbol=NSE%3A20MICRONS" TargetMode="External"/><Relationship Id="rId669" Type="http://schemas.openxmlformats.org/officeDocument/2006/relationships/hyperlink" Target="https://in.tradingview.com/chart/bXJLby4L/?symbol=NSE%3A20MICRONS" TargetMode="External"/><Relationship Id="rId1490" Type="http://schemas.openxmlformats.org/officeDocument/2006/relationships/hyperlink" Target="https://in.tradingview.com/chart/bXJLby4L/?symbol=NSE%3A20MICRONS" TargetMode="External"/><Relationship Id="rId660" Type="http://schemas.openxmlformats.org/officeDocument/2006/relationships/hyperlink" Target="https://in.tradingview.com/chart/bXJLby4L/?symbol=NSE%3A20MICRONS" TargetMode="External"/><Relationship Id="rId1491" Type="http://schemas.openxmlformats.org/officeDocument/2006/relationships/hyperlink" Target="https://in.tradingview.com/chart/bXJLby4L/?symbol=NSE%3A20MICRONS" TargetMode="External"/><Relationship Id="rId1492" Type="http://schemas.openxmlformats.org/officeDocument/2006/relationships/hyperlink" Target="https://in.tradingview.com/chart/bXJLby4L/?symbol=NSE%3A20MICRONS" TargetMode="External"/><Relationship Id="rId1493" Type="http://schemas.openxmlformats.org/officeDocument/2006/relationships/hyperlink" Target="https://in.tradingview.com/chart/bXJLby4L/?symbol=NSE%3A20MICRONS" TargetMode="External"/><Relationship Id="rId1494" Type="http://schemas.openxmlformats.org/officeDocument/2006/relationships/hyperlink" Target="https://in.tradingview.com/chart/bXJLby4L/?symbol=NSE%3A20MICRONS" TargetMode="External"/><Relationship Id="rId664" Type="http://schemas.openxmlformats.org/officeDocument/2006/relationships/hyperlink" Target="https://in.tradingview.com/chart/bXJLby4L/?symbol=NSE%3A20MICRONS" TargetMode="External"/><Relationship Id="rId1495" Type="http://schemas.openxmlformats.org/officeDocument/2006/relationships/hyperlink" Target="https://in.tradingview.com/chart/bXJLby4L/?symbol=NSE%3A20MICRONS" TargetMode="External"/><Relationship Id="rId663" Type="http://schemas.openxmlformats.org/officeDocument/2006/relationships/hyperlink" Target="https://in.tradingview.com/chart/bXJLby4L/?symbol=NSE%3A20MICRONS" TargetMode="External"/><Relationship Id="rId1496" Type="http://schemas.openxmlformats.org/officeDocument/2006/relationships/hyperlink" Target="https://in.tradingview.com/chart/bXJLby4L/?symbol=NSE%3A20MICRONS" TargetMode="External"/><Relationship Id="rId662" Type="http://schemas.openxmlformats.org/officeDocument/2006/relationships/hyperlink" Target="https://in.tradingview.com/chart/bXJLby4L/?symbol=NSE%3A20MICRONS" TargetMode="External"/><Relationship Id="rId1497" Type="http://schemas.openxmlformats.org/officeDocument/2006/relationships/hyperlink" Target="https://in.tradingview.com/chart/bXJLby4L/?symbol=NSE%3A20MICRONS" TargetMode="External"/><Relationship Id="rId661" Type="http://schemas.openxmlformats.org/officeDocument/2006/relationships/hyperlink" Target="https://in.tradingview.com/chart/bXJLby4L/?symbol=NSE%3A20MICRONS" TargetMode="External"/><Relationship Id="rId1498" Type="http://schemas.openxmlformats.org/officeDocument/2006/relationships/hyperlink" Target="https://in.tradingview.com/chart/bXJLby4L/?symbol=NSE%3A20MICRONS" TargetMode="External"/><Relationship Id="rId1488" Type="http://schemas.openxmlformats.org/officeDocument/2006/relationships/hyperlink" Target="https://in.tradingview.com/chart/bXJLby4L/?symbol=NSE%3A20MICRONS" TargetMode="External"/><Relationship Id="rId1489" Type="http://schemas.openxmlformats.org/officeDocument/2006/relationships/hyperlink" Target="https://in.tradingview.com/chart/bXJLby4L/?symbol=NSE%3A20MICRONS" TargetMode="External"/><Relationship Id="rId657" Type="http://schemas.openxmlformats.org/officeDocument/2006/relationships/hyperlink" Target="https://in.tradingview.com/chart/bXJLby4L/?symbol=NSE%3A20MICRONS" TargetMode="External"/><Relationship Id="rId656" Type="http://schemas.openxmlformats.org/officeDocument/2006/relationships/hyperlink" Target="https://in.tradingview.com/chart/bXJLby4L/?symbol=NSE%3A20MICRONS" TargetMode="External"/><Relationship Id="rId655" Type="http://schemas.openxmlformats.org/officeDocument/2006/relationships/hyperlink" Target="https://in.tradingview.com/chart/bXJLby4L/?symbol=NSE%3A20MICRONS" TargetMode="External"/><Relationship Id="rId654" Type="http://schemas.openxmlformats.org/officeDocument/2006/relationships/hyperlink" Target="https://in.tradingview.com/chart/bXJLby4L/?symbol=NSE%3A20MICRONS" TargetMode="External"/><Relationship Id="rId659" Type="http://schemas.openxmlformats.org/officeDocument/2006/relationships/hyperlink" Target="https://in.tradingview.com/chart/bXJLby4L/?symbol=NSE%3A20MICRONS" TargetMode="External"/><Relationship Id="rId658" Type="http://schemas.openxmlformats.org/officeDocument/2006/relationships/hyperlink" Target="https://in.tradingview.com/chart/bXJLby4L/?symbol=NSE%3A20MICRONS" TargetMode="External"/><Relationship Id="rId1480" Type="http://schemas.openxmlformats.org/officeDocument/2006/relationships/hyperlink" Target="https://in.tradingview.com/chart/bXJLby4L/?symbol=NSE%3A20MICRONS" TargetMode="External"/><Relationship Id="rId1481" Type="http://schemas.openxmlformats.org/officeDocument/2006/relationships/hyperlink" Target="https://in.tradingview.com/chart/bXJLby4L/?symbol=NSE%3A20MICRONS" TargetMode="External"/><Relationship Id="rId1482" Type="http://schemas.openxmlformats.org/officeDocument/2006/relationships/hyperlink" Target="https://in.tradingview.com/chart/bXJLby4L/?symbol=NSE%3A20MICRONS" TargetMode="External"/><Relationship Id="rId1483" Type="http://schemas.openxmlformats.org/officeDocument/2006/relationships/hyperlink" Target="https://in.tradingview.com/chart/bXJLby4L/?symbol=NSE%3A20MICRONS" TargetMode="External"/><Relationship Id="rId653" Type="http://schemas.openxmlformats.org/officeDocument/2006/relationships/hyperlink" Target="https://in.tradingview.com/chart/bXJLby4L/?symbol=NSE%3A20MICRONS" TargetMode="External"/><Relationship Id="rId1484" Type="http://schemas.openxmlformats.org/officeDocument/2006/relationships/hyperlink" Target="https://in.tradingview.com/chart/bXJLby4L/?symbol=NSE%3A20MICRONS" TargetMode="External"/><Relationship Id="rId652" Type="http://schemas.openxmlformats.org/officeDocument/2006/relationships/hyperlink" Target="https://in.tradingview.com/chart/bXJLby4L/?symbol=NSE%3A20MICRONS" TargetMode="External"/><Relationship Id="rId1485" Type="http://schemas.openxmlformats.org/officeDocument/2006/relationships/hyperlink" Target="https://in.tradingview.com/chart/bXJLby4L/?symbol=NSE%3A20MICRONS" TargetMode="External"/><Relationship Id="rId651" Type="http://schemas.openxmlformats.org/officeDocument/2006/relationships/hyperlink" Target="https://in.tradingview.com/chart/bXJLby4L/?symbol=NSE%3A20MICRONS" TargetMode="External"/><Relationship Id="rId1486" Type="http://schemas.openxmlformats.org/officeDocument/2006/relationships/hyperlink" Target="https://in.tradingview.com/chart/bXJLby4L/?symbol=NSE%3A20MICRONS" TargetMode="External"/><Relationship Id="rId650" Type="http://schemas.openxmlformats.org/officeDocument/2006/relationships/hyperlink" Target="https://in.tradingview.com/chart/bXJLby4L/?symbol=NSE%3A20MICRONS" TargetMode="External"/><Relationship Id="rId1487" Type="http://schemas.openxmlformats.org/officeDocument/2006/relationships/hyperlink" Target="https://in.tradingview.com/chart/bXJLby4L/?symbol=NSE%3A20MICRONS" TargetMode="External"/><Relationship Id="rId689" Type="http://schemas.openxmlformats.org/officeDocument/2006/relationships/hyperlink" Target="https://in.tradingview.com/chart/bXJLby4L/?symbol=NSE%3A20MICRONS" TargetMode="External"/><Relationship Id="rId688" Type="http://schemas.openxmlformats.org/officeDocument/2006/relationships/hyperlink" Target="https://in.tradingview.com/chart/bXJLby4L/?symbol=NSE%3A20MICRONS" TargetMode="External"/><Relationship Id="rId687" Type="http://schemas.openxmlformats.org/officeDocument/2006/relationships/hyperlink" Target="https://in.tradingview.com/chart/bXJLby4L/?symbol=NSE%3A20MICRONS" TargetMode="External"/><Relationship Id="rId682" Type="http://schemas.openxmlformats.org/officeDocument/2006/relationships/hyperlink" Target="https://in.tradingview.com/chart/bXJLby4L/?symbol=NSE%3A20MICRONS" TargetMode="External"/><Relationship Id="rId681" Type="http://schemas.openxmlformats.org/officeDocument/2006/relationships/hyperlink" Target="https://in.tradingview.com/chart/bXJLby4L/?symbol=NSE%3A20MICRONS" TargetMode="External"/><Relationship Id="rId680" Type="http://schemas.openxmlformats.org/officeDocument/2006/relationships/hyperlink" Target="https://in.tradingview.com/chart/bXJLby4L/?symbol=NSE%3A20MICRONS" TargetMode="External"/><Relationship Id="rId686" Type="http://schemas.openxmlformats.org/officeDocument/2006/relationships/hyperlink" Target="https://in.tradingview.com/chart/bXJLby4L/?symbol=NSE%3A20MICRONS" TargetMode="External"/><Relationship Id="rId685" Type="http://schemas.openxmlformats.org/officeDocument/2006/relationships/hyperlink" Target="https://in.tradingview.com/chart/bXJLby4L/?symbol=NSE%3A20MICRONS" TargetMode="External"/><Relationship Id="rId684" Type="http://schemas.openxmlformats.org/officeDocument/2006/relationships/hyperlink" Target="https://in.tradingview.com/chart/bXJLby4L/?symbol=NSE%3A20MICRONS" TargetMode="External"/><Relationship Id="rId683" Type="http://schemas.openxmlformats.org/officeDocument/2006/relationships/hyperlink" Target="https://in.tradingview.com/chart/bXJLby4L/?symbol=NSE%3A20MICRONS" TargetMode="External"/><Relationship Id="rId679" Type="http://schemas.openxmlformats.org/officeDocument/2006/relationships/hyperlink" Target="https://in.tradingview.com/chart/bXJLby4L/?symbol=NSE%3A20MICRONS" TargetMode="External"/><Relationship Id="rId678" Type="http://schemas.openxmlformats.org/officeDocument/2006/relationships/hyperlink" Target="https://in.tradingview.com/chart/bXJLby4L/?symbol=NSE%3A20MICRONS" TargetMode="External"/><Relationship Id="rId677" Type="http://schemas.openxmlformats.org/officeDocument/2006/relationships/hyperlink" Target="https://in.tradingview.com/chart/bXJLby4L/?symbol=NSE%3A20MICRONS" TargetMode="External"/><Relationship Id="rId676" Type="http://schemas.openxmlformats.org/officeDocument/2006/relationships/hyperlink" Target="https://in.tradingview.com/chart/bXJLby4L/?symbol=NSE%3A20MICRONS" TargetMode="External"/><Relationship Id="rId671" Type="http://schemas.openxmlformats.org/officeDocument/2006/relationships/hyperlink" Target="https://in.tradingview.com/chart/bXJLby4L/?symbol=NSE%3A20MICRONS" TargetMode="External"/><Relationship Id="rId670" Type="http://schemas.openxmlformats.org/officeDocument/2006/relationships/hyperlink" Target="https://in.tradingview.com/chart/bXJLby4L/?symbol=NSE%3A20MICRONS" TargetMode="External"/><Relationship Id="rId675" Type="http://schemas.openxmlformats.org/officeDocument/2006/relationships/hyperlink" Target="https://in.tradingview.com/chart/bXJLby4L/?symbol=NSE%3A20MICRONS" TargetMode="External"/><Relationship Id="rId674" Type="http://schemas.openxmlformats.org/officeDocument/2006/relationships/hyperlink" Target="https://in.tradingview.com/chart/bXJLby4L/?symbol=NSE%3A20MICRONS" TargetMode="External"/><Relationship Id="rId673" Type="http://schemas.openxmlformats.org/officeDocument/2006/relationships/hyperlink" Target="https://in.tradingview.com/chart/bXJLby4L/?symbol=NSE%3A20MICRONS" TargetMode="External"/><Relationship Id="rId672" Type="http://schemas.openxmlformats.org/officeDocument/2006/relationships/hyperlink" Target="https://in.tradingview.com/chart/bXJLby4L/?symbol=NSE%3A20MICRONS" TargetMode="External"/><Relationship Id="rId190" Type="http://schemas.openxmlformats.org/officeDocument/2006/relationships/hyperlink" Target="https://in.tradingview.com/chart/bXJLby4L/?symbol=NSE%3A20MICRONS" TargetMode="External"/><Relationship Id="rId194" Type="http://schemas.openxmlformats.org/officeDocument/2006/relationships/hyperlink" Target="https://in.tradingview.com/chart/bXJLby4L/?symbol=NSE%3A20MICRONS" TargetMode="External"/><Relationship Id="rId193" Type="http://schemas.openxmlformats.org/officeDocument/2006/relationships/hyperlink" Target="https://in.tradingview.com/chart/bXJLby4L/?symbol=NSE%3A20MICRONS" TargetMode="External"/><Relationship Id="rId192" Type="http://schemas.openxmlformats.org/officeDocument/2006/relationships/hyperlink" Target="https://in.tradingview.com/chart/bXJLby4L/?symbol=NSE%3A20MICRONS" TargetMode="External"/><Relationship Id="rId191" Type="http://schemas.openxmlformats.org/officeDocument/2006/relationships/hyperlink" Target="https://in.tradingview.com/chart/bXJLby4L/?symbol=NSE%3A20MICRONS" TargetMode="External"/><Relationship Id="rId187" Type="http://schemas.openxmlformats.org/officeDocument/2006/relationships/hyperlink" Target="https://in.tradingview.com/chart/bXJLby4L/?symbol=NSE%3A20MICRONS" TargetMode="External"/><Relationship Id="rId186" Type="http://schemas.openxmlformats.org/officeDocument/2006/relationships/hyperlink" Target="https://in.tradingview.com/chart/bXJLby4L/?symbol=NSE%3A20MICRONS" TargetMode="External"/><Relationship Id="rId185" Type="http://schemas.openxmlformats.org/officeDocument/2006/relationships/hyperlink" Target="https://in.tradingview.com/chart/bXJLby4L/?symbol=NSE%3A20MICRONS" TargetMode="External"/><Relationship Id="rId184" Type="http://schemas.openxmlformats.org/officeDocument/2006/relationships/hyperlink" Target="https://in.tradingview.com/chart/bXJLby4L/?symbol=NSE%3A20MICRONS" TargetMode="External"/><Relationship Id="rId189" Type="http://schemas.openxmlformats.org/officeDocument/2006/relationships/hyperlink" Target="https://in.tradingview.com/chart/bXJLby4L/?symbol=NSE%3A20MICRONS" TargetMode="External"/><Relationship Id="rId188" Type="http://schemas.openxmlformats.org/officeDocument/2006/relationships/hyperlink" Target="https://in.tradingview.com/chart/bXJLby4L/?symbol=NSE%3A20MICRONS" TargetMode="External"/><Relationship Id="rId183" Type="http://schemas.openxmlformats.org/officeDocument/2006/relationships/hyperlink" Target="https://in.tradingview.com/chart/bXJLby4L/?symbol=NSE%3A20MICRONS" TargetMode="External"/><Relationship Id="rId182" Type="http://schemas.openxmlformats.org/officeDocument/2006/relationships/hyperlink" Target="https://in.tradingview.com/chart/bXJLby4L/?symbol=NSE%3A20MICRONS" TargetMode="External"/><Relationship Id="rId181" Type="http://schemas.openxmlformats.org/officeDocument/2006/relationships/hyperlink" Target="https://in.tradingview.com/chart/bXJLby4L/?symbol=NSE%3A20MICRONS" TargetMode="External"/><Relationship Id="rId180" Type="http://schemas.openxmlformats.org/officeDocument/2006/relationships/hyperlink" Target="https://in.tradingview.com/chart/bXJLby4L/?symbol=NSE%3A20MICRONS" TargetMode="External"/><Relationship Id="rId176" Type="http://schemas.openxmlformats.org/officeDocument/2006/relationships/hyperlink" Target="https://in.tradingview.com/chart/bXJLby4L/?symbol=NSE%3A20MICRONS" TargetMode="External"/><Relationship Id="rId175" Type="http://schemas.openxmlformats.org/officeDocument/2006/relationships/hyperlink" Target="https://in.tradingview.com/chart/bXJLby4L/?symbol=NSE%3A20MICRONS" TargetMode="External"/><Relationship Id="rId174" Type="http://schemas.openxmlformats.org/officeDocument/2006/relationships/hyperlink" Target="https://in.tradingview.com/chart/bXJLby4L/?symbol=NSE%3A20MICRONS" TargetMode="External"/><Relationship Id="rId173" Type="http://schemas.openxmlformats.org/officeDocument/2006/relationships/hyperlink" Target="https://in.tradingview.com/chart/bXJLby4L/?symbol=NSE%3A20MICRONS" TargetMode="External"/><Relationship Id="rId179" Type="http://schemas.openxmlformats.org/officeDocument/2006/relationships/hyperlink" Target="https://in.tradingview.com/chart/bXJLby4L/?symbol=NSE%3A20MICRONS" TargetMode="External"/><Relationship Id="rId178" Type="http://schemas.openxmlformats.org/officeDocument/2006/relationships/hyperlink" Target="https://in.tradingview.com/chart/bXJLby4L/?symbol=NSE%3A20MICRONS" TargetMode="External"/><Relationship Id="rId177" Type="http://schemas.openxmlformats.org/officeDocument/2006/relationships/hyperlink" Target="https://in.tradingview.com/chart/bXJLby4L/?symbol=NSE%3A20MICRONS" TargetMode="External"/><Relationship Id="rId198" Type="http://schemas.openxmlformats.org/officeDocument/2006/relationships/hyperlink" Target="https://in.tradingview.com/chart/bXJLby4L/?symbol=NSE%3A20MICRONS" TargetMode="External"/><Relationship Id="rId197" Type="http://schemas.openxmlformats.org/officeDocument/2006/relationships/hyperlink" Target="https://in.tradingview.com/chart/bXJLby4L/?symbol=NSE%3A20MICRONS" TargetMode="External"/><Relationship Id="rId196" Type="http://schemas.openxmlformats.org/officeDocument/2006/relationships/hyperlink" Target="https://in.tradingview.com/chart/bXJLby4L/?symbol=NSE%3A20MICRONS" TargetMode="External"/><Relationship Id="rId195" Type="http://schemas.openxmlformats.org/officeDocument/2006/relationships/hyperlink" Target="https://in.tradingview.com/chart/bXJLby4L/?symbol=NSE%3A20MICRONS" TargetMode="External"/><Relationship Id="rId199" Type="http://schemas.openxmlformats.org/officeDocument/2006/relationships/hyperlink" Target="https://in.tradingview.com/chart/bXJLby4L/?symbol=NSE%3A20MICRONS" TargetMode="External"/><Relationship Id="rId150" Type="http://schemas.openxmlformats.org/officeDocument/2006/relationships/hyperlink" Target="https://in.tradingview.com/chart/bXJLby4L/?symbol=NSE%3A20MICRONS" TargetMode="External"/><Relationship Id="rId149" Type="http://schemas.openxmlformats.org/officeDocument/2006/relationships/hyperlink" Target="https://in.tradingview.com/chart/bXJLby4L/?symbol=NSE%3A20MICRONS" TargetMode="External"/><Relationship Id="rId148" Type="http://schemas.openxmlformats.org/officeDocument/2006/relationships/hyperlink" Target="https://in.tradingview.com/chart/bXJLby4L/?symbol=NSE%3A20MICRONS" TargetMode="External"/><Relationship Id="rId143" Type="http://schemas.openxmlformats.org/officeDocument/2006/relationships/hyperlink" Target="https://in.tradingview.com/chart/bXJLby4L/?symbol=NSE%3A20MICRONS" TargetMode="External"/><Relationship Id="rId142" Type="http://schemas.openxmlformats.org/officeDocument/2006/relationships/hyperlink" Target="https://in.tradingview.com/chart/bXJLby4L/?symbol=NSE%3A20MICRONS" TargetMode="External"/><Relationship Id="rId141" Type="http://schemas.openxmlformats.org/officeDocument/2006/relationships/hyperlink" Target="https://in.tradingview.com/chart/bXJLby4L/?symbol=NSE%3A20MICRONS" TargetMode="External"/><Relationship Id="rId140" Type="http://schemas.openxmlformats.org/officeDocument/2006/relationships/hyperlink" Target="https://in.tradingview.com/chart/bXJLby4L/?symbol=NSE%3A20MICRONS" TargetMode="External"/><Relationship Id="rId147" Type="http://schemas.openxmlformats.org/officeDocument/2006/relationships/hyperlink" Target="https://in.tradingview.com/chart/bXJLby4L/?symbol=NSE%3A20MICRONS" TargetMode="External"/><Relationship Id="rId146" Type="http://schemas.openxmlformats.org/officeDocument/2006/relationships/hyperlink" Target="https://in.tradingview.com/chart/bXJLby4L/?symbol=NSE%3A20MICRONS" TargetMode="External"/><Relationship Id="rId145" Type="http://schemas.openxmlformats.org/officeDocument/2006/relationships/hyperlink" Target="https://in.tradingview.com/chart/bXJLby4L/?symbol=NSE%3A20MICRONS" TargetMode="External"/><Relationship Id="rId144" Type="http://schemas.openxmlformats.org/officeDocument/2006/relationships/hyperlink" Target="https://in.tradingview.com/chart/bXJLby4L/?symbol=NSE%3A20MICRONS" TargetMode="External"/><Relationship Id="rId139" Type="http://schemas.openxmlformats.org/officeDocument/2006/relationships/hyperlink" Target="https://in.tradingview.com/chart/bXJLby4L/?symbol=NSE%3A20MICRONS" TargetMode="External"/><Relationship Id="rId138" Type="http://schemas.openxmlformats.org/officeDocument/2006/relationships/hyperlink" Target="https://in.tradingview.com/chart/bXJLby4L/?symbol=NSE%3A20MICRONS" TargetMode="External"/><Relationship Id="rId137" Type="http://schemas.openxmlformats.org/officeDocument/2006/relationships/hyperlink" Target="https://in.tradingview.com/chart/bXJLby4L/?symbol=NSE%3A20MICRONS" TargetMode="External"/><Relationship Id="rId132" Type="http://schemas.openxmlformats.org/officeDocument/2006/relationships/hyperlink" Target="https://in.tradingview.com/chart/bXJLby4L/?symbol=NSE%3A20MICRONS" TargetMode="External"/><Relationship Id="rId131" Type="http://schemas.openxmlformats.org/officeDocument/2006/relationships/hyperlink" Target="https://in.tradingview.com/chart/bXJLby4L/?symbol=NSE%3A20MICRONS" TargetMode="External"/><Relationship Id="rId130" Type="http://schemas.openxmlformats.org/officeDocument/2006/relationships/hyperlink" Target="https://in.tradingview.com/chart/bXJLby4L/?symbol=NSE%3A20MICRONS" TargetMode="External"/><Relationship Id="rId136" Type="http://schemas.openxmlformats.org/officeDocument/2006/relationships/hyperlink" Target="https://in.tradingview.com/chart/bXJLby4L/?symbol=NSE%3A20MICRONS" TargetMode="External"/><Relationship Id="rId135" Type="http://schemas.openxmlformats.org/officeDocument/2006/relationships/hyperlink" Target="https://in.tradingview.com/chart/bXJLby4L/?symbol=NSE%3A20MICRONS" TargetMode="External"/><Relationship Id="rId134" Type="http://schemas.openxmlformats.org/officeDocument/2006/relationships/hyperlink" Target="https://in.tradingview.com/chart/bXJLby4L/?symbol=NSE%3A20MICRONS" TargetMode="External"/><Relationship Id="rId133" Type="http://schemas.openxmlformats.org/officeDocument/2006/relationships/hyperlink" Target="https://in.tradingview.com/chart/bXJLby4L/?symbol=NSE%3A20MICRONS" TargetMode="External"/><Relationship Id="rId172" Type="http://schemas.openxmlformats.org/officeDocument/2006/relationships/hyperlink" Target="https://in.tradingview.com/chart/bXJLby4L/?symbol=NSE%3A20MICRONS" TargetMode="External"/><Relationship Id="rId171" Type="http://schemas.openxmlformats.org/officeDocument/2006/relationships/hyperlink" Target="https://in.tradingview.com/chart/bXJLby4L/?symbol=NSE%3A20MICRONS" TargetMode="External"/><Relationship Id="rId170" Type="http://schemas.openxmlformats.org/officeDocument/2006/relationships/hyperlink" Target="https://in.tradingview.com/chart/bXJLby4L/?symbol=NSE%3A20MICRONS" TargetMode="External"/><Relationship Id="rId165" Type="http://schemas.openxmlformats.org/officeDocument/2006/relationships/hyperlink" Target="https://in.tradingview.com/chart/bXJLby4L/?symbol=NSE%3A20MICRONS" TargetMode="External"/><Relationship Id="rId164" Type="http://schemas.openxmlformats.org/officeDocument/2006/relationships/hyperlink" Target="https://in.tradingview.com/chart/bXJLby4L/?symbol=NSE%3A20MICRONS" TargetMode="External"/><Relationship Id="rId163" Type="http://schemas.openxmlformats.org/officeDocument/2006/relationships/hyperlink" Target="https://in.tradingview.com/chart/bXJLby4L/?symbol=NSE%3A20MICRONS" TargetMode="External"/><Relationship Id="rId162" Type="http://schemas.openxmlformats.org/officeDocument/2006/relationships/hyperlink" Target="https://in.tradingview.com/chart/bXJLby4L/?symbol=NSE%3A20MICRONS" TargetMode="External"/><Relationship Id="rId169" Type="http://schemas.openxmlformats.org/officeDocument/2006/relationships/hyperlink" Target="https://in.tradingview.com/chart/bXJLby4L/?symbol=NSE%3A20MICRONS" TargetMode="External"/><Relationship Id="rId168" Type="http://schemas.openxmlformats.org/officeDocument/2006/relationships/hyperlink" Target="https://in.tradingview.com/chart/bXJLby4L/?symbol=NSE%3A20MICRONS" TargetMode="External"/><Relationship Id="rId167" Type="http://schemas.openxmlformats.org/officeDocument/2006/relationships/hyperlink" Target="https://in.tradingview.com/chart/bXJLby4L/?symbol=NSE%3A20MICRONS" TargetMode="External"/><Relationship Id="rId166" Type="http://schemas.openxmlformats.org/officeDocument/2006/relationships/hyperlink" Target="https://in.tradingview.com/chart/bXJLby4L/?symbol=NSE%3A20MICRONS" TargetMode="External"/><Relationship Id="rId161" Type="http://schemas.openxmlformats.org/officeDocument/2006/relationships/hyperlink" Target="https://in.tradingview.com/chart/bXJLby4L/?symbol=NSE%3A20MICRONS" TargetMode="External"/><Relationship Id="rId160" Type="http://schemas.openxmlformats.org/officeDocument/2006/relationships/hyperlink" Target="https://in.tradingview.com/chart/bXJLby4L/?symbol=NSE%3A20MICRONS" TargetMode="External"/><Relationship Id="rId159" Type="http://schemas.openxmlformats.org/officeDocument/2006/relationships/hyperlink" Target="https://in.tradingview.com/chart/bXJLby4L/?symbol=NSE%3A20MICRONS" TargetMode="External"/><Relationship Id="rId154" Type="http://schemas.openxmlformats.org/officeDocument/2006/relationships/hyperlink" Target="https://in.tradingview.com/chart/bXJLby4L/?symbol=NSE%3A20MICRONS" TargetMode="External"/><Relationship Id="rId153" Type="http://schemas.openxmlformats.org/officeDocument/2006/relationships/hyperlink" Target="https://in.tradingview.com/chart/bXJLby4L/?symbol=NSE%3A20MICRONS" TargetMode="External"/><Relationship Id="rId152" Type="http://schemas.openxmlformats.org/officeDocument/2006/relationships/hyperlink" Target="https://in.tradingview.com/chart/bXJLby4L/?symbol=NSE%3A20MICRONS" TargetMode="External"/><Relationship Id="rId151" Type="http://schemas.openxmlformats.org/officeDocument/2006/relationships/hyperlink" Target="https://in.tradingview.com/chart/bXJLby4L/?symbol=NSE%3A20MICRONS" TargetMode="External"/><Relationship Id="rId158" Type="http://schemas.openxmlformats.org/officeDocument/2006/relationships/hyperlink" Target="https://in.tradingview.com/chart/bXJLby4L/?symbol=NSE%3A20MICRONS" TargetMode="External"/><Relationship Id="rId157" Type="http://schemas.openxmlformats.org/officeDocument/2006/relationships/hyperlink" Target="https://in.tradingview.com/chart/bXJLby4L/?symbol=NSE%3A20MICRONS" TargetMode="External"/><Relationship Id="rId156" Type="http://schemas.openxmlformats.org/officeDocument/2006/relationships/hyperlink" Target="https://in.tradingview.com/chart/bXJLby4L/?symbol=NSE%3A20MICRONS" TargetMode="External"/><Relationship Id="rId155" Type="http://schemas.openxmlformats.org/officeDocument/2006/relationships/hyperlink" Target="https://in.tradingview.com/chart/bXJLby4L/?symbol=NSE%3A20MICRONS" TargetMode="External"/><Relationship Id="rId1510" Type="http://schemas.openxmlformats.org/officeDocument/2006/relationships/hyperlink" Target="https://in.tradingview.com/chart/bXJLby4L/?symbol=NSE%3A20MICRONS" TargetMode="External"/><Relationship Id="rId1511" Type="http://schemas.openxmlformats.org/officeDocument/2006/relationships/hyperlink" Target="https://in.tradingview.com/chart/bXJLby4L/?symbol=NSE%3A20MICRONS" TargetMode="External"/><Relationship Id="rId1512" Type="http://schemas.openxmlformats.org/officeDocument/2006/relationships/hyperlink" Target="https://in.tradingview.com/chart/bXJLby4L/?symbol=NSE%3A20MICRONS" TargetMode="External"/><Relationship Id="rId1513" Type="http://schemas.openxmlformats.org/officeDocument/2006/relationships/hyperlink" Target="https://in.tradingview.com/chart/bXJLby4L/?symbol=NSE%3A20MICRONS" TargetMode="External"/><Relationship Id="rId1514" Type="http://schemas.openxmlformats.org/officeDocument/2006/relationships/hyperlink" Target="https://in.tradingview.com/chart/bXJLby4L/?symbol=NSE%3A20MICRONS" TargetMode="External"/><Relationship Id="rId1515" Type="http://schemas.openxmlformats.org/officeDocument/2006/relationships/hyperlink" Target="https://in.tradingview.com/chart/bXJLby4L/?symbol=NSE%3A20MICRONS" TargetMode="External"/><Relationship Id="rId1516" Type="http://schemas.openxmlformats.org/officeDocument/2006/relationships/hyperlink" Target="https://in.tradingview.com/chart/bXJLby4L/?symbol=NSE%3A20MICRONS" TargetMode="External"/><Relationship Id="rId1517" Type="http://schemas.openxmlformats.org/officeDocument/2006/relationships/hyperlink" Target="https://in.tradingview.com/chart/bXJLby4L/?symbol=NSE%3A20MICRONS" TargetMode="External"/><Relationship Id="rId1518" Type="http://schemas.openxmlformats.org/officeDocument/2006/relationships/hyperlink" Target="https://in.tradingview.com/chart/bXJLby4L/?symbol=NSE%3A20MICRONS" TargetMode="External"/><Relationship Id="rId1519" Type="http://schemas.openxmlformats.org/officeDocument/2006/relationships/hyperlink" Target="https://in.tradingview.com/chart/bXJLby4L/?symbol=NSE%3A20MICRONS" TargetMode="External"/><Relationship Id="rId1500" Type="http://schemas.openxmlformats.org/officeDocument/2006/relationships/hyperlink" Target="https://in.tradingview.com/chart/bXJLby4L/?symbol=NSE%3A20MICRONS" TargetMode="External"/><Relationship Id="rId1501" Type="http://schemas.openxmlformats.org/officeDocument/2006/relationships/hyperlink" Target="https://in.tradingview.com/chart/bXJLby4L/?symbol=NSE%3A20MICRONS" TargetMode="External"/><Relationship Id="rId1502" Type="http://schemas.openxmlformats.org/officeDocument/2006/relationships/hyperlink" Target="https://in.tradingview.com/chart/bXJLby4L/?symbol=NSE%3A20MICRONS" TargetMode="External"/><Relationship Id="rId1503" Type="http://schemas.openxmlformats.org/officeDocument/2006/relationships/hyperlink" Target="https://in.tradingview.com/chart/bXJLby4L/?symbol=NSE%3A20MICRONS" TargetMode="External"/><Relationship Id="rId1504" Type="http://schemas.openxmlformats.org/officeDocument/2006/relationships/hyperlink" Target="https://in.tradingview.com/chart/bXJLby4L/?symbol=NSE%3A20MICRONS" TargetMode="External"/><Relationship Id="rId1505" Type="http://schemas.openxmlformats.org/officeDocument/2006/relationships/hyperlink" Target="https://in.tradingview.com/chart/bXJLby4L/?symbol=NSE%3A20MICRONS" TargetMode="External"/><Relationship Id="rId1506" Type="http://schemas.openxmlformats.org/officeDocument/2006/relationships/hyperlink" Target="https://in.tradingview.com/chart/bXJLby4L/?symbol=NSE%3A20MICRONS" TargetMode="External"/><Relationship Id="rId1507" Type="http://schemas.openxmlformats.org/officeDocument/2006/relationships/hyperlink" Target="https://in.tradingview.com/chart/bXJLby4L/?symbol=NSE%3A20MICRONS" TargetMode="External"/><Relationship Id="rId1508" Type="http://schemas.openxmlformats.org/officeDocument/2006/relationships/hyperlink" Target="https://in.tradingview.com/chart/bXJLby4L/?symbol=NSE%3A20MICRONS" TargetMode="External"/><Relationship Id="rId1509" Type="http://schemas.openxmlformats.org/officeDocument/2006/relationships/hyperlink" Target="https://in.tradingview.com/chart/bXJLby4L/?symbol=NSE%3A20MICRONS" TargetMode="External"/><Relationship Id="rId1576" Type="http://schemas.openxmlformats.org/officeDocument/2006/relationships/hyperlink" Target="https://in.tradingview.com/chart/bXJLby4L/?symbol=NSE%3A20MICRONS" TargetMode="External"/><Relationship Id="rId1577" Type="http://schemas.openxmlformats.org/officeDocument/2006/relationships/hyperlink" Target="https://in.tradingview.com/chart/bXJLby4L/?symbol=NSE%3A20MICRONS" TargetMode="External"/><Relationship Id="rId1578" Type="http://schemas.openxmlformats.org/officeDocument/2006/relationships/hyperlink" Target="https://in.tradingview.com/chart/bXJLby4L/?symbol=NSE%3A20MICRONS" TargetMode="External"/><Relationship Id="rId1579" Type="http://schemas.openxmlformats.org/officeDocument/2006/relationships/hyperlink" Target="https://in.tradingview.com/chart/bXJLby4L/?symbol=NSE%3A20MICRONS" TargetMode="External"/><Relationship Id="rId987" Type="http://schemas.openxmlformats.org/officeDocument/2006/relationships/hyperlink" Target="https://in.tradingview.com/chart/bXJLby4L/?symbol=NSE%3A20MICRONS" TargetMode="External"/><Relationship Id="rId986" Type="http://schemas.openxmlformats.org/officeDocument/2006/relationships/hyperlink" Target="https://in.tradingview.com/chart/bXJLby4L/?symbol=NSE%3A20MICRONS" TargetMode="External"/><Relationship Id="rId985" Type="http://schemas.openxmlformats.org/officeDocument/2006/relationships/hyperlink" Target="https://in.tradingview.com/chart/bXJLby4L/?symbol=NSE%3A20MICRONS" TargetMode="External"/><Relationship Id="rId984" Type="http://schemas.openxmlformats.org/officeDocument/2006/relationships/hyperlink" Target="https://in.tradingview.com/chart/bXJLby4L/?symbol=NSE%3A20MICRONS" TargetMode="External"/><Relationship Id="rId989" Type="http://schemas.openxmlformats.org/officeDocument/2006/relationships/hyperlink" Target="https://in.tradingview.com/chart/bXJLby4L/?symbol=NSE%3A20MICRONS" TargetMode="External"/><Relationship Id="rId988" Type="http://schemas.openxmlformats.org/officeDocument/2006/relationships/hyperlink" Target="https://in.tradingview.com/chart/bXJLby4L/?symbol=NSE%3A20MICRONS" TargetMode="External"/><Relationship Id="rId1570" Type="http://schemas.openxmlformats.org/officeDocument/2006/relationships/hyperlink" Target="https://in.tradingview.com/chart/bXJLby4L/?symbol=NSE%3A20MICRONS" TargetMode="External"/><Relationship Id="rId1571" Type="http://schemas.openxmlformats.org/officeDocument/2006/relationships/hyperlink" Target="https://in.tradingview.com/chart/bXJLby4L/?symbol=NSE%3A20MICRONS" TargetMode="External"/><Relationship Id="rId983" Type="http://schemas.openxmlformats.org/officeDocument/2006/relationships/hyperlink" Target="https://in.tradingview.com/chart/bXJLby4L/?symbol=NSE%3A20MICRONS" TargetMode="External"/><Relationship Id="rId1572" Type="http://schemas.openxmlformats.org/officeDocument/2006/relationships/hyperlink" Target="https://in.tradingview.com/chart/bXJLby4L/?symbol=NSE%3A20MICRONS" TargetMode="External"/><Relationship Id="rId982" Type="http://schemas.openxmlformats.org/officeDocument/2006/relationships/hyperlink" Target="https://in.tradingview.com/chart/bXJLby4L/?symbol=NSE%3A20MICRONS" TargetMode="External"/><Relationship Id="rId1573" Type="http://schemas.openxmlformats.org/officeDocument/2006/relationships/hyperlink" Target="https://in.tradingview.com/chart/bXJLby4L/?symbol=NSE%3A20MICRONS" TargetMode="External"/><Relationship Id="rId981" Type="http://schemas.openxmlformats.org/officeDocument/2006/relationships/hyperlink" Target="https://in.tradingview.com/chart/bXJLby4L/?symbol=NSE%3A20MICRONS" TargetMode="External"/><Relationship Id="rId1574" Type="http://schemas.openxmlformats.org/officeDocument/2006/relationships/hyperlink" Target="https://in.tradingview.com/chart/bXJLby4L/?symbol=NSE%3A20MICRONS" TargetMode="External"/><Relationship Id="rId980" Type="http://schemas.openxmlformats.org/officeDocument/2006/relationships/hyperlink" Target="https://in.tradingview.com/chart/bXJLby4L/?symbol=NSE%3A20MICRONS" TargetMode="External"/><Relationship Id="rId1575" Type="http://schemas.openxmlformats.org/officeDocument/2006/relationships/hyperlink" Target="https://in.tradingview.com/chart/bXJLby4L/?symbol=NSE%3A20MICRONS" TargetMode="External"/><Relationship Id="rId1565" Type="http://schemas.openxmlformats.org/officeDocument/2006/relationships/hyperlink" Target="https://in.tradingview.com/chart/bXJLby4L/?symbol=NSE%3A20MICRONS" TargetMode="External"/><Relationship Id="rId1566" Type="http://schemas.openxmlformats.org/officeDocument/2006/relationships/hyperlink" Target="https://in.tradingview.com/chart/bXJLby4L/?symbol=NSE%3A20MICRONS" TargetMode="External"/><Relationship Id="rId1567" Type="http://schemas.openxmlformats.org/officeDocument/2006/relationships/hyperlink" Target="https://in.tradingview.com/chart/bXJLby4L/?symbol=NSE%3A20MICRONS" TargetMode="External"/><Relationship Id="rId1568" Type="http://schemas.openxmlformats.org/officeDocument/2006/relationships/hyperlink" Target="https://in.tradingview.com/chart/bXJLby4L/?symbol=NSE%3A20MICRONS" TargetMode="External"/><Relationship Id="rId1569" Type="http://schemas.openxmlformats.org/officeDocument/2006/relationships/hyperlink" Target="https://in.tradingview.com/chart/bXJLby4L/?symbol=NSE%3A20MICRONS" TargetMode="External"/><Relationship Id="rId976" Type="http://schemas.openxmlformats.org/officeDocument/2006/relationships/hyperlink" Target="https://in.tradingview.com/chart/bXJLby4L/?symbol=NSE%3A20MICRONS" TargetMode="External"/><Relationship Id="rId975" Type="http://schemas.openxmlformats.org/officeDocument/2006/relationships/hyperlink" Target="https://in.tradingview.com/chart/bXJLby4L/?symbol=NSE%3A20MICRONS" TargetMode="External"/><Relationship Id="rId974" Type="http://schemas.openxmlformats.org/officeDocument/2006/relationships/hyperlink" Target="https://in.tradingview.com/chart/bXJLby4L/?symbol=NSE%3A20MICRONS" TargetMode="External"/><Relationship Id="rId973" Type="http://schemas.openxmlformats.org/officeDocument/2006/relationships/hyperlink" Target="https://in.tradingview.com/chart/bXJLby4L/?symbol=NSE%3A20MICRONS" TargetMode="External"/><Relationship Id="rId979" Type="http://schemas.openxmlformats.org/officeDocument/2006/relationships/hyperlink" Target="https://in.tradingview.com/chart/bXJLby4L/?symbol=NSE%3A20MICRONS" TargetMode="External"/><Relationship Id="rId978" Type="http://schemas.openxmlformats.org/officeDocument/2006/relationships/hyperlink" Target="https://in.tradingview.com/chart/bXJLby4L/?symbol=NSE%3A20MICRONS" TargetMode="External"/><Relationship Id="rId977" Type="http://schemas.openxmlformats.org/officeDocument/2006/relationships/hyperlink" Target="https://in.tradingview.com/chart/bXJLby4L/?symbol=NSE%3A20MICRONS" TargetMode="External"/><Relationship Id="rId1560" Type="http://schemas.openxmlformats.org/officeDocument/2006/relationships/hyperlink" Target="https://in.tradingview.com/chart/bXJLby4L/?symbol=NSE%3A20MICRONS" TargetMode="External"/><Relationship Id="rId972" Type="http://schemas.openxmlformats.org/officeDocument/2006/relationships/hyperlink" Target="https://in.tradingview.com/chart/bXJLby4L/?symbol=NSE%3A20MICRONS" TargetMode="External"/><Relationship Id="rId1561" Type="http://schemas.openxmlformats.org/officeDocument/2006/relationships/hyperlink" Target="https://in.tradingview.com/chart/bXJLby4L/?symbol=NSE%3A20MICRONS" TargetMode="External"/><Relationship Id="rId971" Type="http://schemas.openxmlformats.org/officeDocument/2006/relationships/hyperlink" Target="https://in.tradingview.com/chart/bXJLby4L/?symbol=NSE%3A20MICRONS" TargetMode="External"/><Relationship Id="rId1562" Type="http://schemas.openxmlformats.org/officeDocument/2006/relationships/hyperlink" Target="https://in.tradingview.com/chart/bXJLby4L/?symbol=NSE%3A20MICRONS" TargetMode="External"/><Relationship Id="rId970" Type="http://schemas.openxmlformats.org/officeDocument/2006/relationships/hyperlink" Target="https://in.tradingview.com/chart/bXJLby4L/?symbol=NSE%3A20MICRONS" TargetMode="External"/><Relationship Id="rId1563" Type="http://schemas.openxmlformats.org/officeDocument/2006/relationships/hyperlink" Target="https://in.tradingview.com/chart/bXJLby4L/?symbol=NSE%3A20MICRONS" TargetMode="External"/><Relationship Id="rId1564" Type="http://schemas.openxmlformats.org/officeDocument/2006/relationships/hyperlink" Target="https://in.tradingview.com/chart/bXJLby4L/?symbol=NSE%3A20MICRONS" TargetMode="External"/><Relationship Id="rId1598" Type="http://schemas.openxmlformats.org/officeDocument/2006/relationships/hyperlink" Target="https://in.tradingview.com/chart/bXJLby4L/?symbol=NSE%3A20MICRONS" TargetMode="External"/><Relationship Id="rId1599" Type="http://schemas.openxmlformats.org/officeDocument/2006/relationships/hyperlink" Target="https://in.tradingview.com/chart/bXJLby4L/?symbol=NSE%3A20MICRONS" TargetMode="External"/><Relationship Id="rId1590" Type="http://schemas.openxmlformats.org/officeDocument/2006/relationships/hyperlink" Target="https://in.tradingview.com/chart/bXJLby4L/?symbol=NSE%3A20MICRONS" TargetMode="External"/><Relationship Id="rId1591" Type="http://schemas.openxmlformats.org/officeDocument/2006/relationships/hyperlink" Target="https://in.tradingview.com/chart/bXJLby4L/?symbol=NSE%3A20MICRONS" TargetMode="External"/><Relationship Id="rId1592" Type="http://schemas.openxmlformats.org/officeDocument/2006/relationships/hyperlink" Target="https://in.tradingview.com/chart/bXJLby4L/?symbol=NSE%3A20MICRONS" TargetMode="External"/><Relationship Id="rId1593" Type="http://schemas.openxmlformats.org/officeDocument/2006/relationships/hyperlink" Target="https://in.tradingview.com/chart/bXJLby4L/?symbol=NSE%3A20MICRONS" TargetMode="External"/><Relationship Id="rId1594" Type="http://schemas.openxmlformats.org/officeDocument/2006/relationships/hyperlink" Target="https://in.tradingview.com/chart/bXJLby4L/?symbol=NSE%3A20MICRONS" TargetMode="External"/><Relationship Id="rId1595" Type="http://schemas.openxmlformats.org/officeDocument/2006/relationships/hyperlink" Target="https://in.tradingview.com/chart/bXJLby4L/?symbol=NSE%3A20MICRONS" TargetMode="External"/><Relationship Id="rId1596" Type="http://schemas.openxmlformats.org/officeDocument/2006/relationships/hyperlink" Target="https://in.tradingview.com/chart/bXJLby4L/?symbol=NSE%3A20MICRONS" TargetMode="External"/><Relationship Id="rId1597" Type="http://schemas.openxmlformats.org/officeDocument/2006/relationships/hyperlink" Target="https://in.tradingview.com/chart/bXJLby4L/?symbol=NSE%3A20MICRONS" TargetMode="External"/><Relationship Id="rId1587" Type="http://schemas.openxmlformats.org/officeDocument/2006/relationships/hyperlink" Target="https://in.tradingview.com/chart/bXJLby4L/?symbol=NSE%3A20MICRONS" TargetMode="External"/><Relationship Id="rId1588" Type="http://schemas.openxmlformats.org/officeDocument/2006/relationships/hyperlink" Target="https://in.tradingview.com/chart/bXJLby4L/?symbol=NSE%3A20MICRONS" TargetMode="External"/><Relationship Id="rId1589" Type="http://schemas.openxmlformats.org/officeDocument/2006/relationships/hyperlink" Target="https://in.tradingview.com/chart/bXJLby4L/?symbol=NSE%3A20MICRONS" TargetMode="External"/><Relationship Id="rId998" Type="http://schemas.openxmlformats.org/officeDocument/2006/relationships/hyperlink" Target="https://in.tradingview.com/chart/bXJLby4L/?symbol=NSE%3A20MICRONS" TargetMode="External"/><Relationship Id="rId997" Type="http://schemas.openxmlformats.org/officeDocument/2006/relationships/hyperlink" Target="https://in.tradingview.com/chart/bXJLby4L/?symbol=NSE%3A20MICRONS" TargetMode="External"/><Relationship Id="rId996" Type="http://schemas.openxmlformats.org/officeDocument/2006/relationships/hyperlink" Target="https://in.tradingview.com/chart/bXJLby4L/?symbol=NSE%3A20MICRONS" TargetMode="External"/><Relationship Id="rId995" Type="http://schemas.openxmlformats.org/officeDocument/2006/relationships/hyperlink" Target="https://in.tradingview.com/chart/bXJLby4L/?symbol=NSE%3A20MICRONS" TargetMode="External"/><Relationship Id="rId999" Type="http://schemas.openxmlformats.org/officeDocument/2006/relationships/hyperlink" Target="https://in.tradingview.com/chart/bXJLby4L/?symbol=NSE%3A20MICRONS" TargetMode="External"/><Relationship Id="rId990" Type="http://schemas.openxmlformats.org/officeDocument/2006/relationships/hyperlink" Target="https://in.tradingview.com/chart/bXJLby4L/?symbol=NSE%3A20MICRONS" TargetMode="External"/><Relationship Id="rId1580" Type="http://schemas.openxmlformats.org/officeDocument/2006/relationships/hyperlink" Target="https://in.tradingview.com/chart/bXJLby4L/?symbol=NSE%3A20MICRONS" TargetMode="External"/><Relationship Id="rId1581" Type="http://schemas.openxmlformats.org/officeDocument/2006/relationships/hyperlink" Target="https://in.tradingview.com/chart/bXJLby4L/?symbol=NSE%3A20MICRONS" TargetMode="External"/><Relationship Id="rId1582" Type="http://schemas.openxmlformats.org/officeDocument/2006/relationships/hyperlink" Target="https://in.tradingview.com/chart/bXJLby4L/?symbol=NSE%3A20MICRONS" TargetMode="External"/><Relationship Id="rId994" Type="http://schemas.openxmlformats.org/officeDocument/2006/relationships/hyperlink" Target="https://in.tradingview.com/chart/bXJLby4L/?symbol=NSE%3A20MICRONS" TargetMode="External"/><Relationship Id="rId1583" Type="http://schemas.openxmlformats.org/officeDocument/2006/relationships/hyperlink" Target="https://in.tradingview.com/chart/bXJLby4L/?symbol=NSE%3A20MICRONS" TargetMode="External"/><Relationship Id="rId993" Type="http://schemas.openxmlformats.org/officeDocument/2006/relationships/hyperlink" Target="https://in.tradingview.com/chart/bXJLby4L/?symbol=NSE%3A20MICRONS" TargetMode="External"/><Relationship Id="rId1584" Type="http://schemas.openxmlformats.org/officeDocument/2006/relationships/hyperlink" Target="https://in.tradingview.com/chart/bXJLby4L/?symbol=NSE%3A20MICRONS" TargetMode="External"/><Relationship Id="rId992" Type="http://schemas.openxmlformats.org/officeDocument/2006/relationships/hyperlink" Target="https://in.tradingview.com/chart/bXJLby4L/?symbol=NSE%3A20MICRONS" TargetMode="External"/><Relationship Id="rId1585" Type="http://schemas.openxmlformats.org/officeDocument/2006/relationships/hyperlink" Target="https://in.tradingview.com/chart/bXJLby4L/?symbol=NSE%3A20MICRONS" TargetMode="External"/><Relationship Id="rId991" Type="http://schemas.openxmlformats.org/officeDocument/2006/relationships/hyperlink" Target="https://in.tradingview.com/chart/bXJLby4L/?symbol=NSE%3A20MICRONS" TargetMode="External"/><Relationship Id="rId1586" Type="http://schemas.openxmlformats.org/officeDocument/2006/relationships/hyperlink" Target="https://in.tradingview.com/chart/bXJLby4L/?symbol=NSE%3A20MICRONS" TargetMode="External"/><Relationship Id="rId1532" Type="http://schemas.openxmlformats.org/officeDocument/2006/relationships/hyperlink" Target="https://in.tradingview.com/chart/bXJLby4L/?symbol=NSE%3A20MICRONS" TargetMode="External"/><Relationship Id="rId1533" Type="http://schemas.openxmlformats.org/officeDocument/2006/relationships/hyperlink" Target="https://in.tradingview.com/chart/bXJLby4L/?symbol=NSE%3A20MICRONS" TargetMode="External"/><Relationship Id="rId1534" Type="http://schemas.openxmlformats.org/officeDocument/2006/relationships/hyperlink" Target="https://in.tradingview.com/chart/bXJLby4L/?symbol=NSE%3A20MICRONS" TargetMode="External"/><Relationship Id="rId1535" Type="http://schemas.openxmlformats.org/officeDocument/2006/relationships/hyperlink" Target="https://in.tradingview.com/chart/bXJLby4L/?symbol=NSE%3A20MICRONS" TargetMode="External"/><Relationship Id="rId1536" Type="http://schemas.openxmlformats.org/officeDocument/2006/relationships/hyperlink" Target="https://in.tradingview.com/chart/bXJLby4L/?symbol=NSE%3A20MICRONS" TargetMode="External"/><Relationship Id="rId1537" Type="http://schemas.openxmlformats.org/officeDocument/2006/relationships/hyperlink" Target="https://in.tradingview.com/chart/bXJLby4L/?symbol=NSE%3A20MICRONS" TargetMode="External"/><Relationship Id="rId1538" Type="http://schemas.openxmlformats.org/officeDocument/2006/relationships/hyperlink" Target="https://in.tradingview.com/chart/bXJLby4L/?symbol=NSE%3A20MICRONS" TargetMode="External"/><Relationship Id="rId1539" Type="http://schemas.openxmlformats.org/officeDocument/2006/relationships/hyperlink" Target="https://in.tradingview.com/chart/bXJLby4L/?symbol=NSE%3A20MICRONS" TargetMode="External"/><Relationship Id="rId949" Type="http://schemas.openxmlformats.org/officeDocument/2006/relationships/hyperlink" Target="https://in.tradingview.com/chart/bXJLby4L/?symbol=NSE%3A20MICRONS" TargetMode="External"/><Relationship Id="rId948" Type="http://schemas.openxmlformats.org/officeDocument/2006/relationships/hyperlink" Target="https://in.tradingview.com/chart/bXJLby4L/?symbol=NSE%3A20MICRONS" TargetMode="External"/><Relationship Id="rId943" Type="http://schemas.openxmlformats.org/officeDocument/2006/relationships/hyperlink" Target="https://in.tradingview.com/chart/bXJLby4L/?symbol=NSE%3A20MICRONS" TargetMode="External"/><Relationship Id="rId942" Type="http://schemas.openxmlformats.org/officeDocument/2006/relationships/hyperlink" Target="https://in.tradingview.com/chart/bXJLby4L/?symbol=NSE%3A20MICRONS" TargetMode="External"/><Relationship Id="rId941" Type="http://schemas.openxmlformats.org/officeDocument/2006/relationships/hyperlink" Target="https://in.tradingview.com/chart/bXJLby4L/?symbol=NSE%3A20MICRONS" TargetMode="External"/><Relationship Id="rId940" Type="http://schemas.openxmlformats.org/officeDocument/2006/relationships/hyperlink" Target="https://in.tradingview.com/chart/bXJLby4L/?symbol=NSE%3A20MICRONS" TargetMode="External"/><Relationship Id="rId947" Type="http://schemas.openxmlformats.org/officeDocument/2006/relationships/hyperlink" Target="https://in.tradingview.com/chart/bXJLby4L/?symbol=NSE%3A20MICRONS" TargetMode="External"/><Relationship Id="rId946" Type="http://schemas.openxmlformats.org/officeDocument/2006/relationships/hyperlink" Target="https://in.tradingview.com/chart/bXJLby4L/?symbol=NSE%3A20MICRONS" TargetMode="External"/><Relationship Id="rId945" Type="http://schemas.openxmlformats.org/officeDocument/2006/relationships/hyperlink" Target="https://in.tradingview.com/chart/bXJLby4L/?symbol=NSE%3A20MICRONS" TargetMode="External"/><Relationship Id="rId944" Type="http://schemas.openxmlformats.org/officeDocument/2006/relationships/hyperlink" Target="https://in.tradingview.com/chart/bXJLby4L/?symbol=NSE%3A20MICRONS" TargetMode="External"/><Relationship Id="rId1530" Type="http://schemas.openxmlformats.org/officeDocument/2006/relationships/hyperlink" Target="https://in.tradingview.com/chart/bXJLby4L/?symbol=NSE%3A20MICRONS" TargetMode="External"/><Relationship Id="rId1531" Type="http://schemas.openxmlformats.org/officeDocument/2006/relationships/hyperlink" Target="https://in.tradingview.com/chart/bXJLby4L/?symbol=NSE%3A20MICRONS" TargetMode="External"/><Relationship Id="rId1521" Type="http://schemas.openxmlformats.org/officeDocument/2006/relationships/hyperlink" Target="https://in.tradingview.com/chart/bXJLby4L/?symbol=NSE%3A20MICRONS" TargetMode="External"/><Relationship Id="rId1522" Type="http://schemas.openxmlformats.org/officeDocument/2006/relationships/hyperlink" Target="https://in.tradingview.com/chart/bXJLby4L/?symbol=NSE%3A20MICRONS" TargetMode="External"/><Relationship Id="rId1523" Type="http://schemas.openxmlformats.org/officeDocument/2006/relationships/hyperlink" Target="https://in.tradingview.com/chart/bXJLby4L/?symbol=NSE%3A20MICRONS" TargetMode="External"/><Relationship Id="rId1524" Type="http://schemas.openxmlformats.org/officeDocument/2006/relationships/hyperlink" Target="https://in.tradingview.com/chart/bXJLby4L/?symbol=NSE%3A20MICRONS" TargetMode="External"/><Relationship Id="rId1525" Type="http://schemas.openxmlformats.org/officeDocument/2006/relationships/hyperlink" Target="https://in.tradingview.com/chart/bXJLby4L/?symbol=NSE%3A20MICRONS" TargetMode="External"/><Relationship Id="rId1526" Type="http://schemas.openxmlformats.org/officeDocument/2006/relationships/hyperlink" Target="https://in.tradingview.com/chart/bXJLby4L/?symbol=NSE%3A20MICRONS" TargetMode="External"/><Relationship Id="rId1527" Type="http://schemas.openxmlformats.org/officeDocument/2006/relationships/hyperlink" Target="https://in.tradingview.com/chart/bXJLby4L/?symbol=NSE%3A20MICRONS" TargetMode="External"/><Relationship Id="rId1528" Type="http://schemas.openxmlformats.org/officeDocument/2006/relationships/hyperlink" Target="https://in.tradingview.com/chart/bXJLby4L/?symbol=NSE%3A20MICRONS" TargetMode="External"/><Relationship Id="rId1529" Type="http://schemas.openxmlformats.org/officeDocument/2006/relationships/hyperlink" Target="https://in.tradingview.com/chart/bXJLby4L/?symbol=NSE%3A20MICRONS" TargetMode="External"/><Relationship Id="rId939" Type="http://schemas.openxmlformats.org/officeDocument/2006/relationships/hyperlink" Target="https://in.tradingview.com/chart/bXJLby4L/?symbol=NSE%3A20MICRONS" TargetMode="External"/><Relationship Id="rId938" Type="http://schemas.openxmlformats.org/officeDocument/2006/relationships/hyperlink" Target="https://in.tradingview.com/chart/bXJLby4L/?symbol=NSE%3A20MICRONS" TargetMode="External"/><Relationship Id="rId937" Type="http://schemas.openxmlformats.org/officeDocument/2006/relationships/hyperlink" Target="https://in.tradingview.com/chart/bXJLby4L/?symbol=NSE%3A20MICRONS" TargetMode="External"/><Relationship Id="rId932" Type="http://schemas.openxmlformats.org/officeDocument/2006/relationships/hyperlink" Target="https://in.tradingview.com/chart/bXJLby4L/?symbol=NSE%3A20MICRONS" TargetMode="External"/><Relationship Id="rId931" Type="http://schemas.openxmlformats.org/officeDocument/2006/relationships/hyperlink" Target="https://in.tradingview.com/chart/bXJLby4L/?symbol=NSE%3A20MICRONS" TargetMode="External"/><Relationship Id="rId930" Type="http://schemas.openxmlformats.org/officeDocument/2006/relationships/hyperlink" Target="https://in.tradingview.com/chart/bXJLby4L/?symbol=NSE%3A20MICRONS" TargetMode="External"/><Relationship Id="rId936" Type="http://schemas.openxmlformats.org/officeDocument/2006/relationships/hyperlink" Target="https://in.tradingview.com/chart/bXJLby4L/?symbol=NSE%3A20MICRONS" TargetMode="External"/><Relationship Id="rId935" Type="http://schemas.openxmlformats.org/officeDocument/2006/relationships/hyperlink" Target="https://in.tradingview.com/chart/bXJLby4L/?symbol=NSE%3A20MICRONS" TargetMode="External"/><Relationship Id="rId934" Type="http://schemas.openxmlformats.org/officeDocument/2006/relationships/hyperlink" Target="https://in.tradingview.com/chart/bXJLby4L/?symbol=NSE%3A20MICRONS" TargetMode="External"/><Relationship Id="rId933" Type="http://schemas.openxmlformats.org/officeDocument/2006/relationships/hyperlink" Target="https://in.tradingview.com/chart/bXJLby4L/?symbol=NSE%3A20MICRONS" TargetMode="External"/><Relationship Id="rId1520" Type="http://schemas.openxmlformats.org/officeDocument/2006/relationships/hyperlink" Target="https://in.tradingview.com/chart/bXJLby4L/?symbol=NSE%3A20MICRONS" TargetMode="External"/><Relationship Id="rId1554" Type="http://schemas.openxmlformats.org/officeDocument/2006/relationships/hyperlink" Target="https://in.tradingview.com/chart/bXJLby4L/?symbol=NSE%3A20MICRONS" TargetMode="External"/><Relationship Id="rId1555" Type="http://schemas.openxmlformats.org/officeDocument/2006/relationships/hyperlink" Target="https://in.tradingview.com/chart/bXJLby4L/?symbol=NSE%3A20MICRONS" TargetMode="External"/><Relationship Id="rId1556" Type="http://schemas.openxmlformats.org/officeDocument/2006/relationships/hyperlink" Target="https://in.tradingview.com/chart/bXJLby4L/?symbol=NSE%3A20MICRONS" TargetMode="External"/><Relationship Id="rId1557" Type="http://schemas.openxmlformats.org/officeDocument/2006/relationships/hyperlink" Target="https://in.tradingview.com/chart/bXJLby4L/?symbol=NSE%3A20MICRONS" TargetMode="External"/><Relationship Id="rId1558" Type="http://schemas.openxmlformats.org/officeDocument/2006/relationships/hyperlink" Target="https://in.tradingview.com/chart/bXJLby4L/?symbol=NSE%3A20MICRONS" TargetMode="External"/><Relationship Id="rId1559" Type="http://schemas.openxmlformats.org/officeDocument/2006/relationships/hyperlink" Target="https://in.tradingview.com/chart/bXJLby4L/?symbol=NSE%3A20MICRONS" TargetMode="External"/><Relationship Id="rId965" Type="http://schemas.openxmlformats.org/officeDocument/2006/relationships/hyperlink" Target="https://in.tradingview.com/chart/bXJLby4L/?symbol=NSE%3A20MICRONS" TargetMode="External"/><Relationship Id="rId964" Type="http://schemas.openxmlformats.org/officeDocument/2006/relationships/hyperlink" Target="https://in.tradingview.com/chart/bXJLby4L/?symbol=NSE%3A20MICRONS" TargetMode="External"/><Relationship Id="rId963" Type="http://schemas.openxmlformats.org/officeDocument/2006/relationships/hyperlink" Target="https://in.tradingview.com/chart/bXJLby4L/?symbol=NSE%3A20MICRONS" TargetMode="External"/><Relationship Id="rId962" Type="http://schemas.openxmlformats.org/officeDocument/2006/relationships/hyperlink" Target="https://in.tradingview.com/chart/bXJLby4L/?symbol=NSE%3A20MICRONS" TargetMode="External"/><Relationship Id="rId969" Type="http://schemas.openxmlformats.org/officeDocument/2006/relationships/hyperlink" Target="https://in.tradingview.com/chart/bXJLby4L/?symbol=NSE%3A20MICRONS" TargetMode="External"/><Relationship Id="rId968" Type="http://schemas.openxmlformats.org/officeDocument/2006/relationships/hyperlink" Target="https://in.tradingview.com/chart/bXJLby4L/?symbol=NSE%3A20MICRONS" TargetMode="External"/><Relationship Id="rId967" Type="http://schemas.openxmlformats.org/officeDocument/2006/relationships/hyperlink" Target="https://in.tradingview.com/chart/bXJLby4L/?symbol=NSE%3A20MICRONS" TargetMode="External"/><Relationship Id="rId966" Type="http://schemas.openxmlformats.org/officeDocument/2006/relationships/hyperlink" Target="https://in.tradingview.com/chart/bXJLby4L/?symbol=NSE%3A20MICRONS" TargetMode="External"/><Relationship Id="rId961" Type="http://schemas.openxmlformats.org/officeDocument/2006/relationships/hyperlink" Target="https://in.tradingview.com/chart/bXJLby4L/?symbol=NSE%3A20MICRONS" TargetMode="External"/><Relationship Id="rId1550" Type="http://schemas.openxmlformats.org/officeDocument/2006/relationships/hyperlink" Target="https://in.tradingview.com/chart/bXJLby4L/?symbol=NSE%3A20MICRONS" TargetMode="External"/><Relationship Id="rId960" Type="http://schemas.openxmlformats.org/officeDocument/2006/relationships/hyperlink" Target="https://in.tradingview.com/chart/bXJLby4L/?symbol=NSE%3A20MICRONS" TargetMode="External"/><Relationship Id="rId1551" Type="http://schemas.openxmlformats.org/officeDocument/2006/relationships/hyperlink" Target="https://in.tradingview.com/chart/bXJLby4L/?symbol=NSE%3A20MICRONS" TargetMode="External"/><Relationship Id="rId1552" Type="http://schemas.openxmlformats.org/officeDocument/2006/relationships/hyperlink" Target="https://in.tradingview.com/chart/bXJLby4L/?symbol=NSE%3A20MICRONS" TargetMode="External"/><Relationship Id="rId1553" Type="http://schemas.openxmlformats.org/officeDocument/2006/relationships/hyperlink" Target="https://in.tradingview.com/chart/bXJLby4L/?symbol=NSE%3A20MICRONS" TargetMode="External"/><Relationship Id="rId1543" Type="http://schemas.openxmlformats.org/officeDocument/2006/relationships/hyperlink" Target="https://in.tradingview.com/chart/bXJLby4L/?symbol=NSE%3A20MICRONS" TargetMode="External"/><Relationship Id="rId1544" Type="http://schemas.openxmlformats.org/officeDocument/2006/relationships/hyperlink" Target="https://in.tradingview.com/chart/bXJLby4L/?symbol=NSE%3A20MICRONS" TargetMode="External"/><Relationship Id="rId1545" Type="http://schemas.openxmlformats.org/officeDocument/2006/relationships/hyperlink" Target="https://in.tradingview.com/chart/bXJLby4L/?symbol=NSE%3A20MICRONS" TargetMode="External"/><Relationship Id="rId1546" Type="http://schemas.openxmlformats.org/officeDocument/2006/relationships/hyperlink" Target="https://in.tradingview.com/chart/bXJLby4L/?symbol=NSE%3A20MICRONS" TargetMode="External"/><Relationship Id="rId1547" Type="http://schemas.openxmlformats.org/officeDocument/2006/relationships/hyperlink" Target="https://in.tradingview.com/chart/bXJLby4L/?symbol=NSE%3A20MICRONS" TargetMode="External"/><Relationship Id="rId1548" Type="http://schemas.openxmlformats.org/officeDocument/2006/relationships/hyperlink" Target="https://in.tradingview.com/chart/bXJLby4L/?symbol=NSE%3A20MICRONS" TargetMode="External"/><Relationship Id="rId1549" Type="http://schemas.openxmlformats.org/officeDocument/2006/relationships/hyperlink" Target="https://in.tradingview.com/chart/bXJLby4L/?symbol=NSE%3A20MICRONS" TargetMode="External"/><Relationship Id="rId959" Type="http://schemas.openxmlformats.org/officeDocument/2006/relationships/hyperlink" Target="https://in.tradingview.com/chart/bXJLby4L/?symbol=NSE%3A20MICRONS" TargetMode="External"/><Relationship Id="rId954" Type="http://schemas.openxmlformats.org/officeDocument/2006/relationships/hyperlink" Target="https://in.tradingview.com/chart/bXJLby4L/?symbol=NSE%3A20MICRONS" TargetMode="External"/><Relationship Id="rId953" Type="http://schemas.openxmlformats.org/officeDocument/2006/relationships/hyperlink" Target="https://in.tradingview.com/chart/bXJLby4L/?symbol=NSE%3A20MICRONS" TargetMode="External"/><Relationship Id="rId952" Type="http://schemas.openxmlformats.org/officeDocument/2006/relationships/hyperlink" Target="https://in.tradingview.com/chart/bXJLby4L/?symbol=NSE%3A20MICRONS" TargetMode="External"/><Relationship Id="rId951" Type="http://schemas.openxmlformats.org/officeDocument/2006/relationships/hyperlink" Target="https://in.tradingview.com/chart/bXJLby4L/?symbol=NSE%3A20MICRONS" TargetMode="External"/><Relationship Id="rId958" Type="http://schemas.openxmlformats.org/officeDocument/2006/relationships/hyperlink" Target="https://in.tradingview.com/chart/bXJLby4L/?symbol=NSE%3A20MICRONS" TargetMode="External"/><Relationship Id="rId957" Type="http://schemas.openxmlformats.org/officeDocument/2006/relationships/hyperlink" Target="https://in.tradingview.com/chart/bXJLby4L/?symbol=NSE%3A20MICRONS" TargetMode="External"/><Relationship Id="rId956" Type="http://schemas.openxmlformats.org/officeDocument/2006/relationships/hyperlink" Target="https://in.tradingview.com/chart/bXJLby4L/?symbol=NSE%3A20MICRONS" TargetMode="External"/><Relationship Id="rId955" Type="http://schemas.openxmlformats.org/officeDocument/2006/relationships/hyperlink" Target="https://in.tradingview.com/chart/bXJLby4L/?symbol=NSE%3A20MICRONS" TargetMode="External"/><Relationship Id="rId950" Type="http://schemas.openxmlformats.org/officeDocument/2006/relationships/hyperlink" Target="https://in.tradingview.com/chart/bXJLby4L/?symbol=NSE%3A20MICRONS" TargetMode="External"/><Relationship Id="rId1540" Type="http://schemas.openxmlformats.org/officeDocument/2006/relationships/hyperlink" Target="https://in.tradingview.com/chart/bXJLby4L/?symbol=NSE%3A20MICRONS" TargetMode="External"/><Relationship Id="rId1541" Type="http://schemas.openxmlformats.org/officeDocument/2006/relationships/hyperlink" Target="https://in.tradingview.com/chart/bXJLby4L/?symbol=NSE%3A20MICRONS" TargetMode="External"/><Relationship Id="rId1542" Type="http://schemas.openxmlformats.org/officeDocument/2006/relationships/hyperlink" Target="https://in.tradingview.com/chart/bXJLby4L/?symbol=NSE%3A20MICRONS" TargetMode="External"/><Relationship Id="rId2027" Type="http://schemas.openxmlformats.org/officeDocument/2006/relationships/hyperlink" Target="https://in.tradingview.com/chart/bXJLby4L/?symbol=NSE%3A20MICRONS" TargetMode="External"/><Relationship Id="rId2028" Type="http://schemas.openxmlformats.org/officeDocument/2006/relationships/hyperlink" Target="https://in.tradingview.com/chart/bXJLby4L/?symbol=NSE%3A20MICRONS" TargetMode="External"/><Relationship Id="rId2029" Type="http://schemas.openxmlformats.org/officeDocument/2006/relationships/hyperlink" Target="https://in.tradingview.com/chart/bXJLby4L/?symbol=NSE%3A20MICRONS" TargetMode="External"/><Relationship Id="rId107" Type="http://schemas.openxmlformats.org/officeDocument/2006/relationships/hyperlink" Target="https://in.tradingview.com/chart/bXJLby4L/?symbol=NSE%3A20MICRONS" TargetMode="External"/><Relationship Id="rId106" Type="http://schemas.openxmlformats.org/officeDocument/2006/relationships/hyperlink" Target="https://in.tradingview.com/chart/bXJLby4L/?symbol=NSE%3A20MICRONS" TargetMode="External"/><Relationship Id="rId105" Type="http://schemas.openxmlformats.org/officeDocument/2006/relationships/hyperlink" Target="https://in.tradingview.com/chart/bXJLby4L/?symbol=NSE%3A20MICRONS" TargetMode="External"/><Relationship Id="rId104" Type="http://schemas.openxmlformats.org/officeDocument/2006/relationships/hyperlink" Target="https://in.tradingview.com/chart/bXJLby4L/?symbol=NSE%3A20MICRONS" TargetMode="External"/><Relationship Id="rId109" Type="http://schemas.openxmlformats.org/officeDocument/2006/relationships/hyperlink" Target="https://in.tradingview.com/chart/bXJLby4L/?symbol=NSE%3A20MICRONS" TargetMode="External"/><Relationship Id="rId108" Type="http://schemas.openxmlformats.org/officeDocument/2006/relationships/hyperlink" Target="https://in.tradingview.com/chart/bXJLby4L/?symbol=NSE%3A20MICRONS" TargetMode="External"/><Relationship Id="rId2020" Type="http://schemas.openxmlformats.org/officeDocument/2006/relationships/hyperlink" Target="https://in.tradingview.com/chart/bXJLby4L/?symbol=NSE%3A20MICRONS" TargetMode="External"/><Relationship Id="rId2021" Type="http://schemas.openxmlformats.org/officeDocument/2006/relationships/hyperlink" Target="https://in.tradingview.com/chart/bXJLby4L/?symbol=NSE%3A20MICRONS" TargetMode="External"/><Relationship Id="rId2022" Type="http://schemas.openxmlformats.org/officeDocument/2006/relationships/hyperlink" Target="https://in.tradingview.com/chart/bXJLby4L/?symbol=NSE%3A20MICRONS" TargetMode="External"/><Relationship Id="rId103" Type="http://schemas.openxmlformats.org/officeDocument/2006/relationships/hyperlink" Target="https://in.tradingview.com/chart/bXJLby4L/?symbol=NSE%3A20MICRONS" TargetMode="External"/><Relationship Id="rId2023" Type="http://schemas.openxmlformats.org/officeDocument/2006/relationships/hyperlink" Target="https://in.tradingview.com/chart/bXJLby4L/?symbol=NSE%3A20MICRONS" TargetMode="External"/><Relationship Id="rId102" Type="http://schemas.openxmlformats.org/officeDocument/2006/relationships/hyperlink" Target="https://in.tradingview.com/chart/bXJLby4L/?symbol=NSE%3A20MICRONS" TargetMode="External"/><Relationship Id="rId2024" Type="http://schemas.openxmlformats.org/officeDocument/2006/relationships/hyperlink" Target="https://in.tradingview.com/chart/bXJLby4L/?symbol=NSE%3A20MICRONS" TargetMode="External"/><Relationship Id="rId101" Type="http://schemas.openxmlformats.org/officeDocument/2006/relationships/hyperlink" Target="https://in.tradingview.com/chart/bXJLby4L/?symbol=NSE%3A20MICRONS" TargetMode="External"/><Relationship Id="rId2025" Type="http://schemas.openxmlformats.org/officeDocument/2006/relationships/hyperlink" Target="https://in.tradingview.com/chart/bXJLby4L/?symbol=NSE%3A20MICRONS" TargetMode="External"/><Relationship Id="rId100" Type="http://schemas.openxmlformats.org/officeDocument/2006/relationships/hyperlink" Target="https://in.tradingview.com/chart/bXJLby4L/?symbol=NSE%3A20MICRONS" TargetMode="External"/><Relationship Id="rId2026" Type="http://schemas.openxmlformats.org/officeDocument/2006/relationships/hyperlink" Target="https://in.tradingview.com/chart/bXJLby4L/?symbol=NSE%3A20MICRONS" TargetMode="External"/><Relationship Id="rId2016" Type="http://schemas.openxmlformats.org/officeDocument/2006/relationships/hyperlink" Target="https://in.tradingview.com/chart/bXJLby4L/?symbol=NSE%3A20MICRONS" TargetMode="External"/><Relationship Id="rId2017" Type="http://schemas.openxmlformats.org/officeDocument/2006/relationships/hyperlink" Target="https://in.tradingview.com/chart/bXJLby4L/?symbol=NSE%3A20MICRONS" TargetMode="External"/><Relationship Id="rId2018" Type="http://schemas.openxmlformats.org/officeDocument/2006/relationships/hyperlink" Target="https://in.tradingview.com/chart/bXJLby4L/?symbol=NSE%3A20MICRONS" TargetMode="External"/><Relationship Id="rId2019" Type="http://schemas.openxmlformats.org/officeDocument/2006/relationships/hyperlink" Target="https://in.tradingview.com/chart/bXJLby4L/?symbol=NSE%3A20MICRONS" TargetMode="External"/><Relationship Id="rId2010" Type="http://schemas.openxmlformats.org/officeDocument/2006/relationships/hyperlink" Target="https://in.tradingview.com/chart/bXJLby4L/?symbol=NSE%3A20MICRONS" TargetMode="External"/><Relationship Id="rId2011" Type="http://schemas.openxmlformats.org/officeDocument/2006/relationships/hyperlink" Target="https://in.tradingview.com/chart/bXJLby4L/?symbol=NSE%3A20MICRONS" TargetMode="External"/><Relationship Id="rId2012" Type="http://schemas.openxmlformats.org/officeDocument/2006/relationships/hyperlink" Target="https://in.tradingview.com/chart/bXJLby4L/?symbol=NSE%3A20MICRONS" TargetMode="External"/><Relationship Id="rId2013" Type="http://schemas.openxmlformats.org/officeDocument/2006/relationships/hyperlink" Target="https://in.tradingview.com/chart/bXJLby4L/?symbol=NSE%3A20MICRONS" TargetMode="External"/><Relationship Id="rId2014" Type="http://schemas.openxmlformats.org/officeDocument/2006/relationships/hyperlink" Target="https://in.tradingview.com/chart/bXJLby4L/?symbol=NSE%3A20MICRONS" TargetMode="External"/><Relationship Id="rId2015" Type="http://schemas.openxmlformats.org/officeDocument/2006/relationships/hyperlink" Target="https://in.tradingview.com/chart/bXJLby4L/?symbol=NSE%3A20MICRONS" TargetMode="External"/><Relationship Id="rId2049" Type="http://schemas.openxmlformats.org/officeDocument/2006/relationships/hyperlink" Target="https://in.tradingview.com/chart/bXJLby4L/?symbol=NSE%3A20MICRONS" TargetMode="External"/><Relationship Id="rId129" Type="http://schemas.openxmlformats.org/officeDocument/2006/relationships/hyperlink" Target="https://in.tradingview.com/chart/bXJLby4L/?symbol=NSE%3A20MICRONS" TargetMode="External"/><Relationship Id="rId128" Type="http://schemas.openxmlformats.org/officeDocument/2006/relationships/hyperlink" Target="https://in.tradingview.com/chart/bXJLby4L/?symbol=NSE%3A20MICRONS" TargetMode="External"/><Relationship Id="rId127" Type="http://schemas.openxmlformats.org/officeDocument/2006/relationships/hyperlink" Target="https://in.tradingview.com/chart/bXJLby4L/?symbol=NSE%3A20MICRONS" TargetMode="External"/><Relationship Id="rId126" Type="http://schemas.openxmlformats.org/officeDocument/2006/relationships/hyperlink" Target="https://in.tradingview.com/chart/bXJLby4L/?symbol=NSE%3A20MICRONS" TargetMode="External"/><Relationship Id="rId2040" Type="http://schemas.openxmlformats.org/officeDocument/2006/relationships/hyperlink" Target="https://in.tradingview.com/chart/bXJLby4L/?symbol=NSE%3A20MICRONS" TargetMode="External"/><Relationship Id="rId121" Type="http://schemas.openxmlformats.org/officeDocument/2006/relationships/hyperlink" Target="https://in.tradingview.com/chart/bXJLby4L/?symbol=NSE%3A20MICRONS" TargetMode="External"/><Relationship Id="rId2041" Type="http://schemas.openxmlformats.org/officeDocument/2006/relationships/hyperlink" Target="https://in.tradingview.com/chart/bXJLby4L/?symbol=NSE%3A20MICRONS" TargetMode="External"/><Relationship Id="rId120" Type="http://schemas.openxmlformats.org/officeDocument/2006/relationships/hyperlink" Target="https://in.tradingview.com/chart/bXJLby4L/?symbol=NSE%3A20MICRONS" TargetMode="External"/><Relationship Id="rId2042" Type="http://schemas.openxmlformats.org/officeDocument/2006/relationships/hyperlink" Target="https://in.tradingview.com/chart/bXJLby4L/?symbol=NSE%3A20MICRONS" TargetMode="External"/><Relationship Id="rId2043" Type="http://schemas.openxmlformats.org/officeDocument/2006/relationships/hyperlink" Target="https://in.tradingview.com/chart/bXJLby4L/?symbol=NSE%3A20MICRONS" TargetMode="External"/><Relationship Id="rId2044" Type="http://schemas.openxmlformats.org/officeDocument/2006/relationships/hyperlink" Target="https://in.tradingview.com/chart/bXJLby4L/?symbol=NSE%3A20MICRONS" TargetMode="External"/><Relationship Id="rId125" Type="http://schemas.openxmlformats.org/officeDocument/2006/relationships/hyperlink" Target="https://in.tradingview.com/chart/bXJLby4L/?symbol=NSE%3A20MICRONS" TargetMode="External"/><Relationship Id="rId2045" Type="http://schemas.openxmlformats.org/officeDocument/2006/relationships/hyperlink" Target="https://in.tradingview.com/chart/bXJLby4L/?symbol=NSE%3A20MICRONS" TargetMode="External"/><Relationship Id="rId124" Type="http://schemas.openxmlformats.org/officeDocument/2006/relationships/hyperlink" Target="https://in.tradingview.com/chart/bXJLby4L/?symbol=NSE%3A20MICRONS" TargetMode="External"/><Relationship Id="rId2046" Type="http://schemas.openxmlformats.org/officeDocument/2006/relationships/hyperlink" Target="https://in.tradingview.com/chart/bXJLby4L/?symbol=NSE%3A20MICRONS" TargetMode="External"/><Relationship Id="rId123" Type="http://schemas.openxmlformats.org/officeDocument/2006/relationships/hyperlink" Target="https://in.tradingview.com/chart/bXJLby4L/?symbol=NSE%3A20MICRONS" TargetMode="External"/><Relationship Id="rId2047" Type="http://schemas.openxmlformats.org/officeDocument/2006/relationships/hyperlink" Target="https://in.tradingview.com/chart/bXJLby4L/?symbol=NSE%3A20MICRONS" TargetMode="External"/><Relationship Id="rId122" Type="http://schemas.openxmlformats.org/officeDocument/2006/relationships/hyperlink" Target="https://in.tradingview.com/chart/bXJLby4L/?symbol=NSE%3A20MICRONS" TargetMode="External"/><Relationship Id="rId2048" Type="http://schemas.openxmlformats.org/officeDocument/2006/relationships/hyperlink" Target="https://in.tradingview.com/chart/bXJLby4L/?symbol=NSE%3A20MICRONS" TargetMode="External"/><Relationship Id="rId2038" Type="http://schemas.openxmlformats.org/officeDocument/2006/relationships/hyperlink" Target="https://in.tradingview.com/chart/bXJLby4L/?symbol=NSE%3A20MICRONS" TargetMode="External"/><Relationship Id="rId2039" Type="http://schemas.openxmlformats.org/officeDocument/2006/relationships/hyperlink" Target="https://in.tradingview.com/chart/bXJLby4L/?symbol=NSE%3A20MICRONS" TargetMode="External"/><Relationship Id="rId118" Type="http://schemas.openxmlformats.org/officeDocument/2006/relationships/hyperlink" Target="https://in.tradingview.com/chart/bXJLby4L/?symbol=NSE%3A20MICRONS" TargetMode="External"/><Relationship Id="rId117" Type="http://schemas.openxmlformats.org/officeDocument/2006/relationships/hyperlink" Target="https://in.tradingview.com/chart/bXJLby4L/?symbol=NSE%3A20MICRONS" TargetMode="External"/><Relationship Id="rId116" Type="http://schemas.openxmlformats.org/officeDocument/2006/relationships/hyperlink" Target="https://in.tradingview.com/chart/bXJLby4L/?symbol=NSE%3A20MICRONS" TargetMode="External"/><Relationship Id="rId115" Type="http://schemas.openxmlformats.org/officeDocument/2006/relationships/hyperlink" Target="https://in.tradingview.com/chart/bXJLby4L/?symbol=NSE%3A20MICRONS" TargetMode="External"/><Relationship Id="rId119" Type="http://schemas.openxmlformats.org/officeDocument/2006/relationships/hyperlink" Target="https://in.tradingview.com/chart/bXJLby4L/?symbol=NSE%3A20MICRONS" TargetMode="External"/><Relationship Id="rId110" Type="http://schemas.openxmlformats.org/officeDocument/2006/relationships/hyperlink" Target="https://in.tradingview.com/chart/bXJLby4L/?symbol=NSE%3A20MICRONS" TargetMode="External"/><Relationship Id="rId2030" Type="http://schemas.openxmlformats.org/officeDocument/2006/relationships/hyperlink" Target="https://in.tradingview.com/chart/bXJLby4L/?symbol=NSE%3A20MICRONS" TargetMode="External"/><Relationship Id="rId2031" Type="http://schemas.openxmlformats.org/officeDocument/2006/relationships/hyperlink" Target="https://in.tradingview.com/chart/bXJLby4L/?symbol=NSE%3A20MICRONS" TargetMode="External"/><Relationship Id="rId2032" Type="http://schemas.openxmlformats.org/officeDocument/2006/relationships/hyperlink" Target="https://in.tradingview.com/chart/bXJLby4L/?symbol=NSE%3A20MICRONS" TargetMode="External"/><Relationship Id="rId2033" Type="http://schemas.openxmlformats.org/officeDocument/2006/relationships/hyperlink" Target="https://in.tradingview.com/chart/bXJLby4L/?symbol=NSE%3A20MICRONS" TargetMode="External"/><Relationship Id="rId114" Type="http://schemas.openxmlformats.org/officeDocument/2006/relationships/hyperlink" Target="https://in.tradingview.com/chart/bXJLby4L/?symbol=NSE%3A20MICRONS" TargetMode="External"/><Relationship Id="rId2034" Type="http://schemas.openxmlformats.org/officeDocument/2006/relationships/hyperlink" Target="https://in.tradingview.com/chart/bXJLby4L/?symbol=NSE%3A20MICRONS" TargetMode="External"/><Relationship Id="rId113" Type="http://schemas.openxmlformats.org/officeDocument/2006/relationships/hyperlink" Target="https://in.tradingview.com/chart/bXJLby4L/?symbol=NSE%3A20MICRONS" TargetMode="External"/><Relationship Id="rId2035" Type="http://schemas.openxmlformats.org/officeDocument/2006/relationships/hyperlink" Target="https://in.tradingview.com/chart/bXJLby4L/?symbol=NSE%3A20MICRONS" TargetMode="External"/><Relationship Id="rId112" Type="http://schemas.openxmlformats.org/officeDocument/2006/relationships/hyperlink" Target="https://in.tradingview.com/chart/bXJLby4L/?symbol=NSE%3A20MICRONS" TargetMode="External"/><Relationship Id="rId2036" Type="http://schemas.openxmlformats.org/officeDocument/2006/relationships/hyperlink" Target="https://in.tradingview.com/chart/bXJLby4L/?symbol=NSE%3A20MICRONS" TargetMode="External"/><Relationship Id="rId111" Type="http://schemas.openxmlformats.org/officeDocument/2006/relationships/hyperlink" Target="https://in.tradingview.com/chart/bXJLby4L/?symbol=NSE%3A20MICRONS" TargetMode="External"/><Relationship Id="rId2037" Type="http://schemas.openxmlformats.org/officeDocument/2006/relationships/hyperlink" Target="https://in.tradingview.com/chart/bXJLby4L/?symbol=NSE%3A20MICRONS" TargetMode="External"/><Relationship Id="rId2005" Type="http://schemas.openxmlformats.org/officeDocument/2006/relationships/hyperlink" Target="https://in.tradingview.com/chart/bXJLby4L/?symbol=NSE%3A20MICRONS" TargetMode="External"/><Relationship Id="rId2006" Type="http://schemas.openxmlformats.org/officeDocument/2006/relationships/hyperlink" Target="https://in.tradingview.com/chart/bXJLby4L/?symbol=NSE%3A20MICRONS" TargetMode="External"/><Relationship Id="rId2007" Type="http://schemas.openxmlformats.org/officeDocument/2006/relationships/hyperlink" Target="https://in.tradingview.com/chart/bXJLby4L/?symbol=NSE%3A20MICRONS" TargetMode="External"/><Relationship Id="rId2008" Type="http://schemas.openxmlformats.org/officeDocument/2006/relationships/hyperlink" Target="https://in.tradingview.com/chart/bXJLby4L/?symbol=NSE%3A20MICRONS" TargetMode="External"/><Relationship Id="rId2009" Type="http://schemas.openxmlformats.org/officeDocument/2006/relationships/hyperlink" Target="https://in.tradingview.com/chart/bXJLby4L/?symbol=NSE%3A20MICRONS" TargetMode="External"/><Relationship Id="rId2000" Type="http://schemas.openxmlformats.org/officeDocument/2006/relationships/hyperlink" Target="https://in.tradingview.com/chart/bXJLby4L/?symbol=NSE%3A20MICRONS" TargetMode="External"/><Relationship Id="rId2001" Type="http://schemas.openxmlformats.org/officeDocument/2006/relationships/hyperlink" Target="https://in.tradingview.com/chart/bXJLby4L/?symbol=NSE%3A20MICRONS" TargetMode="External"/><Relationship Id="rId2002" Type="http://schemas.openxmlformats.org/officeDocument/2006/relationships/hyperlink" Target="https://in.tradingview.com/chart/bXJLby4L/?symbol=NSE%3A20MICRONS" TargetMode="External"/><Relationship Id="rId2003" Type="http://schemas.openxmlformats.org/officeDocument/2006/relationships/hyperlink" Target="https://in.tradingview.com/chart/bXJLby4L/?symbol=NSE%3A20MICRONS" TargetMode="External"/><Relationship Id="rId2004" Type="http://schemas.openxmlformats.org/officeDocument/2006/relationships/hyperlink" Target="https://in.tradingview.com/chart/bXJLby4L/?symbol=NSE%3A20MICRONS" TargetMode="External"/><Relationship Id="rId2090" Type="http://schemas.openxmlformats.org/officeDocument/2006/relationships/hyperlink" Target="https://in.tradingview.com/chart/bXJLby4L/?symbol=NSE%3A20MICRONS" TargetMode="External"/><Relationship Id="rId2091" Type="http://schemas.openxmlformats.org/officeDocument/2006/relationships/hyperlink" Target="https://in.tradingview.com/chart/bXJLby4L/?symbol=NSE%3A20MICRONS" TargetMode="External"/><Relationship Id="rId2092" Type="http://schemas.openxmlformats.org/officeDocument/2006/relationships/hyperlink" Target="https://in.tradingview.com/chart/bXJLby4L/?symbol=NSE%3A20MICRONS" TargetMode="External"/><Relationship Id="rId2093" Type="http://schemas.openxmlformats.org/officeDocument/2006/relationships/hyperlink" Target="https://in.tradingview.com/chart/bXJLby4L/?symbol=NSE%3A20MICRONS" TargetMode="External"/><Relationship Id="rId2094" Type="http://schemas.openxmlformats.org/officeDocument/2006/relationships/hyperlink" Target="https://in.tradingview.com/chart/bXJLby4L/?symbol=NSE%3A20MICRONS" TargetMode="External"/><Relationship Id="rId2095" Type="http://schemas.openxmlformats.org/officeDocument/2006/relationships/hyperlink" Target="https://in.tradingview.com/chart/bXJLby4L/?symbol=NSE%3A20MICRONS" TargetMode="External"/><Relationship Id="rId2096" Type="http://schemas.openxmlformats.org/officeDocument/2006/relationships/hyperlink" Target="https://in.tradingview.com/chart/bXJLby4L/?symbol=NSE%3A20MICRONS" TargetMode="External"/><Relationship Id="rId2097" Type="http://schemas.openxmlformats.org/officeDocument/2006/relationships/hyperlink" Target="https://in.tradingview.com/chart/bXJLby4L/?symbol=NSE%3A20MICRONS" TargetMode="External"/><Relationship Id="rId2098" Type="http://schemas.openxmlformats.org/officeDocument/2006/relationships/hyperlink" Target="https://in.tradingview.com/chart/bXJLby4L/?symbol=NSE%3A20MICRONS" TargetMode="External"/><Relationship Id="rId2099" Type="http://schemas.openxmlformats.org/officeDocument/2006/relationships/hyperlink" Target="https://in.tradingview.com/chart/bXJLby4L/?symbol=NSE%3A20MICRONS" TargetMode="External"/><Relationship Id="rId2060" Type="http://schemas.openxmlformats.org/officeDocument/2006/relationships/hyperlink" Target="https://in.tradingview.com/chart/bXJLby4L/?symbol=NSE%3A20MICRONS" TargetMode="External"/><Relationship Id="rId2061" Type="http://schemas.openxmlformats.org/officeDocument/2006/relationships/hyperlink" Target="https://in.tradingview.com/chart/bXJLby4L/?symbol=NSE%3A20MICRONS" TargetMode="External"/><Relationship Id="rId2062" Type="http://schemas.openxmlformats.org/officeDocument/2006/relationships/hyperlink" Target="https://in.tradingview.com/chart/bXJLby4L/?symbol=NSE%3A20MICRONS" TargetMode="External"/><Relationship Id="rId2063" Type="http://schemas.openxmlformats.org/officeDocument/2006/relationships/hyperlink" Target="https://in.tradingview.com/chart/bXJLby4L/?symbol=NSE%3A20MICRONS" TargetMode="External"/><Relationship Id="rId2064" Type="http://schemas.openxmlformats.org/officeDocument/2006/relationships/hyperlink" Target="https://in.tradingview.com/chart/bXJLby4L/?symbol=NSE%3A20MICRONS" TargetMode="External"/><Relationship Id="rId2065" Type="http://schemas.openxmlformats.org/officeDocument/2006/relationships/hyperlink" Target="https://in.tradingview.com/chart/bXJLby4L/?symbol=NSE%3A20MICRONS" TargetMode="External"/><Relationship Id="rId2066" Type="http://schemas.openxmlformats.org/officeDocument/2006/relationships/hyperlink" Target="https://in.tradingview.com/chart/bXJLby4L/?symbol=NSE%3A20MICRONS" TargetMode="External"/><Relationship Id="rId2067" Type="http://schemas.openxmlformats.org/officeDocument/2006/relationships/hyperlink" Target="https://in.tradingview.com/chart/bXJLby4L/?symbol=NSE%3A20MICRONS" TargetMode="External"/><Relationship Id="rId2068" Type="http://schemas.openxmlformats.org/officeDocument/2006/relationships/hyperlink" Target="https://in.tradingview.com/chart/bXJLby4L/?symbol=NSE%3A20MICRONS" TargetMode="External"/><Relationship Id="rId2069" Type="http://schemas.openxmlformats.org/officeDocument/2006/relationships/hyperlink" Target="https://in.tradingview.com/chart/bXJLby4L/?symbol=NSE%3A20MICRONS" TargetMode="External"/><Relationship Id="rId2050" Type="http://schemas.openxmlformats.org/officeDocument/2006/relationships/hyperlink" Target="https://in.tradingview.com/chart/bXJLby4L/?symbol=NSE%3A20MICRONS" TargetMode="External"/><Relationship Id="rId2051" Type="http://schemas.openxmlformats.org/officeDocument/2006/relationships/hyperlink" Target="https://in.tradingview.com/chart/bXJLby4L/?symbol=NSE%3A20MICRONS" TargetMode="External"/><Relationship Id="rId2052" Type="http://schemas.openxmlformats.org/officeDocument/2006/relationships/hyperlink" Target="https://in.tradingview.com/chart/bXJLby4L/?symbol=NSE%3A20MICRONS" TargetMode="External"/><Relationship Id="rId2053" Type="http://schemas.openxmlformats.org/officeDocument/2006/relationships/hyperlink" Target="https://in.tradingview.com/chart/bXJLby4L/?symbol=NSE%3A20MICRONS" TargetMode="External"/><Relationship Id="rId2054" Type="http://schemas.openxmlformats.org/officeDocument/2006/relationships/hyperlink" Target="https://in.tradingview.com/chart/bXJLby4L/?symbol=NSE%3A20MICRONS" TargetMode="External"/><Relationship Id="rId2055" Type="http://schemas.openxmlformats.org/officeDocument/2006/relationships/hyperlink" Target="https://in.tradingview.com/chart/bXJLby4L/?symbol=NSE%3A20MICRONS" TargetMode="External"/><Relationship Id="rId2056" Type="http://schemas.openxmlformats.org/officeDocument/2006/relationships/hyperlink" Target="https://in.tradingview.com/chart/bXJLby4L/?symbol=NSE%3A20MICRONS" TargetMode="External"/><Relationship Id="rId2057" Type="http://schemas.openxmlformats.org/officeDocument/2006/relationships/hyperlink" Target="https://in.tradingview.com/chart/bXJLby4L/?symbol=NSE%3A20MICRONS" TargetMode="External"/><Relationship Id="rId2058" Type="http://schemas.openxmlformats.org/officeDocument/2006/relationships/hyperlink" Target="https://in.tradingview.com/chart/bXJLby4L/?symbol=NSE%3A20MICRONS" TargetMode="External"/><Relationship Id="rId2059" Type="http://schemas.openxmlformats.org/officeDocument/2006/relationships/hyperlink" Target="https://in.tradingview.com/chart/bXJLby4L/?symbol=NSE%3A20MICRONS" TargetMode="External"/><Relationship Id="rId2080" Type="http://schemas.openxmlformats.org/officeDocument/2006/relationships/hyperlink" Target="https://in.tradingview.com/chart/bXJLby4L/?symbol=NSE%3A20MICRONS" TargetMode="External"/><Relationship Id="rId2081" Type="http://schemas.openxmlformats.org/officeDocument/2006/relationships/hyperlink" Target="https://in.tradingview.com/chart/bXJLby4L/?symbol=NSE%3A20MICRONS" TargetMode="External"/><Relationship Id="rId2082" Type="http://schemas.openxmlformats.org/officeDocument/2006/relationships/hyperlink" Target="https://in.tradingview.com/chart/bXJLby4L/?symbol=NSE%3A20MICRONS" TargetMode="External"/><Relationship Id="rId2083" Type="http://schemas.openxmlformats.org/officeDocument/2006/relationships/hyperlink" Target="https://in.tradingview.com/chart/bXJLby4L/?symbol=NSE%3A20MICRONS" TargetMode="External"/><Relationship Id="rId2084" Type="http://schemas.openxmlformats.org/officeDocument/2006/relationships/hyperlink" Target="https://in.tradingview.com/chart/bXJLby4L/?symbol=NSE%3A20MICRONS" TargetMode="External"/><Relationship Id="rId2085" Type="http://schemas.openxmlformats.org/officeDocument/2006/relationships/hyperlink" Target="https://in.tradingview.com/chart/bXJLby4L/?symbol=NSE%3A20MICRONS" TargetMode="External"/><Relationship Id="rId2086" Type="http://schemas.openxmlformats.org/officeDocument/2006/relationships/hyperlink" Target="https://in.tradingview.com/chart/bXJLby4L/?symbol=NSE%3A20MICRONS" TargetMode="External"/><Relationship Id="rId2087" Type="http://schemas.openxmlformats.org/officeDocument/2006/relationships/hyperlink" Target="https://in.tradingview.com/chart/bXJLby4L/?symbol=NSE%3A20MICRONS" TargetMode="External"/><Relationship Id="rId2088" Type="http://schemas.openxmlformats.org/officeDocument/2006/relationships/hyperlink" Target="https://in.tradingview.com/chart/bXJLby4L/?symbol=NSE%3A20MICRONS" TargetMode="External"/><Relationship Id="rId2089" Type="http://schemas.openxmlformats.org/officeDocument/2006/relationships/hyperlink" Target="https://in.tradingview.com/chart/bXJLby4L/?symbol=NSE%3A20MICRONS" TargetMode="External"/><Relationship Id="rId2070" Type="http://schemas.openxmlformats.org/officeDocument/2006/relationships/hyperlink" Target="https://in.tradingview.com/chart/bXJLby4L/?symbol=NSE%3A20MICRONS" TargetMode="External"/><Relationship Id="rId2071" Type="http://schemas.openxmlformats.org/officeDocument/2006/relationships/hyperlink" Target="https://in.tradingview.com/chart/bXJLby4L/?symbol=NSE%3A20MICRONS" TargetMode="External"/><Relationship Id="rId2072" Type="http://schemas.openxmlformats.org/officeDocument/2006/relationships/hyperlink" Target="https://in.tradingview.com/chart/bXJLby4L/?symbol=NSE%3A20MICRONS" TargetMode="External"/><Relationship Id="rId2073" Type="http://schemas.openxmlformats.org/officeDocument/2006/relationships/hyperlink" Target="https://in.tradingview.com/chart/bXJLby4L/?symbol=NSE%3A20MICRONS" TargetMode="External"/><Relationship Id="rId2074" Type="http://schemas.openxmlformats.org/officeDocument/2006/relationships/hyperlink" Target="https://in.tradingview.com/chart/bXJLby4L/?symbol=NSE%3A20MICRONS" TargetMode="External"/><Relationship Id="rId2075" Type="http://schemas.openxmlformats.org/officeDocument/2006/relationships/hyperlink" Target="https://in.tradingview.com/chart/bXJLby4L/?symbol=NSE%3A20MICRONS" TargetMode="External"/><Relationship Id="rId2076" Type="http://schemas.openxmlformats.org/officeDocument/2006/relationships/hyperlink" Target="https://in.tradingview.com/chart/bXJLby4L/?symbol=NSE%3A20MICRONS" TargetMode="External"/><Relationship Id="rId2077" Type="http://schemas.openxmlformats.org/officeDocument/2006/relationships/hyperlink" Target="https://in.tradingview.com/chart/bXJLby4L/?symbol=NSE%3A20MICRONS" TargetMode="External"/><Relationship Id="rId2078" Type="http://schemas.openxmlformats.org/officeDocument/2006/relationships/hyperlink" Target="https://in.tradingview.com/chart/bXJLby4L/?symbol=NSE%3A20MICRONS" TargetMode="External"/><Relationship Id="rId2079" Type="http://schemas.openxmlformats.org/officeDocument/2006/relationships/hyperlink" Target="https://in.tradingview.com/chart/bXJLby4L/?symbol=NSE%3A20MICRONS" TargetMode="External"/><Relationship Id="rId1610" Type="http://schemas.openxmlformats.org/officeDocument/2006/relationships/hyperlink" Target="https://in.tradingview.com/chart/bXJLby4L/?symbol=NSE%3A20MICRONS" TargetMode="External"/><Relationship Id="rId1611" Type="http://schemas.openxmlformats.org/officeDocument/2006/relationships/hyperlink" Target="https://in.tradingview.com/chart/bXJLby4L/?symbol=NSE%3A20MICRONS" TargetMode="External"/><Relationship Id="rId1612" Type="http://schemas.openxmlformats.org/officeDocument/2006/relationships/hyperlink" Target="https://in.tradingview.com/chart/bXJLby4L/?symbol=NSE%3A20MICRONS" TargetMode="External"/><Relationship Id="rId1613" Type="http://schemas.openxmlformats.org/officeDocument/2006/relationships/hyperlink" Target="https://in.tradingview.com/chart/bXJLby4L/?symbol=NSE%3A20MICRONS" TargetMode="External"/><Relationship Id="rId1614" Type="http://schemas.openxmlformats.org/officeDocument/2006/relationships/hyperlink" Target="https://in.tradingview.com/chart/bXJLby4L/?symbol=NSE%3A20MICRONS" TargetMode="External"/><Relationship Id="rId1615" Type="http://schemas.openxmlformats.org/officeDocument/2006/relationships/hyperlink" Target="https://in.tradingview.com/chart/bXJLby4L/?symbol=NSE%3A20MICRONS" TargetMode="External"/><Relationship Id="rId1616" Type="http://schemas.openxmlformats.org/officeDocument/2006/relationships/hyperlink" Target="https://in.tradingview.com/chart/bXJLby4L/?symbol=NSE%3A20MICRONS" TargetMode="External"/><Relationship Id="rId907" Type="http://schemas.openxmlformats.org/officeDocument/2006/relationships/hyperlink" Target="https://in.tradingview.com/chart/bXJLby4L/?symbol=NSE%3A20MICRONS" TargetMode="External"/><Relationship Id="rId1617" Type="http://schemas.openxmlformats.org/officeDocument/2006/relationships/hyperlink" Target="https://in.tradingview.com/chart/bXJLby4L/?symbol=NSE%3A20MICRONS" TargetMode="External"/><Relationship Id="rId906" Type="http://schemas.openxmlformats.org/officeDocument/2006/relationships/hyperlink" Target="https://in.tradingview.com/chart/bXJLby4L/?symbol=NSE%3A20MICRONS" TargetMode="External"/><Relationship Id="rId1618" Type="http://schemas.openxmlformats.org/officeDocument/2006/relationships/hyperlink" Target="https://in.tradingview.com/chart/bXJLby4L/?symbol=NSE%3A20MICRONS" TargetMode="External"/><Relationship Id="rId905" Type="http://schemas.openxmlformats.org/officeDocument/2006/relationships/hyperlink" Target="https://in.tradingview.com/chart/bXJLby4L/?symbol=NSE%3A20MICRONS" TargetMode="External"/><Relationship Id="rId1619" Type="http://schemas.openxmlformats.org/officeDocument/2006/relationships/hyperlink" Target="https://in.tradingview.com/chart/bXJLby4L/?symbol=NSE%3A20MICRONS" TargetMode="External"/><Relationship Id="rId904" Type="http://schemas.openxmlformats.org/officeDocument/2006/relationships/hyperlink" Target="https://in.tradingview.com/chart/bXJLby4L/?symbol=NSE%3A20MICRONS" TargetMode="External"/><Relationship Id="rId909" Type="http://schemas.openxmlformats.org/officeDocument/2006/relationships/hyperlink" Target="https://in.tradingview.com/chart/bXJLby4L/?symbol=NSE%3A20MICRONS" TargetMode="External"/><Relationship Id="rId908" Type="http://schemas.openxmlformats.org/officeDocument/2006/relationships/hyperlink" Target="https://in.tradingview.com/chart/bXJLby4L/?symbol=NSE%3A20MICRONS" TargetMode="External"/><Relationship Id="rId903" Type="http://schemas.openxmlformats.org/officeDocument/2006/relationships/hyperlink" Target="https://in.tradingview.com/chart/bXJLby4L/?symbol=NSE%3A20MICRONS" TargetMode="External"/><Relationship Id="rId902" Type="http://schemas.openxmlformats.org/officeDocument/2006/relationships/hyperlink" Target="https://in.tradingview.com/chart/bXJLby4L/?symbol=NSE%3A20MICRONS" TargetMode="External"/><Relationship Id="rId901" Type="http://schemas.openxmlformats.org/officeDocument/2006/relationships/hyperlink" Target="https://in.tradingview.com/chart/bXJLby4L/?symbol=NSE%3A20MICRONS" TargetMode="External"/><Relationship Id="rId900" Type="http://schemas.openxmlformats.org/officeDocument/2006/relationships/hyperlink" Target="https://in.tradingview.com/chart/bXJLby4L/?symbol=NSE%3A20MICRONS" TargetMode="External"/><Relationship Id="rId1600" Type="http://schemas.openxmlformats.org/officeDocument/2006/relationships/hyperlink" Target="https://in.tradingview.com/chart/bXJLby4L/?symbol=NSE%3A20MICRONS" TargetMode="External"/><Relationship Id="rId1601" Type="http://schemas.openxmlformats.org/officeDocument/2006/relationships/hyperlink" Target="https://in.tradingview.com/chart/bXJLby4L/?symbol=NSE%3A20MICRONS" TargetMode="External"/><Relationship Id="rId1602" Type="http://schemas.openxmlformats.org/officeDocument/2006/relationships/hyperlink" Target="https://in.tradingview.com/chart/bXJLby4L/?symbol=NSE%3A20MICRONS" TargetMode="External"/><Relationship Id="rId1603" Type="http://schemas.openxmlformats.org/officeDocument/2006/relationships/hyperlink" Target="https://in.tradingview.com/chart/bXJLby4L/?symbol=NSE%3A20MICRONS" TargetMode="External"/><Relationship Id="rId1604" Type="http://schemas.openxmlformats.org/officeDocument/2006/relationships/hyperlink" Target="https://in.tradingview.com/chart/bXJLby4L/?symbol=NSE%3A20MICRONS" TargetMode="External"/><Relationship Id="rId1605" Type="http://schemas.openxmlformats.org/officeDocument/2006/relationships/hyperlink" Target="https://in.tradingview.com/chart/bXJLby4L/?symbol=NSE%3A20MICRONS" TargetMode="External"/><Relationship Id="rId1606" Type="http://schemas.openxmlformats.org/officeDocument/2006/relationships/hyperlink" Target="https://in.tradingview.com/chart/bXJLby4L/?symbol=NSE%3A20MICRONS" TargetMode="External"/><Relationship Id="rId1607" Type="http://schemas.openxmlformats.org/officeDocument/2006/relationships/hyperlink" Target="https://in.tradingview.com/chart/bXJLby4L/?symbol=NSE%3A20MICRONS" TargetMode="External"/><Relationship Id="rId1608" Type="http://schemas.openxmlformats.org/officeDocument/2006/relationships/hyperlink" Target="https://in.tradingview.com/chart/bXJLby4L/?symbol=NSE%3A20MICRONS" TargetMode="External"/><Relationship Id="rId1609" Type="http://schemas.openxmlformats.org/officeDocument/2006/relationships/hyperlink" Target="https://in.tradingview.com/chart/bXJLby4L/?symbol=NSE%3A20MICRONS" TargetMode="External"/><Relationship Id="rId1631" Type="http://schemas.openxmlformats.org/officeDocument/2006/relationships/hyperlink" Target="https://in.tradingview.com/chart/bXJLby4L/?symbol=NSE%3A20MICRONS" TargetMode="External"/><Relationship Id="rId1632" Type="http://schemas.openxmlformats.org/officeDocument/2006/relationships/hyperlink" Target="https://in.tradingview.com/chart/bXJLby4L/?symbol=NSE%3A20MICRONS" TargetMode="External"/><Relationship Id="rId1633" Type="http://schemas.openxmlformats.org/officeDocument/2006/relationships/hyperlink" Target="https://in.tradingview.com/chart/bXJLby4L/?symbol=NSE%3A20MICRONS" TargetMode="External"/><Relationship Id="rId1634" Type="http://schemas.openxmlformats.org/officeDocument/2006/relationships/hyperlink" Target="https://in.tradingview.com/chart/bXJLby4L/?symbol=NSE%3A20MICRONS" TargetMode="External"/><Relationship Id="rId1635" Type="http://schemas.openxmlformats.org/officeDocument/2006/relationships/hyperlink" Target="https://in.tradingview.com/chart/bXJLby4L/?symbol=NSE%3A20MICRONS" TargetMode="External"/><Relationship Id="rId1636" Type="http://schemas.openxmlformats.org/officeDocument/2006/relationships/hyperlink" Target="https://in.tradingview.com/chart/bXJLby4L/?symbol=NSE%3A20MICRONS" TargetMode="External"/><Relationship Id="rId1637" Type="http://schemas.openxmlformats.org/officeDocument/2006/relationships/hyperlink" Target="https://in.tradingview.com/chart/bXJLby4L/?symbol=NSE%3A20MICRONS" TargetMode="External"/><Relationship Id="rId1638" Type="http://schemas.openxmlformats.org/officeDocument/2006/relationships/hyperlink" Target="https://in.tradingview.com/chart/bXJLby4L/?symbol=NSE%3A20MICRONS" TargetMode="External"/><Relationship Id="rId929" Type="http://schemas.openxmlformats.org/officeDocument/2006/relationships/hyperlink" Target="https://in.tradingview.com/chart/bXJLby4L/?symbol=NSE%3A20MICRONS" TargetMode="External"/><Relationship Id="rId1639" Type="http://schemas.openxmlformats.org/officeDocument/2006/relationships/hyperlink" Target="https://in.tradingview.com/chart/bXJLby4L/?symbol=NSE%3A20MICRONS" TargetMode="External"/><Relationship Id="rId928" Type="http://schemas.openxmlformats.org/officeDocument/2006/relationships/hyperlink" Target="https://in.tradingview.com/chart/bXJLby4L/?symbol=NSE%3A20MICRONS" TargetMode="External"/><Relationship Id="rId927" Type="http://schemas.openxmlformats.org/officeDocument/2006/relationships/hyperlink" Target="https://in.tradingview.com/chart/bXJLby4L/?symbol=NSE%3A20MICRONS" TargetMode="External"/><Relationship Id="rId926" Type="http://schemas.openxmlformats.org/officeDocument/2006/relationships/hyperlink" Target="https://in.tradingview.com/chart/bXJLby4L/?symbol=NSE%3A20MICRONS" TargetMode="External"/><Relationship Id="rId921" Type="http://schemas.openxmlformats.org/officeDocument/2006/relationships/hyperlink" Target="https://in.tradingview.com/chart/bXJLby4L/?symbol=NSE%3A20MICRONS" TargetMode="External"/><Relationship Id="rId920" Type="http://schemas.openxmlformats.org/officeDocument/2006/relationships/hyperlink" Target="https://in.tradingview.com/chart/bXJLby4L/?symbol=NSE%3A20MICRONS" TargetMode="External"/><Relationship Id="rId925" Type="http://schemas.openxmlformats.org/officeDocument/2006/relationships/hyperlink" Target="https://in.tradingview.com/chart/bXJLby4L/?symbol=NSE%3A20MICRONS" TargetMode="External"/><Relationship Id="rId924" Type="http://schemas.openxmlformats.org/officeDocument/2006/relationships/hyperlink" Target="https://in.tradingview.com/chart/bXJLby4L/?symbol=NSE%3A20MICRONS" TargetMode="External"/><Relationship Id="rId923" Type="http://schemas.openxmlformats.org/officeDocument/2006/relationships/hyperlink" Target="https://in.tradingview.com/chart/bXJLby4L/?symbol=NSE%3A20MICRONS" TargetMode="External"/><Relationship Id="rId922" Type="http://schemas.openxmlformats.org/officeDocument/2006/relationships/hyperlink" Target="https://in.tradingview.com/chart/bXJLby4L/?symbol=NSE%3A20MICRONS" TargetMode="External"/><Relationship Id="rId1630" Type="http://schemas.openxmlformats.org/officeDocument/2006/relationships/hyperlink" Target="https://in.tradingview.com/chart/bXJLby4L/?symbol=NSE%3A20MICRONS" TargetMode="External"/><Relationship Id="rId1620" Type="http://schemas.openxmlformats.org/officeDocument/2006/relationships/hyperlink" Target="https://in.tradingview.com/chart/bXJLby4L/?symbol=NSE%3A20MICRONS" TargetMode="External"/><Relationship Id="rId1621" Type="http://schemas.openxmlformats.org/officeDocument/2006/relationships/hyperlink" Target="https://in.tradingview.com/chart/bXJLby4L/?symbol=NSE%3A20MICRONS" TargetMode="External"/><Relationship Id="rId1622" Type="http://schemas.openxmlformats.org/officeDocument/2006/relationships/hyperlink" Target="https://in.tradingview.com/chart/bXJLby4L/?symbol=NSE%3A20MICRONS" TargetMode="External"/><Relationship Id="rId1623" Type="http://schemas.openxmlformats.org/officeDocument/2006/relationships/hyperlink" Target="https://in.tradingview.com/chart/bXJLby4L/?symbol=NSE%3A20MICRONS" TargetMode="External"/><Relationship Id="rId1624" Type="http://schemas.openxmlformats.org/officeDocument/2006/relationships/hyperlink" Target="https://in.tradingview.com/chart/bXJLby4L/?symbol=NSE%3A20MICRONS" TargetMode="External"/><Relationship Id="rId1625" Type="http://schemas.openxmlformats.org/officeDocument/2006/relationships/hyperlink" Target="https://in.tradingview.com/chart/bXJLby4L/?symbol=NSE%3A20MICRONS" TargetMode="External"/><Relationship Id="rId1626" Type="http://schemas.openxmlformats.org/officeDocument/2006/relationships/hyperlink" Target="https://in.tradingview.com/chart/bXJLby4L/?symbol=NSE%3A20MICRONS" TargetMode="External"/><Relationship Id="rId1627" Type="http://schemas.openxmlformats.org/officeDocument/2006/relationships/hyperlink" Target="https://in.tradingview.com/chart/bXJLby4L/?symbol=NSE%3A20MICRONS" TargetMode="External"/><Relationship Id="rId918" Type="http://schemas.openxmlformats.org/officeDocument/2006/relationships/hyperlink" Target="https://in.tradingview.com/chart/bXJLby4L/?symbol=NSE%3A20MICRONS" TargetMode="External"/><Relationship Id="rId1628" Type="http://schemas.openxmlformats.org/officeDocument/2006/relationships/hyperlink" Target="https://in.tradingview.com/chart/bXJLby4L/?symbol=NSE%3A20MICRONS" TargetMode="External"/><Relationship Id="rId917" Type="http://schemas.openxmlformats.org/officeDocument/2006/relationships/hyperlink" Target="https://in.tradingview.com/chart/bXJLby4L/?symbol=NSE%3A20MICRONS" TargetMode="External"/><Relationship Id="rId1629" Type="http://schemas.openxmlformats.org/officeDocument/2006/relationships/hyperlink" Target="https://in.tradingview.com/chart/bXJLby4L/?symbol=NSE%3A20MICRONS" TargetMode="External"/><Relationship Id="rId916" Type="http://schemas.openxmlformats.org/officeDocument/2006/relationships/hyperlink" Target="https://in.tradingview.com/chart/bXJLby4L/?symbol=NSE%3A20MICRONS" TargetMode="External"/><Relationship Id="rId915" Type="http://schemas.openxmlformats.org/officeDocument/2006/relationships/hyperlink" Target="https://in.tradingview.com/chart/bXJLby4L/?symbol=NSE%3A20MICRONS" TargetMode="External"/><Relationship Id="rId919" Type="http://schemas.openxmlformats.org/officeDocument/2006/relationships/hyperlink" Target="https://in.tradingview.com/chart/bXJLby4L/?symbol=NSE%3A20MICRONS" TargetMode="External"/><Relationship Id="rId910" Type="http://schemas.openxmlformats.org/officeDocument/2006/relationships/hyperlink" Target="https://in.tradingview.com/chart/bXJLby4L/?symbol=NSE%3A20MICRONS" TargetMode="External"/><Relationship Id="rId914" Type="http://schemas.openxmlformats.org/officeDocument/2006/relationships/hyperlink" Target="https://in.tradingview.com/chart/bXJLby4L/?symbol=NSE%3A20MICRONS" TargetMode="External"/><Relationship Id="rId913" Type="http://schemas.openxmlformats.org/officeDocument/2006/relationships/hyperlink" Target="https://in.tradingview.com/chart/bXJLby4L/?symbol=NSE%3A20MICRONS" TargetMode="External"/><Relationship Id="rId912" Type="http://schemas.openxmlformats.org/officeDocument/2006/relationships/hyperlink" Target="https://in.tradingview.com/chart/bXJLby4L/?symbol=NSE%3A20MICRONS" TargetMode="External"/><Relationship Id="rId911" Type="http://schemas.openxmlformats.org/officeDocument/2006/relationships/hyperlink" Target="https://in.tradingview.com/chart/bXJLby4L/?symbol=NSE%3A20MICRONS" TargetMode="External"/><Relationship Id="rId1697" Type="http://schemas.openxmlformats.org/officeDocument/2006/relationships/hyperlink" Target="https://in.tradingview.com/chart/bXJLby4L/?symbol=NSE%3A20MICRONS" TargetMode="External"/><Relationship Id="rId1698" Type="http://schemas.openxmlformats.org/officeDocument/2006/relationships/hyperlink" Target="https://in.tradingview.com/chart/bXJLby4L/?symbol=NSE%3A20MICRONS" TargetMode="External"/><Relationship Id="rId1699" Type="http://schemas.openxmlformats.org/officeDocument/2006/relationships/hyperlink" Target="https://in.tradingview.com/chart/bXJLby4L/?symbol=NSE%3A20MICRONS" TargetMode="External"/><Relationship Id="rId866" Type="http://schemas.openxmlformats.org/officeDocument/2006/relationships/hyperlink" Target="https://in.tradingview.com/chart/bXJLby4L/?symbol=NSE%3A20MICRONS" TargetMode="External"/><Relationship Id="rId865" Type="http://schemas.openxmlformats.org/officeDocument/2006/relationships/hyperlink" Target="https://in.tradingview.com/chart/bXJLby4L/?symbol=NSE%3A20MICRONS" TargetMode="External"/><Relationship Id="rId864" Type="http://schemas.openxmlformats.org/officeDocument/2006/relationships/hyperlink" Target="https://in.tradingview.com/chart/bXJLby4L/?symbol=NSE%3A20MICRONS" TargetMode="External"/><Relationship Id="rId863" Type="http://schemas.openxmlformats.org/officeDocument/2006/relationships/hyperlink" Target="https://in.tradingview.com/chart/bXJLby4L/?symbol=NSE%3A20MICRONS" TargetMode="External"/><Relationship Id="rId869" Type="http://schemas.openxmlformats.org/officeDocument/2006/relationships/hyperlink" Target="https://in.tradingview.com/chart/bXJLby4L/?symbol=NSE%3A20MICRONS" TargetMode="External"/><Relationship Id="rId868" Type="http://schemas.openxmlformats.org/officeDocument/2006/relationships/hyperlink" Target="https://in.tradingview.com/chart/bXJLby4L/?symbol=NSE%3A20MICRONS" TargetMode="External"/><Relationship Id="rId867" Type="http://schemas.openxmlformats.org/officeDocument/2006/relationships/hyperlink" Target="https://in.tradingview.com/chart/bXJLby4L/?symbol=NSE%3A20MICRONS" TargetMode="External"/><Relationship Id="rId1690" Type="http://schemas.openxmlformats.org/officeDocument/2006/relationships/hyperlink" Target="https://in.tradingview.com/chart/bXJLby4L/?symbol=NSE%3A20MICRONS" TargetMode="External"/><Relationship Id="rId1691" Type="http://schemas.openxmlformats.org/officeDocument/2006/relationships/hyperlink" Target="https://in.tradingview.com/chart/bXJLby4L/?symbol=NSE%3A20MICRONS" TargetMode="External"/><Relationship Id="rId1692" Type="http://schemas.openxmlformats.org/officeDocument/2006/relationships/hyperlink" Target="https://in.tradingview.com/chart/bXJLby4L/?symbol=NSE%3A20MICRONS" TargetMode="External"/><Relationship Id="rId862" Type="http://schemas.openxmlformats.org/officeDocument/2006/relationships/hyperlink" Target="https://in.tradingview.com/chart/bXJLby4L/?symbol=NSE%3A20MICRONS" TargetMode="External"/><Relationship Id="rId1693" Type="http://schemas.openxmlformats.org/officeDocument/2006/relationships/hyperlink" Target="https://in.tradingview.com/chart/bXJLby4L/?symbol=NSE%3A20MICRONS" TargetMode="External"/><Relationship Id="rId861" Type="http://schemas.openxmlformats.org/officeDocument/2006/relationships/hyperlink" Target="https://in.tradingview.com/chart/bXJLby4L/?symbol=NSE%3A20MICRONS" TargetMode="External"/><Relationship Id="rId1694" Type="http://schemas.openxmlformats.org/officeDocument/2006/relationships/hyperlink" Target="https://in.tradingview.com/chart/bXJLby4L/?symbol=NSE%3A20MICRONS" TargetMode="External"/><Relationship Id="rId860" Type="http://schemas.openxmlformats.org/officeDocument/2006/relationships/hyperlink" Target="https://in.tradingview.com/chart/bXJLby4L/?symbol=NSE%3A20MICRONS" TargetMode="External"/><Relationship Id="rId1695" Type="http://schemas.openxmlformats.org/officeDocument/2006/relationships/hyperlink" Target="https://in.tradingview.com/chart/bXJLby4L/?symbol=NSE%3A20MICRONS" TargetMode="External"/><Relationship Id="rId1696" Type="http://schemas.openxmlformats.org/officeDocument/2006/relationships/hyperlink" Target="https://in.tradingview.com/chart/bXJLby4L/?symbol=NSE%3A20MICRONS" TargetMode="External"/><Relationship Id="rId1686" Type="http://schemas.openxmlformats.org/officeDocument/2006/relationships/hyperlink" Target="https://in.tradingview.com/chart/bXJLby4L/?symbol=NSE%3A20MICRONS" TargetMode="External"/><Relationship Id="rId1687" Type="http://schemas.openxmlformats.org/officeDocument/2006/relationships/hyperlink" Target="https://in.tradingview.com/chart/bXJLby4L/?symbol=NSE%3A20MICRONS" TargetMode="External"/><Relationship Id="rId1688" Type="http://schemas.openxmlformats.org/officeDocument/2006/relationships/hyperlink" Target="https://in.tradingview.com/chart/bXJLby4L/?symbol=NSE%3A20MICRONS" TargetMode="External"/><Relationship Id="rId1689" Type="http://schemas.openxmlformats.org/officeDocument/2006/relationships/hyperlink" Target="https://in.tradingview.com/chart/bXJLby4L/?symbol=NSE%3A20MICRONS" TargetMode="External"/><Relationship Id="rId855" Type="http://schemas.openxmlformats.org/officeDocument/2006/relationships/hyperlink" Target="https://in.tradingview.com/chart/bXJLby4L/?symbol=NSE%3A20MICRONS" TargetMode="External"/><Relationship Id="rId854" Type="http://schemas.openxmlformats.org/officeDocument/2006/relationships/hyperlink" Target="https://in.tradingview.com/chart/bXJLby4L/?symbol=NSE%3A20MICRONS" TargetMode="External"/><Relationship Id="rId853" Type="http://schemas.openxmlformats.org/officeDocument/2006/relationships/hyperlink" Target="https://in.tradingview.com/chart/bXJLby4L/?symbol=NSE%3A20MICRONS" TargetMode="External"/><Relationship Id="rId852" Type="http://schemas.openxmlformats.org/officeDocument/2006/relationships/hyperlink" Target="https://in.tradingview.com/chart/bXJLby4L/?symbol=NSE%3A20MICRONS" TargetMode="External"/><Relationship Id="rId859" Type="http://schemas.openxmlformats.org/officeDocument/2006/relationships/hyperlink" Target="https://in.tradingview.com/chart/bXJLby4L/?symbol=NSE%3A20MICRONS" TargetMode="External"/><Relationship Id="rId858" Type="http://schemas.openxmlformats.org/officeDocument/2006/relationships/hyperlink" Target="https://in.tradingview.com/chart/bXJLby4L/?symbol=NSE%3A20MICRONS" TargetMode="External"/><Relationship Id="rId857" Type="http://schemas.openxmlformats.org/officeDocument/2006/relationships/hyperlink" Target="https://in.tradingview.com/chart/bXJLby4L/?symbol=NSE%3A20MICRONS" TargetMode="External"/><Relationship Id="rId856" Type="http://schemas.openxmlformats.org/officeDocument/2006/relationships/hyperlink" Target="https://in.tradingview.com/chart/bXJLby4L/?symbol=NSE%3A20MICRONS" TargetMode="External"/><Relationship Id="rId1680" Type="http://schemas.openxmlformats.org/officeDocument/2006/relationships/hyperlink" Target="https://in.tradingview.com/chart/bXJLby4L/?symbol=NSE%3A20MICRONS" TargetMode="External"/><Relationship Id="rId1681" Type="http://schemas.openxmlformats.org/officeDocument/2006/relationships/hyperlink" Target="https://in.tradingview.com/chart/bXJLby4L/?symbol=NSE%3A20MICRONS" TargetMode="External"/><Relationship Id="rId851" Type="http://schemas.openxmlformats.org/officeDocument/2006/relationships/hyperlink" Target="https://in.tradingview.com/chart/bXJLby4L/?symbol=NSE%3A20MICRONS" TargetMode="External"/><Relationship Id="rId1682" Type="http://schemas.openxmlformats.org/officeDocument/2006/relationships/hyperlink" Target="https://in.tradingview.com/chart/bXJLby4L/?symbol=NSE%3A20MICRONS" TargetMode="External"/><Relationship Id="rId850" Type="http://schemas.openxmlformats.org/officeDocument/2006/relationships/hyperlink" Target="https://in.tradingview.com/chart/bXJLby4L/?symbol=NSE%3A20MICRONS" TargetMode="External"/><Relationship Id="rId1683" Type="http://schemas.openxmlformats.org/officeDocument/2006/relationships/hyperlink" Target="https://in.tradingview.com/chart/bXJLby4L/?symbol=NSE%3A20MICRONS" TargetMode="External"/><Relationship Id="rId1684" Type="http://schemas.openxmlformats.org/officeDocument/2006/relationships/hyperlink" Target="https://in.tradingview.com/chart/bXJLby4L/?symbol=NSE%3A20MICRONS" TargetMode="External"/><Relationship Id="rId1685" Type="http://schemas.openxmlformats.org/officeDocument/2006/relationships/hyperlink" Target="https://in.tradingview.com/chart/bXJLby4L/?symbol=NSE%3A20MICRONS" TargetMode="External"/><Relationship Id="rId888" Type="http://schemas.openxmlformats.org/officeDocument/2006/relationships/hyperlink" Target="https://in.tradingview.com/chart/bXJLby4L/?symbol=NSE%3A20MICRONS" TargetMode="External"/><Relationship Id="rId887" Type="http://schemas.openxmlformats.org/officeDocument/2006/relationships/hyperlink" Target="https://in.tradingview.com/chart/bXJLby4L/?symbol=NSE%3A20MICRONS" TargetMode="External"/><Relationship Id="rId886" Type="http://schemas.openxmlformats.org/officeDocument/2006/relationships/hyperlink" Target="https://in.tradingview.com/chart/bXJLby4L/?symbol=NSE%3A20MICRONS" TargetMode="External"/><Relationship Id="rId885" Type="http://schemas.openxmlformats.org/officeDocument/2006/relationships/hyperlink" Target="https://in.tradingview.com/chart/bXJLby4L/?symbol=NSE%3A20MICRONS" TargetMode="External"/><Relationship Id="rId889" Type="http://schemas.openxmlformats.org/officeDocument/2006/relationships/hyperlink" Target="https://in.tradingview.com/chart/bXJLby4L/?symbol=NSE%3A20MICRONS" TargetMode="External"/><Relationship Id="rId880" Type="http://schemas.openxmlformats.org/officeDocument/2006/relationships/hyperlink" Target="https://in.tradingview.com/chart/bXJLby4L/?symbol=NSE%3A20MICRONS" TargetMode="External"/><Relationship Id="rId884" Type="http://schemas.openxmlformats.org/officeDocument/2006/relationships/hyperlink" Target="https://in.tradingview.com/chart/bXJLby4L/?symbol=NSE%3A20MICRONS" TargetMode="External"/><Relationship Id="rId883" Type="http://schemas.openxmlformats.org/officeDocument/2006/relationships/hyperlink" Target="https://in.tradingview.com/chart/bXJLby4L/?symbol=NSE%3A20MICRONS" TargetMode="External"/><Relationship Id="rId882" Type="http://schemas.openxmlformats.org/officeDocument/2006/relationships/hyperlink" Target="https://in.tradingview.com/chart/bXJLby4L/?symbol=NSE%3A20MICRONS" TargetMode="External"/><Relationship Id="rId881" Type="http://schemas.openxmlformats.org/officeDocument/2006/relationships/hyperlink" Target="https://in.tradingview.com/chart/bXJLby4L/?symbol=NSE%3A20MICRONS" TargetMode="External"/><Relationship Id="rId877" Type="http://schemas.openxmlformats.org/officeDocument/2006/relationships/hyperlink" Target="https://in.tradingview.com/chart/bXJLby4L/?symbol=NSE%3A20MICRONS" TargetMode="External"/><Relationship Id="rId876" Type="http://schemas.openxmlformats.org/officeDocument/2006/relationships/hyperlink" Target="https://in.tradingview.com/chart/bXJLby4L/?symbol=NSE%3A20MICRONS" TargetMode="External"/><Relationship Id="rId875" Type="http://schemas.openxmlformats.org/officeDocument/2006/relationships/hyperlink" Target="https://in.tradingview.com/chart/bXJLby4L/?symbol=NSE%3A20MICRONS" TargetMode="External"/><Relationship Id="rId874" Type="http://schemas.openxmlformats.org/officeDocument/2006/relationships/hyperlink" Target="https://in.tradingview.com/chart/bXJLby4L/?symbol=NSE%3A20MICRONS" TargetMode="External"/><Relationship Id="rId879" Type="http://schemas.openxmlformats.org/officeDocument/2006/relationships/hyperlink" Target="https://in.tradingview.com/chart/bXJLby4L/?symbol=NSE%3A20MICRONS" TargetMode="External"/><Relationship Id="rId878" Type="http://schemas.openxmlformats.org/officeDocument/2006/relationships/hyperlink" Target="https://in.tradingview.com/chart/bXJLby4L/?symbol=NSE%3A20MICRONS" TargetMode="External"/><Relationship Id="rId873" Type="http://schemas.openxmlformats.org/officeDocument/2006/relationships/hyperlink" Target="https://in.tradingview.com/chart/bXJLby4L/?symbol=NSE%3A20MICRONS" TargetMode="External"/><Relationship Id="rId872" Type="http://schemas.openxmlformats.org/officeDocument/2006/relationships/hyperlink" Target="https://in.tradingview.com/chart/bXJLby4L/?symbol=NSE%3A20MICRONS" TargetMode="External"/><Relationship Id="rId871" Type="http://schemas.openxmlformats.org/officeDocument/2006/relationships/hyperlink" Target="https://in.tradingview.com/chart/bXJLby4L/?symbol=NSE%3A20MICRONS" TargetMode="External"/><Relationship Id="rId870" Type="http://schemas.openxmlformats.org/officeDocument/2006/relationships/hyperlink" Target="https://in.tradingview.com/chart/bXJLby4L/?symbol=NSE%3A20MICRONS" TargetMode="External"/><Relationship Id="rId1653" Type="http://schemas.openxmlformats.org/officeDocument/2006/relationships/hyperlink" Target="https://in.tradingview.com/chart/bXJLby4L/?symbol=NSE%3A20MICRONS" TargetMode="External"/><Relationship Id="rId1654" Type="http://schemas.openxmlformats.org/officeDocument/2006/relationships/hyperlink" Target="https://in.tradingview.com/chart/bXJLby4L/?symbol=NSE%3A20MICRONS" TargetMode="External"/><Relationship Id="rId1655" Type="http://schemas.openxmlformats.org/officeDocument/2006/relationships/hyperlink" Target="https://in.tradingview.com/chart/bXJLby4L/?symbol=NSE%3A20MICRONS" TargetMode="External"/><Relationship Id="rId1656" Type="http://schemas.openxmlformats.org/officeDocument/2006/relationships/hyperlink" Target="https://in.tradingview.com/chart/bXJLby4L/?symbol=NSE%3A20MICRONS" TargetMode="External"/><Relationship Id="rId1657" Type="http://schemas.openxmlformats.org/officeDocument/2006/relationships/hyperlink" Target="https://in.tradingview.com/chart/bXJLby4L/?symbol=NSE%3A20MICRONS" TargetMode="External"/><Relationship Id="rId1658" Type="http://schemas.openxmlformats.org/officeDocument/2006/relationships/hyperlink" Target="https://in.tradingview.com/chart/bXJLby4L/?symbol=NSE%3A20MICRONS" TargetMode="External"/><Relationship Id="rId1659" Type="http://schemas.openxmlformats.org/officeDocument/2006/relationships/hyperlink" Target="https://in.tradingview.com/chart/bXJLby4L/?symbol=NSE%3A20MICRONS" TargetMode="External"/><Relationship Id="rId829" Type="http://schemas.openxmlformats.org/officeDocument/2006/relationships/hyperlink" Target="https://in.tradingview.com/chart/bXJLby4L/?symbol=NSE%3A20MICRONS" TargetMode="External"/><Relationship Id="rId828" Type="http://schemas.openxmlformats.org/officeDocument/2006/relationships/hyperlink" Target="https://in.tradingview.com/chart/bXJLby4L/?symbol=NSE%3A20MICRONS" TargetMode="External"/><Relationship Id="rId827" Type="http://schemas.openxmlformats.org/officeDocument/2006/relationships/hyperlink" Target="https://in.tradingview.com/chart/bXJLby4L/?symbol=NSE%3A20MICRONS" TargetMode="External"/><Relationship Id="rId822" Type="http://schemas.openxmlformats.org/officeDocument/2006/relationships/hyperlink" Target="https://in.tradingview.com/chart/bXJLby4L/?symbol=NSE%3A20MICRONS" TargetMode="External"/><Relationship Id="rId821" Type="http://schemas.openxmlformats.org/officeDocument/2006/relationships/hyperlink" Target="https://in.tradingview.com/chart/bXJLby4L/?symbol=NSE%3A20MICRONS" TargetMode="External"/><Relationship Id="rId820" Type="http://schemas.openxmlformats.org/officeDocument/2006/relationships/hyperlink" Target="https://in.tradingview.com/chart/bXJLby4L/?symbol=NSE%3A20MICRONS" TargetMode="External"/><Relationship Id="rId826" Type="http://schemas.openxmlformats.org/officeDocument/2006/relationships/hyperlink" Target="https://in.tradingview.com/chart/bXJLby4L/?symbol=NSE%3A20MICRONS" TargetMode="External"/><Relationship Id="rId825" Type="http://schemas.openxmlformats.org/officeDocument/2006/relationships/hyperlink" Target="https://in.tradingview.com/chart/bXJLby4L/?symbol=NSE%3A20MICRONS" TargetMode="External"/><Relationship Id="rId824" Type="http://schemas.openxmlformats.org/officeDocument/2006/relationships/hyperlink" Target="https://in.tradingview.com/chart/bXJLby4L/?symbol=NSE%3A20MICRONS" TargetMode="External"/><Relationship Id="rId823" Type="http://schemas.openxmlformats.org/officeDocument/2006/relationships/hyperlink" Target="https://in.tradingview.com/chart/bXJLby4L/?symbol=NSE%3A20MICRONS" TargetMode="External"/><Relationship Id="rId1650" Type="http://schemas.openxmlformats.org/officeDocument/2006/relationships/hyperlink" Target="https://in.tradingview.com/chart/bXJLby4L/?symbol=NSE%3A20MICRONS" TargetMode="External"/><Relationship Id="rId1651" Type="http://schemas.openxmlformats.org/officeDocument/2006/relationships/hyperlink" Target="https://in.tradingview.com/chart/bXJLby4L/?symbol=NSE%3A20MICRONS" TargetMode="External"/><Relationship Id="rId1652" Type="http://schemas.openxmlformats.org/officeDocument/2006/relationships/hyperlink" Target="https://in.tradingview.com/chart/bXJLby4L/?symbol=NSE%3A20MICRONS" TargetMode="External"/><Relationship Id="rId1642" Type="http://schemas.openxmlformats.org/officeDocument/2006/relationships/hyperlink" Target="https://in.tradingview.com/chart/bXJLby4L/?symbol=NSE%3A20MICRONS" TargetMode="External"/><Relationship Id="rId1643" Type="http://schemas.openxmlformats.org/officeDocument/2006/relationships/hyperlink" Target="https://in.tradingview.com/chart/bXJLby4L/?symbol=NSE%3A20MICRONS" TargetMode="External"/><Relationship Id="rId1644" Type="http://schemas.openxmlformats.org/officeDocument/2006/relationships/hyperlink" Target="https://in.tradingview.com/chart/bXJLby4L/?symbol=NSE%3A20MICRONS" TargetMode="External"/><Relationship Id="rId1645" Type="http://schemas.openxmlformats.org/officeDocument/2006/relationships/hyperlink" Target="https://in.tradingview.com/chart/bXJLby4L/?symbol=NSE%3A20MICRONS" TargetMode="External"/><Relationship Id="rId1646" Type="http://schemas.openxmlformats.org/officeDocument/2006/relationships/hyperlink" Target="https://in.tradingview.com/chart/bXJLby4L/?symbol=NSE%3A20MICRONS" TargetMode="External"/><Relationship Id="rId1647" Type="http://schemas.openxmlformats.org/officeDocument/2006/relationships/hyperlink" Target="https://in.tradingview.com/chart/bXJLby4L/?symbol=NSE%3A20MICRONS" TargetMode="External"/><Relationship Id="rId1648" Type="http://schemas.openxmlformats.org/officeDocument/2006/relationships/hyperlink" Target="https://in.tradingview.com/chart/bXJLby4L/?symbol=NSE%3A20MICRONS" TargetMode="External"/><Relationship Id="rId1649" Type="http://schemas.openxmlformats.org/officeDocument/2006/relationships/hyperlink" Target="https://in.tradingview.com/chart/bXJLby4L/?symbol=NSE%3A20MICRONS" TargetMode="External"/><Relationship Id="rId819" Type="http://schemas.openxmlformats.org/officeDocument/2006/relationships/hyperlink" Target="https://in.tradingview.com/chart/bXJLby4L/?symbol=NSE%3A20MICRONS" TargetMode="External"/><Relationship Id="rId818" Type="http://schemas.openxmlformats.org/officeDocument/2006/relationships/hyperlink" Target="https://in.tradingview.com/chart/bXJLby4L/?symbol=NSE%3A20MICRONS" TargetMode="External"/><Relationship Id="rId817" Type="http://schemas.openxmlformats.org/officeDocument/2006/relationships/hyperlink" Target="https://in.tradingview.com/chart/bXJLby4L/?symbol=NSE%3A20MICRONS" TargetMode="External"/><Relationship Id="rId816" Type="http://schemas.openxmlformats.org/officeDocument/2006/relationships/hyperlink" Target="https://in.tradingview.com/chart/bXJLby4L/?symbol=NSE%3A20MICRONS" TargetMode="External"/><Relationship Id="rId811" Type="http://schemas.openxmlformats.org/officeDocument/2006/relationships/hyperlink" Target="https://in.tradingview.com/chart/bXJLby4L/?symbol=NSE%3A20MICRONS" TargetMode="External"/><Relationship Id="rId810" Type="http://schemas.openxmlformats.org/officeDocument/2006/relationships/hyperlink" Target="https://in.tradingview.com/chart/bXJLby4L/?symbol=NSE%3A20MICRONS" TargetMode="External"/><Relationship Id="rId815" Type="http://schemas.openxmlformats.org/officeDocument/2006/relationships/hyperlink" Target="https://in.tradingview.com/chart/bXJLby4L/?symbol=NSE%3A20MICRONS" TargetMode="External"/><Relationship Id="rId814" Type="http://schemas.openxmlformats.org/officeDocument/2006/relationships/hyperlink" Target="https://in.tradingview.com/chart/bXJLby4L/?symbol=NSE%3A20MICRONS" TargetMode="External"/><Relationship Id="rId813" Type="http://schemas.openxmlformats.org/officeDocument/2006/relationships/hyperlink" Target="https://in.tradingview.com/chart/bXJLby4L/?symbol=NSE%3A20MICRONS" TargetMode="External"/><Relationship Id="rId812" Type="http://schemas.openxmlformats.org/officeDocument/2006/relationships/hyperlink" Target="https://in.tradingview.com/chart/bXJLby4L/?symbol=NSE%3A20MICRONS" TargetMode="External"/><Relationship Id="rId1640" Type="http://schemas.openxmlformats.org/officeDocument/2006/relationships/hyperlink" Target="https://in.tradingview.com/chart/bXJLby4L/?symbol=NSE%3A20MICRONS" TargetMode="External"/><Relationship Id="rId1641" Type="http://schemas.openxmlformats.org/officeDocument/2006/relationships/hyperlink" Target="https://in.tradingview.com/chart/bXJLby4L/?symbol=NSE%3A20MICRONS" TargetMode="External"/><Relationship Id="rId1675" Type="http://schemas.openxmlformats.org/officeDocument/2006/relationships/hyperlink" Target="https://in.tradingview.com/chart/bXJLby4L/?symbol=NSE%3A20MICRONS" TargetMode="External"/><Relationship Id="rId1676" Type="http://schemas.openxmlformats.org/officeDocument/2006/relationships/hyperlink" Target="https://in.tradingview.com/chart/bXJLby4L/?symbol=NSE%3A20MICRONS" TargetMode="External"/><Relationship Id="rId1677" Type="http://schemas.openxmlformats.org/officeDocument/2006/relationships/hyperlink" Target="https://in.tradingview.com/chart/bXJLby4L/?symbol=NSE%3A20MICRONS" TargetMode="External"/><Relationship Id="rId1678" Type="http://schemas.openxmlformats.org/officeDocument/2006/relationships/hyperlink" Target="https://in.tradingview.com/chart/bXJLby4L/?symbol=NSE%3A20MICRONS" TargetMode="External"/><Relationship Id="rId1679" Type="http://schemas.openxmlformats.org/officeDocument/2006/relationships/hyperlink" Target="https://in.tradingview.com/chart/bXJLby4L/?symbol=NSE%3A20MICRONS" TargetMode="External"/><Relationship Id="rId849" Type="http://schemas.openxmlformats.org/officeDocument/2006/relationships/hyperlink" Target="https://in.tradingview.com/chart/bXJLby4L/?symbol=NSE%3A20MICRONS" TargetMode="External"/><Relationship Id="rId844" Type="http://schemas.openxmlformats.org/officeDocument/2006/relationships/hyperlink" Target="https://in.tradingview.com/chart/bXJLby4L/?symbol=NSE%3A20MICRONS" TargetMode="External"/><Relationship Id="rId843" Type="http://schemas.openxmlformats.org/officeDocument/2006/relationships/hyperlink" Target="https://in.tradingview.com/chart/bXJLby4L/?symbol=NSE%3A20MICRONS" TargetMode="External"/><Relationship Id="rId842" Type="http://schemas.openxmlformats.org/officeDocument/2006/relationships/hyperlink" Target="https://in.tradingview.com/chart/bXJLby4L/?symbol=NSE%3A20MICRONS" TargetMode="External"/><Relationship Id="rId841" Type="http://schemas.openxmlformats.org/officeDocument/2006/relationships/hyperlink" Target="https://in.tradingview.com/chart/bXJLby4L/?symbol=NSE%3A20MICRONS" TargetMode="External"/><Relationship Id="rId848" Type="http://schemas.openxmlformats.org/officeDocument/2006/relationships/hyperlink" Target="https://in.tradingview.com/chart/bXJLby4L/?symbol=NSE%3A20MICRONS" TargetMode="External"/><Relationship Id="rId847" Type="http://schemas.openxmlformats.org/officeDocument/2006/relationships/hyperlink" Target="https://in.tradingview.com/chart/bXJLby4L/?symbol=NSE%3A20MICRONS" TargetMode="External"/><Relationship Id="rId846" Type="http://schemas.openxmlformats.org/officeDocument/2006/relationships/hyperlink" Target="https://in.tradingview.com/chart/bXJLby4L/?symbol=NSE%3A20MICRONS" TargetMode="External"/><Relationship Id="rId845" Type="http://schemas.openxmlformats.org/officeDocument/2006/relationships/hyperlink" Target="https://in.tradingview.com/chart/bXJLby4L/?symbol=NSE%3A20MICRONS" TargetMode="External"/><Relationship Id="rId1670" Type="http://schemas.openxmlformats.org/officeDocument/2006/relationships/hyperlink" Target="https://in.tradingview.com/chart/bXJLby4L/?symbol=NSE%3A20MICRONS" TargetMode="External"/><Relationship Id="rId840" Type="http://schemas.openxmlformats.org/officeDocument/2006/relationships/hyperlink" Target="https://in.tradingview.com/chart/bXJLby4L/?symbol=NSE%3A20MICRONS" TargetMode="External"/><Relationship Id="rId1671" Type="http://schemas.openxmlformats.org/officeDocument/2006/relationships/hyperlink" Target="https://in.tradingview.com/chart/bXJLby4L/?symbol=NSE%3A20MICRONS" TargetMode="External"/><Relationship Id="rId1672" Type="http://schemas.openxmlformats.org/officeDocument/2006/relationships/hyperlink" Target="https://in.tradingview.com/chart/bXJLby4L/?symbol=NSE%3A20MICRONS" TargetMode="External"/><Relationship Id="rId1673" Type="http://schemas.openxmlformats.org/officeDocument/2006/relationships/hyperlink" Target="https://in.tradingview.com/chart/bXJLby4L/?symbol=NSE%3A20MICRONS" TargetMode="External"/><Relationship Id="rId1674" Type="http://schemas.openxmlformats.org/officeDocument/2006/relationships/hyperlink" Target="https://in.tradingview.com/chart/bXJLby4L/?symbol=NSE%3A20MICRONS" TargetMode="External"/><Relationship Id="rId1664" Type="http://schemas.openxmlformats.org/officeDocument/2006/relationships/hyperlink" Target="https://in.tradingview.com/chart/bXJLby4L/?symbol=NSE%3A20MICRONS" TargetMode="External"/><Relationship Id="rId1665" Type="http://schemas.openxmlformats.org/officeDocument/2006/relationships/hyperlink" Target="https://in.tradingview.com/chart/bXJLby4L/?symbol=NSE%3A20MICRONS" TargetMode="External"/><Relationship Id="rId1666" Type="http://schemas.openxmlformats.org/officeDocument/2006/relationships/hyperlink" Target="https://in.tradingview.com/chart/bXJLby4L/?symbol=NSE%3A20MICRONS" TargetMode="External"/><Relationship Id="rId1667" Type="http://schemas.openxmlformats.org/officeDocument/2006/relationships/hyperlink" Target="https://in.tradingview.com/chart/bXJLby4L/?symbol=NSE%3A20MICRONS" TargetMode="External"/><Relationship Id="rId1668" Type="http://schemas.openxmlformats.org/officeDocument/2006/relationships/hyperlink" Target="https://in.tradingview.com/chart/bXJLby4L/?symbol=NSE%3A20MICRONS" TargetMode="External"/><Relationship Id="rId1669" Type="http://schemas.openxmlformats.org/officeDocument/2006/relationships/hyperlink" Target="https://in.tradingview.com/chart/bXJLby4L/?symbol=NSE%3A20MICRONS" TargetMode="External"/><Relationship Id="rId839" Type="http://schemas.openxmlformats.org/officeDocument/2006/relationships/hyperlink" Target="https://in.tradingview.com/chart/bXJLby4L/?symbol=NSE%3A20MICRONS" TargetMode="External"/><Relationship Id="rId838" Type="http://schemas.openxmlformats.org/officeDocument/2006/relationships/hyperlink" Target="https://in.tradingview.com/chart/bXJLby4L/?symbol=NSE%3A20MICRONS" TargetMode="External"/><Relationship Id="rId833" Type="http://schemas.openxmlformats.org/officeDocument/2006/relationships/hyperlink" Target="https://in.tradingview.com/chart/bXJLby4L/?symbol=NSE%3A20MICRONS" TargetMode="External"/><Relationship Id="rId832" Type="http://schemas.openxmlformats.org/officeDocument/2006/relationships/hyperlink" Target="https://in.tradingview.com/chart/bXJLby4L/?symbol=NSE%3A20MICRONS" TargetMode="External"/><Relationship Id="rId831" Type="http://schemas.openxmlformats.org/officeDocument/2006/relationships/hyperlink" Target="https://in.tradingview.com/chart/bXJLby4L/?symbol=NSE%3A20MICRONS" TargetMode="External"/><Relationship Id="rId830" Type="http://schemas.openxmlformats.org/officeDocument/2006/relationships/hyperlink" Target="https://in.tradingview.com/chart/bXJLby4L/?symbol=NSE%3A20MICRONS" TargetMode="External"/><Relationship Id="rId837" Type="http://schemas.openxmlformats.org/officeDocument/2006/relationships/hyperlink" Target="https://in.tradingview.com/chart/bXJLby4L/?symbol=NSE%3A20MICRONS" TargetMode="External"/><Relationship Id="rId836" Type="http://schemas.openxmlformats.org/officeDocument/2006/relationships/hyperlink" Target="https://in.tradingview.com/chart/bXJLby4L/?symbol=NSE%3A20MICRONS" TargetMode="External"/><Relationship Id="rId835" Type="http://schemas.openxmlformats.org/officeDocument/2006/relationships/hyperlink" Target="https://in.tradingview.com/chart/bXJLby4L/?symbol=NSE%3A20MICRONS" TargetMode="External"/><Relationship Id="rId834" Type="http://schemas.openxmlformats.org/officeDocument/2006/relationships/hyperlink" Target="https://in.tradingview.com/chart/bXJLby4L/?symbol=NSE%3A20MICRONS" TargetMode="External"/><Relationship Id="rId1660" Type="http://schemas.openxmlformats.org/officeDocument/2006/relationships/hyperlink" Target="https://in.tradingview.com/chart/bXJLby4L/?symbol=NSE%3A20MICRONS" TargetMode="External"/><Relationship Id="rId1661" Type="http://schemas.openxmlformats.org/officeDocument/2006/relationships/hyperlink" Target="https://in.tradingview.com/chart/bXJLby4L/?symbol=NSE%3A20MICRONS" TargetMode="External"/><Relationship Id="rId1662" Type="http://schemas.openxmlformats.org/officeDocument/2006/relationships/hyperlink" Target="https://in.tradingview.com/chart/bXJLby4L/?symbol=NSE%3A20MICRONS" TargetMode="External"/><Relationship Id="rId1663" Type="http://schemas.openxmlformats.org/officeDocument/2006/relationships/hyperlink" Target="https://in.tradingview.com/chart/bXJLby4L/?symbol=NSE%3A20MICRONS" TargetMode="External"/><Relationship Id="rId2148" Type="http://schemas.openxmlformats.org/officeDocument/2006/relationships/hyperlink" Target="https://in.tradingview.com/chart/bXJLby4L/?symbol=NSE%3A20MICRONS" TargetMode="External"/><Relationship Id="rId2149" Type="http://schemas.openxmlformats.org/officeDocument/2006/relationships/hyperlink" Target="https://in.tradingview.com/chart/bXJLby4L/?symbol=NSE%3A20MICRONS" TargetMode="External"/><Relationship Id="rId2140" Type="http://schemas.openxmlformats.org/officeDocument/2006/relationships/hyperlink" Target="https://in.tradingview.com/chart/bXJLby4L/?symbol=NSE%3A20MICRONS" TargetMode="External"/><Relationship Id="rId2141" Type="http://schemas.openxmlformats.org/officeDocument/2006/relationships/hyperlink" Target="https://in.tradingview.com/chart/bXJLby4L/?symbol=NSE%3A20MICRONS" TargetMode="External"/><Relationship Id="rId2142" Type="http://schemas.openxmlformats.org/officeDocument/2006/relationships/hyperlink" Target="https://in.tradingview.com/chart/bXJLby4L/?symbol=NSE%3A20MICRONS" TargetMode="External"/><Relationship Id="rId2143" Type="http://schemas.openxmlformats.org/officeDocument/2006/relationships/hyperlink" Target="https://in.tradingview.com/chart/bXJLby4L/?symbol=NSE%3A20MICRONS" TargetMode="External"/><Relationship Id="rId2144" Type="http://schemas.openxmlformats.org/officeDocument/2006/relationships/hyperlink" Target="https://in.tradingview.com/chart/bXJLby4L/?symbol=NSE%3A20MICRONS" TargetMode="External"/><Relationship Id="rId2145" Type="http://schemas.openxmlformats.org/officeDocument/2006/relationships/hyperlink" Target="https://in.tradingview.com/chart/bXJLby4L/?symbol=NSE%3A20MICRONS" TargetMode="External"/><Relationship Id="rId2146" Type="http://schemas.openxmlformats.org/officeDocument/2006/relationships/hyperlink" Target="https://in.tradingview.com/chart/bXJLby4L/?symbol=NSE%3A20MICRONS" TargetMode="External"/><Relationship Id="rId2147" Type="http://schemas.openxmlformats.org/officeDocument/2006/relationships/hyperlink" Target="https://in.tradingview.com/chart/bXJLby4L/?symbol=NSE%3A20MICRONS" TargetMode="External"/><Relationship Id="rId2137" Type="http://schemas.openxmlformats.org/officeDocument/2006/relationships/hyperlink" Target="https://in.tradingview.com/chart/bXJLby4L/?symbol=NSE%3A20MICRONS" TargetMode="External"/><Relationship Id="rId2138" Type="http://schemas.openxmlformats.org/officeDocument/2006/relationships/hyperlink" Target="https://in.tradingview.com/chart/bXJLby4L/?symbol=NSE%3A20MICRONS" TargetMode="External"/><Relationship Id="rId2139" Type="http://schemas.openxmlformats.org/officeDocument/2006/relationships/hyperlink" Target="https://in.tradingview.com/chart/bXJLby4L/?symbol=NSE%3A20MICRONS" TargetMode="External"/><Relationship Id="rId2130" Type="http://schemas.openxmlformats.org/officeDocument/2006/relationships/hyperlink" Target="https://in.tradingview.com/chart/bXJLby4L/?symbol=NSE%3A20MICRONS" TargetMode="External"/><Relationship Id="rId2131" Type="http://schemas.openxmlformats.org/officeDocument/2006/relationships/hyperlink" Target="https://in.tradingview.com/chart/bXJLby4L/?symbol=NSE%3A20MICRONS" TargetMode="External"/><Relationship Id="rId2132" Type="http://schemas.openxmlformats.org/officeDocument/2006/relationships/hyperlink" Target="https://in.tradingview.com/chart/bXJLby4L/?symbol=NSE%3A20MICRONS" TargetMode="External"/><Relationship Id="rId2133" Type="http://schemas.openxmlformats.org/officeDocument/2006/relationships/hyperlink" Target="https://in.tradingview.com/chart/bXJLby4L/?symbol=NSE%3A20MICRONS" TargetMode="External"/><Relationship Id="rId2134" Type="http://schemas.openxmlformats.org/officeDocument/2006/relationships/hyperlink" Target="https://in.tradingview.com/chart/bXJLby4L/?symbol=NSE%3A20MICRONS" TargetMode="External"/><Relationship Id="rId2135" Type="http://schemas.openxmlformats.org/officeDocument/2006/relationships/hyperlink" Target="https://in.tradingview.com/chart/bXJLby4L/?symbol=NSE%3A20MICRONS" TargetMode="External"/><Relationship Id="rId2136" Type="http://schemas.openxmlformats.org/officeDocument/2006/relationships/hyperlink" Target="https://in.tradingview.com/chart/bXJLby4L/?symbol=NSE%3A20MICRONS" TargetMode="External"/><Relationship Id="rId2160" Type="http://schemas.openxmlformats.org/officeDocument/2006/relationships/hyperlink" Target="https://in.tradingview.com/chart/bXJLby4L/?symbol=NSE%3A20MICRONS" TargetMode="External"/><Relationship Id="rId2161" Type="http://schemas.openxmlformats.org/officeDocument/2006/relationships/hyperlink" Target="https://in.tradingview.com/chart/bXJLby4L/?symbol=NSE%3A20MICRONS" TargetMode="External"/><Relationship Id="rId2162" Type="http://schemas.openxmlformats.org/officeDocument/2006/relationships/hyperlink" Target="https://in.tradingview.com/chart/bXJLby4L/?symbol=NSE%3A20MICRONS" TargetMode="External"/><Relationship Id="rId2163" Type="http://schemas.openxmlformats.org/officeDocument/2006/relationships/hyperlink" Target="https://in.tradingview.com/chart/bXJLby4L/?symbol=NSE%3A20MICRONS" TargetMode="External"/><Relationship Id="rId2164" Type="http://schemas.openxmlformats.org/officeDocument/2006/relationships/hyperlink" Target="https://in.tradingview.com/chart/bXJLby4L/?symbol=NSE%3A20MICRONS" TargetMode="External"/><Relationship Id="rId2165" Type="http://schemas.openxmlformats.org/officeDocument/2006/relationships/hyperlink" Target="https://in.tradingview.com/chart/bXJLby4L/?symbol=NSE%3A20MICRONS" TargetMode="External"/><Relationship Id="rId2166" Type="http://schemas.openxmlformats.org/officeDocument/2006/relationships/hyperlink" Target="https://in.tradingview.com/chart/bXJLby4L/?symbol=NSE%3A20MICRONS" TargetMode="External"/><Relationship Id="rId2167" Type="http://schemas.openxmlformats.org/officeDocument/2006/relationships/hyperlink" Target="https://in.tradingview.com/chart/bXJLby4L/?symbol=NSE%3A20MICRONS" TargetMode="External"/><Relationship Id="rId2168" Type="http://schemas.openxmlformats.org/officeDocument/2006/relationships/hyperlink" Target="https://in.tradingview.com/chart/bXJLby4L/?symbol=NSE%3A20MICRONS" TargetMode="External"/><Relationship Id="rId2169" Type="http://schemas.openxmlformats.org/officeDocument/2006/relationships/hyperlink" Target="https://in.tradingview.com/chart/bXJLby4L/?symbol=NSE%3A20MICRONS" TargetMode="External"/><Relationship Id="rId2159" Type="http://schemas.openxmlformats.org/officeDocument/2006/relationships/hyperlink" Target="https://in.tradingview.com/chart/bXJLby4L/?symbol=NSE%3A20MICRONS" TargetMode="External"/><Relationship Id="rId2150" Type="http://schemas.openxmlformats.org/officeDocument/2006/relationships/hyperlink" Target="https://in.tradingview.com/chart/bXJLby4L/?symbol=NSE%3A20MICRONS" TargetMode="External"/><Relationship Id="rId2151" Type="http://schemas.openxmlformats.org/officeDocument/2006/relationships/hyperlink" Target="https://in.tradingview.com/chart/bXJLby4L/?symbol=NSE%3A20MICRONS" TargetMode="External"/><Relationship Id="rId2152" Type="http://schemas.openxmlformats.org/officeDocument/2006/relationships/hyperlink" Target="https://in.tradingview.com/chart/bXJLby4L/?symbol=NSE%3A20MICRONS" TargetMode="External"/><Relationship Id="rId2153" Type="http://schemas.openxmlformats.org/officeDocument/2006/relationships/hyperlink" Target="https://in.tradingview.com/chart/bXJLby4L/?symbol=NSE%3A20MICRONS" TargetMode="External"/><Relationship Id="rId2154" Type="http://schemas.openxmlformats.org/officeDocument/2006/relationships/hyperlink" Target="https://in.tradingview.com/chart/bXJLby4L/?symbol=NSE%3A20MICRONS" TargetMode="External"/><Relationship Id="rId2155" Type="http://schemas.openxmlformats.org/officeDocument/2006/relationships/hyperlink" Target="https://in.tradingview.com/chart/bXJLby4L/?symbol=NSE%3A20MICRONS" TargetMode="External"/><Relationship Id="rId2156" Type="http://schemas.openxmlformats.org/officeDocument/2006/relationships/hyperlink" Target="https://in.tradingview.com/chart/bXJLby4L/?symbol=NSE%3A20MICRONS" TargetMode="External"/><Relationship Id="rId2157" Type="http://schemas.openxmlformats.org/officeDocument/2006/relationships/hyperlink" Target="https://in.tradingview.com/chart/bXJLby4L/?symbol=NSE%3A20MICRONS" TargetMode="External"/><Relationship Id="rId2158" Type="http://schemas.openxmlformats.org/officeDocument/2006/relationships/hyperlink" Target="https://in.tradingview.com/chart/bXJLby4L/?symbol=NSE%3A20MICRONS" TargetMode="External"/><Relationship Id="rId2104" Type="http://schemas.openxmlformats.org/officeDocument/2006/relationships/hyperlink" Target="https://in.tradingview.com/chart/bXJLby4L/?symbol=NSE%3A20MICRONS" TargetMode="External"/><Relationship Id="rId2105" Type="http://schemas.openxmlformats.org/officeDocument/2006/relationships/hyperlink" Target="https://in.tradingview.com/chart/bXJLby4L/?symbol=NSE%3A20MICRONS" TargetMode="External"/><Relationship Id="rId2106" Type="http://schemas.openxmlformats.org/officeDocument/2006/relationships/hyperlink" Target="https://in.tradingview.com/chart/bXJLby4L/?symbol=NSE%3A20MICRONS" TargetMode="External"/><Relationship Id="rId2107" Type="http://schemas.openxmlformats.org/officeDocument/2006/relationships/hyperlink" Target="https://in.tradingview.com/chart/bXJLby4L/?symbol=NSE%3A20MICRONS" TargetMode="External"/><Relationship Id="rId2108" Type="http://schemas.openxmlformats.org/officeDocument/2006/relationships/hyperlink" Target="https://in.tradingview.com/chart/bXJLby4L/?symbol=NSE%3A20MICRONS" TargetMode="External"/><Relationship Id="rId2109" Type="http://schemas.openxmlformats.org/officeDocument/2006/relationships/hyperlink" Target="https://in.tradingview.com/chart/bXJLby4L/?symbol=NSE%3A20MICRONS" TargetMode="External"/><Relationship Id="rId2100" Type="http://schemas.openxmlformats.org/officeDocument/2006/relationships/hyperlink" Target="https://in.tradingview.com/chart/bXJLby4L/?symbol=NSE%3A20MICRONS" TargetMode="External"/><Relationship Id="rId2101" Type="http://schemas.openxmlformats.org/officeDocument/2006/relationships/hyperlink" Target="https://in.tradingview.com/chart/bXJLby4L/?symbol=NSE%3A20MICRONS" TargetMode="External"/><Relationship Id="rId2102" Type="http://schemas.openxmlformats.org/officeDocument/2006/relationships/hyperlink" Target="https://in.tradingview.com/chart/bXJLby4L/?symbol=NSE%3A20MICRONS" TargetMode="External"/><Relationship Id="rId2103" Type="http://schemas.openxmlformats.org/officeDocument/2006/relationships/hyperlink" Target="https://in.tradingview.com/chart/bXJLby4L/?symbol=NSE%3A20MICRONS" TargetMode="External"/><Relationship Id="rId899" Type="http://schemas.openxmlformats.org/officeDocument/2006/relationships/hyperlink" Target="https://in.tradingview.com/chart/bXJLby4L/?symbol=NSE%3A20MICRONS" TargetMode="External"/><Relationship Id="rId898" Type="http://schemas.openxmlformats.org/officeDocument/2006/relationships/hyperlink" Target="https://in.tradingview.com/chart/bXJLby4L/?symbol=NSE%3A20MICRONS" TargetMode="External"/><Relationship Id="rId897" Type="http://schemas.openxmlformats.org/officeDocument/2006/relationships/hyperlink" Target="https://in.tradingview.com/chart/bXJLby4L/?symbol=NSE%3A20MICRONS" TargetMode="External"/><Relationship Id="rId896" Type="http://schemas.openxmlformats.org/officeDocument/2006/relationships/hyperlink" Target="https://in.tradingview.com/chart/bXJLby4L/?symbol=NSE%3A20MICRONS" TargetMode="External"/><Relationship Id="rId891" Type="http://schemas.openxmlformats.org/officeDocument/2006/relationships/hyperlink" Target="https://in.tradingview.com/chart/bXJLby4L/?symbol=NSE%3A20MICRONS" TargetMode="External"/><Relationship Id="rId890" Type="http://schemas.openxmlformats.org/officeDocument/2006/relationships/hyperlink" Target="https://in.tradingview.com/chart/bXJLby4L/?symbol=NSE%3A20MICRONS" TargetMode="External"/><Relationship Id="rId895" Type="http://schemas.openxmlformats.org/officeDocument/2006/relationships/hyperlink" Target="https://in.tradingview.com/chart/bXJLby4L/?symbol=NSE%3A20MICRONS" TargetMode="External"/><Relationship Id="rId894" Type="http://schemas.openxmlformats.org/officeDocument/2006/relationships/hyperlink" Target="https://in.tradingview.com/chart/bXJLby4L/?symbol=NSE%3A20MICRONS" TargetMode="External"/><Relationship Id="rId893" Type="http://schemas.openxmlformats.org/officeDocument/2006/relationships/hyperlink" Target="https://in.tradingview.com/chart/bXJLby4L/?symbol=NSE%3A20MICRONS" TargetMode="External"/><Relationship Id="rId892" Type="http://schemas.openxmlformats.org/officeDocument/2006/relationships/hyperlink" Target="https://in.tradingview.com/chart/bXJLby4L/?symbol=NSE%3A20MICRONS" TargetMode="External"/><Relationship Id="rId2126" Type="http://schemas.openxmlformats.org/officeDocument/2006/relationships/hyperlink" Target="https://in.tradingview.com/chart/bXJLby4L/?symbol=NSE%3A20MICRONS" TargetMode="External"/><Relationship Id="rId2127" Type="http://schemas.openxmlformats.org/officeDocument/2006/relationships/hyperlink" Target="https://in.tradingview.com/chart/bXJLby4L/?symbol=NSE%3A20MICRONS" TargetMode="External"/><Relationship Id="rId2128" Type="http://schemas.openxmlformats.org/officeDocument/2006/relationships/hyperlink" Target="https://in.tradingview.com/chart/bXJLby4L/?symbol=NSE%3A20MICRONS" TargetMode="External"/><Relationship Id="rId2129" Type="http://schemas.openxmlformats.org/officeDocument/2006/relationships/hyperlink" Target="https://in.tradingview.com/chart/bXJLby4L/?symbol=NSE%3A20MICRONS" TargetMode="External"/><Relationship Id="rId2120" Type="http://schemas.openxmlformats.org/officeDocument/2006/relationships/hyperlink" Target="https://in.tradingview.com/chart/bXJLby4L/?symbol=NSE%3A20MICRONS" TargetMode="External"/><Relationship Id="rId2121" Type="http://schemas.openxmlformats.org/officeDocument/2006/relationships/hyperlink" Target="https://in.tradingview.com/chart/bXJLby4L/?symbol=NSE%3A20MICRONS" TargetMode="External"/><Relationship Id="rId2122" Type="http://schemas.openxmlformats.org/officeDocument/2006/relationships/hyperlink" Target="https://in.tradingview.com/chart/bXJLby4L/?symbol=NSE%3A20MICRONS" TargetMode="External"/><Relationship Id="rId2123" Type="http://schemas.openxmlformats.org/officeDocument/2006/relationships/hyperlink" Target="https://in.tradingview.com/chart/bXJLby4L/?symbol=NSE%3A20MICRONS" TargetMode="External"/><Relationship Id="rId2124" Type="http://schemas.openxmlformats.org/officeDocument/2006/relationships/hyperlink" Target="https://in.tradingview.com/chart/bXJLby4L/?symbol=NSE%3A20MICRONS" TargetMode="External"/><Relationship Id="rId2125" Type="http://schemas.openxmlformats.org/officeDocument/2006/relationships/hyperlink" Target="https://in.tradingview.com/chart/bXJLby4L/?symbol=NSE%3A20MICRONS" TargetMode="External"/><Relationship Id="rId2115" Type="http://schemas.openxmlformats.org/officeDocument/2006/relationships/hyperlink" Target="https://in.tradingview.com/chart/bXJLby4L/?symbol=NSE%3A20MICRONS" TargetMode="External"/><Relationship Id="rId2116" Type="http://schemas.openxmlformats.org/officeDocument/2006/relationships/hyperlink" Target="https://in.tradingview.com/chart/bXJLby4L/?symbol=NSE%3A20MICRONS" TargetMode="External"/><Relationship Id="rId2117" Type="http://schemas.openxmlformats.org/officeDocument/2006/relationships/hyperlink" Target="https://in.tradingview.com/chart/bXJLby4L/?symbol=NSE%3A20MICRONS" TargetMode="External"/><Relationship Id="rId2118" Type="http://schemas.openxmlformats.org/officeDocument/2006/relationships/hyperlink" Target="https://in.tradingview.com/chart/bXJLby4L/?symbol=NSE%3A20MICRONS" TargetMode="External"/><Relationship Id="rId2119" Type="http://schemas.openxmlformats.org/officeDocument/2006/relationships/hyperlink" Target="https://in.tradingview.com/chart/bXJLby4L/?symbol=NSE%3A20MICRONS" TargetMode="External"/><Relationship Id="rId2110" Type="http://schemas.openxmlformats.org/officeDocument/2006/relationships/hyperlink" Target="https://in.tradingview.com/chart/bXJLby4L/?symbol=NSE%3A20MICRONS" TargetMode="External"/><Relationship Id="rId2111" Type="http://schemas.openxmlformats.org/officeDocument/2006/relationships/hyperlink" Target="https://in.tradingview.com/chart/bXJLby4L/?symbol=NSE%3A20MICRONS" TargetMode="External"/><Relationship Id="rId2112" Type="http://schemas.openxmlformats.org/officeDocument/2006/relationships/hyperlink" Target="https://in.tradingview.com/chart/bXJLby4L/?symbol=NSE%3A20MICRONS" TargetMode="External"/><Relationship Id="rId2113" Type="http://schemas.openxmlformats.org/officeDocument/2006/relationships/hyperlink" Target="https://in.tradingview.com/chart/bXJLby4L/?symbol=NSE%3A20MICRONS" TargetMode="External"/><Relationship Id="rId2114" Type="http://schemas.openxmlformats.org/officeDocument/2006/relationships/hyperlink" Target="https://in.tradingview.com/chart/bXJLby4L/?symbol=NSE%3A20MICRONS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in.tradingview.com/chart/Cgv3Jm6J/?symbol=NSE%3ACIPLA" TargetMode="External"/><Relationship Id="rId391" Type="http://schemas.openxmlformats.org/officeDocument/2006/relationships/hyperlink" Target="https://in.tradingview.com/chart/Cgv3Jm6J/?symbol=NSE%3ACINEVISTA" TargetMode="External"/><Relationship Id="rId390" Type="http://schemas.openxmlformats.org/officeDocument/2006/relationships/hyperlink" Target="https://in.tradingview.com/chart/Cgv3Jm6J/?symbol=NSE%3ACINELINE" TargetMode="External"/><Relationship Id="rId2180" Type="http://schemas.openxmlformats.org/officeDocument/2006/relationships/hyperlink" Target="https://in.tradingview.com/chart/Cgv3Jm6J/?symbol=NSE%3AWAAREEENER" TargetMode="External"/><Relationship Id="rId2181" Type="http://schemas.openxmlformats.org/officeDocument/2006/relationships/hyperlink" Target="https://in.tradingview.com/chart/Cgv3Jm6J/?symbol=NSE%3AWABAG" TargetMode="External"/><Relationship Id="rId2182" Type="http://schemas.openxmlformats.org/officeDocument/2006/relationships/hyperlink" Target="https://in.tradingview.com/chart/Cgv3Jm6J/?symbol=NSE%3AWALCHANNAG" TargetMode="External"/><Relationship Id="rId2183" Type="http://schemas.openxmlformats.org/officeDocument/2006/relationships/hyperlink" Target="https://in.tradingview.com/chart/Cgv3Jm6J/?symbol=NSE%3AWANBURY" TargetMode="External"/><Relationship Id="rId385" Type="http://schemas.openxmlformats.org/officeDocument/2006/relationships/hyperlink" Target="https://in.tradingview.com/chart/Cgv3Jm6J/?symbol=NSE%3ACHOICEIN" TargetMode="External"/><Relationship Id="rId2184" Type="http://schemas.openxmlformats.org/officeDocument/2006/relationships/hyperlink" Target="https://in.tradingview.com/chart/Cgv3Jm6J/?symbol=NSE%3AWCIL" TargetMode="External"/><Relationship Id="rId384" Type="http://schemas.openxmlformats.org/officeDocument/2006/relationships/hyperlink" Target="https://in.tradingview.com/chart/Cgv3Jm6J/?symbol=NSE%3ACHEVIOT" TargetMode="External"/><Relationship Id="rId2185" Type="http://schemas.openxmlformats.org/officeDocument/2006/relationships/hyperlink" Target="https://in.tradingview.com/chart/Cgv3Jm6J/?symbol=NSE%3AWEALTH" TargetMode="External"/><Relationship Id="rId383" Type="http://schemas.openxmlformats.org/officeDocument/2006/relationships/hyperlink" Target="https://in.tradingview.com/chart/Cgv3Jm6J/?symbol=NSE%3ACHENNPETRO" TargetMode="External"/><Relationship Id="rId2186" Type="http://schemas.openxmlformats.org/officeDocument/2006/relationships/hyperlink" Target="https://in.tradingview.com/chart/Cgv3Jm6J/?symbol=NSE%3AWEBELSOLAR" TargetMode="External"/><Relationship Id="rId382" Type="http://schemas.openxmlformats.org/officeDocument/2006/relationships/hyperlink" Target="https://in.tradingview.com/chart/Cgv3Jm6J/?symbol=NSE%3ACHEMPLASTS" TargetMode="External"/><Relationship Id="rId2187" Type="http://schemas.openxmlformats.org/officeDocument/2006/relationships/hyperlink" Target="https://in.tradingview.com/chart/Cgv3Jm6J/?symbol=NSE%3AWEIZMANIND" TargetMode="External"/><Relationship Id="rId389" Type="http://schemas.openxmlformats.org/officeDocument/2006/relationships/hyperlink" Target="https://in.tradingview.com/chart/Cgv3Jm6J/?symbol=NSE%3ACIGNITITEC" TargetMode="External"/><Relationship Id="rId2188" Type="http://schemas.openxmlformats.org/officeDocument/2006/relationships/hyperlink" Target="https://in.tradingview.com/chart/Cgv3Jm6J/?symbol=NSE%3AWEL" TargetMode="External"/><Relationship Id="rId388" Type="http://schemas.openxmlformats.org/officeDocument/2006/relationships/hyperlink" Target="https://in.tradingview.com/chart/Cgv3Jm6J/?symbol=NSE%3ACIEINDIA" TargetMode="External"/><Relationship Id="rId2189" Type="http://schemas.openxmlformats.org/officeDocument/2006/relationships/hyperlink" Target="https://in.tradingview.com/chart/Cgv3Jm6J/?symbol=NSE%3AWELCORP" TargetMode="External"/><Relationship Id="rId387" Type="http://schemas.openxmlformats.org/officeDocument/2006/relationships/hyperlink" Target="https://in.tradingview.com/chart/Cgv3Jm6J/?symbol=NSE%3ACHOLAHLDNG" TargetMode="External"/><Relationship Id="rId386" Type="http://schemas.openxmlformats.org/officeDocument/2006/relationships/hyperlink" Target="https://in.tradingview.com/chart/Cgv3Jm6J/?symbol=NSE%3ACHOLAFIN" TargetMode="External"/><Relationship Id="rId381" Type="http://schemas.openxmlformats.org/officeDocument/2006/relationships/hyperlink" Target="https://in.tradingview.com/chart/Cgv3Jm6J/?symbol=NSE%3ACHEMFAB" TargetMode="External"/><Relationship Id="rId380" Type="http://schemas.openxmlformats.org/officeDocument/2006/relationships/hyperlink" Target="https://in.tradingview.com/chart/Cgv3Jm6J/?symbol=NSE%3ACHEMCON" TargetMode="External"/><Relationship Id="rId379" Type="http://schemas.openxmlformats.org/officeDocument/2006/relationships/hyperlink" Target="https://in.tradingview.com/chart/Cgv3Jm6J/?symbol=NSE%3ACHEMBOND" TargetMode="External"/><Relationship Id="rId2170" Type="http://schemas.openxmlformats.org/officeDocument/2006/relationships/hyperlink" Target="https://in.tradingview.com/chart/Cgv3Jm6J/?symbol=NSE%3AVOLTAMP" TargetMode="External"/><Relationship Id="rId2171" Type="http://schemas.openxmlformats.org/officeDocument/2006/relationships/hyperlink" Target="https://in.tradingview.com/chart/Cgv3Jm6J/?symbol=NSE%3AVOLTAS" TargetMode="External"/><Relationship Id="rId2172" Type="http://schemas.openxmlformats.org/officeDocument/2006/relationships/hyperlink" Target="https://in.tradingview.com/chart/Cgv3Jm6J/?symbol=NSE%3AVPRPL" TargetMode="External"/><Relationship Id="rId374" Type="http://schemas.openxmlformats.org/officeDocument/2006/relationships/hyperlink" Target="https://in.tradingview.com/chart/Cgv3Jm6J/?symbol=NSE%3ACEWATER" TargetMode="External"/><Relationship Id="rId2173" Type="http://schemas.openxmlformats.org/officeDocument/2006/relationships/hyperlink" Target="https://in.tradingview.com/chart/Cgv3Jm6J/?symbol=NSE%3AVRAJ" TargetMode="External"/><Relationship Id="rId373" Type="http://schemas.openxmlformats.org/officeDocument/2006/relationships/hyperlink" Target="https://in.tradingview.com/chart/Cgv3Jm6J/?symbol=NSE%3ACESC" TargetMode="External"/><Relationship Id="rId2174" Type="http://schemas.openxmlformats.org/officeDocument/2006/relationships/hyperlink" Target="https://in.tradingview.com/chart/Cgv3Jm6J/?symbol=NSE%3AVRLLOG" TargetMode="External"/><Relationship Id="rId372" Type="http://schemas.openxmlformats.org/officeDocument/2006/relationships/hyperlink" Target="https://in.tradingview.com/chart/Cgv3Jm6J/?symbol=NSE%3ACEREBRAINT" TargetMode="External"/><Relationship Id="rId2175" Type="http://schemas.openxmlformats.org/officeDocument/2006/relationships/hyperlink" Target="https://in.tradingview.com/chart/Cgv3Jm6J/?symbol=NSE%3AVSSL" TargetMode="External"/><Relationship Id="rId371" Type="http://schemas.openxmlformats.org/officeDocument/2006/relationships/hyperlink" Target="https://in.tradingview.com/chart/Cgv3Jm6J/?symbol=NSE%3ACERA" TargetMode="External"/><Relationship Id="rId2176" Type="http://schemas.openxmlformats.org/officeDocument/2006/relationships/hyperlink" Target="https://in.tradingview.com/chart/Cgv3Jm6J/?symbol=NSE%3AVSTIND" TargetMode="External"/><Relationship Id="rId378" Type="http://schemas.openxmlformats.org/officeDocument/2006/relationships/hyperlink" Target="https://in.tradingview.com/chart/Cgv3Jm6J/?symbol=NSE%3ACHAMBLFERT" TargetMode="External"/><Relationship Id="rId2177" Type="http://schemas.openxmlformats.org/officeDocument/2006/relationships/hyperlink" Target="https://in.tradingview.com/chart/Cgv3Jm6J/?symbol=NSE%3AVSTL" TargetMode="External"/><Relationship Id="rId377" Type="http://schemas.openxmlformats.org/officeDocument/2006/relationships/hyperlink" Target="https://in.tradingview.com/chart/Cgv3Jm6J/?symbol=NSE%3ACHALET" TargetMode="External"/><Relationship Id="rId2178" Type="http://schemas.openxmlformats.org/officeDocument/2006/relationships/hyperlink" Target="https://in.tradingview.com/chart/Cgv3Jm6J/?symbol=NSE%3AVSTTILLERS" TargetMode="External"/><Relationship Id="rId376" Type="http://schemas.openxmlformats.org/officeDocument/2006/relationships/hyperlink" Target="https://in.tradingview.com/chart/Cgv3Jm6J/?symbol=NSE%3ACGPOWER" TargetMode="External"/><Relationship Id="rId2179" Type="http://schemas.openxmlformats.org/officeDocument/2006/relationships/hyperlink" Target="https://in.tradingview.com/chart/Cgv3Jm6J/?symbol=NSE%3AVTL" TargetMode="External"/><Relationship Id="rId375" Type="http://schemas.openxmlformats.org/officeDocument/2006/relationships/hyperlink" Target="https://in.tradingview.com/chart/Cgv3Jm6J/?symbol=NSE%3ACGCL" TargetMode="External"/><Relationship Id="rId2190" Type="http://schemas.openxmlformats.org/officeDocument/2006/relationships/hyperlink" Target="https://in.tradingview.com/chart/Cgv3Jm6J/?symbol=NSE%3AWELENT" TargetMode="External"/><Relationship Id="rId2191" Type="http://schemas.openxmlformats.org/officeDocument/2006/relationships/hyperlink" Target="https://in.tradingview.com/chart/Cgv3Jm6J/?symbol=NSE%3AWELINV" TargetMode="External"/><Relationship Id="rId2192" Type="http://schemas.openxmlformats.org/officeDocument/2006/relationships/hyperlink" Target="https://in.tradingview.com/chart/Cgv3Jm6J/?symbol=NSE%3AWELSPUNLIV" TargetMode="External"/><Relationship Id="rId2193" Type="http://schemas.openxmlformats.org/officeDocument/2006/relationships/hyperlink" Target="https://in.tradingview.com/chart/Cgv3Jm6J/?symbol=NSE%3AWENDT" TargetMode="External"/><Relationship Id="rId2194" Type="http://schemas.openxmlformats.org/officeDocument/2006/relationships/hyperlink" Target="https://in.tradingview.com/chart/Cgv3Jm6J/?symbol=NSE%3AWESTLIFE" TargetMode="External"/><Relationship Id="rId396" Type="http://schemas.openxmlformats.org/officeDocument/2006/relationships/hyperlink" Target="https://in.tradingview.com/chart/Cgv3Jm6J/?symbol=NSE%3ACMSINFO" TargetMode="External"/><Relationship Id="rId2195" Type="http://schemas.openxmlformats.org/officeDocument/2006/relationships/hyperlink" Target="https://in.tradingview.com/chart/Cgv3Jm6J/?symbol=NSE%3AWEWIN" TargetMode="External"/><Relationship Id="rId395" Type="http://schemas.openxmlformats.org/officeDocument/2006/relationships/hyperlink" Target="https://in.tradingview.com/chart/Cgv3Jm6J/?symbol=NSE%3ACLSEL" TargetMode="External"/><Relationship Id="rId2196" Type="http://schemas.openxmlformats.org/officeDocument/2006/relationships/hyperlink" Target="https://in.tradingview.com/chart/Cgv3Jm6J/?symbol=NSE%3AWHEELS" TargetMode="External"/><Relationship Id="rId394" Type="http://schemas.openxmlformats.org/officeDocument/2006/relationships/hyperlink" Target="https://in.tradingview.com/chart/Cgv3Jm6J/?symbol=NSE%3ACLEDUCATE" TargetMode="External"/><Relationship Id="rId2197" Type="http://schemas.openxmlformats.org/officeDocument/2006/relationships/hyperlink" Target="https://in.tradingview.com/chart/Cgv3Jm6J/?symbol=NSE%3AWHIRLPOOL" TargetMode="External"/><Relationship Id="rId393" Type="http://schemas.openxmlformats.org/officeDocument/2006/relationships/hyperlink" Target="https://in.tradingview.com/chart/Cgv3Jm6J/?symbol=NSE%3ACLEAN" TargetMode="External"/><Relationship Id="rId2198" Type="http://schemas.openxmlformats.org/officeDocument/2006/relationships/hyperlink" Target="https://in.tradingview.com/chart/Cgv3Jm6J/?symbol=NSE%3AWILLAMAGOR" TargetMode="External"/><Relationship Id="rId2199" Type="http://schemas.openxmlformats.org/officeDocument/2006/relationships/hyperlink" Target="https://in.tradingview.com/chart/Cgv3Jm6J/?symbol=NSE%3AWINDLAS" TargetMode="External"/><Relationship Id="rId399" Type="http://schemas.openxmlformats.org/officeDocument/2006/relationships/hyperlink" Target="https://in.tradingview.com/chart/Cgv3Jm6J/?symbol=NSE%3ACOCHINSHIP" TargetMode="External"/><Relationship Id="rId398" Type="http://schemas.openxmlformats.org/officeDocument/2006/relationships/hyperlink" Target="https://in.tradingview.com/chart/Cgv3Jm6J/?symbol=NSE%3ACOASTCORP" TargetMode="External"/><Relationship Id="rId397" Type="http://schemas.openxmlformats.org/officeDocument/2006/relationships/hyperlink" Target="https://in.tradingview.com/chart/Cgv3Jm6J/?symbol=NSE%3ACOALINDIA" TargetMode="External"/><Relationship Id="rId1730" Type="http://schemas.openxmlformats.org/officeDocument/2006/relationships/hyperlink" Target="https://in.tradingview.com/chart/Cgv3Jm6J/?symbol=NSE%3ASANDHAR" TargetMode="External"/><Relationship Id="rId1731" Type="http://schemas.openxmlformats.org/officeDocument/2006/relationships/hyperlink" Target="https://in.tradingview.com/chart/Cgv3Jm6J/?symbol=NSE%3ASANDUMA" TargetMode="External"/><Relationship Id="rId1732" Type="http://schemas.openxmlformats.org/officeDocument/2006/relationships/hyperlink" Target="https://in.tradingview.com/chart/Cgv3Jm6J/?symbol=NSE%3ASANGAMIND" TargetMode="External"/><Relationship Id="rId1733" Type="http://schemas.openxmlformats.org/officeDocument/2006/relationships/hyperlink" Target="https://in.tradingview.com/chart/Cgv3Jm6J/?symbol=NSE%3ASANGHIIND" TargetMode="External"/><Relationship Id="rId1734" Type="http://schemas.openxmlformats.org/officeDocument/2006/relationships/hyperlink" Target="https://in.tradingview.com/chart/Cgv3Jm6J/?symbol=NSE%3ASANGHVIMOV" TargetMode="External"/><Relationship Id="rId1735" Type="http://schemas.openxmlformats.org/officeDocument/2006/relationships/hyperlink" Target="https://in.tradingview.com/chart/Cgv3Jm6J/?symbol=NSE%3ASANGINITA" TargetMode="External"/><Relationship Id="rId1736" Type="http://schemas.openxmlformats.org/officeDocument/2006/relationships/hyperlink" Target="https://in.tradingview.com/chart/Cgv3Jm6J/?symbol=NSE%3ASANOFI" TargetMode="External"/><Relationship Id="rId1737" Type="http://schemas.openxmlformats.org/officeDocument/2006/relationships/hyperlink" Target="https://in.tradingview.com/chart/Cgv3Jm6J/?symbol=NSE%3ASANOFICONR" TargetMode="External"/><Relationship Id="rId1738" Type="http://schemas.openxmlformats.org/officeDocument/2006/relationships/hyperlink" Target="https://in.tradingview.com/chart/Cgv3Jm6J/?symbol=NSE%3ASANSERA" TargetMode="External"/><Relationship Id="rId1739" Type="http://schemas.openxmlformats.org/officeDocument/2006/relationships/hyperlink" Target="https://in.tradingview.com/chart/Cgv3Jm6J/?symbol=NSE%3ASANSTAR" TargetMode="External"/><Relationship Id="rId1720" Type="http://schemas.openxmlformats.org/officeDocument/2006/relationships/hyperlink" Target="https://in.tradingview.com/chart/Cgv3Jm6J/?symbol=NSE%3ASALASAR" TargetMode="External"/><Relationship Id="rId1721" Type="http://schemas.openxmlformats.org/officeDocument/2006/relationships/hyperlink" Target="https://in.tradingview.com/chart/Cgv3Jm6J/?symbol=NSE%3ASALONA" TargetMode="External"/><Relationship Id="rId1722" Type="http://schemas.openxmlformats.org/officeDocument/2006/relationships/hyperlink" Target="https://in.tradingview.com/chart/Cgv3Jm6J/?symbol=NSE%3ASALSTEEL" TargetMode="External"/><Relationship Id="rId1723" Type="http://schemas.openxmlformats.org/officeDocument/2006/relationships/hyperlink" Target="https://in.tradingview.com/chart/Cgv3Jm6J/?symbol=NSE%3ASALZERELEC" TargetMode="External"/><Relationship Id="rId1724" Type="http://schemas.openxmlformats.org/officeDocument/2006/relationships/hyperlink" Target="https://in.tradingview.com/chart/Cgv3Jm6J/?symbol=NSE%3ASAMHI" TargetMode="External"/><Relationship Id="rId1725" Type="http://schemas.openxmlformats.org/officeDocument/2006/relationships/hyperlink" Target="https://in.tradingview.com/chart/Cgv3Jm6J/?symbol=NSE%3ASAMMAANCAP" TargetMode="External"/><Relationship Id="rId1726" Type="http://schemas.openxmlformats.org/officeDocument/2006/relationships/hyperlink" Target="https://in.tradingview.com/chart/Cgv3Jm6J/?symbol=NSE%3ASAMPANN" TargetMode="External"/><Relationship Id="rId1727" Type="http://schemas.openxmlformats.org/officeDocument/2006/relationships/hyperlink" Target="https://in.tradingview.com/chart/Cgv3Jm6J/?symbol=NSE%3ASANATHAN" TargetMode="External"/><Relationship Id="rId1728" Type="http://schemas.openxmlformats.org/officeDocument/2006/relationships/hyperlink" Target="https://in.tradingview.com/chart/Cgv3Jm6J/?symbol=NSE%3ASANCO" TargetMode="External"/><Relationship Id="rId1729" Type="http://schemas.openxmlformats.org/officeDocument/2006/relationships/hyperlink" Target="https://in.tradingview.com/chart/Cgv3Jm6J/?symbol=NSE%3ASANDESH" TargetMode="External"/><Relationship Id="rId1752" Type="http://schemas.openxmlformats.org/officeDocument/2006/relationships/hyperlink" Target="https://in.tradingview.com/chart/Cgv3Jm6J/?symbol=NSE%3ASBCL" TargetMode="External"/><Relationship Id="rId1753" Type="http://schemas.openxmlformats.org/officeDocument/2006/relationships/hyperlink" Target="https://in.tradingview.com/chart/Cgv3Jm6J/?symbol=NSE%3ASBFC" TargetMode="External"/><Relationship Id="rId1754" Type="http://schemas.openxmlformats.org/officeDocument/2006/relationships/hyperlink" Target="https://in.tradingview.com/chart/Cgv3Jm6J/?symbol=NSE%3ASBICARD" TargetMode="External"/><Relationship Id="rId1755" Type="http://schemas.openxmlformats.org/officeDocument/2006/relationships/hyperlink" Target="https://in.tradingview.com/chart/Cgv3Jm6J/?symbol=NSE%3ASBIETFCON" TargetMode="External"/><Relationship Id="rId1756" Type="http://schemas.openxmlformats.org/officeDocument/2006/relationships/hyperlink" Target="https://in.tradingview.com/chart/Cgv3Jm6J/?symbol=NSE%3ASBIETFIT" TargetMode="External"/><Relationship Id="rId1757" Type="http://schemas.openxmlformats.org/officeDocument/2006/relationships/hyperlink" Target="https://in.tradingview.com/chart/Cgv3Jm6J/?symbol=NSE%3ASBIETFPB" TargetMode="External"/><Relationship Id="rId1758" Type="http://schemas.openxmlformats.org/officeDocument/2006/relationships/hyperlink" Target="https://in.tradingview.com/chart/Cgv3Jm6J/?symbol=NSE%3ASBIETFQLTY" TargetMode="External"/><Relationship Id="rId1759" Type="http://schemas.openxmlformats.org/officeDocument/2006/relationships/hyperlink" Target="https://in.tradingview.com/chart/Cgv3Jm6J/?symbol=NSE%3ASBILIFE" TargetMode="External"/><Relationship Id="rId1750" Type="http://schemas.openxmlformats.org/officeDocument/2006/relationships/hyperlink" Target="https://in.tradingview.com/chart/Cgv3Jm6J/?symbol=NSE%3ASAURASHCEM" TargetMode="External"/><Relationship Id="rId1751" Type="http://schemas.openxmlformats.org/officeDocument/2006/relationships/hyperlink" Target="https://in.tradingview.com/chart/Cgv3Jm6J/?symbol=NSE%3ASBC" TargetMode="External"/><Relationship Id="rId1741" Type="http://schemas.openxmlformats.org/officeDocument/2006/relationships/hyperlink" Target="https://in.tradingview.com/chart/Cgv3Jm6J/?symbol=NSE%3ASAPPHIRE" TargetMode="External"/><Relationship Id="rId1742" Type="http://schemas.openxmlformats.org/officeDocument/2006/relationships/hyperlink" Target="https://in.tradingview.com/chart/Cgv3Jm6J/?symbol=NSE%3ASARDAEN" TargetMode="External"/><Relationship Id="rId1743" Type="http://schemas.openxmlformats.org/officeDocument/2006/relationships/hyperlink" Target="https://in.tradingview.com/chart/Cgv3Jm6J/?symbol=NSE%3ASAREGAMA" TargetMode="External"/><Relationship Id="rId1744" Type="http://schemas.openxmlformats.org/officeDocument/2006/relationships/hyperlink" Target="https://in.tradingview.com/chart/Cgv3Jm6J/?symbol=NSE%3ASARLAPOLY" TargetMode="External"/><Relationship Id="rId1745" Type="http://schemas.openxmlformats.org/officeDocument/2006/relationships/hyperlink" Target="https://in.tradingview.com/chart/Cgv3Jm6J/?symbol=NSE%3ASARVESHWAR" TargetMode="External"/><Relationship Id="rId1746" Type="http://schemas.openxmlformats.org/officeDocument/2006/relationships/hyperlink" Target="https://in.tradingview.com/chart/Cgv3Jm6J/?symbol=NSE%3ASASKEN" TargetMode="External"/><Relationship Id="rId1747" Type="http://schemas.openxmlformats.org/officeDocument/2006/relationships/hyperlink" Target="https://in.tradingview.com/chart/Cgv3Jm6J/?symbol=NSE%3ASASTASUNDR" TargetMode="External"/><Relationship Id="rId1748" Type="http://schemas.openxmlformats.org/officeDocument/2006/relationships/hyperlink" Target="https://in.tradingview.com/chart/Cgv3Jm6J/?symbol=NSE%3ASATIA" TargetMode="External"/><Relationship Id="rId1749" Type="http://schemas.openxmlformats.org/officeDocument/2006/relationships/hyperlink" Target="https://in.tradingview.com/chart/Cgv3Jm6J/?symbol=NSE%3ASATIN" TargetMode="External"/><Relationship Id="rId1740" Type="http://schemas.openxmlformats.org/officeDocument/2006/relationships/hyperlink" Target="https://in.tradingview.com/chart/Cgv3Jm6J/?symbol=NSE%3ASANWARIA" TargetMode="External"/><Relationship Id="rId1710" Type="http://schemas.openxmlformats.org/officeDocument/2006/relationships/hyperlink" Target="https://in.tradingview.com/chart/Cgv3Jm6J/?symbol=NSE%3ASAFARI" TargetMode="External"/><Relationship Id="rId1711" Type="http://schemas.openxmlformats.org/officeDocument/2006/relationships/hyperlink" Target="https://in.tradingview.com/chart/Cgv3Jm6J/?symbol=NSE%3ASAGARDEEP" TargetMode="External"/><Relationship Id="rId1712" Type="http://schemas.openxmlformats.org/officeDocument/2006/relationships/hyperlink" Target="https://in.tradingview.com/chart/Cgv3Jm6J/?symbol=NSE%3ASAGCEM" TargetMode="External"/><Relationship Id="rId1713" Type="http://schemas.openxmlformats.org/officeDocument/2006/relationships/hyperlink" Target="https://in.tradingview.com/chart/Cgv3Jm6J/?symbol=NSE%3ASAGILITY" TargetMode="External"/><Relationship Id="rId1714" Type="http://schemas.openxmlformats.org/officeDocument/2006/relationships/hyperlink" Target="https://in.tradingview.com/chart/Cgv3Jm6J/?symbol=NSE%3ASAHYADRI" TargetMode="External"/><Relationship Id="rId1715" Type="http://schemas.openxmlformats.org/officeDocument/2006/relationships/hyperlink" Target="https://in.tradingview.com/chart/Cgv3Jm6J/?symbol=NSE%3ASAIL" TargetMode="External"/><Relationship Id="rId1716" Type="http://schemas.openxmlformats.org/officeDocument/2006/relationships/hyperlink" Target="https://in.tradingview.com/chart/Cgv3Jm6J/?symbol=NSE%3ASAILIFE" TargetMode="External"/><Relationship Id="rId1717" Type="http://schemas.openxmlformats.org/officeDocument/2006/relationships/hyperlink" Target="https://in.tradingview.com/chart/Cgv3Jm6J/?symbol=NSE%3ASAKAR" TargetMode="External"/><Relationship Id="rId1718" Type="http://schemas.openxmlformats.org/officeDocument/2006/relationships/hyperlink" Target="https://in.tradingview.com/chart/Cgv3Jm6J/?symbol=NSE%3ASAKHTISUG" TargetMode="External"/><Relationship Id="rId1719" Type="http://schemas.openxmlformats.org/officeDocument/2006/relationships/hyperlink" Target="https://in.tradingview.com/chart/Cgv3Jm6J/?symbol=NSE%3ASAKSOFT" TargetMode="External"/><Relationship Id="rId1700" Type="http://schemas.openxmlformats.org/officeDocument/2006/relationships/hyperlink" Target="https://in.tradingview.com/chart/Cgv3Jm6J/?symbol=NSE%3ARUCHIRA" TargetMode="External"/><Relationship Id="rId1701" Type="http://schemas.openxmlformats.org/officeDocument/2006/relationships/hyperlink" Target="https://in.tradingview.com/chart/Cgv3Jm6J/?symbol=NSE%3ARUPA" TargetMode="External"/><Relationship Id="rId1702" Type="http://schemas.openxmlformats.org/officeDocument/2006/relationships/hyperlink" Target="https://in.tradingview.com/chart/Cgv3Jm6J/?symbol=NSE%3ARUSHIL" TargetMode="External"/><Relationship Id="rId1703" Type="http://schemas.openxmlformats.org/officeDocument/2006/relationships/hyperlink" Target="https://in.tradingview.com/chart/Cgv3Jm6J/?symbol=NSE%3ARUSTOMJEE" TargetMode="External"/><Relationship Id="rId1704" Type="http://schemas.openxmlformats.org/officeDocument/2006/relationships/hyperlink" Target="https://in.tradingview.com/chart/Cgv3Jm6J/?symbol=NSE%3ARVHL" TargetMode="External"/><Relationship Id="rId1705" Type="http://schemas.openxmlformats.org/officeDocument/2006/relationships/hyperlink" Target="https://in.tradingview.com/chart/Cgv3Jm6J/?symbol=NSE%3ARVNL" TargetMode="External"/><Relationship Id="rId1706" Type="http://schemas.openxmlformats.org/officeDocument/2006/relationships/hyperlink" Target="https://in.tradingview.com/chart/Cgv3Jm6J/?symbol=NSE%3ARVTH" TargetMode="External"/><Relationship Id="rId1707" Type="http://schemas.openxmlformats.org/officeDocument/2006/relationships/hyperlink" Target="https://in.tradingview.com/chart/Cgv3Jm6J/?symbol=NSE%3AS_SPOWER" TargetMode="External"/><Relationship Id="rId1708" Type="http://schemas.openxmlformats.org/officeDocument/2006/relationships/hyperlink" Target="https://in.tradingview.com/chart/Cgv3Jm6J/?symbol=NSE%3ASADBHIN" TargetMode="External"/><Relationship Id="rId1709" Type="http://schemas.openxmlformats.org/officeDocument/2006/relationships/hyperlink" Target="https://in.tradingview.com/chart/Cgv3Jm6J/?symbol=NSE%3ASADHNANIQ" TargetMode="External"/><Relationship Id="rId40" Type="http://schemas.openxmlformats.org/officeDocument/2006/relationships/hyperlink" Target="https://in.tradingview.com/chart/Cgv3Jm6J/?symbol=NSE%3AACE" TargetMode="External"/><Relationship Id="rId42" Type="http://schemas.openxmlformats.org/officeDocument/2006/relationships/hyperlink" Target="https://in.tradingview.com/chart/Cgv3Jm6J/?symbol=NSE%3AACI" TargetMode="External"/><Relationship Id="rId41" Type="http://schemas.openxmlformats.org/officeDocument/2006/relationships/hyperlink" Target="https://in.tradingview.com/chart/Cgv3Jm6J/?symbol=NSE%3AACEINTEG" TargetMode="External"/><Relationship Id="rId44" Type="http://schemas.openxmlformats.org/officeDocument/2006/relationships/hyperlink" Target="https://in.tradingview.com/chart/Cgv3Jm6J/?symbol=NSE%3AACLGATI" TargetMode="External"/><Relationship Id="rId43" Type="http://schemas.openxmlformats.org/officeDocument/2006/relationships/hyperlink" Target="https://in.tradingview.com/chart/Cgv3Jm6J/?symbol=NSE%3AACL" TargetMode="External"/><Relationship Id="rId46" Type="http://schemas.openxmlformats.org/officeDocument/2006/relationships/hyperlink" Target="https://in.tradingview.com/chart/Cgv3Jm6J/?symbol=NSE%3AADANIENSOL" TargetMode="External"/><Relationship Id="rId45" Type="http://schemas.openxmlformats.org/officeDocument/2006/relationships/hyperlink" Target="https://in.tradingview.com/chart/Cgv3Jm6J/?symbol=NSE%3AACMESOLAR" TargetMode="External"/><Relationship Id="rId48" Type="http://schemas.openxmlformats.org/officeDocument/2006/relationships/hyperlink" Target="https://in.tradingview.com/chart/Cgv3Jm6J/?symbol=NSE%3AADANIGREEN" TargetMode="External"/><Relationship Id="rId47" Type="http://schemas.openxmlformats.org/officeDocument/2006/relationships/hyperlink" Target="https://in.tradingview.com/chart/Cgv3Jm6J/?symbol=NSE%3AADANIENT" TargetMode="External"/><Relationship Id="rId49" Type="http://schemas.openxmlformats.org/officeDocument/2006/relationships/hyperlink" Target="https://in.tradingview.com/chart/Cgv3Jm6J/?symbol=NSE%3AADANIPORTS" TargetMode="External"/><Relationship Id="rId31" Type="http://schemas.openxmlformats.org/officeDocument/2006/relationships/hyperlink" Target="https://in.tradingview.com/chart/Cgv3Jm6J/?symbol=NSE%3AABREL" TargetMode="External"/><Relationship Id="rId30" Type="http://schemas.openxmlformats.org/officeDocument/2006/relationships/hyperlink" Target="https://in.tradingview.com/chart/Cgv3Jm6J/?symbol=NSE%3AABMINTLLTD" TargetMode="External"/><Relationship Id="rId33" Type="http://schemas.openxmlformats.org/officeDocument/2006/relationships/hyperlink" Target="https://in.tradingview.com/chart/Cgv3Jm6J/?symbol=NSE%3AABSLBANETF" TargetMode="External"/><Relationship Id="rId32" Type="http://schemas.openxmlformats.org/officeDocument/2006/relationships/hyperlink" Target="https://in.tradingview.com/chart/Cgv3Jm6J/?symbol=NSE%3AABSLAMC" TargetMode="External"/><Relationship Id="rId35" Type="http://schemas.openxmlformats.org/officeDocument/2006/relationships/hyperlink" Target="https://in.tradingview.com/chart/Cgv3Jm6J/?symbol=NSE%3AABSLNN50ET" TargetMode="External"/><Relationship Id="rId34" Type="http://schemas.openxmlformats.org/officeDocument/2006/relationships/hyperlink" Target="https://in.tradingview.com/chart/Cgv3Jm6J/?symbol=NSE%3AABSLLIQUID" TargetMode="External"/><Relationship Id="rId37" Type="http://schemas.openxmlformats.org/officeDocument/2006/relationships/hyperlink" Target="https://in.tradingview.com/chart/Cgv3Jm6J/?symbol=NSE%3AACC" TargetMode="External"/><Relationship Id="rId36" Type="http://schemas.openxmlformats.org/officeDocument/2006/relationships/hyperlink" Target="https://in.tradingview.com/chart/Cgv3Jm6J/?symbol=NSE%3AABSLPSE" TargetMode="External"/><Relationship Id="rId39" Type="http://schemas.openxmlformats.org/officeDocument/2006/relationships/hyperlink" Target="https://in.tradingview.com/chart/Cgv3Jm6J/?symbol=NSE%3AACCURACY" TargetMode="External"/><Relationship Id="rId38" Type="http://schemas.openxmlformats.org/officeDocument/2006/relationships/hyperlink" Target="https://in.tradingview.com/chart/Cgv3Jm6J/?symbol=NSE%3AACCELYA" TargetMode="External"/><Relationship Id="rId2203" Type="http://schemas.openxmlformats.org/officeDocument/2006/relationships/hyperlink" Target="https://in.tradingview.com/chart/Cgv3Jm6J/?symbol=NSE%3AWIPRO" TargetMode="External"/><Relationship Id="rId2204" Type="http://schemas.openxmlformats.org/officeDocument/2006/relationships/hyperlink" Target="https://in.tradingview.com/chart/Cgv3Jm6J/?symbol=NSE%3AWOCKPHARMA" TargetMode="External"/><Relationship Id="rId20" Type="http://schemas.openxmlformats.org/officeDocument/2006/relationships/hyperlink" Target="https://in.tradingview.com/chart/Cgv3Jm6J/?symbol=NSE%3AAARVEEDEN" TargetMode="External"/><Relationship Id="rId2205" Type="http://schemas.openxmlformats.org/officeDocument/2006/relationships/hyperlink" Target="https://in.tradingview.com/chart/Cgv3Jm6J/?symbol=NSE%3AWONDERLA" TargetMode="External"/><Relationship Id="rId2206" Type="http://schemas.openxmlformats.org/officeDocument/2006/relationships/hyperlink" Target="https://in.tradingview.com/chart/Cgv3Jm6J/?symbol=NSE%3AWSI" TargetMode="External"/><Relationship Id="rId22" Type="http://schemas.openxmlformats.org/officeDocument/2006/relationships/hyperlink" Target="https://in.tradingview.com/chart/Cgv3Jm6J/?symbol=NSE%3AAAVAS" TargetMode="External"/><Relationship Id="rId2207" Type="http://schemas.openxmlformats.org/officeDocument/2006/relationships/hyperlink" Target="https://in.tradingview.com/chart/Cgv3Jm6J/?symbol=NSE%3AWSTCSTPAPR" TargetMode="External"/><Relationship Id="rId21" Type="http://schemas.openxmlformats.org/officeDocument/2006/relationships/hyperlink" Target="https://in.tradingview.com/chart/Cgv3Jm6J/?symbol=NSE%3AAARVI" TargetMode="External"/><Relationship Id="rId2208" Type="http://schemas.openxmlformats.org/officeDocument/2006/relationships/hyperlink" Target="https://in.tradingview.com/chart/Cgv3Jm6J/?symbol=NSE%3AXCHANGING" TargetMode="External"/><Relationship Id="rId24" Type="http://schemas.openxmlformats.org/officeDocument/2006/relationships/hyperlink" Target="https://in.tradingview.com/chart/Cgv3Jm6J/?symbol=NSE%3AABB" TargetMode="External"/><Relationship Id="rId2209" Type="http://schemas.openxmlformats.org/officeDocument/2006/relationships/hyperlink" Target="https://in.tradingview.com/chart/Cgv3Jm6J/?symbol=NSE%3AXELPMOC" TargetMode="External"/><Relationship Id="rId23" Type="http://schemas.openxmlformats.org/officeDocument/2006/relationships/hyperlink" Target="https://in.tradingview.com/chart/Cgv3Jm6J/?symbol=NSE%3AABAN" TargetMode="External"/><Relationship Id="rId26" Type="http://schemas.openxmlformats.org/officeDocument/2006/relationships/hyperlink" Target="https://in.tradingview.com/chart/Cgv3Jm6J/?symbol=NSE%3AABCAPITAL" TargetMode="External"/><Relationship Id="rId25" Type="http://schemas.openxmlformats.org/officeDocument/2006/relationships/hyperlink" Target="https://in.tradingview.com/chart/Cgv3Jm6J/?symbol=NSE%3AABBOTINDIA" TargetMode="External"/><Relationship Id="rId28" Type="http://schemas.openxmlformats.org/officeDocument/2006/relationships/hyperlink" Target="https://in.tradingview.com/chart/Cgv3Jm6J/?symbol=NSE%3AABFRL" TargetMode="External"/><Relationship Id="rId27" Type="http://schemas.openxmlformats.org/officeDocument/2006/relationships/hyperlink" Target="https://in.tradingview.com/chart/Cgv3Jm6J/?symbol=NSE%3AABDL" TargetMode="External"/><Relationship Id="rId29" Type="http://schemas.openxmlformats.org/officeDocument/2006/relationships/hyperlink" Target="https://in.tradingview.com/chart/Cgv3Jm6J/?symbol=NSE%3AABINFRA" TargetMode="External"/><Relationship Id="rId2200" Type="http://schemas.openxmlformats.org/officeDocument/2006/relationships/hyperlink" Target="https://in.tradingview.com/chart/Cgv3Jm6J/?symbol=NSE%3AWINDMACHIN" TargetMode="External"/><Relationship Id="rId2201" Type="http://schemas.openxmlformats.org/officeDocument/2006/relationships/hyperlink" Target="https://in.tradingview.com/chart/Cgv3Jm6J/?symbol=NSE%3AWINSOME" TargetMode="External"/><Relationship Id="rId2202" Type="http://schemas.openxmlformats.org/officeDocument/2006/relationships/hyperlink" Target="https://in.tradingview.com/chart/Cgv3Jm6J/?symbol=NSE%3AWIPL" TargetMode="External"/><Relationship Id="rId11" Type="http://schemas.openxmlformats.org/officeDocument/2006/relationships/hyperlink" Target="https://in.tradingview.com/chart/Cgv3Jm6J/?symbol=NSE%3AAADHARHFC" TargetMode="External"/><Relationship Id="rId10" Type="http://schemas.openxmlformats.org/officeDocument/2006/relationships/hyperlink" Target="https://in.tradingview.com/chart/Cgv3Jm6J/?symbol=NSE%3AAAATECH" TargetMode="External"/><Relationship Id="rId13" Type="http://schemas.openxmlformats.org/officeDocument/2006/relationships/hyperlink" Target="https://in.tradingview.com/chart/Cgv3Jm6J/?symbol=NSE%3AAAREYDRUGS" TargetMode="External"/><Relationship Id="rId12" Type="http://schemas.openxmlformats.org/officeDocument/2006/relationships/hyperlink" Target="https://in.tradingview.com/chart/Cgv3Jm6J/?symbol=NSE%3AAAKASH" TargetMode="External"/><Relationship Id="rId15" Type="http://schemas.openxmlformats.org/officeDocument/2006/relationships/hyperlink" Target="https://in.tradingview.com/chart/Cgv3Jm6J/?symbol=NSE%3AAARTECH" TargetMode="External"/><Relationship Id="rId14" Type="http://schemas.openxmlformats.org/officeDocument/2006/relationships/hyperlink" Target="https://in.tradingview.com/chart/Cgv3Jm6J/?symbol=NSE%3AAARON" TargetMode="External"/><Relationship Id="rId17" Type="http://schemas.openxmlformats.org/officeDocument/2006/relationships/hyperlink" Target="https://in.tradingview.com/chart/Cgv3Jm6J/?symbol=NSE%3AAARTIIND" TargetMode="External"/><Relationship Id="rId16" Type="http://schemas.openxmlformats.org/officeDocument/2006/relationships/hyperlink" Target="https://in.tradingview.com/chart/Cgv3Jm6J/?symbol=NSE%3AAARTIDRUGS" TargetMode="External"/><Relationship Id="rId19" Type="http://schemas.openxmlformats.org/officeDocument/2006/relationships/hyperlink" Target="https://in.tradingview.com/chart/Cgv3Jm6J/?symbol=NSE%3AAARTISURF" TargetMode="External"/><Relationship Id="rId18" Type="http://schemas.openxmlformats.org/officeDocument/2006/relationships/hyperlink" Target="https://in.tradingview.com/chart/Cgv3Jm6J/?symbol=NSE%3AAARTIPHARM" TargetMode="External"/><Relationship Id="rId84" Type="http://schemas.openxmlformats.org/officeDocument/2006/relationships/hyperlink" Target="https://in.tradingview.com/chart/Cgv3Jm6J/?symbol=NSE%3AAKI" TargetMode="External"/><Relationship Id="rId1774" Type="http://schemas.openxmlformats.org/officeDocument/2006/relationships/hyperlink" Target="https://in.tradingview.com/chart/Cgv3Jm6J/?symbol=NSE%3ASEJALLTD" TargetMode="External"/><Relationship Id="rId83" Type="http://schemas.openxmlformats.org/officeDocument/2006/relationships/hyperlink" Target="https://in.tradingview.com/chart/Cgv3Jm6J/?symbol=NSE%3AAKG" TargetMode="External"/><Relationship Id="rId1775" Type="http://schemas.openxmlformats.org/officeDocument/2006/relationships/hyperlink" Target="https://in.tradingview.com/chart/Cgv3Jm6J/?symbol=NSE%3ASELMC" TargetMode="External"/><Relationship Id="rId86" Type="http://schemas.openxmlformats.org/officeDocument/2006/relationships/hyperlink" Target="https://in.tradingview.com/chart/Cgv3Jm6J/?symbol=NSE%3AAKSHARCHEM" TargetMode="External"/><Relationship Id="rId1776" Type="http://schemas.openxmlformats.org/officeDocument/2006/relationships/hyperlink" Target="https://in.tradingview.com/chart/Cgv3Jm6J/?symbol=NSE%3ASENCO" TargetMode="External"/><Relationship Id="rId85" Type="http://schemas.openxmlformats.org/officeDocument/2006/relationships/hyperlink" Target="https://in.tradingview.com/chart/Cgv3Jm6J/?symbol=NSE%3AAKSHAR" TargetMode="External"/><Relationship Id="rId1777" Type="http://schemas.openxmlformats.org/officeDocument/2006/relationships/hyperlink" Target="https://in.tradingview.com/chart/Cgv3Jm6J/?symbol=NSE%3ASENORES" TargetMode="External"/><Relationship Id="rId88" Type="http://schemas.openxmlformats.org/officeDocument/2006/relationships/hyperlink" Target="https://in.tradingview.com/chart/Cgv3Jm6J/?symbol=NSE%3AAKUMS" TargetMode="External"/><Relationship Id="rId1778" Type="http://schemas.openxmlformats.org/officeDocument/2006/relationships/hyperlink" Target="https://in.tradingview.com/chart/Cgv3Jm6J/?symbol=NSE%3ASENSEXADD" TargetMode="External"/><Relationship Id="rId87" Type="http://schemas.openxmlformats.org/officeDocument/2006/relationships/hyperlink" Target="https://in.tradingview.com/chart/Cgv3Jm6J/?symbol=NSE%3AAKSHOPTFBR" TargetMode="External"/><Relationship Id="rId1779" Type="http://schemas.openxmlformats.org/officeDocument/2006/relationships/hyperlink" Target="https://in.tradingview.com/chart/Cgv3Jm6J/?symbol=NSE%3ASENSEXETF" TargetMode="External"/><Relationship Id="rId89" Type="http://schemas.openxmlformats.org/officeDocument/2006/relationships/hyperlink" Target="https://in.tradingview.com/chart/Cgv3Jm6J/?symbol=NSE%3AAKZOINDIA" TargetMode="External"/><Relationship Id="rId80" Type="http://schemas.openxmlformats.org/officeDocument/2006/relationships/hyperlink" Target="https://in.tradingview.com/chart/Cgv3Jm6J/?symbol=NSE%3AAJMERA" TargetMode="External"/><Relationship Id="rId82" Type="http://schemas.openxmlformats.org/officeDocument/2006/relationships/hyperlink" Target="https://in.tradingview.com/chart/Cgv3Jm6J/?symbol=NSE%3AAKASH" TargetMode="External"/><Relationship Id="rId81" Type="http://schemas.openxmlformats.org/officeDocument/2006/relationships/hyperlink" Target="https://in.tradingview.com/chart/Cgv3Jm6J/?symbol=NSE%3AAJOONI" TargetMode="External"/><Relationship Id="rId1770" Type="http://schemas.openxmlformats.org/officeDocument/2006/relationships/hyperlink" Target="https://in.tradingview.com/chart/Cgv3Jm6J/?symbol=NSE%3ASDL26BEES" TargetMode="External"/><Relationship Id="rId1771" Type="http://schemas.openxmlformats.org/officeDocument/2006/relationships/hyperlink" Target="https://in.tradingview.com/chart/Cgv3Jm6J/?symbol=NSE%3ASEAMECLTD" TargetMode="External"/><Relationship Id="rId1772" Type="http://schemas.openxmlformats.org/officeDocument/2006/relationships/hyperlink" Target="https://in.tradingview.com/chart/Cgv3Jm6J/?symbol=NSE%3ASECMARK" TargetMode="External"/><Relationship Id="rId1773" Type="http://schemas.openxmlformats.org/officeDocument/2006/relationships/hyperlink" Target="https://in.tradingview.com/chart/Cgv3Jm6J/?symbol=NSE%3ASECURKLOUD" TargetMode="External"/><Relationship Id="rId73" Type="http://schemas.openxmlformats.org/officeDocument/2006/relationships/hyperlink" Target="https://in.tradingview.com/chart/Cgv3Jm6J/?symbol=NSE%3AAHLUCONT" TargetMode="External"/><Relationship Id="rId1763" Type="http://schemas.openxmlformats.org/officeDocument/2006/relationships/hyperlink" Target="https://in.tradingview.com/chart/Cgv3Jm6J/?symbol=NSE%3ASCHAEFFLER" TargetMode="External"/><Relationship Id="rId72" Type="http://schemas.openxmlformats.org/officeDocument/2006/relationships/hyperlink" Target="https://in.tradingview.com/chart/Cgv3Jm6J/?symbol=NSE%3AAHLEAST" TargetMode="External"/><Relationship Id="rId1764" Type="http://schemas.openxmlformats.org/officeDocument/2006/relationships/hyperlink" Target="https://in.tradingview.com/chart/Cgv3Jm6J/?symbol=NSE%3ASCHAND" TargetMode="External"/><Relationship Id="rId75" Type="http://schemas.openxmlformats.org/officeDocument/2006/relationships/hyperlink" Target="https://in.tradingview.com/chart/Cgv3Jm6J/?symbol=NSE%3AAIIL" TargetMode="External"/><Relationship Id="rId1765" Type="http://schemas.openxmlformats.org/officeDocument/2006/relationships/hyperlink" Target="https://in.tradingview.com/chart/Cgv3Jm6J/?symbol=NSE%3ASCHNEIDER" TargetMode="External"/><Relationship Id="rId74" Type="http://schemas.openxmlformats.org/officeDocument/2006/relationships/hyperlink" Target="https://in.tradingview.com/chart/Cgv3Jm6J/?symbol=NSE%3AAIAENG" TargetMode="External"/><Relationship Id="rId1766" Type="http://schemas.openxmlformats.org/officeDocument/2006/relationships/hyperlink" Target="https://in.tradingview.com/chart/Cgv3Jm6J/?symbol=NSE%3ASCI" TargetMode="External"/><Relationship Id="rId77" Type="http://schemas.openxmlformats.org/officeDocument/2006/relationships/hyperlink" Target="https://in.tradingview.com/chart/Cgv3Jm6J/?symbol=NSE%3AAIROLAM" TargetMode="External"/><Relationship Id="rId1767" Type="http://schemas.openxmlformats.org/officeDocument/2006/relationships/hyperlink" Target="https://in.tradingview.com/chart/Cgv3Jm6J/?symbol=NSE%3ASCILAL" TargetMode="External"/><Relationship Id="rId76" Type="http://schemas.openxmlformats.org/officeDocument/2006/relationships/hyperlink" Target="https://in.tradingview.com/chart/Cgv3Jm6J/?symbol=NSE%3AAIRAN" TargetMode="External"/><Relationship Id="rId1768" Type="http://schemas.openxmlformats.org/officeDocument/2006/relationships/hyperlink" Target="https://in.tradingview.com/chart/Cgv3Jm6J/?symbol=NSE%3ASCPL" TargetMode="External"/><Relationship Id="rId79" Type="http://schemas.openxmlformats.org/officeDocument/2006/relationships/hyperlink" Target="https://in.tradingview.com/chart/Cgv3Jm6J/?symbol=NSE%3AAJAXENGG" TargetMode="External"/><Relationship Id="rId1769" Type="http://schemas.openxmlformats.org/officeDocument/2006/relationships/hyperlink" Target="https://in.tradingview.com/chart/Cgv3Jm6J/?symbol=NSE%3ASDBL" TargetMode="External"/><Relationship Id="rId78" Type="http://schemas.openxmlformats.org/officeDocument/2006/relationships/hyperlink" Target="https://in.tradingview.com/chart/Cgv3Jm6J/?symbol=NSE%3AAJANTPHARM" TargetMode="External"/><Relationship Id="rId71" Type="http://schemas.openxmlformats.org/officeDocument/2006/relationships/hyperlink" Target="https://in.tradingview.com/chart/Cgv3Jm6J/?symbol=NSE%3AAHLADA" TargetMode="External"/><Relationship Id="rId70" Type="http://schemas.openxmlformats.org/officeDocument/2006/relationships/hyperlink" Target="https://in.tradingview.com/chart/Cgv3Jm6J/?symbol=NSE%3AAGSTRA" TargetMode="External"/><Relationship Id="rId1760" Type="http://schemas.openxmlformats.org/officeDocument/2006/relationships/hyperlink" Target="https://in.tradingview.com/chart/Cgv3Jm6J/?symbol=NSE%3ASBIN" TargetMode="External"/><Relationship Id="rId1761" Type="http://schemas.openxmlformats.org/officeDocument/2006/relationships/hyperlink" Target="https://in.tradingview.com/chart/Cgv3Jm6J/?symbol=NSE%3ASBINEQWETF" TargetMode="External"/><Relationship Id="rId1762" Type="http://schemas.openxmlformats.org/officeDocument/2006/relationships/hyperlink" Target="https://in.tradingview.com/chart/Cgv3Jm6J/?symbol=NSE%3ASBISILVER" TargetMode="External"/><Relationship Id="rId62" Type="http://schemas.openxmlformats.org/officeDocument/2006/relationships/hyperlink" Target="https://in.tradingview.com/chart/Cgv3Jm6J/?symbol=NSE%3AAFFORDABLE" TargetMode="External"/><Relationship Id="rId1796" Type="http://schemas.openxmlformats.org/officeDocument/2006/relationships/hyperlink" Target="https://in.tradingview.com/chart/Cgv3Jm6J/?symbol=NSE%3ASGLTL" TargetMode="External"/><Relationship Id="rId61" Type="http://schemas.openxmlformats.org/officeDocument/2006/relationships/hyperlink" Target="https://in.tradingview.com/chart/Cgv3Jm6J/?symbol=NSE%3AAFFLE" TargetMode="External"/><Relationship Id="rId1797" Type="http://schemas.openxmlformats.org/officeDocument/2006/relationships/hyperlink" Target="https://in.tradingview.com/chart/Cgv3Jm6J/?symbol=NSE%3ASHAH" TargetMode="External"/><Relationship Id="rId64" Type="http://schemas.openxmlformats.org/officeDocument/2006/relationships/hyperlink" Target="https://in.tradingview.com/chart/Cgv3Jm6J/?symbol=NSE%3AAGARIND" TargetMode="External"/><Relationship Id="rId1798" Type="http://schemas.openxmlformats.org/officeDocument/2006/relationships/hyperlink" Target="https://in.tradingview.com/chart/Cgv3Jm6J/?symbol=NSE%3ASHAHALLOYS" TargetMode="External"/><Relationship Id="rId63" Type="http://schemas.openxmlformats.org/officeDocument/2006/relationships/hyperlink" Target="https://in.tradingview.com/chart/Cgv3Jm6J/?symbol=NSE%3AAFIL" TargetMode="External"/><Relationship Id="rId1799" Type="http://schemas.openxmlformats.org/officeDocument/2006/relationships/hyperlink" Target="https://in.tradingview.com/chart/Cgv3Jm6J/?symbol=NSE%3ASHAILY" TargetMode="External"/><Relationship Id="rId66" Type="http://schemas.openxmlformats.org/officeDocument/2006/relationships/hyperlink" Target="https://in.tradingview.com/chart/Cgv3Jm6J/?symbol=NSE%3AAGI" TargetMode="External"/><Relationship Id="rId65" Type="http://schemas.openxmlformats.org/officeDocument/2006/relationships/hyperlink" Target="https://in.tradingview.com/chart/Cgv3Jm6J/?symbol=NSE%3AAGARWALEYE" TargetMode="External"/><Relationship Id="rId68" Type="http://schemas.openxmlformats.org/officeDocument/2006/relationships/hyperlink" Target="https://in.tradingview.com/chart/Cgv3Jm6J/?symbol=NSE%3AAGRITECH" TargetMode="External"/><Relationship Id="rId67" Type="http://schemas.openxmlformats.org/officeDocument/2006/relationships/hyperlink" Target="https://in.tradingview.com/chart/Cgv3Jm6J/?symbol=NSE%3AAGIIL" TargetMode="External"/><Relationship Id="rId60" Type="http://schemas.openxmlformats.org/officeDocument/2006/relationships/hyperlink" Target="https://in.tradingview.com/chart/Cgv3Jm6J/?symbol=NSE%3AAFCONS" TargetMode="External"/><Relationship Id="rId69" Type="http://schemas.openxmlformats.org/officeDocument/2006/relationships/hyperlink" Target="https://in.tradingview.com/chart/Cgv3Jm6J/?symbol=NSE%3AAGROPHOS" TargetMode="External"/><Relationship Id="rId1790" Type="http://schemas.openxmlformats.org/officeDocument/2006/relationships/hyperlink" Target="https://in.tradingview.com/chart/Cgv3Jm6J/?symbol=NSE%3ASETFNN50" TargetMode="External"/><Relationship Id="rId1791" Type="http://schemas.openxmlformats.org/officeDocument/2006/relationships/hyperlink" Target="https://in.tradingview.com/chart/Cgv3Jm6J/?symbol=NSE%3ASETUINFRA" TargetMode="External"/><Relationship Id="rId1792" Type="http://schemas.openxmlformats.org/officeDocument/2006/relationships/hyperlink" Target="https://in.tradingview.com/chart/Cgv3Jm6J/?symbol=NSE%3ASEYAIND" TargetMode="External"/><Relationship Id="rId1793" Type="http://schemas.openxmlformats.org/officeDocument/2006/relationships/hyperlink" Target="https://in.tradingview.com/chart/Cgv3Jm6J/?symbol=NSE%3ASFL" TargetMode="External"/><Relationship Id="rId1794" Type="http://schemas.openxmlformats.org/officeDocument/2006/relationships/hyperlink" Target="https://in.tradingview.com/chart/Cgv3Jm6J/?symbol=NSE%3ASGIL" TargetMode="External"/><Relationship Id="rId1795" Type="http://schemas.openxmlformats.org/officeDocument/2006/relationships/hyperlink" Target="https://in.tradingview.com/chart/Cgv3Jm6J/?symbol=NSE%3ASGL" TargetMode="External"/><Relationship Id="rId51" Type="http://schemas.openxmlformats.org/officeDocument/2006/relationships/hyperlink" Target="https://in.tradingview.com/chart/Cgv3Jm6J/?symbol=NSE%3AADFFOODS" TargetMode="External"/><Relationship Id="rId1785" Type="http://schemas.openxmlformats.org/officeDocument/2006/relationships/hyperlink" Target="https://in.tradingview.com/chart/Cgv3Jm6J/?symbol=NSE%3ASETCO" TargetMode="External"/><Relationship Id="rId50" Type="http://schemas.openxmlformats.org/officeDocument/2006/relationships/hyperlink" Target="https://in.tradingview.com/chart/Cgv3Jm6J/?symbol=NSE%3AADANIPOWER" TargetMode="External"/><Relationship Id="rId1786" Type="http://schemas.openxmlformats.org/officeDocument/2006/relationships/hyperlink" Target="https://in.tradingview.com/chart/Cgv3Jm6J/?symbol=NSE%3ASETF10GILT" TargetMode="External"/><Relationship Id="rId53" Type="http://schemas.openxmlformats.org/officeDocument/2006/relationships/hyperlink" Target="https://in.tradingview.com/chart/Cgv3Jm6J/?symbol=NSE%3AADROITINFO" TargetMode="External"/><Relationship Id="rId1787" Type="http://schemas.openxmlformats.org/officeDocument/2006/relationships/hyperlink" Target="https://in.tradingview.com/chart/Cgv3Jm6J/?symbol=NSE%3ASETFGOLD" TargetMode="External"/><Relationship Id="rId52" Type="http://schemas.openxmlformats.org/officeDocument/2006/relationships/hyperlink" Target="https://in.tradingview.com/chart/Cgv3Jm6J/?symbol=NSE%3AADL" TargetMode="External"/><Relationship Id="rId1788" Type="http://schemas.openxmlformats.org/officeDocument/2006/relationships/hyperlink" Target="https://in.tradingview.com/chart/Cgv3Jm6J/?symbol=NSE%3ASETFNIF50" TargetMode="External"/><Relationship Id="rId55" Type="http://schemas.openxmlformats.org/officeDocument/2006/relationships/hyperlink" Target="https://in.tradingview.com/chart/Cgv3Jm6J/?symbol=NSE%3AADVANIHOTR" TargetMode="External"/><Relationship Id="rId1789" Type="http://schemas.openxmlformats.org/officeDocument/2006/relationships/hyperlink" Target="https://in.tradingview.com/chart/Cgv3Jm6J/?symbol=NSE%3ASETFNIFBK" TargetMode="External"/><Relationship Id="rId54" Type="http://schemas.openxmlformats.org/officeDocument/2006/relationships/hyperlink" Target="https://in.tradingview.com/chart/Cgv3Jm6J/?symbol=NSE%3AADSL" TargetMode="External"/><Relationship Id="rId57" Type="http://schemas.openxmlformats.org/officeDocument/2006/relationships/hyperlink" Target="https://in.tradingview.com/chart/Cgv3Jm6J/?symbol=NSE%3AAEGISLOG" TargetMode="External"/><Relationship Id="rId56" Type="http://schemas.openxmlformats.org/officeDocument/2006/relationships/hyperlink" Target="https://in.tradingview.com/chart/Cgv3Jm6J/?symbol=NSE%3AADVENZYMES" TargetMode="External"/><Relationship Id="rId59" Type="http://schemas.openxmlformats.org/officeDocument/2006/relationships/hyperlink" Target="https://in.tradingview.com/chart/Cgv3Jm6J/?symbol=NSE%3AAETHER" TargetMode="External"/><Relationship Id="rId58" Type="http://schemas.openxmlformats.org/officeDocument/2006/relationships/hyperlink" Target="https://in.tradingview.com/chart/Cgv3Jm6J/?symbol=NSE%3AAEROFLEX" TargetMode="External"/><Relationship Id="rId1780" Type="http://schemas.openxmlformats.org/officeDocument/2006/relationships/hyperlink" Target="https://in.tradingview.com/chart/Cgv3Jm6J/?symbol=NSE%3ASENSEXIETF" TargetMode="External"/><Relationship Id="rId1781" Type="http://schemas.openxmlformats.org/officeDocument/2006/relationships/hyperlink" Target="https://in.tradingview.com/chart/Cgv3Jm6J/?symbol=NSE%3ASEPC" TargetMode="External"/><Relationship Id="rId1782" Type="http://schemas.openxmlformats.org/officeDocument/2006/relationships/hyperlink" Target="https://in.tradingview.com/chart/Cgv3Jm6J/?symbol=NSE%3ASEQUENT" TargetMode="External"/><Relationship Id="rId1783" Type="http://schemas.openxmlformats.org/officeDocument/2006/relationships/hyperlink" Target="https://in.tradingview.com/chart/Cgv3Jm6J/?symbol=NSE%3ASERVOTECH" TargetMode="External"/><Relationship Id="rId1784" Type="http://schemas.openxmlformats.org/officeDocument/2006/relationships/hyperlink" Target="https://in.tradingview.com/chart/Cgv3Jm6J/?symbol=NSE%3ASESHAPAPER" TargetMode="External"/><Relationship Id="rId2269" Type="http://schemas.openxmlformats.org/officeDocument/2006/relationships/hyperlink" Target="https://in.tradingview.com/chart/ofQQfXOP/?symbol=NSE%3ATHERMAX" TargetMode="External"/><Relationship Id="rId349" Type="http://schemas.openxmlformats.org/officeDocument/2006/relationships/hyperlink" Target="https://in.tradingview.com/chart/Cgv3Jm6J/?symbol=NSE%3ACAPITALSFB" TargetMode="External"/><Relationship Id="rId348" Type="http://schemas.openxmlformats.org/officeDocument/2006/relationships/hyperlink" Target="https://in.tradingview.com/chart/Cgv3Jm6J/?symbol=NSE%3ACAPACITE" TargetMode="External"/><Relationship Id="rId347" Type="http://schemas.openxmlformats.org/officeDocument/2006/relationships/hyperlink" Target="https://in.tradingview.com/chart/Cgv3Jm6J/?symbol=NSE%3ACANTABIL" TargetMode="External"/><Relationship Id="rId346" Type="http://schemas.openxmlformats.org/officeDocument/2006/relationships/hyperlink" Target="https://in.tradingview.com/chart/Cgv3Jm6J/?symbol=NSE%3ACANFINHOME" TargetMode="External"/><Relationship Id="rId2260" Type="http://schemas.openxmlformats.org/officeDocument/2006/relationships/hyperlink" Target="https://in.tradingview.com/chart/ofQQfXOP/?symbol=NSE%3ARAMCOCEM" TargetMode="External"/><Relationship Id="rId341" Type="http://schemas.openxmlformats.org/officeDocument/2006/relationships/hyperlink" Target="https://in.tradingview.com/chart/Cgv3Jm6J/?symbol=NSE%3ACALSOFT" TargetMode="External"/><Relationship Id="rId2261" Type="http://schemas.openxmlformats.org/officeDocument/2006/relationships/hyperlink" Target="https://in.tradingview.com/chart/ofQQfXOP/?symbol=NSE%3ARUBYMILLS" TargetMode="External"/><Relationship Id="rId340" Type="http://schemas.openxmlformats.org/officeDocument/2006/relationships/hyperlink" Target="https://in.tradingview.com/chart/Cgv3Jm6J/?symbol=NSE%3ABYKE" TargetMode="External"/><Relationship Id="rId2262" Type="http://schemas.openxmlformats.org/officeDocument/2006/relationships/hyperlink" Target="https://in.tradingview.com/chart/ofQQfXOP/?symbol=NSE%3ASANDESH" TargetMode="External"/><Relationship Id="rId2263" Type="http://schemas.openxmlformats.org/officeDocument/2006/relationships/hyperlink" Target="https://in.tradingview.com/chart/ofQQfXOP/?symbol=NSE%3ASOUTHBANK" TargetMode="External"/><Relationship Id="rId2264" Type="http://schemas.openxmlformats.org/officeDocument/2006/relationships/hyperlink" Target="https://in.tradingview.com/chart/ofQQfXOP/?symbol=NSE%3ASTCINDIA" TargetMode="External"/><Relationship Id="rId345" Type="http://schemas.openxmlformats.org/officeDocument/2006/relationships/hyperlink" Target="https://in.tradingview.com/chart/Cgv3Jm6J/?symbol=NSE%3ACANBK" TargetMode="External"/><Relationship Id="rId2265" Type="http://schemas.openxmlformats.org/officeDocument/2006/relationships/hyperlink" Target="https://in.tradingview.com/chart/ofQQfXOP/?symbol=NSE%3AUGARSUGAR" TargetMode="External"/><Relationship Id="rId344" Type="http://schemas.openxmlformats.org/officeDocument/2006/relationships/hyperlink" Target="https://in.tradingview.com/chart/Cgv3Jm6J/?symbol=NSE%3ACAMS" TargetMode="External"/><Relationship Id="rId2266" Type="http://schemas.openxmlformats.org/officeDocument/2006/relationships/hyperlink" Target="https://in.tradingview.com/chart/ofQQfXOP/?symbol=NSE%3AUNITEDTEA" TargetMode="External"/><Relationship Id="rId343" Type="http://schemas.openxmlformats.org/officeDocument/2006/relationships/hyperlink" Target="https://in.tradingview.com/chart/Cgv3Jm6J/?symbol=NSE%3ACAMPUS" TargetMode="External"/><Relationship Id="rId2267" Type="http://schemas.openxmlformats.org/officeDocument/2006/relationships/hyperlink" Target="https://in.tradingview.com/chart/ofQQfXOP/?symbol=NSE%3ATHEJO" TargetMode="External"/><Relationship Id="rId342" Type="http://schemas.openxmlformats.org/officeDocument/2006/relationships/hyperlink" Target="https://in.tradingview.com/chart/Cgv3Jm6J/?symbol=NSE%3ACAMLINFINE" TargetMode="External"/><Relationship Id="rId2268" Type="http://schemas.openxmlformats.org/officeDocument/2006/relationships/hyperlink" Target="https://in.tradingview.com/chart/ofQQfXOP/?symbol=NSE%3ATHEMISMED" TargetMode="External"/><Relationship Id="rId2258" Type="http://schemas.openxmlformats.org/officeDocument/2006/relationships/hyperlink" Target="https://in.tradingview.com/chart/ofQQfXOP/?symbol=NSE%3APKTEA" TargetMode="External"/><Relationship Id="rId2259" Type="http://schemas.openxmlformats.org/officeDocument/2006/relationships/hyperlink" Target="https://in.tradingview.com/chart/ofQQfXOP/?symbol=NSE%3APHOENIXLTD" TargetMode="External"/><Relationship Id="rId338" Type="http://schemas.openxmlformats.org/officeDocument/2006/relationships/hyperlink" Target="https://in.tradingview.com/chart/Cgv3Jm6J/?symbol=NSE%3ABUTTERFLY" TargetMode="External"/><Relationship Id="rId337" Type="http://schemas.openxmlformats.org/officeDocument/2006/relationships/hyperlink" Target="https://in.tradingview.com/chart/Cgv3Jm6J/?symbol=NSE%3ABTML" TargetMode="External"/><Relationship Id="rId336" Type="http://schemas.openxmlformats.org/officeDocument/2006/relationships/hyperlink" Target="https://in.tradingview.com/chart/Cgv3Jm6J/?symbol=NSE%3ABSOFT" TargetMode="External"/><Relationship Id="rId335" Type="http://schemas.openxmlformats.org/officeDocument/2006/relationships/hyperlink" Target="https://in.tradingview.com/chart/Cgv3Jm6J/?symbol=NSE%3ABSLSENETFG" TargetMode="External"/><Relationship Id="rId339" Type="http://schemas.openxmlformats.org/officeDocument/2006/relationships/hyperlink" Target="https://in.tradingview.com/chart/Cgv3Jm6J/?symbol=NSE%3ABVCL" TargetMode="External"/><Relationship Id="rId330" Type="http://schemas.openxmlformats.org/officeDocument/2006/relationships/hyperlink" Target="https://in.tradingview.com/chart/Cgv3Jm6J/?symbol=NSE%3ABSE500IETF" TargetMode="External"/><Relationship Id="rId2250" Type="http://schemas.openxmlformats.org/officeDocument/2006/relationships/hyperlink" Target="https://in.tradingview.com/chart/ofQQfXOP/?symbol=NSE%3AHITECHGEAR" TargetMode="External"/><Relationship Id="rId2251" Type="http://schemas.openxmlformats.org/officeDocument/2006/relationships/hyperlink" Target="https://in.tradingview.com/chart/ofQQfXOP/?symbol=NSE%3AINDIACEM" TargetMode="External"/><Relationship Id="rId2252" Type="http://schemas.openxmlformats.org/officeDocument/2006/relationships/hyperlink" Target="https://in.tradingview.com/chart/ofQQfXOP/?symbol=NSE%3AINDHOTEL" TargetMode="External"/><Relationship Id="rId2253" Type="http://schemas.openxmlformats.org/officeDocument/2006/relationships/hyperlink" Target="https://in.tradingview.com/chart/ofQQfXOP/?symbol=NSE%3ATHEINVEST" TargetMode="External"/><Relationship Id="rId334" Type="http://schemas.openxmlformats.org/officeDocument/2006/relationships/hyperlink" Target="https://in.tradingview.com/chart/Cgv3Jm6J/?symbol=NSE%3ABSLNIFTY" TargetMode="External"/><Relationship Id="rId2254" Type="http://schemas.openxmlformats.org/officeDocument/2006/relationships/hyperlink" Target="https://in.tradingview.com/chart/ofQQfXOP/?symbol=NSE%3AJ&amp;KBANK" TargetMode="External"/><Relationship Id="rId333" Type="http://schemas.openxmlformats.org/officeDocument/2006/relationships/hyperlink" Target="https://in.tradingview.com/chart/Cgv3Jm6J/?symbol=NSE%3ABSLGOLDETF" TargetMode="External"/><Relationship Id="rId2255" Type="http://schemas.openxmlformats.org/officeDocument/2006/relationships/hyperlink" Target="https://in.tradingview.com/chart/ofQQfXOP/?symbol=NSE%3AKTKBANK" TargetMode="External"/><Relationship Id="rId332" Type="http://schemas.openxmlformats.org/officeDocument/2006/relationships/hyperlink" Target="https://in.tradingview.com/chart/Cgv3Jm6J/?symbol=NSE%3ABSL" TargetMode="External"/><Relationship Id="rId2256" Type="http://schemas.openxmlformats.org/officeDocument/2006/relationships/hyperlink" Target="https://in.tradingview.com/chart/ofQQfXOP/?symbol=NSE%3AMOTOGENFIN" TargetMode="External"/><Relationship Id="rId331" Type="http://schemas.openxmlformats.org/officeDocument/2006/relationships/hyperlink" Target="https://in.tradingview.com/chart/Cgv3Jm6J/?symbol=NSE%3ABSHSL" TargetMode="External"/><Relationship Id="rId2257" Type="http://schemas.openxmlformats.org/officeDocument/2006/relationships/hyperlink" Target="https://in.tradingview.com/chart/ofQQfXOP/?symbol=NSE%3AORISSAMINE" TargetMode="External"/><Relationship Id="rId370" Type="http://schemas.openxmlformats.org/officeDocument/2006/relationships/hyperlink" Target="https://in.tradingview.com/chart/Cgv3Jm6J/?symbol=NSE%3ACENTURYPLY" TargetMode="External"/><Relationship Id="rId369" Type="http://schemas.openxmlformats.org/officeDocument/2006/relationships/hyperlink" Target="https://in.tradingview.com/chart/Cgv3Jm6J/?symbol=NSE%3ACENTUM" TargetMode="External"/><Relationship Id="rId368" Type="http://schemas.openxmlformats.org/officeDocument/2006/relationships/hyperlink" Target="https://in.tradingview.com/chart/Cgv3Jm6J/?symbol=NSE%3ACENTRUM" TargetMode="External"/><Relationship Id="rId2280" Type="http://schemas.openxmlformats.org/officeDocument/2006/relationships/hyperlink" Target="https://in.tradingview.com/chart/ofQQfXOP/?symbol=NSE%3ATINNARUBR" TargetMode="External"/><Relationship Id="rId2281" Type="http://schemas.openxmlformats.org/officeDocument/2006/relationships/hyperlink" Target="https://in.tradingview.com/chart/ofQQfXOP/?symbol=NSE%3ATIPSFILMS" TargetMode="External"/><Relationship Id="rId2282" Type="http://schemas.openxmlformats.org/officeDocument/2006/relationships/hyperlink" Target="https://in.tradingview.com/chart/ofQQfXOP/?symbol=NSE%3ATIPSMUSIC" TargetMode="External"/><Relationship Id="rId363" Type="http://schemas.openxmlformats.org/officeDocument/2006/relationships/hyperlink" Target="https://in.tradingview.com/chart/Cgv3Jm6J/?symbol=NSE%3ACELEBRITY" TargetMode="External"/><Relationship Id="rId2283" Type="http://schemas.openxmlformats.org/officeDocument/2006/relationships/hyperlink" Target="https://in.tradingview.com/chart/ofQQfXOP/?symbol=NSE%3ATIRUPATIFL" TargetMode="External"/><Relationship Id="rId362" Type="http://schemas.openxmlformats.org/officeDocument/2006/relationships/hyperlink" Target="https://in.tradingview.com/chart/Cgv3Jm6J/?symbol=NSE%3ACEIGALL" TargetMode="External"/><Relationship Id="rId2284" Type="http://schemas.openxmlformats.org/officeDocument/2006/relationships/hyperlink" Target="https://in.tradingview.com/chart/ofQQfXOP/?symbol=NSE%3ATITAGARH" TargetMode="External"/><Relationship Id="rId361" Type="http://schemas.openxmlformats.org/officeDocument/2006/relationships/hyperlink" Target="https://in.tradingview.com/chart/Cgv3Jm6J/?symbol=NSE%3ACEATLTD" TargetMode="External"/><Relationship Id="rId2285" Type="http://schemas.openxmlformats.org/officeDocument/2006/relationships/hyperlink" Target="https://in.tradingview.com/chart/ofQQfXOP/?symbol=NSE%3ATITAN" TargetMode="External"/><Relationship Id="rId360" Type="http://schemas.openxmlformats.org/officeDocument/2006/relationships/hyperlink" Target="https://in.tradingview.com/chart/Cgv3Jm6J/?symbol=NSE%3ACDSL" TargetMode="External"/><Relationship Id="rId2286" Type="http://schemas.openxmlformats.org/officeDocument/2006/relationships/hyperlink" Target="https://in.tradingview.com/chart/ofQQfXOP/?symbol=NSE%3ATMCV" TargetMode="External"/><Relationship Id="rId367" Type="http://schemas.openxmlformats.org/officeDocument/2006/relationships/hyperlink" Target="https://in.tradingview.com/chart/Cgv3Jm6J/?symbol=NSE%3ACENTRALBK" TargetMode="External"/><Relationship Id="rId2287" Type="http://schemas.openxmlformats.org/officeDocument/2006/relationships/hyperlink" Target="https://in.tradingview.com/chart/ofQQfXOP/?symbol=NSE%3ATOKYOPLAST" TargetMode="External"/><Relationship Id="rId366" Type="http://schemas.openxmlformats.org/officeDocument/2006/relationships/hyperlink" Target="https://in.tradingview.com/chart/Cgv3Jm6J/?symbol=NSE%3ACENTEXT" TargetMode="External"/><Relationship Id="rId2288" Type="http://schemas.openxmlformats.org/officeDocument/2006/relationships/hyperlink" Target="https://in.tradingview.com/chart/ofQQfXOP/?symbol=NSE%3ATOLINS" TargetMode="External"/><Relationship Id="rId365" Type="http://schemas.openxmlformats.org/officeDocument/2006/relationships/hyperlink" Target="https://in.tradingview.com/chart/Cgv3Jm6J/?symbol=NSE%3ACENTENKA" TargetMode="External"/><Relationship Id="rId2289" Type="http://schemas.openxmlformats.org/officeDocument/2006/relationships/hyperlink" Target="https://in.tradingview.com/chart/ofQQfXOP/?symbol=NSE%3ATORNTPHARM" TargetMode="External"/><Relationship Id="rId364" Type="http://schemas.openxmlformats.org/officeDocument/2006/relationships/hyperlink" Target="https://in.tradingview.com/chart/Cgv3Jm6J/?symbol=NSE%3ACELLO" TargetMode="External"/><Relationship Id="rId95" Type="http://schemas.openxmlformats.org/officeDocument/2006/relationships/hyperlink" Target="https://in.tradingview.com/chart/Cgv3Jm6J/?symbol=NSE%3AALKALI" TargetMode="External"/><Relationship Id="rId94" Type="http://schemas.openxmlformats.org/officeDocument/2006/relationships/hyperlink" Target="https://in.tradingview.com/chart/Cgv3Jm6J/?symbol=NSE%3AALIVUS" TargetMode="External"/><Relationship Id="rId97" Type="http://schemas.openxmlformats.org/officeDocument/2006/relationships/hyperlink" Target="https://in.tradingview.com/chart/Cgv3Jm6J/?symbol=NSE%3AALKYLAMINE" TargetMode="External"/><Relationship Id="rId96" Type="http://schemas.openxmlformats.org/officeDocument/2006/relationships/hyperlink" Target="https://in.tradingview.com/chart/Cgv3Jm6J/?symbol=NSE%3AALKEM" TargetMode="External"/><Relationship Id="rId99" Type="http://schemas.openxmlformats.org/officeDocument/2006/relationships/hyperlink" Target="https://in.tradingview.com/chart/Cgv3Jm6J/?symbol=NSE%3AALLDIGI" TargetMode="External"/><Relationship Id="rId98" Type="http://schemas.openxmlformats.org/officeDocument/2006/relationships/hyperlink" Target="https://in.tradingview.com/chart/Cgv3Jm6J/?symbol=NSE%3AALLCARGO" TargetMode="External"/><Relationship Id="rId91" Type="http://schemas.openxmlformats.org/officeDocument/2006/relationships/hyperlink" Target="https://in.tradingview.com/chart/Cgv3Jm6J/?symbol=NSE%3AALBERTDAVD" TargetMode="External"/><Relationship Id="rId90" Type="http://schemas.openxmlformats.org/officeDocument/2006/relationships/hyperlink" Target="https://in.tradingview.com/chart/Cgv3Jm6J/?symbol=NSE%3AALANKIT" TargetMode="External"/><Relationship Id="rId93" Type="http://schemas.openxmlformats.org/officeDocument/2006/relationships/hyperlink" Target="https://in.tradingview.com/chart/Cgv3Jm6J/?symbol=NSE%3AALICON" TargetMode="External"/><Relationship Id="rId92" Type="http://schemas.openxmlformats.org/officeDocument/2006/relationships/hyperlink" Target="https://in.tradingview.com/chart/Cgv3Jm6J/?symbol=NSE%3AALEMBICLTD" TargetMode="External"/><Relationship Id="rId359" Type="http://schemas.openxmlformats.org/officeDocument/2006/relationships/hyperlink" Target="https://in.tradingview.com/chart/Cgv3Jm6J/?symbol=NSE%3ACCL" TargetMode="External"/><Relationship Id="rId358" Type="http://schemas.openxmlformats.org/officeDocument/2006/relationships/hyperlink" Target="https://in.tradingview.com/chart/Cgv3Jm6J/?symbol=NSE%3ACCHHL" TargetMode="External"/><Relationship Id="rId357" Type="http://schemas.openxmlformats.org/officeDocument/2006/relationships/hyperlink" Target="https://in.tradingview.com/chart/Cgv3Jm6J/?symbol=NSE%3ACASTROLIND" TargetMode="External"/><Relationship Id="rId2270" Type="http://schemas.openxmlformats.org/officeDocument/2006/relationships/hyperlink" Target="https://in.tradingview.com/chart/ofQQfXOP/?symbol=NSE%3ATIRUMALCHM" TargetMode="External"/><Relationship Id="rId2271" Type="http://schemas.openxmlformats.org/officeDocument/2006/relationships/hyperlink" Target="https://in.tradingview.com/chart/ofQQfXOP/?symbol=NSE%3ATHOMASCOOK" TargetMode="External"/><Relationship Id="rId352" Type="http://schemas.openxmlformats.org/officeDocument/2006/relationships/hyperlink" Target="https://in.tradingview.com/chart/Cgv3Jm6J/?symbol=NSE%3ACARBORUNIV" TargetMode="External"/><Relationship Id="rId2272" Type="http://schemas.openxmlformats.org/officeDocument/2006/relationships/hyperlink" Target="https://in.tradingview.com/chart/ofQQfXOP/?symbol=NSE%3ATHOMASCOTT" TargetMode="External"/><Relationship Id="rId351" Type="http://schemas.openxmlformats.org/officeDocument/2006/relationships/hyperlink" Target="https://in.tradingview.com/chart/Cgv3Jm6J/?symbol=NSE%3ACAPTRUST" TargetMode="External"/><Relationship Id="rId2273" Type="http://schemas.openxmlformats.org/officeDocument/2006/relationships/hyperlink" Target="https://in.tradingview.com/chart/ofQQfXOP/?symbol=NSE%3ATHYROCARE" TargetMode="External"/><Relationship Id="rId350" Type="http://schemas.openxmlformats.org/officeDocument/2006/relationships/hyperlink" Target="https://in.tradingview.com/chart/Cgv3Jm6J/?symbol=NSE%3ACAPLIPOINT" TargetMode="External"/><Relationship Id="rId2274" Type="http://schemas.openxmlformats.org/officeDocument/2006/relationships/hyperlink" Target="https://in.tradingview.com/chart/ofQQfXOP/?symbol=NSE%3ATIGERLOGS" TargetMode="External"/><Relationship Id="rId2275" Type="http://schemas.openxmlformats.org/officeDocument/2006/relationships/hyperlink" Target="https://in.tradingview.com/chart/ofQQfXOP/?symbol=NSE%3ATIJARIA" TargetMode="External"/><Relationship Id="rId356" Type="http://schemas.openxmlformats.org/officeDocument/2006/relationships/hyperlink" Target="https://in.tradingview.com/chart/Cgv3Jm6J/?symbol=NSE%3ACARYSIL" TargetMode="External"/><Relationship Id="rId2276" Type="http://schemas.openxmlformats.org/officeDocument/2006/relationships/hyperlink" Target="https://in.tradingview.com/chart/ofQQfXOP/?symbol=NSE%3ATIL" TargetMode="External"/><Relationship Id="rId355" Type="http://schemas.openxmlformats.org/officeDocument/2006/relationships/hyperlink" Target="https://in.tradingview.com/chart/Cgv3Jm6J/?symbol=NSE%3ACARTRADE" TargetMode="External"/><Relationship Id="rId2277" Type="http://schemas.openxmlformats.org/officeDocument/2006/relationships/hyperlink" Target="https://in.tradingview.com/chart/ofQQfXOP/?symbol=NSE%3ATI" TargetMode="External"/><Relationship Id="rId354" Type="http://schemas.openxmlformats.org/officeDocument/2006/relationships/hyperlink" Target="https://in.tradingview.com/chart/Cgv3Jm6J/?symbol=NSE%3ACARRARO" TargetMode="External"/><Relationship Id="rId2278" Type="http://schemas.openxmlformats.org/officeDocument/2006/relationships/hyperlink" Target="https://in.tradingview.com/chart/ofQQfXOP/?symbol=NSE%3ATIMETECHNO" TargetMode="External"/><Relationship Id="rId353" Type="http://schemas.openxmlformats.org/officeDocument/2006/relationships/hyperlink" Target="https://in.tradingview.com/chart/Cgv3Jm6J/?symbol=NSE%3ACARERATING" TargetMode="External"/><Relationship Id="rId2279" Type="http://schemas.openxmlformats.org/officeDocument/2006/relationships/hyperlink" Target="https://in.tradingview.com/chart/ofQQfXOP/?symbol=NSE%3ATIMKEN" TargetMode="External"/><Relationship Id="rId2225" Type="http://schemas.openxmlformats.org/officeDocument/2006/relationships/hyperlink" Target="https://in.tradingview.com/chart/Cgv3Jm6J/?symbol=NSE%3AZENTEC" TargetMode="External"/><Relationship Id="rId2226" Type="http://schemas.openxmlformats.org/officeDocument/2006/relationships/hyperlink" Target="https://in.tradingview.com/chart/Cgv3Jm6J/?symbol=NSE%3AZFCVINDIA" TargetMode="External"/><Relationship Id="rId2227" Type="http://schemas.openxmlformats.org/officeDocument/2006/relationships/hyperlink" Target="https://in.tradingview.com/chart/Cgv3Jm6J/?symbol=NSE%3AZIMLAB" TargetMode="External"/><Relationship Id="rId2228" Type="http://schemas.openxmlformats.org/officeDocument/2006/relationships/hyperlink" Target="https://in.tradingview.com/chart/Cgv3Jm6J/?symbol=NSE%3AZODIAC" TargetMode="External"/><Relationship Id="rId2229" Type="http://schemas.openxmlformats.org/officeDocument/2006/relationships/hyperlink" Target="https://in.tradingview.com/chart/Cgv3Jm6J/?symbol=NSE%3AZODIACLOTH" TargetMode="External"/><Relationship Id="rId305" Type="http://schemas.openxmlformats.org/officeDocument/2006/relationships/hyperlink" Target="https://in.tradingview.com/chart/Cgv3Jm6J/?symbol=NSE%3ABIRLACORPN" TargetMode="External"/><Relationship Id="rId304" Type="http://schemas.openxmlformats.org/officeDocument/2006/relationships/hyperlink" Target="https://in.tradingview.com/chart/Cgv3Jm6J/?symbol=NSE%3ABIRLACABLE" TargetMode="External"/><Relationship Id="rId303" Type="http://schemas.openxmlformats.org/officeDocument/2006/relationships/hyperlink" Target="https://in.tradingview.com/chart/Cgv3Jm6J/?symbol=NSE%3ABIOFILCHEM" TargetMode="External"/><Relationship Id="rId302" Type="http://schemas.openxmlformats.org/officeDocument/2006/relationships/hyperlink" Target="https://in.tradingview.com/chart/Cgv3Jm6J/?symbol=NSE%3ABIOCON" TargetMode="External"/><Relationship Id="rId309" Type="http://schemas.openxmlformats.org/officeDocument/2006/relationships/hyperlink" Target="https://in.tradingview.com/chart/Cgv3Jm6J/?symbol=NSE%3ABLISSGVS" TargetMode="External"/><Relationship Id="rId308" Type="http://schemas.openxmlformats.org/officeDocument/2006/relationships/hyperlink" Target="https://in.tradingview.com/chart/Cgv3Jm6J/?symbol=NSE%3ABLBLIMITED" TargetMode="External"/><Relationship Id="rId307" Type="http://schemas.openxmlformats.org/officeDocument/2006/relationships/hyperlink" Target="https://in.tradingview.com/chart/Cgv3Jm6J/?symbol=NSE%3ABLAL" TargetMode="External"/><Relationship Id="rId306" Type="http://schemas.openxmlformats.org/officeDocument/2006/relationships/hyperlink" Target="https://in.tradingview.com/chart/Cgv3Jm6J/?symbol=NSE%3ABLACKBUCK" TargetMode="External"/><Relationship Id="rId2220" Type="http://schemas.openxmlformats.org/officeDocument/2006/relationships/hyperlink" Target="https://in.tradingview.com/chart/Cgv3Jm6J/?symbol=NSE%3AZEELEARN" TargetMode="External"/><Relationship Id="rId301" Type="http://schemas.openxmlformats.org/officeDocument/2006/relationships/hyperlink" Target="https://in.tradingview.com/chart/Cgv3Jm6J/?symbol=NSE%3ABIKAJI" TargetMode="External"/><Relationship Id="rId2221" Type="http://schemas.openxmlformats.org/officeDocument/2006/relationships/hyperlink" Target="https://in.tradingview.com/chart/Cgv3Jm6J/?symbol=NSE%3AZEEMEDIA" TargetMode="External"/><Relationship Id="rId300" Type="http://schemas.openxmlformats.org/officeDocument/2006/relationships/hyperlink" Target="https://in.tradingview.com/chart/Cgv3Jm6J/?symbol=NSE%3ABIGBLOC" TargetMode="External"/><Relationship Id="rId2222" Type="http://schemas.openxmlformats.org/officeDocument/2006/relationships/hyperlink" Target="https://in.tradingview.com/chart/Cgv3Jm6J/?symbol=NSE%3AZENITHEXPO" TargetMode="External"/><Relationship Id="rId2223" Type="http://schemas.openxmlformats.org/officeDocument/2006/relationships/hyperlink" Target="https://in.tradingview.com/chart/Cgv3Jm6J/?symbol=NSE%3AZENITHSTL" TargetMode="External"/><Relationship Id="rId2224" Type="http://schemas.openxmlformats.org/officeDocument/2006/relationships/hyperlink" Target="https://in.tradingview.com/chart/Cgv3Jm6J/?symbol=NSE%3AZENSARTECH" TargetMode="External"/><Relationship Id="rId2214" Type="http://schemas.openxmlformats.org/officeDocument/2006/relationships/hyperlink" Target="https://in.tradingview.com/chart/Cgv3Jm6J/?symbol=NSE%3AYATHARTH" TargetMode="External"/><Relationship Id="rId2215" Type="http://schemas.openxmlformats.org/officeDocument/2006/relationships/hyperlink" Target="https://in.tradingview.com/chart/Cgv3Jm6J/?symbol=NSE%3AYATRA" TargetMode="External"/><Relationship Id="rId2216" Type="http://schemas.openxmlformats.org/officeDocument/2006/relationships/hyperlink" Target="https://in.tradingview.com/chart/Cgv3Jm6J/?symbol=NSE%3AYESBANK" TargetMode="External"/><Relationship Id="rId2217" Type="http://schemas.openxmlformats.org/officeDocument/2006/relationships/hyperlink" Target="https://in.tradingview.com/chart/Cgv3Jm6J/?symbol=NSE%3AYUKEN" TargetMode="External"/><Relationship Id="rId2218" Type="http://schemas.openxmlformats.org/officeDocument/2006/relationships/hyperlink" Target="https://in.tradingview.com/chart/Cgv3Jm6J/?symbol=NSE%3AZAGGLE" TargetMode="External"/><Relationship Id="rId2219" Type="http://schemas.openxmlformats.org/officeDocument/2006/relationships/hyperlink" Target="https://in.tradingview.com/chart/Cgv3Jm6J/?symbol=NSE%3AZEEL" TargetMode="External"/><Relationship Id="rId2210" Type="http://schemas.openxmlformats.org/officeDocument/2006/relationships/hyperlink" Target="https://in.tradingview.com/chart/Cgv3Jm6J/?symbol=NSE%3AXPROINDIA" TargetMode="External"/><Relationship Id="rId2211" Type="http://schemas.openxmlformats.org/officeDocument/2006/relationships/hyperlink" Target="https://in.tradingview.com/chart/Cgv3Jm6J/?symbol=NSE%3AXTGLOBAL" TargetMode="External"/><Relationship Id="rId2212" Type="http://schemas.openxmlformats.org/officeDocument/2006/relationships/hyperlink" Target="https://in.tradingview.com/chart/Cgv3Jm6J/?symbol=NSE%3AYAARI" TargetMode="External"/><Relationship Id="rId2213" Type="http://schemas.openxmlformats.org/officeDocument/2006/relationships/hyperlink" Target="https://in.tradingview.com/chart/Cgv3Jm6J/?symbol=NSE%3AYASHO" TargetMode="External"/><Relationship Id="rId2247" Type="http://schemas.openxmlformats.org/officeDocument/2006/relationships/hyperlink" Target="https://in.tradingview.com/chart/ofQQfXOP/?symbol=NSE%3AFEDERALBNK" TargetMode="External"/><Relationship Id="rId2248" Type="http://schemas.openxmlformats.org/officeDocument/2006/relationships/hyperlink" Target="https://in.tradingview.com/chart/ofQQfXOP/?symbol=NSE%3AGESHIP" TargetMode="External"/><Relationship Id="rId2249" Type="http://schemas.openxmlformats.org/officeDocument/2006/relationships/hyperlink" Target="https://in.tradingview.com/chart/ofQQfXOP/?symbol=NSE%3AGROBTEA" TargetMode="External"/><Relationship Id="rId327" Type="http://schemas.openxmlformats.org/officeDocument/2006/relationships/hyperlink" Target="https://in.tradingview.com/chart/Cgv3Jm6J/?symbol=NSE%3ABRNL" TargetMode="External"/><Relationship Id="rId326" Type="http://schemas.openxmlformats.org/officeDocument/2006/relationships/hyperlink" Target="https://in.tradingview.com/chart/Cgv3Jm6J/?symbol=NSE%3ABRITANNIA" TargetMode="External"/><Relationship Id="rId325" Type="http://schemas.openxmlformats.org/officeDocument/2006/relationships/hyperlink" Target="https://in.tradingview.com/chart/Cgv3Jm6J/?symbol=NSE%3ABRIGADE" TargetMode="External"/><Relationship Id="rId324" Type="http://schemas.openxmlformats.org/officeDocument/2006/relationships/hyperlink" Target="https://in.tradingview.com/chart/Cgv3Jm6J/?symbol=NSE%3ABPL" TargetMode="External"/><Relationship Id="rId329" Type="http://schemas.openxmlformats.org/officeDocument/2006/relationships/hyperlink" Target="https://in.tradingview.com/chart/Cgv3Jm6J/?symbol=NSE%3ABSE" TargetMode="External"/><Relationship Id="rId328" Type="http://schemas.openxmlformats.org/officeDocument/2006/relationships/hyperlink" Target="https://in.tradingview.com/chart/Cgv3Jm6J/?symbol=NSE%3ABROOKS" TargetMode="External"/><Relationship Id="rId2240" Type="http://schemas.openxmlformats.org/officeDocument/2006/relationships/hyperlink" Target="https://in.tradingview.com/chart/ofQQfXOP/?symbol=NSE%3ATEXRAIL" TargetMode="External"/><Relationship Id="rId2241" Type="http://schemas.openxmlformats.org/officeDocument/2006/relationships/hyperlink" Target="https://in.tradingview.com/chart/ofQQfXOP/?symbol=NSE%3ATEXMOPIPES" TargetMode="External"/><Relationship Id="rId2242" Type="http://schemas.openxmlformats.org/officeDocument/2006/relationships/hyperlink" Target="https://in.tradingview.com/chart/ofQQfXOP/?symbol=NSE%3ATGBHOTELS" TargetMode="External"/><Relationship Id="rId323" Type="http://schemas.openxmlformats.org/officeDocument/2006/relationships/hyperlink" Target="https://in.tradingview.com/chart/Cgv3Jm6J/?symbol=NSE%3ABPCL" TargetMode="External"/><Relationship Id="rId2243" Type="http://schemas.openxmlformats.org/officeDocument/2006/relationships/hyperlink" Target="https://in.tradingview.com/chart/ofQQfXOP/?symbol=NSE%3ATHANGAMAYL" TargetMode="External"/><Relationship Id="rId322" Type="http://schemas.openxmlformats.org/officeDocument/2006/relationships/hyperlink" Target="https://in.tradingview.com/chart/Cgv3Jm6J/?symbol=NSE%3ABOSCHLTD" TargetMode="External"/><Relationship Id="rId2244" Type="http://schemas.openxmlformats.org/officeDocument/2006/relationships/hyperlink" Target="https://in.tradingview.com/chart/ofQQfXOP/?symbol=NSE%3AANDHRSUGAR" TargetMode="External"/><Relationship Id="rId321" Type="http://schemas.openxmlformats.org/officeDocument/2006/relationships/hyperlink" Target="https://in.tradingview.com/chart/Cgv3Jm6J/?symbol=NSE%3ABOROSCI" TargetMode="External"/><Relationship Id="rId2245" Type="http://schemas.openxmlformats.org/officeDocument/2006/relationships/hyperlink" Target="https://in.tradingview.com/chart/ofQQfXOP/?symbol=NSE%3AANUP" TargetMode="External"/><Relationship Id="rId320" Type="http://schemas.openxmlformats.org/officeDocument/2006/relationships/hyperlink" Target="https://in.tradingview.com/chart/Cgv3Jm6J/?symbol=NSE%3ABORORENEW" TargetMode="External"/><Relationship Id="rId2246" Type="http://schemas.openxmlformats.org/officeDocument/2006/relationships/hyperlink" Target="https://in.tradingview.com/chart/ofQQfXOP/?symbol=NSE%3ABYKE" TargetMode="External"/><Relationship Id="rId2236" Type="http://schemas.openxmlformats.org/officeDocument/2006/relationships/hyperlink" Target="https://in.tradingview.com/chart/ofQQfXOP/?symbol=NSE%3ATEMBO" TargetMode="External"/><Relationship Id="rId2237" Type="http://schemas.openxmlformats.org/officeDocument/2006/relationships/hyperlink" Target="https://in.tradingview.com/chart/ofQQfXOP/?symbol=NSE%3ATENNIND" TargetMode="External"/><Relationship Id="rId2238" Type="http://schemas.openxmlformats.org/officeDocument/2006/relationships/hyperlink" Target="https://in.tradingview.com/chart/ofQQfXOP/?symbol=NSE%3ATERASOFT" TargetMode="External"/><Relationship Id="rId2239" Type="http://schemas.openxmlformats.org/officeDocument/2006/relationships/hyperlink" Target="https://in.tradingview.com/chart/ofQQfXOP/?symbol=NSE%3ATEXINFRA" TargetMode="External"/><Relationship Id="rId316" Type="http://schemas.openxmlformats.org/officeDocument/2006/relationships/hyperlink" Target="https://in.tradingview.com/chart/Cgv3Jm6J/?symbol=NSE%3ABLUESTARCO" TargetMode="External"/><Relationship Id="rId315" Type="http://schemas.openxmlformats.org/officeDocument/2006/relationships/hyperlink" Target="https://in.tradingview.com/chart/Cgv3Jm6J/?symbol=NSE%3ABLUEJET" TargetMode="External"/><Relationship Id="rId314" Type="http://schemas.openxmlformats.org/officeDocument/2006/relationships/hyperlink" Target="https://in.tradingview.com/chart/Cgv3Jm6J/?symbol=NSE%3ABLUEDART" TargetMode="External"/><Relationship Id="rId313" Type="http://schemas.openxmlformats.org/officeDocument/2006/relationships/hyperlink" Target="https://in.tradingview.com/chart/Cgv3Jm6J/?symbol=NSE%3ABLUECHIP" TargetMode="External"/><Relationship Id="rId319" Type="http://schemas.openxmlformats.org/officeDocument/2006/relationships/hyperlink" Target="https://in.tradingview.com/chart/Cgv3Jm6J/?symbol=NSE%3ABOROLTD" TargetMode="External"/><Relationship Id="rId318" Type="http://schemas.openxmlformats.org/officeDocument/2006/relationships/hyperlink" Target="https://in.tradingview.com/chart/Cgv3Jm6J/?symbol=NSE%3ABOMDYEING" TargetMode="External"/><Relationship Id="rId317" Type="http://schemas.openxmlformats.org/officeDocument/2006/relationships/hyperlink" Target="https://in.tradingview.com/chart/Cgv3Jm6J/?symbol=NSE%3ABODALCHEM" TargetMode="External"/><Relationship Id="rId2230" Type="http://schemas.openxmlformats.org/officeDocument/2006/relationships/hyperlink" Target="https://in.tradingview.com/chart/Cgv3Jm6J/?symbol=NSE%3AZOTA" TargetMode="External"/><Relationship Id="rId2231" Type="http://schemas.openxmlformats.org/officeDocument/2006/relationships/hyperlink" Target="https://in.tradingview.com/chart/Cgv3Jm6J/?symbol=NSE%3AZUARI" TargetMode="External"/><Relationship Id="rId312" Type="http://schemas.openxmlformats.org/officeDocument/2006/relationships/hyperlink" Target="https://in.tradingview.com/chart/Cgv3Jm6J/?symbol=NSE%3ABLSE" TargetMode="External"/><Relationship Id="rId2232" Type="http://schemas.openxmlformats.org/officeDocument/2006/relationships/hyperlink" Target="https://in.tradingview.com/chart/Cgv3Jm6J/?symbol=NSE%3AZUARIIND" TargetMode="External"/><Relationship Id="rId311" Type="http://schemas.openxmlformats.org/officeDocument/2006/relationships/hyperlink" Target="https://in.tradingview.com/chart/Cgv3Jm6J/?symbol=NSE%3ABLS" TargetMode="External"/><Relationship Id="rId2233" Type="http://schemas.openxmlformats.org/officeDocument/2006/relationships/hyperlink" Target="https://in.tradingview.com/chart/Cgv3Jm6J/?symbol=NSE%3AZYDUSLIFE" TargetMode="External"/><Relationship Id="rId310" Type="http://schemas.openxmlformats.org/officeDocument/2006/relationships/hyperlink" Target="https://in.tradingview.com/chart/Cgv3Jm6J/?symbol=NSE%3ABLKASHYAP" TargetMode="External"/><Relationship Id="rId2234" Type="http://schemas.openxmlformats.org/officeDocument/2006/relationships/hyperlink" Target="https://in.tradingview.com/chart/Cgv3Jm6J/?symbol=NSE%3AZYDUSWELL" TargetMode="External"/><Relationship Id="rId2235" Type="http://schemas.openxmlformats.org/officeDocument/2006/relationships/hyperlink" Target="https://in.tradingview.com/chart/ofQQfXOP/?symbol=NSE%3ATEJASNET" TargetMode="External"/><Relationship Id="rId297" Type="http://schemas.openxmlformats.org/officeDocument/2006/relationships/hyperlink" Target="https://in.tradingview.com/chart/Cgv3Jm6J/?symbol=NSE%3ABHARTIARTL" TargetMode="External"/><Relationship Id="rId296" Type="http://schemas.openxmlformats.org/officeDocument/2006/relationships/hyperlink" Target="https://in.tradingview.com/chart/Cgv3Jm6J/?symbol=NSE%3ABHARATWIRE" TargetMode="External"/><Relationship Id="rId295" Type="http://schemas.openxmlformats.org/officeDocument/2006/relationships/hyperlink" Target="https://in.tradingview.com/chart/Cgv3Jm6J/?symbol=NSE%3ABHARATRAS" TargetMode="External"/><Relationship Id="rId294" Type="http://schemas.openxmlformats.org/officeDocument/2006/relationships/hyperlink" Target="https://in.tradingview.com/chart/Cgv3Jm6J/?symbol=NSE%3ABHARATGEAR" TargetMode="External"/><Relationship Id="rId299" Type="http://schemas.openxmlformats.org/officeDocument/2006/relationships/hyperlink" Target="https://in.tradingview.com/chart/Cgv3Jm6J/?symbol=NSE%3ABHEL" TargetMode="External"/><Relationship Id="rId298" Type="http://schemas.openxmlformats.org/officeDocument/2006/relationships/hyperlink" Target="https://in.tradingview.com/chart/Cgv3Jm6J/?symbol=NSE%3ABHARTIHEXA" TargetMode="External"/><Relationship Id="rId271" Type="http://schemas.openxmlformats.org/officeDocument/2006/relationships/hyperlink" Target="https://in.tradingview.com/chart/Cgv3Jm6J/?symbol=NSE%3ABBNPNBETF" TargetMode="External"/><Relationship Id="rId270" Type="http://schemas.openxmlformats.org/officeDocument/2006/relationships/hyperlink" Target="https://in.tradingview.com/chart/Cgv3Jm6J/?symbol=NSE%3ABBL" TargetMode="External"/><Relationship Id="rId269" Type="http://schemas.openxmlformats.org/officeDocument/2006/relationships/hyperlink" Target="https://in.tradingview.com/chart/Cgv3Jm6J/?symbol=NSE%3ABBETF0432" TargetMode="External"/><Relationship Id="rId264" Type="http://schemas.openxmlformats.org/officeDocument/2006/relationships/hyperlink" Target="https://in.tradingview.com/chart/Cgv3Jm6J/?symbol=NSE%3ABARBEQUE" TargetMode="External"/><Relationship Id="rId263" Type="http://schemas.openxmlformats.org/officeDocument/2006/relationships/hyperlink" Target="https://in.tradingview.com/chart/Cgv3Jm6J/?symbol=NSE%3ABANSWRAS" TargetMode="External"/><Relationship Id="rId262" Type="http://schemas.openxmlformats.org/officeDocument/2006/relationships/hyperlink" Target="https://in.tradingview.com/chart/Cgv3Jm6J/?symbol=NSE%3ABANSALWIRE" TargetMode="External"/><Relationship Id="rId261" Type="http://schemas.openxmlformats.org/officeDocument/2006/relationships/hyperlink" Target="https://in.tradingview.com/chart/Cgv3Jm6J/?symbol=NSE%3ABANKPSU" TargetMode="External"/><Relationship Id="rId268" Type="http://schemas.openxmlformats.org/officeDocument/2006/relationships/hyperlink" Target="https://in.tradingview.com/chart/Cgv3Jm6J/?symbol=NSE%3ABAYERCROP" TargetMode="External"/><Relationship Id="rId267" Type="http://schemas.openxmlformats.org/officeDocument/2006/relationships/hyperlink" Target="https://in.tradingview.com/chart/Cgv3Jm6J/?symbol=NSE%3ABATAINDIA" TargetMode="External"/><Relationship Id="rId266" Type="http://schemas.openxmlformats.org/officeDocument/2006/relationships/hyperlink" Target="https://in.tradingview.com/chart/Cgv3Jm6J/?symbol=NSE%3ABASML" TargetMode="External"/><Relationship Id="rId265" Type="http://schemas.openxmlformats.org/officeDocument/2006/relationships/hyperlink" Target="https://in.tradingview.com/chart/Cgv3Jm6J/?symbol=NSE%3ABASF" TargetMode="External"/><Relationship Id="rId260" Type="http://schemas.openxmlformats.org/officeDocument/2006/relationships/hyperlink" Target="https://in.tradingview.com/chart/Cgv3Jm6J/?symbol=NSE%3ABANKNIFTY1" TargetMode="External"/><Relationship Id="rId259" Type="http://schemas.openxmlformats.org/officeDocument/2006/relationships/hyperlink" Target="https://in.tradingview.com/chart/Cgv3Jm6J/?symbol=NSE%3ABANKINDIA" TargetMode="External"/><Relationship Id="rId258" Type="http://schemas.openxmlformats.org/officeDocument/2006/relationships/hyperlink" Target="https://in.tradingview.com/chart/Cgv3Jm6J/?symbol=NSE%3ABANKIETF" TargetMode="External"/><Relationship Id="rId2290" Type="http://schemas.openxmlformats.org/officeDocument/2006/relationships/hyperlink" Target="https://in.tradingview.com/chart/ofQQfXOP/?symbol=NSE%3ATORNTPOWER" TargetMode="External"/><Relationship Id="rId2291" Type="http://schemas.openxmlformats.org/officeDocument/2006/relationships/hyperlink" Target="https://in.tradingview.com/chart/ofQQfXOP/?symbol=NSE%3ATOTAL" TargetMode="External"/><Relationship Id="rId2292" Type="http://schemas.openxmlformats.org/officeDocument/2006/relationships/hyperlink" Target="https://in.tradingview.com/chart/ofQQfXOP/?symbol=NSE%3ATOUCHWOOD" TargetMode="External"/><Relationship Id="rId2293" Type="http://schemas.openxmlformats.org/officeDocument/2006/relationships/hyperlink" Target="https://in.tradingview.com/chart/ofQQfXOP/?symbol=NSE%3ATFCILTD" TargetMode="External"/><Relationship Id="rId253" Type="http://schemas.openxmlformats.org/officeDocument/2006/relationships/hyperlink" Target="https://in.tradingview.com/chart/Cgv3Jm6J/?symbol=NSE%3ABANKBARODA" TargetMode="External"/><Relationship Id="rId2294" Type="http://schemas.openxmlformats.org/officeDocument/2006/relationships/hyperlink" Target="https://in.tradingview.com/chart/ofQQfXOP/?symbol=NSE%3ATPLPLASTEH" TargetMode="External"/><Relationship Id="rId252" Type="http://schemas.openxmlformats.org/officeDocument/2006/relationships/hyperlink" Target="https://in.tradingview.com/chart/Cgv3Jm6J/?symbol=NSE%3ABANKA" TargetMode="External"/><Relationship Id="rId2295" Type="http://schemas.openxmlformats.org/officeDocument/2006/relationships/hyperlink" Target="https://in.tradingview.com/chart/ofQQfXOP/?symbol=NSE%3ATRACXN" TargetMode="External"/><Relationship Id="rId251" Type="http://schemas.openxmlformats.org/officeDocument/2006/relationships/hyperlink" Target="https://in.tradingview.com/chart/Cgv3Jm6J/?symbol=NSE%3ABANG" TargetMode="External"/><Relationship Id="rId2296" Type="http://schemas.openxmlformats.org/officeDocument/2006/relationships/hyperlink" Target="https://in.tradingview.com/chart/ofQQfXOP/?symbol=NSE%3ATARIL" TargetMode="External"/><Relationship Id="rId250" Type="http://schemas.openxmlformats.org/officeDocument/2006/relationships/hyperlink" Target="https://in.tradingview.com/chart/Cgv3Jm6J/?symbol=NSE%3ABANDHANBNK" TargetMode="External"/><Relationship Id="rId2297" Type="http://schemas.openxmlformats.org/officeDocument/2006/relationships/hyperlink" Target="https://in.tradingview.com/chart/ofQQfXOP/?symbol=NSE%3ATREL" TargetMode="External"/><Relationship Id="rId257" Type="http://schemas.openxmlformats.org/officeDocument/2006/relationships/hyperlink" Target="https://in.tradingview.com/chart/Cgv3Jm6J/?symbol=NSE%3ABANKETFADD" TargetMode="External"/><Relationship Id="rId2298" Type="http://schemas.openxmlformats.org/officeDocument/2006/relationships/hyperlink" Target="https://in.tradingview.com/chart/ofQQfXOP/?symbol=NSE%3ATCI" TargetMode="External"/><Relationship Id="rId256" Type="http://schemas.openxmlformats.org/officeDocument/2006/relationships/hyperlink" Target="https://in.tradingview.com/chart/Cgv3Jm6J/?symbol=NSE%3ABANKETF" TargetMode="External"/><Relationship Id="rId2299" Type="http://schemas.openxmlformats.org/officeDocument/2006/relationships/hyperlink" Target="https://in.tradingview.com/chart/ofQQfXOP/?symbol=NSE%3ATRANSRAILL" TargetMode="External"/><Relationship Id="rId255" Type="http://schemas.openxmlformats.org/officeDocument/2006/relationships/hyperlink" Target="https://in.tradingview.com/chart/Cgv3Jm6J/?symbol=NSE%3ABANKBETF" TargetMode="External"/><Relationship Id="rId254" Type="http://schemas.openxmlformats.org/officeDocument/2006/relationships/hyperlink" Target="https://in.tradingview.com/chart/Cgv3Jm6J/?symbol=NSE%3ABANKBEES" TargetMode="External"/><Relationship Id="rId293" Type="http://schemas.openxmlformats.org/officeDocument/2006/relationships/hyperlink" Target="https://in.tradingview.com/chart/Cgv3Jm6J/?symbol=NSE%3ABHARATFORG" TargetMode="External"/><Relationship Id="rId292" Type="http://schemas.openxmlformats.org/officeDocument/2006/relationships/hyperlink" Target="https://in.tradingview.com/chart/Cgv3Jm6J/?symbol=NSE%3ABHANDARI" TargetMode="External"/><Relationship Id="rId291" Type="http://schemas.openxmlformats.org/officeDocument/2006/relationships/hyperlink" Target="https://in.tradingview.com/chart/Cgv3Jm6J/?symbol=NSE%3ABHAGYANGR" TargetMode="External"/><Relationship Id="rId290" Type="http://schemas.openxmlformats.org/officeDocument/2006/relationships/hyperlink" Target="https://in.tradingview.com/chart/Cgv3Jm6J/?symbol=NSE%3ABHAGERIA" TargetMode="External"/><Relationship Id="rId286" Type="http://schemas.openxmlformats.org/officeDocument/2006/relationships/hyperlink" Target="https://in.tradingview.com/chart/Cgv3Jm6J/?symbol=NSE%3ABFINVEST" TargetMode="External"/><Relationship Id="rId285" Type="http://schemas.openxmlformats.org/officeDocument/2006/relationships/hyperlink" Target="https://in.tradingview.com/chart/Cgv3Jm6J/?symbol=NSE%3ABERGEPAINT" TargetMode="External"/><Relationship Id="rId284" Type="http://schemas.openxmlformats.org/officeDocument/2006/relationships/hyperlink" Target="https://in.tradingview.com/chart/Cgv3Jm6J/?symbol=NSE%3ABEPL" TargetMode="External"/><Relationship Id="rId283" Type="http://schemas.openxmlformats.org/officeDocument/2006/relationships/hyperlink" Target="https://in.tradingview.com/chart/Cgv3Jm6J/?symbol=NSE%3ABEML" TargetMode="External"/><Relationship Id="rId289" Type="http://schemas.openxmlformats.org/officeDocument/2006/relationships/hyperlink" Target="https://in.tradingview.com/chart/Cgv3Jm6J/?symbol=NSE%3ABHAGCHEM" TargetMode="External"/><Relationship Id="rId288" Type="http://schemas.openxmlformats.org/officeDocument/2006/relationships/hyperlink" Target="https://in.tradingview.com/chart/Cgv3Jm6J/?symbol=NSE%3ABFUTILITIE" TargetMode="External"/><Relationship Id="rId287" Type="http://schemas.openxmlformats.org/officeDocument/2006/relationships/hyperlink" Target="https://in.tradingview.com/chart/Cgv3Jm6J/?symbol=NSE%3ABFSI" TargetMode="External"/><Relationship Id="rId282" Type="http://schemas.openxmlformats.org/officeDocument/2006/relationships/hyperlink" Target="https://in.tradingview.com/chart/Cgv3Jm6J/?symbol=NSE%3ABEL" TargetMode="External"/><Relationship Id="rId281" Type="http://schemas.openxmlformats.org/officeDocument/2006/relationships/hyperlink" Target="https://in.tradingview.com/chart/Cgv3Jm6J/?symbol=NSE%3ABEDMUTHA" TargetMode="External"/><Relationship Id="rId280" Type="http://schemas.openxmlformats.org/officeDocument/2006/relationships/hyperlink" Target="https://in.tradingview.com/chart/Cgv3Jm6J/?symbol=NSE%3ABECTORFOOD" TargetMode="External"/><Relationship Id="rId275" Type="http://schemas.openxmlformats.org/officeDocument/2006/relationships/hyperlink" Target="https://in.tradingview.com/chart/Cgv3Jm6J/?symbol=NSE%3ABBTCL" TargetMode="External"/><Relationship Id="rId274" Type="http://schemas.openxmlformats.org/officeDocument/2006/relationships/hyperlink" Target="https://in.tradingview.com/chart/Cgv3Jm6J/?symbol=NSE%3ABBTC" TargetMode="External"/><Relationship Id="rId273" Type="http://schemas.openxmlformats.org/officeDocument/2006/relationships/hyperlink" Target="https://in.tradingview.com/chart/Cgv3Jm6J/?symbol=NSE%3ABBOX" TargetMode="External"/><Relationship Id="rId272" Type="http://schemas.openxmlformats.org/officeDocument/2006/relationships/hyperlink" Target="https://in.tradingview.com/chart/Cgv3Jm6J/?symbol=NSE%3ABBNPPGOLD" TargetMode="External"/><Relationship Id="rId279" Type="http://schemas.openxmlformats.org/officeDocument/2006/relationships/hyperlink" Target="https://in.tradingview.com/chart/Cgv3Jm6J/?symbol=NSE%3ABEARDSELL" TargetMode="External"/><Relationship Id="rId278" Type="http://schemas.openxmlformats.org/officeDocument/2006/relationships/hyperlink" Target="https://in.tradingview.com/chart/Cgv3Jm6J/?symbol=NSE%3ABDL" TargetMode="External"/><Relationship Id="rId277" Type="http://schemas.openxmlformats.org/officeDocument/2006/relationships/hyperlink" Target="https://in.tradingview.com/chart/Cgv3Jm6J/?symbol=NSE%3ABCONCEPTS" TargetMode="External"/><Relationship Id="rId276" Type="http://schemas.openxmlformats.org/officeDocument/2006/relationships/hyperlink" Target="https://in.tradingview.com/chart/Cgv3Jm6J/?symbol=NSE%3ABCLIND" TargetMode="External"/><Relationship Id="rId1851" Type="http://schemas.openxmlformats.org/officeDocument/2006/relationships/hyperlink" Target="https://in.tradingview.com/chart/Cgv3Jm6J/?symbol=NSE%3ASINCLAIR" TargetMode="External"/><Relationship Id="rId1852" Type="http://schemas.openxmlformats.org/officeDocument/2006/relationships/hyperlink" Target="https://in.tradingview.com/chart/Cgv3Jm6J/?symbol=NSE%3ASINDHUTRAD" TargetMode="External"/><Relationship Id="rId1853" Type="http://schemas.openxmlformats.org/officeDocument/2006/relationships/hyperlink" Target="https://in.tradingview.com/chart/Cgv3Jm6J/?symbol=NSE%3ASINTERCOM" TargetMode="External"/><Relationship Id="rId1854" Type="http://schemas.openxmlformats.org/officeDocument/2006/relationships/hyperlink" Target="https://in.tradingview.com/chart/Cgv3Jm6J/?symbol=NSE%3ASIRCA" TargetMode="External"/><Relationship Id="rId1855" Type="http://schemas.openxmlformats.org/officeDocument/2006/relationships/hyperlink" Target="https://in.tradingview.com/chart/Cgv3Jm6J/?symbol=NSE%3ASIS" TargetMode="External"/><Relationship Id="rId1856" Type="http://schemas.openxmlformats.org/officeDocument/2006/relationships/hyperlink" Target="https://in.tradingview.com/chart/Cgv3Jm6J/?symbol=NSE%3ASITINET" TargetMode="External"/><Relationship Id="rId1857" Type="http://schemas.openxmlformats.org/officeDocument/2006/relationships/hyperlink" Target="https://in.tradingview.com/chart/Cgv3Jm6J/?symbol=NSE%3ASIYSIL" TargetMode="External"/><Relationship Id="rId1858" Type="http://schemas.openxmlformats.org/officeDocument/2006/relationships/hyperlink" Target="https://in.tradingview.com/chart/Cgv3Jm6J/?symbol=NSE%3ASJS" TargetMode="External"/><Relationship Id="rId1859" Type="http://schemas.openxmlformats.org/officeDocument/2006/relationships/hyperlink" Target="https://in.tradingview.com/chart/Cgv3Jm6J/?symbol=NSE%3ASJVN" TargetMode="External"/><Relationship Id="rId1850" Type="http://schemas.openxmlformats.org/officeDocument/2006/relationships/hyperlink" Target="https://in.tradingview.com/chart/Cgv3Jm6J/?symbol=NSE%3ASIMPLEXINF" TargetMode="External"/><Relationship Id="rId1840" Type="http://schemas.openxmlformats.org/officeDocument/2006/relationships/hyperlink" Target="https://in.tradingview.com/chart/Cgv3Jm6J/?symbol=NSE%3ASILINV" TargetMode="External"/><Relationship Id="rId1841" Type="http://schemas.openxmlformats.org/officeDocument/2006/relationships/hyperlink" Target="https://in.tradingview.com/chart/Cgv3Jm6J/?symbol=NSE%3ASILLYMONKS" TargetMode="External"/><Relationship Id="rId1842" Type="http://schemas.openxmlformats.org/officeDocument/2006/relationships/hyperlink" Target="https://in.tradingview.com/chart/Cgv3Jm6J/?symbol=NSE%3ASILVER" TargetMode="External"/><Relationship Id="rId1843" Type="http://schemas.openxmlformats.org/officeDocument/2006/relationships/hyperlink" Target="https://in.tradingview.com/chart/Cgv3Jm6J/?symbol=NSE%3ASILVER1" TargetMode="External"/><Relationship Id="rId1844" Type="http://schemas.openxmlformats.org/officeDocument/2006/relationships/hyperlink" Target="https://in.tradingview.com/chart/Cgv3Jm6J/?symbol=NSE%3ASILVERADD" TargetMode="External"/><Relationship Id="rId1845" Type="http://schemas.openxmlformats.org/officeDocument/2006/relationships/hyperlink" Target="https://in.tradingview.com/chart/Cgv3Jm6J/?symbol=NSE%3ASILVERBEES" TargetMode="External"/><Relationship Id="rId1846" Type="http://schemas.openxmlformats.org/officeDocument/2006/relationships/hyperlink" Target="https://in.tradingview.com/chart/Cgv3Jm6J/?symbol=NSE%3ASILVERETF" TargetMode="External"/><Relationship Id="rId1847" Type="http://schemas.openxmlformats.org/officeDocument/2006/relationships/hyperlink" Target="https://in.tradingview.com/chart/Cgv3Jm6J/?symbol=NSE%3ASILVERIETF" TargetMode="External"/><Relationship Id="rId1848" Type="http://schemas.openxmlformats.org/officeDocument/2006/relationships/hyperlink" Target="https://in.tradingview.com/chart/Cgv3Jm6J/?symbol=NSE%3ASILVERTUC" TargetMode="External"/><Relationship Id="rId1849" Type="http://schemas.openxmlformats.org/officeDocument/2006/relationships/hyperlink" Target="https://in.tradingview.com/chart/Cgv3Jm6J/?symbol=NSE%3ASIMBHALS" TargetMode="External"/><Relationship Id="rId1873" Type="http://schemas.openxmlformats.org/officeDocument/2006/relationships/hyperlink" Target="https://in.tradingview.com/chart/Cgv3Jm6J/?symbol=NSE%3ASOLARA" TargetMode="External"/><Relationship Id="rId1874" Type="http://schemas.openxmlformats.org/officeDocument/2006/relationships/hyperlink" Target="https://in.tradingview.com/chart/Cgv3Jm6J/?symbol=NSE%3ASOLARINDS" TargetMode="External"/><Relationship Id="rId1875" Type="http://schemas.openxmlformats.org/officeDocument/2006/relationships/hyperlink" Target="https://in.tradingview.com/chart/Cgv3Jm6J/?symbol=NSE%3ASOMANYCERA" TargetMode="External"/><Relationship Id="rId1876" Type="http://schemas.openxmlformats.org/officeDocument/2006/relationships/hyperlink" Target="https://in.tradingview.com/chart/Cgv3Jm6J/?symbol=NSE%3ASOMATEX" TargetMode="External"/><Relationship Id="rId1877" Type="http://schemas.openxmlformats.org/officeDocument/2006/relationships/hyperlink" Target="https://in.tradingview.com/chart/Cgv3Jm6J/?symbol=NSE%3ASOMICONVEY" TargetMode="External"/><Relationship Id="rId1878" Type="http://schemas.openxmlformats.org/officeDocument/2006/relationships/hyperlink" Target="https://in.tradingview.com/chart/Cgv3Jm6J/?symbol=NSE%3ASONACOMS" TargetMode="External"/><Relationship Id="rId1879" Type="http://schemas.openxmlformats.org/officeDocument/2006/relationships/hyperlink" Target="https://in.tradingview.com/chart/Cgv3Jm6J/?symbol=NSE%3ASONAMLTD" TargetMode="External"/><Relationship Id="rId1870" Type="http://schemas.openxmlformats.org/officeDocument/2006/relationships/hyperlink" Target="https://in.tradingview.com/chart/Cgv3Jm6J/?symbol=NSE%3ASMSPHARMA" TargetMode="External"/><Relationship Id="rId1871" Type="http://schemas.openxmlformats.org/officeDocument/2006/relationships/hyperlink" Target="https://in.tradingview.com/chart/Cgv3Jm6J/?symbol=NSE%3ASNOWMAN" TargetMode="External"/><Relationship Id="rId1872" Type="http://schemas.openxmlformats.org/officeDocument/2006/relationships/hyperlink" Target="https://in.tradingview.com/chart/Cgv3Jm6J/?symbol=NSE%3ASOBHA" TargetMode="External"/><Relationship Id="rId1862" Type="http://schemas.openxmlformats.org/officeDocument/2006/relationships/hyperlink" Target="https://in.tradingview.com/chart/Cgv3Jm6J/?symbol=NSE%3ASKMEGGPROD" TargetMode="External"/><Relationship Id="rId1863" Type="http://schemas.openxmlformats.org/officeDocument/2006/relationships/hyperlink" Target="https://in.tradingview.com/chart/Cgv3Jm6J/?symbol=NSE%3ASKYGOLD" TargetMode="External"/><Relationship Id="rId1864" Type="http://schemas.openxmlformats.org/officeDocument/2006/relationships/hyperlink" Target="https://in.tradingview.com/chart/Cgv3Jm6J/?symbol=NSE%3ASMALLCAP" TargetMode="External"/><Relationship Id="rId1865" Type="http://schemas.openxmlformats.org/officeDocument/2006/relationships/hyperlink" Target="https://in.tradingview.com/chart/Cgv3Jm6J/?symbol=NSE%3ASMARTLINK" TargetMode="External"/><Relationship Id="rId1866" Type="http://schemas.openxmlformats.org/officeDocument/2006/relationships/hyperlink" Target="https://in.tradingview.com/chart/Cgv3Jm6J/?symbol=NSE%3ASMCGLOBAL" TargetMode="External"/><Relationship Id="rId1867" Type="http://schemas.openxmlformats.org/officeDocument/2006/relationships/hyperlink" Target="https://in.tradingview.com/chart/Cgv3Jm6J/?symbol=NSE%3ASMLISUZU" TargetMode="External"/><Relationship Id="rId1868" Type="http://schemas.openxmlformats.org/officeDocument/2006/relationships/hyperlink" Target="https://in.tradingview.com/chart/Cgv3Jm6J/?symbol=NSE%3ASMLT" TargetMode="External"/><Relationship Id="rId1869" Type="http://schemas.openxmlformats.org/officeDocument/2006/relationships/hyperlink" Target="https://in.tradingview.com/chart/Cgv3Jm6J/?symbol=NSE%3ASMSLIFE" TargetMode="External"/><Relationship Id="rId1860" Type="http://schemas.openxmlformats.org/officeDocument/2006/relationships/hyperlink" Target="https://in.tradingview.com/chart/Cgv3Jm6J/?symbol=NSE%3ASKFINDIA" TargetMode="External"/><Relationship Id="rId1861" Type="http://schemas.openxmlformats.org/officeDocument/2006/relationships/hyperlink" Target="https://in.tradingview.com/chart/Cgv3Jm6J/?symbol=NSE%3ASKIPPER" TargetMode="External"/><Relationship Id="rId1810" Type="http://schemas.openxmlformats.org/officeDocument/2006/relationships/hyperlink" Target="https://in.tradingview.com/chart/Cgv3Jm6J/?symbol=NSE%3ASHEKHAWATI" TargetMode="External"/><Relationship Id="rId1811" Type="http://schemas.openxmlformats.org/officeDocument/2006/relationships/hyperlink" Target="https://in.tradingview.com/chart/Cgv3Jm6J/?symbol=NSE%3ASHEMAROO" TargetMode="External"/><Relationship Id="rId1812" Type="http://schemas.openxmlformats.org/officeDocument/2006/relationships/hyperlink" Target="https://in.tradingview.com/chart/Cgv3Jm6J/?symbol=NSE%3ASHILPAMED" TargetMode="External"/><Relationship Id="rId1813" Type="http://schemas.openxmlformats.org/officeDocument/2006/relationships/hyperlink" Target="https://in.tradingview.com/chart/Cgv3Jm6J/?symbol=NSE%3ASHIVALIK" TargetMode="External"/><Relationship Id="rId1814" Type="http://schemas.openxmlformats.org/officeDocument/2006/relationships/hyperlink" Target="https://in.tradingview.com/chart/Cgv3Jm6J/?symbol=NSE%3ASHIVAMAUTO" TargetMode="External"/><Relationship Id="rId1815" Type="http://schemas.openxmlformats.org/officeDocument/2006/relationships/hyperlink" Target="https://in.tradingview.com/chart/Cgv3Jm6J/?symbol=NSE%3ASHIVAMILLS" TargetMode="External"/><Relationship Id="rId1816" Type="http://schemas.openxmlformats.org/officeDocument/2006/relationships/hyperlink" Target="https://in.tradingview.com/chart/Cgv3Jm6J/?symbol=NSE%3ASHIVATEX" TargetMode="External"/><Relationship Id="rId1817" Type="http://schemas.openxmlformats.org/officeDocument/2006/relationships/hyperlink" Target="https://in.tradingview.com/chart/Cgv3Jm6J/?symbol=NSE%3ASHK" TargetMode="External"/><Relationship Id="rId1818" Type="http://schemas.openxmlformats.org/officeDocument/2006/relationships/hyperlink" Target="https://in.tradingview.com/chart/Cgv3Jm6J/?symbol=NSE%3ASHOPERSTOP" TargetMode="External"/><Relationship Id="rId1819" Type="http://schemas.openxmlformats.org/officeDocument/2006/relationships/hyperlink" Target="https://in.tradingview.com/chart/Cgv3Jm6J/?symbol=NSE%3ASHREDIGCEM" TargetMode="External"/><Relationship Id="rId1800" Type="http://schemas.openxmlformats.org/officeDocument/2006/relationships/hyperlink" Target="https://in.tradingview.com/chart/Cgv3Jm6J/?symbol=NSE%3ASHAKTIPUMP" TargetMode="External"/><Relationship Id="rId1801" Type="http://schemas.openxmlformats.org/officeDocument/2006/relationships/hyperlink" Target="https://in.tradingview.com/chart/Cgv3Jm6J/?symbol=NSE%3ASHALBY" TargetMode="External"/><Relationship Id="rId1802" Type="http://schemas.openxmlformats.org/officeDocument/2006/relationships/hyperlink" Target="https://in.tradingview.com/chart/Cgv3Jm6J/?symbol=NSE%3ASHALPAINTS" TargetMode="External"/><Relationship Id="rId1803" Type="http://schemas.openxmlformats.org/officeDocument/2006/relationships/hyperlink" Target="https://in.tradingview.com/chart/Cgv3Jm6J/?symbol=NSE%3ASHANKARA" TargetMode="External"/><Relationship Id="rId1804" Type="http://schemas.openxmlformats.org/officeDocument/2006/relationships/hyperlink" Target="https://in.tradingview.com/chart/Cgv3Jm6J/?symbol=NSE%3ASHANTI" TargetMode="External"/><Relationship Id="rId1805" Type="http://schemas.openxmlformats.org/officeDocument/2006/relationships/hyperlink" Target="https://in.tradingview.com/chart/Cgv3Jm6J/?symbol=NSE%3ASHANTIGEAR" TargetMode="External"/><Relationship Id="rId1806" Type="http://schemas.openxmlformats.org/officeDocument/2006/relationships/hyperlink" Target="https://in.tradingview.com/chart/Cgv3Jm6J/?symbol=NSE%3ASHARDACROP" TargetMode="External"/><Relationship Id="rId1807" Type="http://schemas.openxmlformats.org/officeDocument/2006/relationships/hyperlink" Target="https://in.tradingview.com/chart/Cgv3Jm6J/?symbol=NSE%3ASHARDAMOTR" TargetMode="External"/><Relationship Id="rId1808" Type="http://schemas.openxmlformats.org/officeDocument/2006/relationships/hyperlink" Target="https://in.tradingview.com/chart/Cgv3Jm6J/?symbol=NSE%3ASHAREINDIA" TargetMode="External"/><Relationship Id="rId1809" Type="http://schemas.openxmlformats.org/officeDocument/2006/relationships/hyperlink" Target="https://in.tradingview.com/chart/Cgv3Jm6J/?symbol=NSE%3ASHARIABEES" TargetMode="External"/><Relationship Id="rId1830" Type="http://schemas.openxmlformats.org/officeDocument/2006/relationships/hyperlink" Target="https://in.tradingview.com/chart/Cgv3Jm6J/?symbol=NSE%3ASICALLOG" TargetMode="External"/><Relationship Id="rId1831" Type="http://schemas.openxmlformats.org/officeDocument/2006/relationships/hyperlink" Target="https://in.tradingview.com/chart/Cgv3Jm6J/?symbol=NSE%3ASIEMENS" TargetMode="External"/><Relationship Id="rId1832" Type="http://schemas.openxmlformats.org/officeDocument/2006/relationships/hyperlink" Target="https://in.tradingview.com/chart/Cgv3Jm6J/?symbol=NSE%3ASIGACHI" TargetMode="External"/><Relationship Id="rId1833" Type="http://schemas.openxmlformats.org/officeDocument/2006/relationships/hyperlink" Target="https://in.tradingview.com/chart/Cgv3Jm6J/?symbol=NSE%3ASIGIND" TargetMode="External"/><Relationship Id="rId1834" Type="http://schemas.openxmlformats.org/officeDocument/2006/relationships/hyperlink" Target="https://in.tradingview.com/chart/Cgv3Jm6J/?symbol=NSE%3ASIGMA" TargetMode="External"/><Relationship Id="rId1835" Type="http://schemas.openxmlformats.org/officeDocument/2006/relationships/hyperlink" Target="https://in.tradingview.com/chart/Cgv3Jm6J/?symbol=NSE%3ASIGNATURE" TargetMode="External"/><Relationship Id="rId1836" Type="http://schemas.openxmlformats.org/officeDocument/2006/relationships/hyperlink" Target="https://in.tradingview.com/chart/Cgv3Jm6J/?symbol=NSE%3ASIGNPOST" TargetMode="External"/><Relationship Id="rId1837" Type="http://schemas.openxmlformats.org/officeDocument/2006/relationships/hyperlink" Target="https://in.tradingview.com/chart/Cgv3Jm6J/?symbol=NSE%3ASIKKO" TargetMode="External"/><Relationship Id="rId1838" Type="http://schemas.openxmlformats.org/officeDocument/2006/relationships/hyperlink" Target="https://in.tradingview.com/chart/Cgv3Jm6J/?symbol=NSE%3ASIL" TargetMode="External"/><Relationship Id="rId1839" Type="http://schemas.openxmlformats.org/officeDocument/2006/relationships/hyperlink" Target="https://in.tradingview.com/chart/Cgv3Jm6J/?symbol=NSE%3ASILGO" TargetMode="External"/><Relationship Id="rId1820" Type="http://schemas.openxmlformats.org/officeDocument/2006/relationships/hyperlink" Target="https://in.tradingview.com/chart/Cgv3Jm6J/?symbol=NSE%3ASHREECEM" TargetMode="External"/><Relationship Id="rId1821" Type="http://schemas.openxmlformats.org/officeDocument/2006/relationships/hyperlink" Target="https://in.tradingview.com/chart/Cgv3Jm6J/?symbol=NSE%3ASHREEPUSHK" TargetMode="External"/><Relationship Id="rId1822" Type="http://schemas.openxmlformats.org/officeDocument/2006/relationships/hyperlink" Target="https://in.tradingview.com/chart/Cgv3Jm6J/?symbol=NSE%3ASHRENIK" TargetMode="External"/><Relationship Id="rId1823" Type="http://schemas.openxmlformats.org/officeDocument/2006/relationships/hyperlink" Target="https://in.tradingview.com/chart/Cgv3Jm6J/?symbol=NSE%3ASHREYANIND" TargetMode="External"/><Relationship Id="rId1824" Type="http://schemas.openxmlformats.org/officeDocument/2006/relationships/hyperlink" Target="https://in.tradingview.com/chart/Cgv3Jm6J/?symbol=NSE%3ASHRIPISTON" TargetMode="External"/><Relationship Id="rId1825" Type="http://schemas.openxmlformats.org/officeDocument/2006/relationships/hyperlink" Target="https://in.tradingview.com/chart/Cgv3Jm6J/?symbol=NSE%3ASHRIRAMFIN" TargetMode="External"/><Relationship Id="rId1826" Type="http://schemas.openxmlformats.org/officeDocument/2006/relationships/hyperlink" Target="https://in.tradingview.com/chart/Cgv3Jm6J/?symbol=NSE%3ASHRIRAMPPS" TargetMode="External"/><Relationship Id="rId1827" Type="http://schemas.openxmlformats.org/officeDocument/2006/relationships/hyperlink" Target="https://in.tradingview.com/chart/Cgv3Jm6J/?symbol=NSE%3ASHYAMCENT" TargetMode="External"/><Relationship Id="rId1828" Type="http://schemas.openxmlformats.org/officeDocument/2006/relationships/hyperlink" Target="https://in.tradingview.com/chart/Cgv3Jm6J/?symbol=NSE%3ASHYAMMETL" TargetMode="External"/><Relationship Id="rId1829" Type="http://schemas.openxmlformats.org/officeDocument/2006/relationships/hyperlink" Target="https://in.tradingview.com/chart/Cgv3Jm6J/?symbol=NSE%3ASHYAMTEL" TargetMode="External"/><Relationship Id="rId2302" Type="http://schemas.openxmlformats.org/officeDocument/2006/relationships/hyperlink" Target="https://in.tradingview.com/chart/ofQQfXOP/?symbol=NSE%3ATREEHOUSE" TargetMode="External"/><Relationship Id="rId2303" Type="http://schemas.openxmlformats.org/officeDocument/2006/relationships/hyperlink" Target="https://in.tradingview.com/chart/ofQQfXOP/?symbol=NSE%3ATREJHARA" TargetMode="External"/><Relationship Id="rId2304" Type="http://schemas.openxmlformats.org/officeDocument/2006/relationships/hyperlink" Target="https://in.tradingview.com/chart/ofQQfXOP/?symbol=NSE%3ATRENT" TargetMode="External"/><Relationship Id="rId2305" Type="http://schemas.openxmlformats.org/officeDocument/2006/relationships/hyperlink" Target="https://in.tradingview.com/chart/ofQQfXOP/?symbol=NSE%3ATRF" TargetMode="External"/><Relationship Id="rId2306" Type="http://schemas.openxmlformats.org/officeDocument/2006/relationships/hyperlink" Target="https://in.tradingview.com/chart/ofQQfXOP/?symbol=NSE%3ATBZ" TargetMode="External"/><Relationship Id="rId2307" Type="http://schemas.openxmlformats.org/officeDocument/2006/relationships/hyperlink" Target="https://in.tradingview.com/chart/ofQQfXOP/?symbol=NSE%3ATRIDENT" TargetMode="External"/><Relationship Id="rId2308" Type="http://schemas.openxmlformats.org/officeDocument/2006/relationships/hyperlink" Target="https://in.tradingview.com/chart/ofQQfXOP/?symbol=NSE%3ATRIGYN" TargetMode="External"/><Relationship Id="rId2309" Type="http://schemas.openxmlformats.org/officeDocument/2006/relationships/hyperlink" Target="https://in.tradingview.com/chart/ofQQfXOP/?symbol=NSE%3ATRIVENI" TargetMode="External"/><Relationship Id="rId2300" Type="http://schemas.openxmlformats.org/officeDocument/2006/relationships/hyperlink" Target="https://in.tradingview.com/chart/ofQQfXOP/?symbol=NSE%3ATFL" TargetMode="External"/><Relationship Id="rId2301" Type="http://schemas.openxmlformats.org/officeDocument/2006/relationships/hyperlink" Target="https://in.tradingview.com/chart/ofQQfXOP/?symbol=NSE%3ATRAVELFOOD" TargetMode="External"/><Relationship Id="rId2324" Type="http://schemas.openxmlformats.org/officeDocument/2006/relationships/hyperlink" Target="https://in.tradingview.com/chart/ofQQfXOP/?symbol=NSE%3AUYFINCORP" TargetMode="External"/><Relationship Id="rId2325" Type="http://schemas.openxmlformats.org/officeDocument/2006/relationships/hyperlink" Target="https://in.tradingview.com/chart/ofQQfXOP/?symbol=NSE%3AUCAL" TargetMode="External"/><Relationship Id="rId2326" Type="http://schemas.openxmlformats.org/officeDocument/2006/relationships/hyperlink" Target="https://in.tradingview.com/chart/ofQQfXOP/?symbol=NSE%3AUCOBANK" TargetMode="External"/><Relationship Id="rId2327" Type="http://schemas.openxmlformats.org/officeDocument/2006/relationships/hyperlink" Target="https://in.tradingview.com/chart/ofQQfXOP/?symbol=NSE%3AUSK" TargetMode="External"/><Relationship Id="rId2328" Type="http://schemas.openxmlformats.org/officeDocument/2006/relationships/hyperlink" Target="https://in.tradingview.com/chart/ofQQfXOP/?symbol=NSE%3AUFLEX" TargetMode="External"/><Relationship Id="rId2329" Type="http://schemas.openxmlformats.org/officeDocument/2006/relationships/hyperlink" Target="https://in.tradingview.com/chart/ofQQfXOP/?symbol=NSE%3AUFO" TargetMode="External"/><Relationship Id="rId2320" Type="http://schemas.openxmlformats.org/officeDocument/2006/relationships/hyperlink" Target="https://in.tradingview.com/chart/ofQQfXOP/?symbol=NSE%3ATVSMOTOR" TargetMode="External"/><Relationship Id="rId2321" Type="http://schemas.openxmlformats.org/officeDocument/2006/relationships/hyperlink" Target="https://in.tradingview.com/chart/ofQQfXOP/?symbol=NSE%3ATVSSRICHAK" TargetMode="External"/><Relationship Id="rId2322" Type="http://schemas.openxmlformats.org/officeDocument/2006/relationships/hyperlink" Target="https://in.tradingview.com/chart/ofQQfXOP/?symbol=NSE%3ATVSSCS" TargetMode="External"/><Relationship Id="rId2323" Type="http://schemas.openxmlformats.org/officeDocument/2006/relationships/hyperlink" Target="https://in.tradingview.com/chart/ofQQfXOP/?symbol=NSE%3A21STCENMGM" TargetMode="External"/><Relationship Id="rId2313" Type="http://schemas.openxmlformats.org/officeDocument/2006/relationships/hyperlink" Target="https://in.tradingview.com/chart/ofQQfXOP/?symbol=NSE%3ATTKHLTCARE" TargetMode="External"/><Relationship Id="rId2314" Type="http://schemas.openxmlformats.org/officeDocument/2006/relationships/hyperlink" Target="https://in.tradingview.com/chart/ofQQfXOP/?symbol=NSE%3ATTKPRESTIG" TargetMode="External"/><Relationship Id="rId2315" Type="http://schemas.openxmlformats.org/officeDocument/2006/relationships/hyperlink" Target="https://in.tradingview.com/chart/ofQQfXOP/?symbol=NSE%3ATIINDIA" TargetMode="External"/><Relationship Id="rId2316" Type="http://schemas.openxmlformats.org/officeDocument/2006/relationships/hyperlink" Target="https://in.tradingview.com/chart/ofQQfXOP/?symbol=NSE%3ATVTODAY" TargetMode="External"/><Relationship Id="rId2317" Type="http://schemas.openxmlformats.org/officeDocument/2006/relationships/hyperlink" Target="https://in.tradingview.com/chart/ofQQfXOP/?symbol=NSE%3ATVVISION" TargetMode="External"/><Relationship Id="rId2318" Type="http://schemas.openxmlformats.org/officeDocument/2006/relationships/hyperlink" Target="https://in.tradingview.com/chart/ofQQfXOP/?symbol=NSE%3ATVSELECT" TargetMode="External"/><Relationship Id="rId2319" Type="http://schemas.openxmlformats.org/officeDocument/2006/relationships/hyperlink" Target="https://in.tradingview.com/chart/ofQQfXOP/?symbol=NSE%3ATVSHLTD" TargetMode="External"/><Relationship Id="rId2310" Type="http://schemas.openxmlformats.org/officeDocument/2006/relationships/hyperlink" Target="https://in.tradingview.com/chart/ofQQfXOP/?symbol=NSE%3ATRITURBINE" TargetMode="External"/><Relationship Id="rId2311" Type="http://schemas.openxmlformats.org/officeDocument/2006/relationships/hyperlink" Target="https://in.tradingview.com/chart/ofQQfXOP/?symbol=NSE%3ATRU" TargetMode="External"/><Relationship Id="rId2312" Type="http://schemas.openxmlformats.org/officeDocument/2006/relationships/hyperlink" Target="https://in.tradingview.com/chart/ofQQfXOP/?symbol=NSE%3ATSFINV" TargetMode="External"/><Relationship Id="rId1895" Type="http://schemas.openxmlformats.org/officeDocument/2006/relationships/hyperlink" Target="https://in.tradingview.com/chart/Cgv3Jm6J/?symbol=NSE%3ASRD" TargetMode="External"/><Relationship Id="rId1896" Type="http://schemas.openxmlformats.org/officeDocument/2006/relationships/hyperlink" Target="https://in.tradingview.com/chart/Cgv3Jm6J/?symbol=NSE%3ASREEL" TargetMode="External"/><Relationship Id="rId1897" Type="http://schemas.openxmlformats.org/officeDocument/2006/relationships/hyperlink" Target="https://in.tradingview.com/chart/Cgv3Jm6J/?symbol=NSE%3ASRF" TargetMode="External"/><Relationship Id="rId1898" Type="http://schemas.openxmlformats.org/officeDocument/2006/relationships/hyperlink" Target="https://in.tradingview.com/chart/Cgv3Jm6J/?symbol=NSE%3ASRGHFL" TargetMode="External"/><Relationship Id="rId1899" Type="http://schemas.openxmlformats.org/officeDocument/2006/relationships/hyperlink" Target="https://in.tradingview.com/chart/Cgv3Jm6J/?symbol=NSE%3ASRHHYPOLTD" TargetMode="External"/><Relationship Id="rId1890" Type="http://schemas.openxmlformats.org/officeDocument/2006/relationships/hyperlink" Target="https://in.tradingview.com/chart/Cgv3Jm6J/?symbol=NSE%3ASPIC" TargetMode="External"/><Relationship Id="rId1891" Type="http://schemas.openxmlformats.org/officeDocument/2006/relationships/hyperlink" Target="https://in.tradingview.com/chart/Cgv3Jm6J/?symbol=NSE%3ASPLIL" TargetMode="External"/><Relationship Id="rId1892" Type="http://schemas.openxmlformats.org/officeDocument/2006/relationships/hyperlink" Target="https://in.tradingview.com/chart/Cgv3Jm6J/?symbol=NSE%3ASPLPETRO" TargetMode="External"/><Relationship Id="rId1893" Type="http://schemas.openxmlformats.org/officeDocument/2006/relationships/hyperlink" Target="https://in.tradingview.com/chart/Cgv3Jm6J/?symbol=NSE%3ASPMLINFRA" TargetMode="External"/><Relationship Id="rId1894" Type="http://schemas.openxmlformats.org/officeDocument/2006/relationships/hyperlink" Target="https://in.tradingview.com/chart/Cgv3Jm6J/?symbol=NSE%3ASPORTKING" TargetMode="External"/><Relationship Id="rId1884" Type="http://schemas.openxmlformats.org/officeDocument/2006/relationships/hyperlink" Target="https://in.tradingview.com/chart/Cgv3Jm6J/?symbol=NSE%3ASPAL" TargetMode="External"/><Relationship Id="rId1885" Type="http://schemas.openxmlformats.org/officeDocument/2006/relationships/hyperlink" Target="https://in.tradingview.com/chart/Cgv3Jm6J/?symbol=NSE%3ASPANDANA" TargetMode="External"/><Relationship Id="rId1886" Type="http://schemas.openxmlformats.org/officeDocument/2006/relationships/hyperlink" Target="https://in.tradingview.com/chart/Cgv3Jm6J/?symbol=NSE%3ASPARC" TargetMode="External"/><Relationship Id="rId1887" Type="http://schemas.openxmlformats.org/officeDocument/2006/relationships/hyperlink" Target="https://in.tradingview.com/chart/Cgv3Jm6J/?symbol=NSE%3ASPCENET" TargetMode="External"/><Relationship Id="rId1888" Type="http://schemas.openxmlformats.org/officeDocument/2006/relationships/hyperlink" Target="https://in.tradingview.com/chart/Cgv3Jm6J/?symbol=NSE%3ASPECIALITY" TargetMode="External"/><Relationship Id="rId1889" Type="http://schemas.openxmlformats.org/officeDocument/2006/relationships/hyperlink" Target="https://in.tradingview.com/chart/Cgv3Jm6J/?symbol=NSE%3ASPENCERS" TargetMode="External"/><Relationship Id="rId1880" Type="http://schemas.openxmlformats.org/officeDocument/2006/relationships/hyperlink" Target="https://in.tradingview.com/chart/Cgv3Jm6J/?symbol=NSE%3ASONATSOFTW" TargetMode="External"/><Relationship Id="rId1881" Type="http://schemas.openxmlformats.org/officeDocument/2006/relationships/hyperlink" Target="https://in.tradingview.com/chart/Cgv3Jm6J/?symbol=NSE%3ASOTL" TargetMode="External"/><Relationship Id="rId1882" Type="http://schemas.openxmlformats.org/officeDocument/2006/relationships/hyperlink" Target="https://in.tradingview.com/chart/Cgv3Jm6J/?symbol=NSE%3ASOUTHBANK" TargetMode="External"/><Relationship Id="rId1883" Type="http://schemas.openxmlformats.org/officeDocument/2006/relationships/hyperlink" Target="https://in.tradingview.com/chart/Cgv3Jm6J/?symbol=NSE%3ASOUTHWEST" TargetMode="External"/><Relationship Id="rId1059" Type="http://schemas.openxmlformats.org/officeDocument/2006/relationships/hyperlink" Target="https://in.tradingview.com/chart/Cgv3Jm6J/?symbol=NSE%3AKICL" TargetMode="External"/><Relationship Id="rId228" Type="http://schemas.openxmlformats.org/officeDocument/2006/relationships/hyperlink" Target="https://in.tradingview.com/chart/Cgv3Jm6J/?symbol=NSE%3ABAJAJELEC" TargetMode="External"/><Relationship Id="rId227" Type="http://schemas.openxmlformats.org/officeDocument/2006/relationships/hyperlink" Target="https://in.tradingview.com/chart/Cgv3Jm6J/?symbol=NSE%3ABAJAJCON" TargetMode="External"/><Relationship Id="rId226" Type="http://schemas.openxmlformats.org/officeDocument/2006/relationships/hyperlink" Target="https://in.tradingview.com/chart/Cgv3Jm6J/?symbol=NSE%3ABAJAJ_AUTO" TargetMode="External"/><Relationship Id="rId225" Type="http://schemas.openxmlformats.org/officeDocument/2006/relationships/hyperlink" Target="https://in.tradingview.com/chart/Cgv3Jm6J/?symbol=NSE%3ABAIDFIN" TargetMode="External"/><Relationship Id="rId2380" Type="http://schemas.openxmlformats.org/officeDocument/2006/relationships/hyperlink" Target="https://in.tradingview.com/chart/ofQQfXOP/?symbol=NSE%3AVADILALIND" TargetMode="External"/><Relationship Id="rId229" Type="http://schemas.openxmlformats.org/officeDocument/2006/relationships/hyperlink" Target="https://in.tradingview.com/chart/Cgv3Jm6J/?symbol=NSE%3ABAJAJFINSV" TargetMode="External"/><Relationship Id="rId1050" Type="http://schemas.openxmlformats.org/officeDocument/2006/relationships/hyperlink" Target="https://in.tradingview.com/chart/Cgv3Jm6J/?symbol=NSE%3AKELLTONTEC" TargetMode="External"/><Relationship Id="rId2381" Type="http://schemas.openxmlformats.org/officeDocument/2006/relationships/hyperlink" Target="https://in.tradingview.com/chart/ofQQfXOP/?symbol=NSE%3AVAIBHAVGBL" TargetMode="External"/><Relationship Id="rId220" Type="http://schemas.openxmlformats.org/officeDocument/2006/relationships/hyperlink" Target="https://in.tradingview.com/chart/Cgv3Jm6J/?symbol=NSE%3AAXSENSEX" TargetMode="External"/><Relationship Id="rId1051" Type="http://schemas.openxmlformats.org/officeDocument/2006/relationships/hyperlink" Target="https://in.tradingview.com/chart/Cgv3Jm6J/?symbol=NSE%3AKERNEX" TargetMode="External"/><Relationship Id="rId2382" Type="http://schemas.openxmlformats.org/officeDocument/2006/relationships/hyperlink" Target="https://in.tradingview.com/chart/ofQQfXOP/?symbol=NSE%3AVAISHALI" TargetMode="External"/><Relationship Id="rId1052" Type="http://schemas.openxmlformats.org/officeDocument/2006/relationships/hyperlink" Target="https://in.tradingview.com/chart/Cgv3Jm6J/?symbol=NSE%3AKESORAMIND" TargetMode="External"/><Relationship Id="rId2383" Type="http://schemas.openxmlformats.org/officeDocument/2006/relationships/hyperlink" Target="https://in.tradingview.com/chart/ofQQfXOP/?symbol=NSE%3AVAKRANGEE" TargetMode="External"/><Relationship Id="rId1053" Type="http://schemas.openxmlformats.org/officeDocument/2006/relationships/hyperlink" Target="https://in.tradingview.com/chart/Cgv3Jm6J/?symbol=NSE%3AKEYFINSERV" TargetMode="External"/><Relationship Id="rId2384" Type="http://schemas.openxmlformats.org/officeDocument/2006/relationships/hyperlink" Target="https://in.tradingview.com/chart/ofQQfXOP/?symbol=NSE%3AVALIANTLAB" TargetMode="External"/><Relationship Id="rId1054" Type="http://schemas.openxmlformats.org/officeDocument/2006/relationships/hyperlink" Target="https://in.tradingview.com/chart/Cgv3Jm6J/?symbol=NSE%3AKFINTECH" TargetMode="External"/><Relationship Id="rId2385" Type="http://schemas.openxmlformats.org/officeDocument/2006/relationships/hyperlink" Target="https://in.tradingview.com/chart/ofQQfXOP/?symbol=NSE%3AVALIANTORG" TargetMode="External"/><Relationship Id="rId224" Type="http://schemas.openxmlformats.org/officeDocument/2006/relationships/hyperlink" Target="https://in.tradingview.com/chart/Cgv3Jm6J/?symbol=NSE%3ABAGFILMS" TargetMode="External"/><Relationship Id="rId1055" Type="http://schemas.openxmlformats.org/officeDocument/2006/relationships/hyperlink" Target="https://in.tradingview.com/chart/Cgv3Jm6J/?symbol=NSE%3AKHADIM" TargetMode="External"/><Relationship Id="rId2386" Type="http://schemas.openxmlformats.org/officeDocument/2006/relationships/hyperlink" Target="https://in.tradingview.com/chart/ofQQfXOP/?symbol=NSE%3AVARDHACRLC" TargetMode="External"/><Relationship Id="rId223" Type="http://schemas.openxmlformats.org/officeDocument/2006/relationships/hyperlink" Target="https://in.tradingview.com/chart/Cgv3Jm6J/?symbol=NSE%3ABAFNAPH" TargetMode="External"/><Relationship Id="rId1056" Type="http://schemas.openxmlformats.org/officeDocument/2006/relationships/hyperlink" Target="https://in.tradingview.com/chart/Cgv3Jm6J/?symbol=NSE%3AKHAICHEM" TargetMode="External"/><Relationship Id="rId2387" Type="http://schemas.openxmlformats.org/officeDocument/2006/relationships/hyperlink" Target="https://in.tradingview.com/chart/ofQQfXOP/?symbol=NSE%3AVHL" TargetMode="External"/><Relationship Id="rId222" Type="http://schemas.openxmlformats.org/officeDocument/2006/relationships/hyperlink" Target="https://in.tradingview.com/chart/Cgv3Jm6J/?symbol=NSE%3AAZAD" TargetMode="External"/><Relationship Id="rId1057" Type="http://schemas.openxmlformats.org/officeDocument/2006/relationships/hyperlink" Target="https://in.tradingview.com/chart/Cgv3Jm6J/?symbol=NSE%3AKHAITANLTD" TargetMode="External"/><Relationship Id="rId2388" Type="http://schemas.openxmlformats.org/officeDocument/2006/relationships/hyperlink" Target="https://in.tradingview.com/chart/ofQQfXOP/?symbol=NSE%3AVARDMNPOLY" TargetMode="External"/><Relationship Id="rId221" Type="http://schemas.openxmlformats.org/officeDocument/2006/relationships/hyperlink" Target="https://in.tradingview.com/chart/Cgv3Jm6J/?symbol=NSE%3AAYMSYNTEX" TargetMode="External"/><Relationship Id="rId1058" Type="http://schemas.openxmlformats.org/officeDocument/2006/relationships/hyperlink" Target="https://in.tradingview.com/chart/Cgv3Jm6J/?symbol=NSE%3AKHANDSE" TargetMode="External"/><Relationship Id="rId2389" Type="http://schemas.openxmlformats.org/officeDocument/2006/relationships/hyperlink" Target="https://in.tradingview.com/chart/ofQQfXOP/?symbol=NSE%3AVSSL" TargetMode="External"/><Relationship Id="rId1048" Type="http://schemas.openxmlformats.org/officeDocument/2006/relationships/hyperlink" Target="https://in.tradingview.com/chart/Cgv3Jm6J/?symbol=NSE%3AKEEPLEARN" TargetMode="External"/><Relationship Id="rId2379" Type="http://schemas.openxmlformats.org/officeDocument/2006/relationships/hyperlink" Target="https://in.tradingview.com/chart/ofQQfXOP/?symbol=NSE%3AWABAG" TargetMode="External"/><Relationship Id="rId1049" Type="http://schemas.openxmlformats.org/officeDocument/2006/relationships/hyperlink" Target="https://in.tradingview.com/chart/Cgv3Jm6J/?symbol=NSE%3AKEI" TargetMode="External"/><Relationship Id="rId217" Type="http://schemas.openxmlformats.org/officeDocument/2006/relationships/hyperlink" Target="https://in.tradingview.com/chart/Cgv3Jm6J/?symbol=NSE%3AAXISNIFTY" TargetMode="External"/><Relationship Id="rId216" Type="http://schemas.openxmlformats.org/officeDocument/2006/relationships/hyperlink" Target="https://in.tradingview.com/chart/Cgv3Jm6J/?symbol=NSE%3AAXISILVER" TargetMode="External"/><Relationship Id="rId215" Type="http://schemas.openxmlformats.org/officeDocument/2006/relationships/hyperlink" Target="https://in.tradingview.com/chart/Cgv3Jm6J/?symbol=NSE%3AAXISHCETF" TargetMode="External"/><Relationship Id="rId214" Type="http://schemas.openxmlformats.org/officeDocument/2006/relationships/hyperlink" Target="https://in.tradingview.com/chart/Cgv3Jm6J/?symbol=NSE%3AAXISGOLD" TargetMode="External"/><Relationship Id="rId219" Type="http://schemas.openxmlformats.org/officeDocument/2006/relationships/hyperlink" Target="https://in.tradingview.com/chart/Cgv3Jm6J/?symbol=NSE%3AAXITA" TargetMode="External"/><Relationship Id="rId218" Type="http://schemas.openxmlformats.org/officeDocument/2006/relationships/hyperlink" Target="https://in.tradingview.com/chart/Cgv3Jm6J/?symbol=NSE%3AAXISTECETF" TargetMode="External"/><Relationship Id="rId2370" Type="http://schemas.openxmlformats.org/officeDocument/2006/relationships/hyperlink" Target="https://in.tradingview.com/chart/ofQQfXOP/?symbol=NSE%3AUTISXN50" TargetMode="External"/><Relationship Id="rId1040" Type="http://schemas.openxmlformats.org/officeDocument/2006/relationships/hyperlink" Target="https://in.tradingview.com/chart/Cgv3Jm6J/?symbol=NSE%3AKAUSHALYA" TargetMode="External"/><Relationship Id="rId2371" Type="http://schemas.openxmlformats.org/officeDocument/2006/relationships/hyperlink" Target="https://in.tradingview.com/chart/ofQQfXOP/?symbol=NSE%3AUTISENSETF" TargetMode="External"/><Relationship Id="rId1041" Type="http://schemas.openxmlformats.org/officeDocument/2006/relationships/hyperlink" Target="https://in.tradingview.com/chart/Cgv3Jm6J/?symbol=NSE%3AKAYA" TargetMode="External"/><Relationship Id="rId2372" Type="http://schemas.openxmlformats.org/officeDocument/2006/relationships/hyperlink" Target="https://in.tradingview.com/chart/ofQQfXOP/?symbol=NSE%3ASILVERETF" TargetMode="External"/><Relationship Id="rId1042" Type="http://schemas.openxmlformats.org/officeDocument/2006/relationships/hyperlink" Target="https://in.tradingview.com/chart/Cgv3Jm6J/?symbol=NSE%3AKAYNES" TargetMode="External"/><Relationship Id="rId2373" Type="http://schemas.openxmlformats.org/officeDocument/2006/relationships/hyperlink" Target="https://in.tradingview.com/chart/ofQQfXOP/?symbol=NSE%3AUTKARSHBNK" TargetMode="External"/><Relationship Id="rId1043" Type="http://schemas.openxmlformats.org/officeDocument/2006/relationships/hyperlink" Target="https://in.tradingview.com/chart/Cgv3Jm6J/?symbol=NSE%3AKCP" TargetMode="External"/><Relationship Id="rId2374" Type="http://schemas.openxmlformats.org/officeDocument/2006/relationships/hyperlink" Target="https://in.tradingview.com/chart/ofQQfXOP/?symbol=NSE%3AUTTAMSUGAR" TargetMode="External"/><Relationship Id="rId213" Type="http://schemas.openxmlformats.org/officeDocument/2006/relationships/hyperlink" Target="https://in.tradingview.com/chart/Cgv3Jm6J/?symbol=NSE%3AAXISCETF" TargetMode="External"/><Relationship Id="rId1044" Type="http://schemas.openxmlformats.org/officeDocument/2006/relationships/hyperlink" Target="https://in.tradingview.com/chart/Cgv3Jm6J/?symbol=NSE%3AKCPSUGIND" TargetMode="External"/><Relationship Id="rId2375" Type="http://schemas.openxmlformats.org/officeDocument/2006/relationships/hyperlink" Target="https://in.tradingview.com/chart/ofQQfXOP/?symbol=NSE%3AVGUARD" TargetMode="External"/><Relationship Id="rId212" Type="http://schemas.openxmlformats.org/officeDocument/2006/relationships/hyperlink" Target="https://in.tradingview.com/chart/Cgv3Jm6J/?symbol=NSE%3AAXISCADES" TargetMode="External"/><Relationship Id="rId1045" Type="http://schemas.openxmlformats.org/officeDocument/2006/relationships/hyperlink" Target="https://in.tradingview.com/chart/Cgv3Jm6J/?symbol=NSE%3AKDDL" TargetMode="External"/><Relationship Id="rId2376" Type="http://schemas.openxmlformats.org/officeDocument/2006/relationships/hyperlink" Target="https://in.tradingview.com/chart/ofQQfXOP/?symbol=NSE%3AVMART" TargetMode="External"/><Relationship Id="rId211" Type="http://schemas.openxmlformats.org/officeDocument/2006/relationships/hyperlink" Target="https://in.tradingview.com/chart/Cgv3Jm6J/?symbol=NSE%3AAXISBPSETF" TargetMode="External"/><Relationship Id="rId1046" Type="http://schemas.openxmlformats.org/officeDocument/2006/relationships/hyperlink" Target="https://in.tradingview.com/chart/Cgv3Jm6J/?symbol=NSE%3AKEC" TargetMode="External"/><Relationship Id="rId2377" Type="http://schemas.openxmlformats.org/officeDocument/2006/relationships/hyperlink" Target="https://in.tradingview.com/chart/ofQQfXOP/?symbol=NSE%3AVSTTILLERS" TargetMode="External"/><Relationship Id="rId210" Type="http://schemas.openxmlformats.org/officeDocument/2006/relationships/hyperlink" Target="https://in.tradingview.com/chart/Cgv3Jm6J/?symbol=NSE%3AAXISBNKETF" TargetMode="External"/><Relationship Id="rId1047" Type="http://schemas.openxmlformats.org/officeDocument/2006/relationships/hyperlink" Target="https://in.tradingview.com/chart/Cgv3Jm6J/?symbol=NSE%3AKECL" TargetMode="External"/><Relationship Id="rId2378" Type="http://schemas.openxmlformats.org/officeDocument/2006/relationships/hyperlink" Target="https://in.tradingview.com/chart/ofQQfXOP/?symbol=NSE%3AV2RETAIL" TargetMode="External"/><Relationship Id="rId249" Type="http://schemas.openxmlformats.org/officeDocument/2006/relationships/hyperlink" Target="https://in.tradingview.com/chart/Cgv3Jm6J/?symbol=NSE%3ABANCOINDIA" TargetMode="External"/><Relationship Id="rId248" Type="http://schemas.openxmlformats.org/officeDocument/2006/relationships/hyperlink" Target="https://in.tradingview.com/chart/Cgv3Jm6J/?symbol=NSE%3ABANARISUG" TargetMode="External"/><Relationship Id="rId247" Type="http://schemas.openxmlformats.org/officeDocument/2006/relationships/hyperlink" Target="https://in.tradingview.com/chart/Cgv3Jm6J/?symbol=NSE%3ABANARBEADS" TargetMode="External"/><Relationship Id="rId1070" Type="http://schemas.openxmlformats.org/officeDocument/2006/relationships/hyperlink" Target="https://in.tradingview.com/chart/Cgv3Jm6J/?symbol=NSE%3AKMEW" TargetMode="External"/><Relationship Id="rId1071" Type="http://schemas.openxmlformats.org/officeDocument/2006/relationships/hyperlink" Target="https://in.tradingview.com/chart/Cgv3Jm6J/?symbol=NSE%3AKMSUGAR" TargetMode="External"/><Relationship Id="rId1072" Type="http://schemas.openxmlformats.org/officeDocument/2006/relationships/hyperlink" Target="https://in.tradingview.com/chart/Cgv3Jm6J/?symbol=NSE%3AKNRCON" TargetMode="External"/><Relationship Id="rId242" Type="http://schemas.openxmlformats.org/officeDocument/2006/relationships/hyperlink" Target="https://in.tradingview.com/chart/Cgv3Jm6J/?symbol=NSE%3ABALKRISIND" TargetMode="External"/><Relationship Id="rId1073" Type="http://schemas.openxmlformats.org/officeDocument/2006/relationships/hyperlink" Target="https://in.tradingview.com/chart/Cgv3Jm6J/?symbol=NSE%3AKOHINOOR" TargetMode="External"/><Relationship Id="rId241" Type="http://schemas.openxmlformats.org/officeDocument/2006/relationships/hyperlink" Target="https://in.tradingview.com/chart/Cgv3Jm6J/?symbol=NSE%3ABALKRISHNA" TargetMode="External"/><Relationship Id="rId1074" Type="http://schemas.openxmlformats.org/officeDocument/2006/relationships/hyperlink" Target="https://in.tradingview.com/chart/Cgv3Jm6J/?symbol=NSE%3AKOKUYOCMLN" TargetMode="External"/><Relationship Id="rId240" Type="http://schemas.openxmlformats.org/officeDocument/2006/relationships/hyperlink" Target="https://in.tradingview.com/chart/Cgv3Jm6J/?symbol=NSE%3ABALAXI" TargetMode="External"/><Relationship Id="rId1075" Type="http://schemas.openxmlformats.org/officeDocument/2006/relationships/hyperlink" Target="https://in.tradingview.com/chart/Cgv3Jm6J/?symbol=NSE%3AKOLTEPATIL" TargetMode="External"/><Relationship Id="rId1076" Type="http://schemas.openxmlformats.org/officeDocument/2006/relationships/hyperlink" Target="https://in.tradingview.com/chart/Cgv3Jm6J/?symbol=NSE%3AKOPRAN" TargetMode="External"/><Relationship Id="rId246" Type="http://schemas.openxmlformats.org/officeDocument/2006/relationships/hyperlink" Target="https://in.tradingview.com/chart/Cgv3Jm6J/?symbol=NSE%3ABALUFORGE" TargetMode="External"/><Relationship Id="rId1077" Type="http://schemas.openxmlformats.org/officeDocument/2006/relationships/hyperlink" Target="https://in.tradingview.com/chart/Cgv3Jm6J/?symbol=NSE%3AKOTAKBANK" TargetMode="External"/><Relationship Id="rId245" Type="http://schemas.openxmlformats.org/officeDocument/2006/relationships/hyperlink" Target="https://in.tradingview.com/chart/Cgv3Jm6J/?symbol=NSE%3ABALRAMCHIN" TargetMode="External"/><Relationship Id="rId1078" Type="http://schemas.openxmlformats.org/officeDocument/2006/relationships/hyperlink" Target="https://in.tradingview.com/chart/Cgv3Jm6J/?symbol=NSE%3AKOTARISUG" TargetMode="External"/><Relationship Id="rId244" Type="http://schemas.openxmlformats.org/officeDocument/2006/relationships/hyperlink" Target="https://in.tradingview.com/chart/Cgv3Jm6J/?symbol=NSE%3ABALPHARMA" TargetMode="External"/><Relationship Id="rId1079" Type="http://schemas.openxmlformats.org/officeDocument/2006/relationships/hyperlink" Target="https://in.tradingview.com/chart/Cgv3Jm6J/?symbol=NSE%3AKOTHARIPET" TargetMode="External"/><Relationship Id="rId243" Type="http://schemas.openxmlformats.org/officeDocument/2006/relationships/hyperlink" Target="https://in.tradingview.com/chart/Cgv3Jm6J/?symbol=NSE%3ABALMLAWRIE" TargetMode="External"/><Relationship Id="rId239" Type="http://schemas.openxmlformats.org/officeDocument/2006/relationships/hyperlink" Target="https://in.tradingview.com/chart/Cgv3Jm6J/?symbol=NSE%3ABALAMINES" TargetMode="External"/><Relationship Id="rId238" Type="http://schemas.openxmlformats.org/officeDocument/2006/relationships/hyperlink" Target="https://in.tradingview.com/chart/Cgv3Jm6J/?symbol=NSE%3ABALAJITELE" TargetMode="External"/><Relationship Id="rId237" Type="http://schemas.openxmlformats.org/officeDocument/2006/relationships/hyperlink" Target="https://in.tradingview.com/chart/Cgv3Jm6J/?symbol=NSE%3ABALAJEE" TargetMode="External"/><Relationship Id="rId236" Type="http://schemas.openxmlformats.org/officeDocument/2006/relationships/hyperlink" Target="https://in.tradingview.com/chart/Cgv3Jm6J/?symbol=NSE%3ABAJFINANCE" TargetMode="External"/><Relationship Id="rId2390" Type="http://schemas.openxmlformats.org/officeDocument/2006/relationships/hyperlink" Target="https://in.tradingview.com/chart/ofQQfXOP/?symbol=NSE%3AVTL" TargetMode="External"/><Relationship Id="rId1060" Type="http://schemas.openxmlformats.org/officeDocument/2006/relationships/hyperlink" Target="https://in.tradingview.com/chart/Cgv3Jm6J/?symbol=NSE%3AKILITCH" TargetMode="External"/><Relationship Id="rId2391" Type="http://schemas.openxmlformats.org/officeDocument/2006/relationships/hyperlink" Target="https://in.tradingview.com/chart/ofQQfXOP/?symbol=NSE%3AVARROC" TargetMode="External"/><Relationship Id="rId1061" Type="http://schemas.openxmlformats.org/officeDocument/2006/relationships/hyperlink" Target="https://in.tradingview.com/chart/Cgv3Jm6J/?symbol=NSE%3AKIMS" TargetMode="External"/><Relationship Id="rId2392" Type="http://schemas.openxmlformats.org/officeDocument/2006/relationships/hyperlink" Target="https://in.tradingview.com/chart/ofQQfXOP/?symbol=NSE%3AVBL" TargetMode="External"/><Relationship Id="rId231" Type="http://schemas.openxmlformats.org/officeDocument/2006/relationships/hyperlink" Target="https://in.tradingview.com/chart/Cgv3Jm6J/?symbol=NSE%3ABAJAJHFL" TargetMode="External"/><Relationship Id="rId1062" Type="http://schemas.openxmlformats.org/officeDocument/2006/relationships/hyperlink" Target="https://in.tradingview.com/chart/Cgv3Jm6J/?symbol=NSE%3AKINGFA" TargetMode="External"/><Relationship Id="rId2393" Type="http://schemas.openxmlformats.org/officeDocument/2006/relationships/hyperlink" Target="https://in.tradingview.com/chart/ofQQfXOP/?symbol=NSE%3AVGL" TargetMode="External"/><Relationship Id="rId230" Type="http://schemas.openxmlformats.org/officeDocument/2006/relationships/hyperlink" Target="https://in.tradingview.com/chart/Cgv3Jm6J/?symbol=NSE%3ABAJAJHCARE" TargetMode="External"/><Relationship Id="rId1063" Type="http://schemas.openxmlformats.org/officeDocument/2006/relationships/hyperlink" Target="https://in.tradingview.com/chart/Cgv3Jm6J/?symbol=NSE%3AKIOCL" TargetMode="External"/><Relationship Id="rId2394" Type="http://schemas.openxmlformats.org/officeDocument/2006/relationships/hyperlink" Target="https://in.tradingview.com/chart/ofQQfXOP/?symbol=NSE%3AVASCONEQ" TargetMode="External"/><Relationship Id="rId1064" Type="http://schemas.openxmlformats.org/officeDocument/2006/relationships/hyperlink" Target="https://in.tradingview.com/chart/Cgv3Jm6J/?symbol=NSE%3AKIRIINDUS" TargetMode="External"/><Relationship Id="rId2395" Type="http://schemas.openxmlformats.org/officeDocument/2006/relationships/hyperlink" Target="https://in.tradingview.com/chart/ofQQfXOP/?symbol=NSE%3AVASWANI" TargetMode="External"/><Relationship Id="rId1065" Type="http://schemas.openxmlformats.org/officeDocument/2006/relationships/hyperlink" Target="https://in.tradingview.com/chart/Cgv3Jm6J/?symbol=NSE%3AKIRLOSBROS" TargetMode="External"/><Relationship Id="rId2396" Type="http://schemas.openxmlformats.org/officeDocument/2006/relationships/hyperlink" Target="https://in.tradingview.com/chart/ofQQfXOP/?symbol=NSE%3AMANYAVAR" TargetMode="External"/><Relationship Id="rId235" Type="http://schemas.openxmlformats.org/officeDocument/2006/relationships/hyperlink" Target="https://in.tradingview.com/chart/Cgv3Jm6J/?symbol=NSE%3ABAJEL" TargetMode="External"/><Relationship Id="rId1066" Type="http://schemas.openxmlformats.org/officeDocument/2006/relationships/hyperlink" Target="https://in.tradingview.com/chart/Cgv3Jm6J/?symbol=NSE%3AKIRLOSENG" TargetMode="External"/><Relationship Id="rId2397" Type="http://schemas.openxmlformats.org/officeDocument/2006/relationships/hyperlink" Target="https://in.tradingview.com/chart/ofQQfXOP/?symbol=NSE%3AVEDL" TargetMode="External"/><Relationship Id="rId234" Type="http://schemas.openxmlformats.org/officeDocument/2006/relationships/hyperlink" Target="https://in.tradingview.com/chart/Cgv3Jm6J/?symbol=NSE%3ABAJAJINDEF" TargetMode="External"/><Relationship Id="rId1067" Type="http://schemas.openxmlformats.org/officeDocument/2006/relationships/hyperlink" Target="https://in.tradingview.com/chart/Cgv3Jm6J/?symbol=NSE%3AKIRLOSIND" TargetMode="External"/><Relationship Id="rId2398" Type="http://schemas.openxmlformats.org/officeDocument/2006/relationships/hyperlink" Target="https://in.tradingview.com/chart/ofQQfXOP/?symbol=NSE%3AVEEDOL" TargetMode="External"/><Relationship Id="rId233" Type="http://schemas.openxmlformats.org/officeDocument/2006/relationships/hyperlink" Target="https://in.tradingview.com/chart/Cgv3Jm6J/?symbol=NSE%3ABAJAJHLDNG" TargetMode="External"/><Relationship Id="rId1068" Type="http://schemas.openxmlformats.org/officeDocument/2006/relationships/hyperlink" Target="https://in.tradingview.com/chart/Cgv3Jm6J/?symbol=NSE%3AKITEX" TargetMode="External"/><Relationship Id="rId2399" Type="http://schemas.openxmlformats.org/officeDocument/2006/relationships/hyperlink" Target="https://in.tradingview.com/chart/ofQQfXOP/?symbol=NSE%3AVENKEYS" TargetMode="External"/><Relationship Id="rId232" Type="http://schemas.openxmlformats.org/officeDocument/2006/relationships/hyperlink" Target="https://in.tradingview.com/chart/Cgv3Jm6J/?symbol=NSE%3ABAJAJHIND" TargetMode="External"/><Relationship Id="rId1069" Type="http://schemas.openxmlformats.org/officeDocument/2006/relationships/hyperlink" Target="https://in.tradingview.com/chart/Cgv3Jm6J/?symbol=NSE%3AKKCL" TargetMode="External"/><Relationship Id="rId1015" Type="http://schemas.openxmlformats.org/officeDocument/2006/relationships/hyperlink" Target="https://in.tradingview.com/chart/Cgv3Jm6J/?symbol=NSE%3AJUBLCPL" TargetMode="External"/><Relationship Id="rId2346" Type="http://schemas.openxmlformats.org/officeDocument/2006/relationships/hyperlink" Target="https://in.tradingview.com/chart/ofQQfXOP/?symbol=NSE%3AUNIDT" TargetMode="External"/><Relationship Id="rId1016" Type="http://schemas.openxmlformats.org/officeDocument/2006/relationships/hyperlink" Target="https://in.tradingview.com/chart/Cgv3Jm6J/?symbol=NSE%3AJUBLFOOD" TargetMode="External"/><Relationship Id="rId2347" Type="http://schemas.openxmlformats.org/officeDocument/2006/relationships/hyperlink" Target="https://in.tradingview.com/chart/ofQQfXOP/?symbol=NSE%3AUFBL" TargetMode="External"/><Relationship Id="rId1017" Type="http://schemas.openxmlformats.org/officeDocument/2006/relationships/hyperlink" Target="https://in.tradingview.com/chart/Cgv3Jm6J/?symbol=NSE%3AJUBLINGREA" TargetMode="External"/><Relationship Id="rId2348" Type="http://schemas.openxmlformats.org/officeDocument/2006/relationships/hyperlink" Target="https://in.tradingview.com/chart/ofQQfXOP/?symbol=NSE%3AUNITEDPOLY" TargetMode="External"/><Relationship Id="rId1018" Type="http://schemas.openxmlformats.org/officeDocument/2006/relationships/hyperlink" Target="https://in.tradingview.com/chart/Cgv3Jm6J/?symbol=NSE%3AJUBLPHARMA" TargetMode="External"/><Relationship Id="rId2349" Type="http://schemas.openxmlformats.org/officeDocument/2006/relationships/hyperlink" Target="https://in.tradingview.com/chart/ofQQfXOP/?symbol=NSE%3AUNITDSPR" TargetMode="External"/><Relationship Id="rId1019" Type="http://schemas.openxmlformats.org/officeDocument/2006/relationships/hyperlink" Target="https://in.tradingview.com/chart/Cgv3Jm6J/?symbol=NSE%3AJUNIORBEES" TargetMode="External"/><Relationship Id="rId2340" Type="http://schemas.openxmlformats.org/officeDocument/2006/relationships/hyperlink" Target="https://in.tradingview.com/chart/ofQQfXOP/?symbol=NSE%3AUNIONBANK" TargetMode="External"/><Relationship Id="rId1010" Type="http://schemas.openxmlformats.org/officeDocument/2006/relationships/hyperlink" Target="https://in.tradingview.com/chart/Cgv3Jm6J/?symbol=NSE%3AJSWHL" TargetMode="External"/><Relationship Id="rId2341" Type="http://schemas.openxmlformats.org/officeDocument/2006/relationships/hyperlink" Target="https://in.tradingview.com/chart/ofQQfXOP/?symbol=NSE%3AUNIONGOLD" TargetMode="External"/><Relationship Id="rId1011" Type="http://schemas.openxmlformats.org/officeDocument/2006/relationships/hyperlink" Target="https://in.tradingview.com/chart/Cgv3Jm6J/?symbol=NSE%3AJSWINFRA" TargetMode="External"/><Relationship Id="rId2342" Type="http://schemas.openxmlformats.org/officeDocument/2006/relationships/hyperlink" Target="https://in.tradingview.com/chart/ofQQfXOP/?symbol=NSE%3AUNIPARTS" TargetMode="External"/><Relationship Id="rId1012" Type="http://schemas.openxmlformats.org/officeDocument/2006/relationships/hyperlink" Target="https://in.tradingview.com/chart/Cgv3Jm6J/?symbol=NSE%3AJSWSTEEL" TargetMode="External"/><Relationship Id="rId2343" Type="http://schemas.openxmlformats.org/officeDocument/2006/relationships/hyperlink" Target="https://in.tradingview.com/chart/ofQQfXOP/?symbol=NSE%3AUNIENTER" TargetMode="External"/><Relationship Id="rId1013" Type="http://schemas.openxmlformats.org/officeDocument/2006/relationships/hyperlink" Target="https://in.tradingview.com/chart/Cgv3Jm6J/?symbol=NSE%3AJTEKTINDIA" TargetMode="External"/><Relationship Id="rId2344" Type="http://schemas.openxmlformats.org/officeDocument/2006/relationships/hyperlink" Target="https://in.tradingview.com/chart/ofQQfXOP/?symbol=NSE%3AUNITECH" TargetMode="External"/><Relationship Id="rId1014" Type="http://schemas.openxmlformats.org/officeDocument/2006/relationships/hyperlink" Target="https://in.tradingview.com/chart/Cgv3Jm6J/?symbol=NSE%3AJTLIND" TargetMode="External"/><Relationship Id="rId2345" Type="http://schemas.openxmlformats.org/officeDocument/2006/relationships/hyperlink" Target="https://in.tradingview.com/chart/ofQQfXOP/?symbol=NSE%3AUBL" TargetMode="External"/><Relationship Id="rId1004" Type="http://schemas.openxmlformats.org/officeDocument/2006/relationships/hyperlink" Target="https://in.tradingview.com/chart/Cgv3Jm6J/?symbol=NSE%3AJPASSOCIAT" TargetMode="External"/><Relationship Id="rId2335" Type="http://schemas.openxmlformats.org/officeDocument/2006/relationships/hyperlink" Target="https://in.tradingview.com/chart/ofQQfXOP/?symbol=NSE%3AUMIYA-MRO" TargetMode="External"/><Relationship Id="rId1005" Type="http://schemas.openxmlformats.org/officeDocument/2006/relationships/hyperlink" Target="https://in.tradingview.com/chart/Cgv3Jm6J/?symbol=NSE%3AJPOLYINVST" TargetMode="External"/><Relationship Id="rId2336" Type="http://schemas.openxmlformats.org/officeDocument/2006/relationships/hyperlink" Target="https://in.tradingview.com/chart/ofQQfXOP/?symbol=NSE%3AUNICHEMLAB" TargetMode="External"/><Relationship Id="rId1006" Type="http://schemas.openxmlformats.org/officeDocument/2006/relationships/hyperlink" Target="https://in.tradingview.com/chart/Cgv3Jm6J/?symbol=NSE%3AJPPOWER" TargetMode="External"/><Relationship Id="rId2337" Type="http://schemas.openxmlformats.org/officeDocument/2006/relationships/hyperlink" Target="https://in.tradingview.com/chart/ofQQfXOP/?symbol=NSE%3AUNIECOM" TargetMode="External"/><Relationship Id="rId1007" Type="http://schemas.openxmlformats.org/officeDocument/2006/relationships/hyperlink" Target="https://in.tradingview.com/chart/Cgv3Jm6J/?symbol=NSE%3AJSFB" TargetMode="External"/><Relationship Id="rId2338" Type="http://schemas.openxmlformats.org/officeDocument/2006/relationships/hyperlink" Target="https://in.tradingview.com/chart/ofQQfXOP/?symbol=NSE%3AUNIINFO" TargetMode="External"/><Relationship Id="rId1008" Type="http://schemas.openxmlformats.org/officeDocument/2006/relationships/hyperlink" Target="https://in.tradingview.com/chart/Cgv3Jm6J/?symbol=NSE%3AJSL" TargetMode="External"/><Relationship Id="rId2339" Type="http://schemas.openxmlformats.org/officeDocument/2006/relationships/hyperlink" Target="https://in.tradingview.com/chart/ofQQfXOP/?symbol=NSE%3AUNIMECH" TargetMode="External"/><Relationship Id="rId1009" Type="http://schemas.openxmlformats.org/officeDocument/2006/relationships/hyperlink" Target="https://in.tradingview.com/chart/Cgv3Jm6J/?symbol=NSE%3AJSWENERGY" TargetMode="External"/><Relationship Id="rId2330" Type="http://schemas.openxmlformats.org/officeDocument/2006/relationships/hyperlink" Target="https://in.tradingview.com/chart/ofQQfXOP/?symbol=NSE%3AUGROCAP" TargetMode="External"/><Relationship Id="rId1000" Type="http://schemas.openxmlformats.org/officeDocument/2006/relationships/hyperlink" Target="https://in.tradingview.com/chart/Cgv3Jm6J/?symbol=NSE%3AJMA" TargetMode="External"/><Relationship Id="rId2331" Type="http://schemas.openxmlformats.org/officeDocument/2006/relationships/hyperlink" Target="https://in.tradingview.com/chart/ofQQfXOP/?symbol=NSE%3AUEL" TargetMode="External"/><Relationship Id="rId1001" Type="http://schemas.openxmlformats.org/officeDocument/2006/relationships/hyperlink" Target="https://in.tradingview.com/chart/Cgv3Jm6J/?symbol=NSE%3AJMFINANCIL" TargetMode="External"/><Relationship Id="rId2332" Type="http://schemas.openxmlformats.org/officeDocument/2006/relationships/hyperlink" Target="https://in.tradingview.com/chart/ofQQfXOP/?symbol=NSE%3AUJJIVANSFB" TargetMode="External"/><Relationship Id="rId1002" Type="http://schemas.openxmlformats.org/officeDocument/2006/relationships/hyperlink" Target="https://in.tradingview.com/chart/Cgv3Jm6J/?symbol=NSE%3AJNKINDIA" TargetMode="External"/><Relationship Id="rId2333" Type="http://schemas.openxmlformats.org/officeDocument/2006/relationships/hyperlink" Target="https://in.tradingview.com/chart/ofQQfXOP/?symbol=NSE%3AULTRACEMCO" TargetMode="External"/><Relationship Id="rId1003" Type="http://schemas.openxmlformats.org/officeDocument/2006/relationships/hyperlink" Target="https://in.tradingview.com/chart/Cgv3Jm6J/?symbol=NSE%3AJOCIL" TargetMode="External"/><Relationship Id="rId2334" Type="http://schemas.openxmlformats.org/officeDocument/2006/relationships/hyperlink" Target="https://in.tradingview.com/chart/ofQQfXOP/?symbol=NSE%3AUMAEXPORTS" TargetMode="External"/><Relationship Id="rId1037" Type="http://schemas.openxmlformats.org/officeDocument/2006/relationships/hyperlink" Target="https://in.tradingview.com/chart/Cgv3Jm6J/?symbol=NSE%3AKAPSTON" TargetMode="External"/><Relationship Id="rId2368" Type="http://schemas.openxmlformats.org/officeDocument/2006/relationships/hyperlink" Target="https://in.tradingview.com/chart/ofQQfXOP/?symbol=NSE%3ANIFMID150" TargetMode="External"/><Relationship Id="rId1038" Type="http://schemas.openxmlformats.org/officeDocument/2006/relationships/hyperlink" Target="https://in.tradingview.com/chart/Cgv3Jm6J/?symbol=NSE%3AKARMAENG" TargetMode="External"/><Relationship Id="rId2369" Type="http://schemas.openxmlformats.org/officeDocument/2006/relationships/hyperlink" Target="https://in.tradingview.com/chart/ofQQfXOP/?symbol=NSE%3AUTINEXT50" TargetMode="External"/><Relationship Id="rId1039" Type="http://schemas.openxmlformats.org/officeDocument/2006/relationships/hyperlink" Target="https://in.tradingview.com/chart/Cgv3Jm6J/?symbol=NSE%3AKARURVYSYA" TargetMode="External"/><Relationship Id="rId206" Type="http://schemas.openxmlformats.org/officeDocument/2006/relationships/hyperlink" Target="https://in.tradingview.com/chart/Cgv3Jm6J/?symbol=NSE%3AAWFIS" TargetMode="External"/><Relationship Id="rId205" Type="http://schemas.openxmlformats.org/officeDocument/2006/relationships/hyperlink" Target="https://in.tradingview.com/chart/Cgv3Jm6J/?symbol=NSE%3AAVTNPL" TargetMode="External"/><Relationship Id="rId204" Type="http://schemas.openxmlformats.org/officeDocument/2006/relationships/hyperlink" Target="https://in.tradingview.com/chart/Cgv3Jm6J/?symbol=NSE%3AAVROIND" TargetMode="External"/><Relationship Id="rId203" Type="http://schemas.openxmlformats.org/officeDocument/2006/relationships/hyperlink" Target="https://in.tradingview.com/chart/Cgv3Jm6J/?symbol=NSE%3AAVONMORE" TargetMode="External"/><Relationship Id="rId209" Type="http://schemas.openxmlformats.org/officeDocument/2006/relationships/hyperlink" Target="https://in.tradingview.com/chart/Cgv3Jm6J/?symbol=NSE%3AAXISBANK" TargetMode="External"/><Relationship Id="rId208" Type="http://schemas.openxmlformats.org/officeDocument/2006/relationships/hyperlink" Target="https://in.tradingview.com/chart/Cgv3Jm6J/?symbol=NSE%3AAWL" TargetMode="External"/><Relationship Id="rId207" Type="http://schemas.openxmlformats.org/officeDocument/2006/relationships/hyperlink" Target="https://in.tradingview.com/chart/Cgv3Jm6J/?symbol=NSE%3AAWHCL" TargetMode="External"/><Relationship Id="rId2360" Type="http://schemas.openxmlformats.org/officeDocument/2006/relationships/hyperlink" Target="https://in.tradingview.com/chart/ofQQfXOP/?symbol=NSE%3AUSHAMART" TargetMode="External"/><Relationship Id="rId1030" Type="http://schemas.openxmlformats.org/officeDocument/2006/relationships/hyperlink" Target="https://in.tradingview.com/chart/Cgv3Jm6J/?symbol=NSE%3AKALYANKJIL" TargetMode="External"/><Relationship Id="rId2361" Type="http://schemas.openxmlformats.org/officeDocument/2006/relationships/hyperlink" Target="https://in.tradingview.com/chart/ofQQfXOP/?symbol=NSE%3AGOLDSHARE" TargetMode="External"/><Relationship Id="rId1031" Type="http://schemas.openxmlformats.org/officeDocument/2006/relationships/hyperlink" Target="https://in.tradingview.com/chart/Cgv3Jm6J/?symbol=NSE%3AKAMATHOTEL" TargetMode="External"/><Relationship Id="rId2362" Type="http://schemas.openxmlformats.org/officeDocument/2006/relationships/hyperlink" Target="https://in.tradingview.com/chart/ofQQfXOP/?symbol=NSE%3AUTIAMC" TargetMode="External"/><Relationship Id="rId1032" Type="http://schemas.openxmlformats.org/officeDocument/2006/relationships/hyperlink" Target="https://in.tradingview.com/chart/Cgv3Jm6J/?symbol=NSE%3AKAMDHENU" TargetMode="External"/><Relationship Id="rId2363" Type="http://schemas.openxmlformats.org/officeDocument/2006/relationships/hyperlink" Target="https://in.tradingview.com/chart/ofQQfXOP/?symbol=NSE%3AUTIBANKETF" TargetMode="External"/><Relationship Id="rId202" Type="http://schemas.openxmlformats.org/officeDocument/2006/relationships/hyperlink" Target="https://in.tradingview.com/chart/Cgv3Jm6J/?symbol=NSE%3AAVL" TargetMode="External"/><Relationship Id="rId1033" Type="http://schemas.openxmlformats.org/officeDocument/2006/relationships/hyperlink" Target="https://in.tradingview.com/chart/Cgv3Jm6J/?symbol=NSE%3AKANANIIND" TargetMode="External"/><Relationship Id="rId2364" Type="http://schemas.openxmlformats.org/officeDocument/2006/relationships/hyperlink" Target="https://in.tradingview.com/chart/ofQQfXOP/?symbol=NSE%3ANIF10GETF" TargetMode="External"/><Relationship Id="rId201" Type="http://schemas.openxmlformats.org/officeDocument/2006/relationships/hyperlink" Target="https://in.tradingview.com/chart/Cgv3Jm6J/?symbol=NSE%3AAVANTIFEED" TargetMode="External"/><Relationship Id="rId1034" Type="http://schemas.openxmlformats.org/officeDocument/2006/relationships/hyperlink" Target="https://in.tradingview.com/chart/Cgv3Jm6J/?symbol=NSE%3AKANORICHEM" TargetMode="External"/><Relationship Id="rId2365" Type="http://schemas.openxmlformats.org/officeDocument/2006/relationships/hyperlink" Target="https://in.tradingview.com/chart/ofQQfXOP/?symbol=NSE%3ANIF5GETF" TargetMode="External"/><Relationship Id="rId200" Type="http://schemas.openxmlformats.org/officeDocument/2006/relationships/hyperlink" Target="https://in.tradingview.com/chart/Cgv3Jm6J/?symbol=NSE%3AAVANTEL" TargetMode="External"/><Relationship Id="rId1035" Type="http://schemas.openxmlformats.org/officeDocument/2006/relationships/hyperlink" Target="https://in.tradingview.com/chart/Cgv3Jm6J/?symbol=NSE%3AKANPRPLA" TargetMode="External"/><Relationship Id="rId2366" Type="http://schemas.openxmlformats.org/officeDocument/2006/relationships/hyperlink" Target="https://in.tradingview.com/chart/ofQQfXOP/?symbol=NSE%3AUTINIFTETF" TargetMode="External"/><Relationship Id="rId1036" Type="http://schemas.openxmlformats.org/officeDocument/2006/relationships/hyperlink" Target="https://in.tradingview.com/chart/Cgv3Jm6J/?symbol=NSE%3AKANSAINER" TargetMode="External"/><Relationship Id="rId2367" Type="http://schemas.openxmlformats.org/officeDocument/2006/relationships/hyperlink" Target="https://in.tradingview.com/chart/ofQQfXOP/?symbol=NSE%3ANIFITETF" TargetMode="External"/><Relationship Id="rId1026" Type="http://schemas.openxmlformats.org/officeDocument/2006/relationships/hyperlink" Target="https://in.tradingview.com/chart/Cgv3Jm6J/?symbol=NSE%3AKABRAEXTRU" TargetMode="External"/><Relationship Id="rId2357" Type="http://schemas.openxmlformats.org/officeDocument/2006/relationships/hyperlink" Target="https://in.tradingview.com/chart/ofQQfXOP/?symbol=NSE%3AURAVIDEF" TargetMode="External"/><Relationship Id="rId1027" Type="http://schemas.openxmlformats.org/officeDocument/2006/relationships/hyperlink" Target="https://in.tradingview.com/chart/Cgv3Jm6J/?symbol=NSE%3AKAJARIACER" TargetMode="External"/><Relationship Id="rId2358" Type="http://schemas.openxmlformats.org/officeDocument/2006/relationships/hyperlink" Target="https://in.tradingview.com/chart/ofQQfXOP/?symbol=NSE%3AURBANCO" TargetMode="External"/><Relationship Id="rId1028" Type="http://schemas.openxmlformats.org/officeDocument/2006/relationships/hyperlink" Target="https://in.tradingview.com/chart/Cgv3Jm6J/?symbol=NSE%3AKAKATCEM" TargetMode="External"/><Relationship Id="rId2359" Type="http://schemas.openxmlformats.org/officeDocument/2006/relationships/hyperlink" Target="https://in.tradingview.com/chart/ofQQfXOP/?symbol=NSE%3AURJA" TargetMode="External"/><Relationship Id="rId1029" Type="http://schemas.openxmlformats.org/officeDocument/2006/relationships/hyperlink" Target="https://in.tradingview.com/chart/Cgv3Jm6J/?symbol=NSE%3AKALAMANDIR" TargetMode="External"/><Relationship Id="rId2350" Type="http://schemas.openxmlformats.org/officeDocument/2006/relationships/hyperlink" Target="https://in.tradingview.com/chart/ofQQfXOP/?symbol=NSE%3AUNIVAFOODS" TargetMode="External"/><Relationship Id="rId1020" Type="http://schemas.openxmlformats.org/officeDocument/2006/relationships/hyperlink" Target="https://in.tradingview.com/chart/Cgv3Jm6J/?symbol=NSE%3AJUNIPER" TargetMode="External"/><Relationship Id="rId2351" Type="http://schemas.openxmlformats.org/officeDocument/2006/relationships/hyperlink" Target="https://in.tradingview.com/chart/ofQQfXOP/?symbol=NSE%3AUNIVASTU" TargetMode="External"/><Relationship Id="rId1021" Type="http://schemas.openxmlformats.org/officeDocument/2006/relationships/hyperlink" Target="https://in.tradingview.com/chart/Cgv3Jm6J/?symbol=NSE%3AJUSTDIAL" TargetMode="External"/><Relationship Id="rId2352" Type="http://schemas.openxmlformats.org/officeDocument/2006/relationships/hyperlink" Target="https://in.tradingview.com/chart/ofQQfXOP/?symbol=NSE%3AUNIVCABLES" TargetMode="External"/><Relationship Id="rId1022" Type="http://schemas.openxmlformats.org/officeDocument/2006/relationships/hyperlink" Target="https://in.tradingview.com/chart/Cgv3Jm6J/?symbol=NSE%3AJWL" TargetMode="External"/><Relationship Id="rId2353" Type="http://schemas.openxmlformats.org/officeDocument/2006/relationships/hyperlink" Target="https://in.tradingview.com/chart/ofQQfXOP/?symbol=NSE%3AUNIVPHOTO" TargetMode="External"/><Relationship Id="rId1023" Type="http://schemas.openxmlformats.org/officeDocument/2006/relationships/hyperlink" Target="https://in.tradingview.com/chart/Cgv3Jm6J/?symbol=NSE%3AJYOTHYLAB" TargetMode="External"/><Relationship Id="rId2354" Type="http://schemas.openxmlformats.org/officeDocument/2006/relationships/hyperlink" Target="https://in.tradingview.com/chart/ofQQfXOP/?symbol=NSE%3AUNOMINDA" TargetMode="External"/><Relationship Id="rId1024" Type="http://schemas.openxmlformats.org/officeDocument/2006/relationships/hyperlink" Target="https://in.tradingview.com/chart/Cgv3Jm6J/?symbol=NSE%3AJYOTICNC" TargetMode="External"/><Relationship Id="rId2355" Type="http://schemas.openxmlformats.org/officeDocument/2006/relationships/hyperlink" Target="https://in.tradingview.com/chart/ofQQfXOP/?symbol=NSE%3AUDS" TargetMode="External"/><Relationship Id="rId1025" Type="http://schemas.openxmlformats.org/officeDocument/2006/relationships/hyperlink" Target="https://in.tradingview.com/chart/Cgv3Jm6J/?symbol=NSE%3AJYOTISTRUC" TargetMode="External"/><Relationship Id="rId2356" Type="http://schemas.openxmlformats.org/officeDocument/2006/relationships/hyperlink" Target="https://in.tradingview.com/chart/ofQQfXOP/?symbol=NSE%3AUPL" TargetMode="External"/><Relationship Id="rId1910" Type="http://schemas.openxmlformats.org/officeDocument/2006/relationships/hyperlink" Target="https://in.tradingview.com/chart/Cgv3Jm6J/?symbol=NSE%3ASTARTECK" TargetMode="External"/><Relationship Id="rId1911" Type="http://schemas.openxmlformats.org/officeDocument/2006/relationships/hyperlink" Target="https://in.tradingview.com/chart/Cgv3Jm6J/?symbol=NSE%3ASTCINDIA" TargetMode="External"/><Relationship Id="rId1912" Type="http://schemas.openxmlformats.org/officeDocument/2006/relationships/hyperlink" Target="https://in.tradingview.com/chart/Cgv3Jm6J/?symbol=NSE%3ASTEELCAS" TargetMode="External"/><Relationship Id="rId1913" Type="http://schemas.openxmlformats.org/officeDocument/2006/relationships/hyperlink" Target="https://in.tradingview.com/chart/Cgv3Jm6J/?symbol=NSE%3ASTEELCITY" TargetMode="External"/><Relationship Id="rId1914" Type="http://schemas.openxmlformats.org/officeDocument/2006/relationships/hyperlink" Target="https://in.tradingview.com/chart/Cgv3Jm6J/?symbol=NSE%3ASTEELXIND" TargetMode="External"/><Relationship Id="rId1915" Type="http://schemas.openxmlformats.org/officeDocument/2006/relationships/hyperlink" Target="https://in.tradingview.com/chart/Cgv3Jm6J/?symbol=NSE%3ASTEL" TargetMode="External"/><Relationship Id="rId1916" Type="http://schemas.openxmlformats.org/officeDocument/2006/relationships/hyperlink" Target="https://in.tradingview.com/chart/Cgv3Jm6J/?symbol=NSE%3ASTERTOOLS" TargetMode="External"/><Relationship Id="rId1917" Type="http://schemas.openxmlformats.org/officeDocument/2006/relationships/hyperlink" Target="https://in.tradingview.com/chart/Cgv3Jm6J/?symbol=NSE%3ASTLTECH" TargetMode="External"/><Relationship Id="rId1918" Type="http://schemas.openxmlformats.org/officeDocument/2006/relationships/hyperlink" Target="https://in.tradingview.com/chart/Cgv3Jm6J/?symbol=NSE%3ASTOVEKRAFT" TargetMode="External"/><Relationship Id="rId1919" Type="http://schemas.openxmlformats.org/officeDocument/2006/relationships/hyperlink" Target="https://in.tradingview.com/chart/Cgv3Jm6J/?symbol=NSE%3ASTYLAMIND" TargetMode="External"/><Relationship Id="rId1900" Type="http://schemas.openxmlformats.org/officeDocument/2006/relationships/hyperlink" Target="https://in.tradingview.com/chart/Cgv3Jm6J/?symbol=NSE%3ASRM" TargetMode="External"/><Relationship Id="rId1901" Type="http://schemas.openxmlformats.org/officeDocument/2006/relationships/hyperlink" Target="https://in.tradingview.com/chart/Cgv3Jm6J/?symbol=NSE%3ASRPL" TargetMode="External"/><Relationship Id="rId1902" Type="http://schemas.openxmlformats.org/officeDocument/2006/relationships/hyperlink" Target="https://in.tradingview.com/chart/Cgv3Jm6J/?symbol=NSE%3ASSDL" TargetMode="External"/><Relationship Id="rId1903" Type="http://schemas.openxmlformats.org/officeDocument/2006/relationships/hyperlink" Target="https://in.tradingview.com/chart/Cgv3Jm6J/?symbol=NSE%3ASSWL" TargetMode="External"/><Relationship Id="rId1904" Type="http://schemas.openxmlformats.org/officeDocument/2006/relationships/hyperlink" Target="https://in.tradingview.com/chart/Cgv3Jm6J/?symbol=NSE%3ASTALLION" TargetMode="External"/><Relationship Id="rId1905" Type="http://schemas.openxmlformats.org/officeDocument/2006/relationships/hyperlink" Target="https://in.tradingview.com/chart/Cgv3Jm6J/?symbol=NSE%3ASTANLEY" TargetMode="External"/><Relationship Id="rId1906" Type="http://schemas.openxmlformats.org/officeDocument/2006/relationships/hyperlink" Target="https://in.tradingview.com/chart/Cgv3Jm6J/?symbol=NSE%3ASTAR" TargetMode="External"/><Relationship Id="rId1907" Type="http://schemas.openxmlformats.org/officeDocument/2006/relationships/hyperlink" Target="https://in.tradingview.com/chart/Cgv3Jm6J/?symbol=NSE%3ASTARCEMENT" TargetMode="External"/><Relationship Id="rId1908" Type="http://schemas.openxmlformats.org/officeDocument/2006/relationships/hyperlink" Target="https://in.tradingview.com/chart/Cgv3Jm6J/?symbol=NSE%3ASTARHEALTH" TargetMode="External"/><Relationship Id="rId1909" Type="http://schemas.openxmlformats.org/officeDocument/2006/relationships/hyperlink" Target="https://in.tradingview.com/chart/Cgv3Jm6J/?symbol=NSE%3ASTARPAPER" TargetMode="External"/><Relationship Id="rId1090" Type="http://schemas.openxmlformats.org/officeDocument/2006/relationships/hyperlink" Target="https://in.tradingview.com/chart/Cgv3Jm6J/?symbol=NSE%3AKRITI" TargetMode="External"/><Relationship Id="rId1091" Type="http://schemas.openxmlformats.org/officeDocument/2006/relationships/hyperlink" Target="https://in.tradingview.com/chart/Cgv3Jm6J/?symbol=NSE%3AKRITINUT" TargetMode="External"/><Relationship Id="rId1092" Type="http://schemas.openxmlformats.org/officeDocument/2006/relationships/hyperlink" Target="https://in.tradingview.com/chart/Cgv3Jm6J/?symbol=NSE%3AKRN" TargetMode="External"/><Relationship Id="rId1093" Type="http://schemas.openxmlformats.org/officeDocument/2006/relationships/hyperlink" Target="https://in.tradingview.com/chart/Cgv3Jm6J/?symbol=NSE%3AKRONOX" TargetMode="External"/><Relationship Id="rId1094" Type="http://schemas.openxmlformats.org/officeDocument/2006/relationships/hyperlink" Target="https://in.tradingview.com/chart/Cgv3Jm6J/?symbol=NSE%3AKROSS" TargetMode="External"/><Relationship Id="rId1095" Type="http://schemas.openxmlformats.org/officeDocument/2006/relationships/hyperlink" Target="https://in.tradingview.com/chart/Cgv3Jm6J/?symbol=NSE%3AKRSNAA" TargetMode="External"/><Relationship Id="rId1096" Type="http://schemas.openxmlformats.org/officeDocument/2006/relationships/hyperlink" Target="https://in.tradingview.com/chart/Cgv3Jm6J/?symbol=NSE%3AKRYSTAL" TargetMode="External"/><Relationship Id="rId1097" Type="http://schemas.openxmlformats.org/officeDocument/2006/relationships/hyperlink" Target="https://in.tradingview.com/chart/Cgv3Jm6J/?symbol=NSE%3AKSB" TargetMode="External"/><Relationship Id="rId1098" Type="http://schemas.openxmlformats.org/officeDocument/2006/relationships/hyperlink" Target="https://in.tradingview.com/chart/Cgv3Jm6J/?symbol=NSE%3AKSCL" TargetMode="External"/><Relationship Id="rId1099" Type="http://schemas.openxmlformats.org/officeDocument/2006/relationships/hyperlink" Target="https://in.tradingview.com/chart/Cgv3Jm6J/?symbol=NSE%3AKSHITIJPOL" TargetMode="External"/><Relationship Id="rId1080" Type="http://schemas.openxmlformats.org/officeDocument/2006/relationships/hyperlink" Target="https://in.tradingview.com/chart/Cgv3Jm6J/?symbol=NSE%3AKOTHARIPRO" TargetMode="External"/><Relationship Id="rId1081" Type="http://schemas.openxmlformats.org/officeDocument/2006/relationships/hyperlink" Target="https://in.tradingview.com/chart/Cgv3Jm6J/?symbol=NSE%3AKPEL" TargetMode="External"/><Relationship Id="rId1082" Type="http://schemas.openxmlformats.org/officeDocument/2006/relationships/hyperlink" Target="https://in.tradingview.com/chart/Cgv3Jm6J/?symbol=NSE%3AKPIGREEN" TargetMode="External"/><Relationship Id="rId1083" Type="http://schemas.openxmlformats.org/officeDocument/2006/relationships/hyperlink" Target="https://in.tradingview.com/chart/Cgv3Jm6J/?symbol=NSE%3AKPIL" TargetMode="External"/><Relationship Id="rId1084" Type="http://schemas.openxmlformats.org/officeDocument/2006/relationships/hyperlink" Target="https://in.tradingview.com/chart/Cgv3Jm6J/?symbol=NSE%3AKPITTECH" TargetMode="External"/><Relationship Id="rId1085" Type="http://schemas.openxmlformats.org/officeDocument/2006/relationships/hyperlink" Target="https://in.tradingview.com/chart/Cgv3Jm6J/?symbol=NSE%3AKPRMILL" TargetMode="External"/><Relationship Id="rId1086" Type="http://schemas.openxmlformats.org/officeDocument/2006/relationships/hyperlink" Target="https://in.tradingview.com/chart/Cgv3Jm6J/?symbol=NSE%3AKRBL" TargetMode="External"/><Relationship Id="rId1087" Type="http://schemas.openxmlformats.org/officeDocument/2006/relationships/hyperlink" Target="https://in.tradingview.com/chart/Cgv3Jm6J/?symbol=NSE%3AKREBSBIO" TargetMode="External"/><Relationship Id="rId1088" Type="http://schemas.openxmlformats.org/officeDocument/2006/relationships/hyperlink" Target="https://in.tradingview.com/chart/Cgv3Jm6J/?symbol=NSE%3AKRIDHANINF" TargetMode="External"/><Relationship Id="rId1089" Type="http://schemas.openxmlformats.org/officeDocument/2006/relationships/hyperlink" Target="https://in.tradingview.com/chart/Cgv3Jm6J/?symbol=NSE%3AKRISHANA" TargetMode="External"/><Relationship Id="rId1972" Type="http://schemas.openxmlformats.org/officeDocument/2006/relationships/hyperlink" Target="https://in.tradingview.com/chart/Cgv3Jm6J/?symbol=NSE%3ATAJGVK" TargetMode="External"/><Relationship Id="rId1973" Type="http://schemas.openxmlformats.org/officeDocument/2006/relationships/hyperlink" Target="https://in.tradingview.com/chart/Cgv3Jm6J/?symbol=NSE%3ATAKE" TargetMode="External"/><Relationship Id="rId1974" Type="http://schemas.openxmlformats.org/officeDocument/2006/relationships/hyperlink" Target="https://in.tradingview.com/chart/Cgv3Jm6J/?symbol=NSE%3ATALBROAUTO" TargetMode="External"/><Relationship Id="rId1975" Type="http://schemas.openxmlformats.org/officeDocument/2006/relationships/hyperlink" Target="https://in.tradingview.com/chart/Cgv3Jm6J/?symbol=NSE%3ATANLA" TargetMode="External"/><Relationship Id="rId1976" Type="http://schemas.openxmlformats.org/officeDocument/2006/relationships/hyperlink" Target="https://in.tradingview.com/chart/Cgv3Jm6J/?symbol=NSE%3ATARACHAND" TargetMode="External"/><Relationship Id="rId1977" Type="http://schemas.openxmlformats.org/officeDocument/2006/relationships/hyperlink" Target="https://in.tradingview.com/chart/Cgv3Jm6J/?symbol=NSE%3ATARAPUR" TargetMode="External"/><Relationship Id="rId1978" Type="http://schemas.openxmlformats.org/officeDocument/2006/relationships/hyperlink" Target="https://in.tradingview.com/chart/Cgv3Jm6J/?symbol=NSE%3ATARC" TargetMode="External"/><Relationship Id="rId1979" Type="http://schemas.openxmlformats.org/officeDocument/2006/relationships/hyperlink" Target="https://in.tradingview.com/chart/Cgv3Jm6J/?symbol=NSE%3ATARIL" TargetMode="External"/><Relationship Id="rId1970" Type="http://schemas.openxmlformats.org/officeDocument/2006/relationships/hyperlink" Target="https://in.tradingview.com/chart/Cgv3Jm6J/?symbol=NSE%3ASYRMA" TargetMode="External"/><Relationship Id="rId1971" Type="http://schemas.openxmlformats.org/officeDocument/2006/relationships/hyperlink" Target="https://in.tradingview.com/chart/Cgv3Jm6J/?symbol=NSE%3ATAINWALCHM" TargetMode="External"/><Relationship Id="rId1961" Type="http://schemas.openxmlformats.org/officeDocument/2006/relationships/hyperlink" Target="https://in.tradingview.com/chart/Cgv3Jm6J/?symbol=NSE%3ASVLL" TargetMode="External"/><Relationship Id="rId1962" Type="http://schemas.openxmlformats.org/officeDocument/2006/relationships/hyperlink" Target="https://in.tradingview.com/chart/Cgv3Jm6J/?symbol=NSE%3ASVPGLOB" TargetMode="External"/><Relationship Id="rId1963" Type="http://schemas.openxmlformats.org/officeDocument/2006/relationships/hyperlink" Target="https://in.tradingview.com/chart/Cgv3Jm6J/?symbol=NSE%3ASWANENERGY" TargetMode="External"/><Relationship Id="rId1964" Type="http://schemas.openxmlformats.org/officeDocument/2006/relationships/hyperlink" Target="https://in.tradingview.com/chart/Cgv3Jm6J/?symbol=NSE%3ASWARAJENG" TargetMode="External"/><Relationship Id="rId1965" Type="http://schemas.openxmlformats.org/officeDocument/2006/relationships/hyperlink" Target="https://in.tradingview.com/chart/Cgv3Jm6J/?symbol=NSE%3ASWIGGY" TargetMode="External"/><Relationship Id="rId1966" Type="http://schemas.openxmlformats.org/officeDocument/2006/relationships/hyperlink" Target="https://in.tradingview.com/chart/Cgv3Jm6J/?symbol=NSE%3ASWSOLAR" TargetMode="External"/><Relationship Id="rId1967" Type="http://schemas.openxmlformats.org/officeDocument/2006/relationships/hyperlink" Target="https://in.tradingview.com/chart/Cgv3Jm6J/?symbol=NSE%3ASYMPHONY" TargetMode="External"/><Relationship Id="rId1968" Type="http://schemas.openxmlformats.org/officeDocument/2006/relationships/hyperlink" Target="https://in.tradingview.com/chart/Cgv3Jm6J/?symbol=NSE%3ASYNCOMF" TargetMode="External"/><Relationship Id="rId1969" Type="http://schemas.openxmlformats.org/officeDocument/2006/relationships/hyperlink" Target="https://in.tradingview.com/chart/Cgv3Jm6J/?symbol=NSE%3ASYNGENE" TargetMode="External"/><Relationship Id="rId1960" Type="http://schemas.openxmlformats.org/officeDocument/2006/relationships/hyperlink" Target="https://in.tradingview.com/chart/Cgv3Jm6J/?symbol=NSE%3ASUZLON" TargetMode="External"/><Relationship Id="rId1994" Type="http://schemas.openxmlformats.org/officeDocument/2006/relationships/hyperlink" Target="https://in.tradingview.com/chart/Cgv3Jm6J/?symbol=NSE%3ATATVA" TargetMode="External"/><Relationship Id="rId1995" Type="http://schemas.openxmlformats.org/officeDocument/2006/relationships/hyperlink" Target="https://in.tradingview.com/chart/Cgv3Jm6J/?symbol=NSE%3ATBOTEK" TargetMode="External"/><Relationship Id="rId1996" Type="http://schemas.openxmlformats.org/officeDocument/2006/relationships/hyperlink" Target="https://in.tradingview.com/chart/Cgv3Jm6J/?symbol=NSE%3ATBZ" TargetMode="External"/><Relationship Id="rId1997" Type="http://schemas.openxmlformats.org/officeDocument/2006/relationships/hyperlink" Target="https://in.tradingview.com/chart/Cgv3Jm6J/?symbol=NSE%3ATCI" TargetMode="External"/><Relationship Id="rId1998" Type="http://schemas.openxmlformats.org/officeDocument/2006/relationships/hyperlink" Target="https://in.tradingview.com/chart/Cgv3Jm6J/?symbol=NSE%3ATCIEXP" TargetMode="External"/><Relationship Id="rId1999" Type="http://schemas.openxmlformats.org/officeDocument/2006/relationships/hyperlink" Target="https://in.tradingview.com/chart/Cgv3Jm6J/?symbol=NSE%3ATCIFINANCE" TargetMode="External"/><Relationship Id="rId1990" Type="http://schemas.openxmlformats.org/officeDocument/2006/relationships/hyperlink" Target="https://in.tradingview.com/chart/Cgv3Jm6J/?symbol=NSE%3ATATAPOWER" TargetMode="External"/><Relationship Id="rId1991" Type="http://schemas.openxmlformats.org/officeDocument/2006/relationships/hyperlink" Target="https://in.tradingview.com/chart/Cgv3Jm6J/?symbol=NSE%3ATATASTEEL" TargetMode="External"/><Relationship Id="rId1992" Type="http://schemas.openxmlformats.org/officeDocument/2006/relationships/hyperlink" Target="https://in.tradingview.com/chart/Cgv3Jm6J/?symbol=NSE%3ATATATECH" TargetMode="External"/><Relationship Id="rId1993" Type="http://schemas.openxmlformats.org/officeDocument/2006/relationships/hyperlink" Target="https://in.tradingview.com/chart/Cgv3Jm6J/?symbol=NSE%3ATATSILV" TargetMode="External"/><Relationship Id="rId1983" Type="http://schemas.openxmlformats.org/officeDocument/2006/relationships/hyperlink" Target="https://in.tradingview.com/chart/Cgv3Jm6J/?symbol=NSE%3ATATACHEM" TargetMode="External"/><Relationship Id="rId1984" Type="http://schemas.openxmlformats.org/officeDocument/2006/relationships/hyperlink" Target="https://in.tradingview.com/chart/Cgv3Jm6J/?symbol=NSE%3ATATACOMM" TargetMode="External"/><Relationship Id="rId1985" Type="http://schemas.openxmlformats.org/officeDocument/2006/relationships/hyperlink" Target="https://in.tradingview.com/chart/Cgv3Jm6J/?symbol=NSE%3ATATACONSUM" TargetMode="External"/><Relationship Id="rId1986" Type="http://schemas.openxmlformats.org/officeDocument/2006/relationships/hyperlink" Target="https://in.tradingview.com/chart/Cgv3Jm6J/?symbol=NSE%3ATATAELXSI" TargetMode="External"/><Relationship Id="rId1987" Type="http://schemas.openxmlformats.org/officeDocument/2006/relationships/hyperlink" Target="https://in.tradingview.com/chart/Cgv3Jm6J/?symbol=NSE%3ATATAGOLD" TargetMode="External"/><Relationship Id="rId1988" Type="http://schemas.openxmlformats.org/officeDocument/2006/relationships/hyperlink" Target="https://in.tradingview.com/chart/Cgv3Jm6J/?symbol=NSE%3ATATAINVEST" TargetMode="External"/><Relationship Id="rId1989" Type="http://schemas.openxmlformats.org/officeDocument/2006/relationships/hyperlink" Target="https://in.tradingview.com/chart/Cgv3Jm6J/?symbol=NSE%3ATATAMOTORS" TargetMode="External"/><Relationship Id="rId1980" Type="http://schemas.openxmlformats.org/officeDocument/2006/relationships/hyperlink" Target="https://in.tradingview.com/chart/Cgv3Jm6J/?symbol=NSE%3ATARMAT" TargetMode="External"/><Relationship Id="rId1981" Type="http://schemas.openxmlformats.org/officeDocument/2006/relationships/hyperlink" Target="https://in.tradingview.com/chart/Cgv3Jm6J/?symbol=NSE%3ATARSONS" TargetMode="External"/><Relationship Id="rId1982" Type="http://schemas.openxmlformats.org/officeDocument/2006/relationships/hyperlink" Target="https://in.tradingview.com/chart/Cgv3Jm6J/?symbol=NSE%3ATASTYBITE" TargetMode="External"/><Relationship Id="rId1930" Type="http://schemas.openxmlformats.org/officeDocument/2006/relationships/hyperlink" Target="https://in.tradingview.com/chart/Cgv3Jm6J/?symbol=NSE%3ASUNCLAY" TargetMode="External"/><Relationship Id="rId1931" Type="http://schemas.openxmlformats.org/officeDocument/2006/relationships/hyperlink" Target="https://in.tradingview.com/chart/Cgv3Jm6J/?symbol=NSE%3ASUNDARAM" TargetMode="External"/><Relationship Id="rId1932" Type="http://schemas.openxmlformats.org/officeDocument/2006/relationships/hyperlink" Target="https://in.tradingview.com/chart/Cgv3Jm6J/?symbol=NSE%3ASUNDARMFIN" TargetMode="External"/><Relationship Id="rId1933" Type="http://schemas.openxmlformats.org/officeDocument/2006/relationships/hyperlink" Target="https://in.tradingview.com/chart/Cgv3Jm6J/?symbol=NSE%3ASUNDARMHLD" TargetMode="External"/><Relationship Id="rId1934" Type="http://schemas.openxmlformats.org/officeDocument/2006/relationships/hyperlink" Target="https://in.tradingview.com/chart/Cgv3Jm6J/?symbol=NSE%3ASUNDRMBRAK" TargetMode="External"/><Relationship Id="rId1935" Type="http://schemas.openxmlformats.org/officeDocument/2006/relationships/hyperlink" Target="https://in.tradingview.com/chart/Cgv3Jm6J/?symbol=NSE%3ASUNDRMFAST" TargetMode="External"/><Relationship Id="rId1936" Type="http://schemas.openxmlformats.org/officeDocument/2006/relationships/hyperlink" Target="https://in.tradingview.com/chart/Cgv3Jm6J/?symbol=NSE%3ASUNFLAG" TargetMode="External"/><Relationship Id="rId1937" Type="http://schemas.openxmlformats.org/officeDocument/2006/relationships/hyperlink" Target="https://in.tradingview.com/chart/Cgv3Jm6J/?symbol=NSE%3ASUNPHARMA" TargetMode="External"/><Relationship Id="rId1938" Type="http://schemas.openxmlformats.org/officeDocument/2006/relationships/hyperlink" Target="https://in.tradingview.com/chart/Cgv3Jm6J/?symbol=NSE%3ASUNTECK" TargetMode="External"/><Relationship Id="rId1939" Type="http://schemas.openxmlformats.org/officeDocument/2006/relationships/hyperlink" Target="https://in.tradingview.com/chart/Cgv3Jm6J/?symbol=NSE%3ASUNTV" TargetMode="External"/><Relationship Id="rId1920" Type="http://schemas.openxmlformats.org/officeDocument/2006/relationships/hyperlink" Target="https://in.tradingview.com/chart/Cgv3Jm6J/?symbol=NSE%3ASTYLEBAAZA" TargetMode="External"/><Relationship Id="rId1921" Type="http://schemas.openxmlformats.org/officeDocument/2006/relationships/hyperlink" Target="https://in.tradingview.com/chart/Cgv3Jm6J/?symbol=NSE%3ASTYRENIX" TargetMode="External"/><Relationship Id="rId1922" Type="http://schemas.openxmlformats.org/officeDocument/2006/relationships/hyperlink" Target="https://in.tradingview.com/chart/Cgv3Jm6J/?symbol=NSE%3ASUBEXLTD" TargetMode="External"/><Relationship Id="rId1923" Type="http://schemas.openxmlformats.org/officeDocument/2006/relationships/hyperlink" Target="https://in.tradingview.com/chart/Cgv3Jm6J/?symbol=NSE%3ASUBROS" TargetMode="External"/><Relationship Id="rId1924" Type="http://schemas.openxmlformats.org/officeDocument/2006/relationships/hyperlink" Target="https://in.tradingview.com/chart/Cgv3Jm6J/?symbol=NSE%3ASUDARSCHEM" TargetMode="External"/><Relationship Id="rId1925" Type="http://schemas.openxmlformats.org/officeDocument/2006/relationships/hyperlink" Target="https://in.tradingview.com/chart/Cgv3Jm6J/?symbol=NSE%3ASUKHJITS" TargetMode="External"/><Relationship Id="rId1926" Type="http://schemas.openxmlformats.org/officeDocument/2006/relationships/hyperlink" Target="https://in.tradingview.com/chart/Cgv3Jm6J/?symbol=NSE%3ASULA" TargetMode="External"/><Relationship Id="rId1927" Type="http://schemas.openxmlformats.org/officeDocument/2006/relationships/hyperlink" Target="https://in.tradingview.com/chart/Cgv3Jm6J/?symbol=NSE%3ASUMICHEM" TargetMode="External"/><Relationship Id="rId1928" Type="http://schemas.openxmlformats.org/officeDocument/2006/relationships/hyperlink" Target="https://in.tradingview.com/chart/Cgv3Jm6J/?symbol=NSE%3ASUMIT" TargetMode="External"/><Relationship Id="rId1929" Type="http://schemas.openxmlformats.org/officeDocument/2006/relationships/hyperlink" Target="https://in.tradingview.com/chart/Cgv3Jm6J/?symbol=NSE%3ASUMMITSEC" TargetMode="External"/><Relationship Id="rId1950" Type="http://schemas.openxmlformats.org/officeDocument/2006/relationships/hyperlink" Target="https://in.tradingview.com/chart/Cgv3Jm6J/?symbol=NSE%3ASURANASOL" TargetMode="External"/><Relationship Id="rId1951" Type="http://schemas.openxmlformats.org/officeDocument/2006/relationships/hyperlink" Target="https://in.tradingview.com/chart/Cgv3Jm6J/?symbol=NSE%3ASURANAT_P" TargetMode="External"/><Relationship Id="rId1952" Type="http://schemas.openxmlformats.org/officeDocument/2006/relationships/hyperlink" Target="https://in.tradingview.com/chart/Cgv3Jm6J/?symbol=NSE%3ASURYALAXMI" TargetMode="External"/><Relationship Id="rId1953" Type="http://schemas.openxmlformats.org/officeDocument/2006/relationships/hyperlink" Target="https://in.tradingview.com/chart/Cgv3Jm6J/?symbol=NSE%3ASURYAROSNI" TargetMode="External"/><Relationship Id="rId1954" Type="http://schemas.openxmlformats.org/officeDocument/2006/relationships/hyperlink" Target="https://in.tradingview.com/chart/Cgv3Jm6J/?symbol=NSE%3ASURYODAY" TargetMode="External"/><Relationship Id="rId1955" Type="http://schemas.openxmlformats.org/officeDocument/2006/relationships/hyperlink" Target="https://in.tradingview.com/chart/Cgv3Jm6J/?symbol=NSE%3ASUTLEJTEX" TargetMode="External"/><Relationship Id="rId1956" Type="http://schemas.openxmlformats.org/officeDocument/2006/relationships/hyperlink" Target="https://in.tradingview.com/chart/Cgv3Jm6J/?symbol=NSE%3ASUULD" TargetMode="External"/><Relationship Id="rId1957" Type="http://schemas.openxmlformats.org/officeDocument/2006/relationships/hyperlink" Target="https://in.tradingview.com/chart/Cgv3Jm6J/?symbol=NSE%3ASUVEN" TargetMode="External"/><Relationship Id="rId1958" Type="http://schemas.openxmlformats.org/officeDocument/2006/relationships/hyperlink" Target="https://in.tradingview.com/chart/Cgv3Jm6J/?symbol=NSE%3ASUVIDHAA" TargetMode="External"/><Relationship Id="rId1959" Type="http://schemas.openxmlformats.org/officeDocument/2006/relationships/hyperlink" Target="https://in.tradingview.com/chart/Cgv3Jm6J/?symbol=NSE%3ASUYOG" TargetMode="External"/><Relationship Id="rId1940" Type="http://schemas.openxmlformats.org/officeDocument/2006/relationships/hyperlink" Target="https://in.tradingview.com/chart/Cgv3Jm6J/?symbol=NSE%3ASUPERHOUSE" TargetMode="External"/><Relationship Id="rId1941" Type="http://schemas.openxmlformats.org/officeDocument/2006/relationships/hyperlink" Target="https://in.tradingview.com/chart/Cgv3Jm6J/?symbol=NSE%3ASUPERSPIN" TargetMode="External"/><Relationship Id="rId1942" Type="http://schemas.openxmlformats.org/officeDocument/2006/relationships/hyperlink" Target="https://in.tradingview.com/chart/Cgv3Jm6J/?symbol=NSE%3ASUPRAJIT" TargetMode="External"/><Relationship Id="rId1943" Type="http://schemas.openxmlformats.org/officeDocument/2006/relationships/hyperlink" Target="https://in.tradingview.com/chart/Cgv3Jm6J/?symbol=NSE%3ASUPREME" TargetMode="External"/><Relationship Id="rId1944" Type="http://schemas.openxmlformats.org/officeDocument/2006/relationships/hyperlink" Target="https://in.tradingview.com/chart/Cgv3Jm6J/?symbol=NSE%3ASUPREMEIND" TargetMode="External"/><Relationship Id="rId1945" Type="http://schemas.openxmlformats.org/officeDocument/2006/relationships/hyperlink" Target="https://in.tradingview.com/chart/Cgv3Jm6J/?symbol=NSE%3ASUPREMEINF" TargetMode="External"/><Relationship Id="rId1946" Type="http://schemas.openxmlformats.org/officeDocument/2006/relationships/hyperlink" Target="https://in.tradingview.com/chart/Cgv3Jm6J/?symbol=NSE%3ASUPRIYA" TargetMode="External"/><Relationship Id="rId1947" Type="http://schemas.openxmlformats.org/officeDocument/2006/relationships/hyperlink" Target="https://in.tradingview.com/chart/Cgv3Jm6J/?symbol=NSE%3ASURAJEST" TargetMode="External"/><Relationship Id="rId1948" Type="http://schemas.openxmlformats.org/officeDocument/2006/relationships/hyperlink" Target="https://in.tradingview.com/chart/Cgv3Jm6J/?symbol=NSE%3ASURAJLTD" TargetMode="External"/><Relationship Id="rId1949" Type="http://schemas.openxmlformats.org/officeDocument/2006/relationships/hyperlink" Target="https://in.tradingview.com/chart/Cgv3Jm6J/?symbol=NSE%3ASURAKSHA" TargetMode="External"/><Relationship Id="rId2423" Type="http://schemas.openxmlformats.org/officeDocument/2006/relationships/hyperlink" Target="https://in.tradingview.com/chart/ofQQfXOP/?symbol=NSE%3AVISASTEEL" TargetMode="External"/><Relationship Id="rId2424" Type="http://schemas.openxmlformats.org/officeDocument/2006/relationships/hyperlink" Target="https://in.tradingview.com/chart/ofQQfXOP/?symbol=NSE%3AVISAKAIND" TargetMode="External"/><Relationship Id="rId2425" Type="http://schemas.openxmlformats.org/officeDocument/2006/relationships/hyperlink" Target="https://in.tradingview.com/chart/ofQQfXOP/?symbol=NSE%3AVMM" TargetMode="External"/><Relationship Id="rId2426" Type="http://schemas.openxmlformats.org/officeDocument/2006/relationships/hyperlink" Target="https://in.tradingview.com/chart/ofQQfXOP/?symbol=NSE%3AVISHNU" TargetMode="External"/><Relationship Id="rId2427" Type="http://schemas.openxmlformats.org/officeDocument/2006/relationships/hyperlink" Target="https://in.tradingview.com/chart/ofQQfXOP/?symbol=NSE%3AVPRPL" TargetMode="External"/><Relationship Id="rId2428" Type="http://schemas.openxmlformats.org/officeDocument/2006/relationships/hyperlink" Target="https://in.tradingview.com/chart/ofQQfXOP/?symbol=NSE%3AVISHWARAJ" TargetMode="External"/><Relationship Id="rId2429" Type="http://schemas.openxmlformats.org/officeDocument/2006/relationships/hyperlink" Target="https://in.tradingview.com/chart/ofQQfXOP/?symbol=NSE%3AVLEGOV" TargetMode="External"/><Relationship Id="rId509" Type="http://schemas.openxmlformats.org/officeDocument/2006/relationships/hyperlink" Target="https://in.tradingview.com/chart/Cgv3Jm6J/?symbol=NSE%3ADPSCLTD" TargetMode="External"/><Relationship Id="rId508" Type="http://schemas.openxmlformats.org/officeDocument/2006/relationships/hyperlink" Target="https://in.tradingview.com/chart/Cgv3Jm6J/?symbol=NSE%3ADPABHUSHAN" TargetMode="External"/><Relationship Id="rId503" Type="http://schemas.openxmlformats.org/officeDocument/2006/relationships/hyperlink" Target="https://in.tradingview.com/chart/Cgv3Jm6J/?symbol=NSE%3ADODLA" TargetMode="External"/><Relationship Id="rId502" Type="http://schemas.openxmlformats.org/officeDocument/2006/relationships/hyperlink" Target="https://in.tradingview.com/chart/Cgv3Jm6J/?symbol=NSE%3ADNAMEDIA" TargetMode="External"/><Relationship Id="rId501" Type="http://schemas.openxmlformats.org/officeDocument/2006/relationships/hyperlink" Target="https://in.tradingview.com/chart/Cgv3Jm6J/?symbol=NSE%3ADMCC" TargetMode="External"/><Relationship Id="rId500" Type="http://schemas.openxmlformats.org/officeDocument/2006/relationships/hyperlink" Target="https://in.tradingview.com/chart/Cgv3Jm6J/?symbol=NSE%3ADMART" TargetMode="External"/><Relationship Id="rId507" Type="http://schemas.openxmlformats.org/officeDocument/2006/relationships/hyperlink" Target="https://in.tradingview.com/chart/Cgv3Jm6J/?symbol=NSE%3ADONEAR" TargetMode="External"/><Relationship Id="rId506" Type="http://schemas.openxmlformats.org/officeDocument/2006/relationships/hyperlink" Target="https://in.tradingview.com/chart/Cgv3Jm6J/?symbol=NSE%3ADOMS" TargetMode="External"/><Relationship Id="rId505" Type="http://schemas.openxmlformats.org/officeDocument/2006/relationships/hyperlink" Target="https://in.tradingview.com/chart/Cgv3Jm6J/?symbol=NSE%3ADOLLAR" TargetMode="External"/><Relationship Id="rId504" Type="http://schemas.openxmlformats.org/officeDocument/2006/relationships/hyperlink" Target="https://in.tradingview.com/chart/Cgv3Jm6J/?symbol=NSE%3ADOLATALGO" TargetMode="External"/><Relationship Id="rId2420" Type="http://schemas.openxmlformats.org/officeDocument/2006/relationships/hyperlink" Target="https://in.tradingview.com/chart/ofQQfXOP/?symbol=NSE%3AVIPIND" TargetMode="External"/><Relationship Id="rId2421" Type="http://schemas.openxmlformats.org/officeDocument/2006/relationships/hyperlink" Target="https://in.tradingview.com/chart/ofQQfXOP/?symbol=NSE%3AVIPULLTD" TargetMode="External"/><Relationship Id="rId2422" Type="http://schemas.openxmlformats.org/officeDocument/2006/relationships/hyperlink" Target="https://in.tradingview.com/chart/ofQQfXOP/?symbol=NSE%3AVIRINCHI" TargetMode="External"/><Relationship Id="rId2412" Type="http://schemas.openxmlformats.org/officeDocument/2006/relationships/hyperlink" Target="https://in.tradingview.com/chart/ofQQfXOP/?symbol=NSE%3AVIKRAN" TargetMode="External"/><Relationship Id="rId2413" Type="http://schemas.openxmlformats.org/officeDocument/2006/relationships/hyperlink" Target="https://in.tradingview.com/chart/ofQQfXOP/?symbol=NSE%3AVIMTALABS" TargetMode="External"/><Relationship Id="rId2414" Type="http://schemas.openxmlformats.org/officeDocument/2006/relationships/hyperlink" Target="https://in.tradingview.com/chart/ofQQfXOP/?symbol=NSE%3AVINATIORGA" TargetMode="External"/><Relationship Id="rId2415" Type="http://schemas.openxmlformats.org/officeDocument/2006/relationships/hyperlink" Target="https://in.tradingview.com/chart/ofQQfXOP/?symbol=NSE%3AVINDHYATEL" TargetMode="External"/><Relationship Id="rId2416" Type="http://schemas.openxmlformats.org/officeDocument/2006/relationships/hyperlink" Target="https://in.tradingview.com/chart/ofQQfXOP/?symbol=NSE%3AVINEETLAB" TargetMode="External"/><Relationship Id="rId2417" Type="http://schemas.openxmlformats.org/officeDocument/2006/relationships/hyperlink" Target="https://in.tradingview.com/chart/ofQQfXOP/?symbol=NSE%3AVINCOFE" TargetMode="External"/><Relationship Id="rId2418" Type="http://schemas.openxmlformats.org/officeDocument/2006/relationships/hyperlink" Target="https://in.tradingview.com/chart/ofQQfXOP/?symbol=NSE%3AVINYLINDIA" TargetMode="External"/><Relationship Id="rId2419" Type="http://schemas.openxmlformats.org/officeDocument/2006/relationships/hyperlink" Target="https://in.tradingview.com/chart/ofQQfXOP/?symbol=NSE%3AVIPCLOTHNG" TargetMode="External"/><Relationship Id="rId2410" Type="http://schemas.openxmlformats.org/officeDocument/2006/relationships/hyperlink" Target="https://in.tradingview.com/chart/ofQQfXOP/?symbol=NSE%3AVIJAYA" TargetMode="External"/><Relationship Id="rId2411" Type="http://schemas.openxmlformats.org/officeDocument/2006/relationships/hyperlink" Target="https://in.tradingview.com/chart/ofQQfXOP/?symbol=NSE%3AVIKRAMSOLR" TargetMode="External"/><Relationship Id="rId1114" Type="http://schemas.openxmlformats.org/officeDocument/2006/relationships/hyperlink" Target="https://in.tradingview.com/chart/Cgv3Jm6J/?symbol=NSE%3ALAXMICOT" TargetMode="External"/><Relationship Id="rId2445" Type="http://schemas.openxmlformats.org/officeDocument/2006/relationships/hyperlink" Target="https://in.tradingview.com/chart/ofQQfXOP/?symbol=NSE%3AWEIZMANIND" TargetMode="External"/><Relationship Id="rId1115" Type="http://schemas.openxmlformats.org/officeDocument/2006/relationships/hyperlink" Target="https://in.tradingview.com/chart/Cgv3Jm6J/?symbol=NSE%3ALAXMIDENTL" TargetMode="External"/><Relationship Id="rId2446" Type="http://schemas.openxmlformats.org/officeDocument/2006/relationships/hyperlink" Target="https://in.tradingview.com/chart/ofQQfXOP/?symbol=NSE%3AWELCORP" TargetMode="External"/><Relationship Id="rId1116" Type="http://schemas.openxmlformats.org/officeDocument/2006/relationships/hyperlink" Target="https://in.tradingview.com/chart/Cgv3Jm6J/?symbol=NSE%3ALEMONTREE" TargetMode="External"/><Relationship Id="rId2447" Type="http://schemas.openxmlformats.org/officeDocument/2006/relationships/hyperlink" Target="https://in.tradingview.com/chart/ofQQfXOP/?symbol=NSE%3AWELENT" TargetMode="External"/><Relationship Id="rId1117" Type="http://schemas.openxmlformats.org/officeDocument/2006/relationships/hyperlink" Target="https://in.tradingview.com/chart/Cgv3Jm6J/?symbol=NSE%3ALEXUS" TargetMode="External"/><Relationship Id="rId2448" Type="http://schemas.openxmlformats.org/officeDocument/2006/relationships/hyperlink" Target="https://in.tradingview.com/chart/ofQQfXOP/?symbol=NSE%3AWELINV" TargetMode="External"/><Relationship Id="rId1118" Type="http://schemas.openxmlformats.org/officeDocument/2006/relationships/hyperlink" Target="https://in.tradingview.com/chart/Cgv3Jm6J/?symbol=NSE%3ALFIC" TargetMode="External"/><Relationship Id="rId2449" Type="http://schemas.openxmlformats.org/officeDocument/2006/relationships/hyperlink" Target="https://in.tradingview.com/chart/ofQQfXOP/?symbol=NSE%3AWELSPUNLIV" TargetMode="External"/><Relationship Id="rId1119" Type="http://schemas.openxmlformats.org/officeDocument/2006/relationships/hyperlink" Target="https://in.tradingview.com/chart/Cgv3Jm6J/?symbol=NSE%3ALGBBROSLTD" TargetMode="External"/><Relationship Id="rId525" Type="http://schemas.openxmlformats.org/officeDocument/2006/relationships/hyperlink" Target="https://in.tradingview.com/chart/Cgv3Jm6J/?symbol=NSE%3AEBANKNIFTY" TargetMode="External"/><Relationship Id="rId524" Type="http://schemas.openxmlformats.org/officeDocument/2006/relationships/hyperlink" Target="https://in.tradingview.com/chart/Cgv3Jm6J/?symbol=NSE%3AEASEMYTRIP" TargetMode="External"/><Relationship Id="rId523" Type="http://schemas.openxmlformats.org/officeDocument/2006/relationships/hyperlink" Target="https://in.tradingview.com/chart/Cgv3Jm6J/?symbol=NSE%3AE2E" TargetMode="External"/><Relationship Id="rId522" Type="http://schemas.openxmlformats.org/officeDocument/2006/relationships/hyperlink" Target="https://in.tradingview.com/chart/Cgv3Jm6J/?symbol=NSE%3ADYNPRO" TargetMode="External"/><Relationship Id="rId529" Type="http://schemas.openxmlformats.org/officeDocument/2006/relationships/hyperlink" Target="https://in.tradingview.com/chart/Cgv3Jm6J/?symbol=NSE%3AECAPINSURE" TargetMode="External"/><Relationship Id="rId528" Type="http://schemas.openxmlformats.org/officeDocument/2006/relationships/hyperlink" Target="https://in.tradingview.com/chart/Cgv3Jm6J/?symbol=NSE%3AEBBETF0433" TargetMode="External"/><Relationship Id="rId527" Type="http://schemas.openxmlformats.org/officeDocument/2006/relationships/hyperlink" Target="https://in.tradingview.com/chart/Cgv3Jm6J/?symbol=NSE%3AEBBETF0431" TargetMode="External"/><Relationship Id="rId526" Type="http://schemas.openxmlformats.org/officeDocument/2006/relationships/hyperlink" Target="https://in.tradingview.com/chart/Cgv3Jm6J/?symbol=NSE%3AEBBETF0430" TargetMode="External"/><Relationship Id="rId2440" Type="http://schemas.openxmlformats.org/officeDocument/2006/relationships/hyperlink" Target="https://in.tradingview.com/chart/ofQQfXOP/?symbol=NSE%3AWALCHANNAG" TargetMode="External"/><Relationship Id="rId521" Type="http://schemas.openxmlformats.org/officeDocument/2006/relationships/hyperlink" Target="https://in.tradingview.com/chart/Cgv3Jm6J/?symbol=NSE%3ADYNAMATECH" TargetMode="External"/><Relationship Id="rId1110" Type="http://schemas.openxmlformats.org/officeDocument/2006/relationships/hyperlink" Target="https://in.tradingview.com/chart/Cgv3Jm6J/?symbol=NSE%3ALAOPALA" TargetMode="External"/><Relationship Id="rId2441" Type="http://schemas.openxmlformats.org/officeDocument/2006/relationships/hyperlink" Target="https://in.tradingview.com/chart/ofQQfXOP/?symbol=NSE%3AWANBURY" TargetMode="External"/><Relationship Id="rId520" Type="http://schemas.openxmlformats.org/officeDocument/2006/relationships/hyperlink" Target="https://in.tradingview.com/chart/Cgv3Jm6J/?symbol=NSE%3ADYCL" TargetMode="External"/><Relationship Id="rId1111" Type="http://schemas.openxmlformats.org/officeDocument/2006/relationships/hyperlink" Target="https://in.tradingview.com/chart/Cgv3Jm6J/?symbol=NSE%3ALASA" TargetMode="External"/><Relationship Id="rId2442" Type="http://schemas.openxmlformats.org/officeDocument/2006/relationships/hyperlink" Target="https://in.tradingview.com/chart/ofQQfXOP/?symbol=NSE%3AWEWIN" TargetMode="External"/><Relationship Id="rId1112" Type="http://schemas.openxmlformats.org/officeDocument/2006/relationships/hyperlink" Target="https://in.tradingview.com/chart/Cgv3Jm6J/?symbol=NSE%3ALATENTVIEW" TargetMode="External"/><Relationship Id="rId2443" Type="http://schemas.openxmlformats.org/officeDocument/2006/relationships/hyperlink" Target="https://in.tradingview.com/chart/ofQQfXOP/?symbol=NSE%3AWEALTH" TargetMode="External"/><Relationship Id="rId1113" Type="http://schemas.openxmlformats.org/officeDocument/2006/relationships/hyperlink" Target="https://in.tradingview.com/chart/Cgv3Jm6J/?symbol=NSE%3ALAURUSLABS" TargetMode="External"/><Relationship Id="rId2444" Type="http://schemas.openxmlformats.org/officeDocument/2006/relationships/hyperlink" Target="https://in.tradingview.com/chart/ofQQfXOP/?symbol=NSE%3AWEBELSOLAR" TargetMode="External"/><Relationship Id="rId1103" Type="http://schemas.openxmlformats.org/officeDocument/2006/relationships/hyperlink" Target="https://in.tradingview.com/chart/Cgv3Jm6J/?symbol=NSE%3AKUANTUM" TargetMode="External"/><Relationship Id="rId2434" Type="http://schemas.openxmlformats.org/officeDocument/2006/relationships/hyperlink" Target="https://in.tradingview.com/chart/ofQQfXOP/?symbol=NSE%3AVRAJ" TargetMode="External"/><Relationship Id="rId1104" Type="http://schemas.openxmlformats.org/officeDocument/2006/relationships/hyperlink" Target="https://in.tradingview.com/chart/Cgv3Jm6J/?symbol=NSE%3ALAGNAM" TargetMode="External"/><Relationship Id="rId2435" Type="http://schemas.openxmlformats.org/officeDocument/2006/relationships/hyperlink" Target="https://in.tradingview.com/chart/ofQQfXOP/?symbol=NSE%3AVRLLOG" TargetMode="External"/><Relationship Id="rId1105" Type="http://schemas.openxmlformats.org/officeDocument/2006/relationships/hyperlink" Target="https://in.tradingview.com/chart/Cgv3Jm6J/?symbol=NSE%3ALAKPRE" TargetMode="External"/><Relationship Id="rId2436" Type="http://schemas.openxmlformats.org/officeDocument/2006/relationships/hyperlink" Target="https://in.tradingview.com/chart/ofQQfXOP/?symbol=NSE%3AVSTIND" TargetMode="External"/><Relationship Id="rId1106" Type="http://schemas.openxmlformats.org/officeDocument/2006/relationships/hyperlink" Target="https://in.tradingview.com/chart/Cgv3Jm6J/?symbol=NSE%3ALALPATHLAB" TargetMode="External"/><Relationship Id="rId2437" Type="http://schemas.openxmlformats.org/officeDocument/2006/relationships/hyperlink" Target="https://in.tradingview.com/chart/ofQQfXOP/?symbol=NSE%3AWSI" TargetMode="External"/><Relationship Id="rId1107" Type="http://schemas.openxmlformats.org/officeDocument/2006/relationships/hyperlink" Target="https://in.tradingview.com/chart/Cgv3Jm6J/?symbol=NSE%3ALAMBODHARA" TargetMode="External"/><Relationship Id="rId2438" Type="http://schemas.openxmlformats.org/officeDocument/2006/relationships/hyperlink" Target="https://in.tradingview.com/chart/ofQQfXOP/?symbol=NSE%3AWAAREEENER" TargetMode="External"/><Relationship Id="rId1108" Type="http://schemas.openxmlformats.org/officeDocument/2006/relationships/hyperlink" Target="https://in.tradingview.com/chart/Cgv3Jm6J/?symbol=NSE%3ALANCORHOL" TargetMode="External"/><Relationship Id="rId2439" Type="http://schemas.openxmlformats.org/officeDocument/2006/relationships/hyperlink" Target="https://in.tradingview.com/chart/ofQQfXOP/?symbol=NSE%3AWAAREERTL" TargetMode="External"/><Relationship Id="rId1109" Type="http://schemas.openxmlformats.org/officeDocument/2006/relationships/hyperlink" Target="https://in.tradingview.com/chart/Cgv3Jm6J/?symbol=NSE%3ALANDMARK" TargetMode="External"/><Relationship Id="rId519" Type="http://schemas.openxmlformats.org/officeDocument/2006/relationships/hyperlink" Target="https://in.tradingview.com/chart/Cgv3Jm6J/?symbol=NSE%3ADWARKESH" TargetMode="External"/><Relationship Id="rId514" Type="http://schemas.openxmlformats.org/officeDocument/2006/relationships/hyperlink" Target="https://in.tradingview.com/chart/Cgv3Jm6J/?symbol=NSE%3ADRREDDY" TargetMode="External"/><Relationship Id="rId513" Type="http://schemas.openxmlformats.org/officeDocument/2006/relationships/hyperlink" Target="https://in.tradingview.com/chart/Cgv3Jm6J/?symbol=NSE%3ADREDGECORP" TargetMode="External"/><Relationship Id="rId512" Type="http://schemas.openxmlformats.org/officeDocument/2006/relationships/hyperlink" Target="https://in.tradingview.com/chart/Cgv3Jm6J/?symbol=NSE%3ADREAMFOLKS" TargetMode="External"/><Relationship Id="rId511" Type="http://schemas.openxmlformats.org/officeDocument/2006/relationships/hyperlink" Target="https://in.tradingview.com/chart/Cgv3Jm6J/?symbol=NSE%3ADRCSYSTEMS" TargetMode="External"/><Relationship Id="rId518" Type="http://schemas.openxmlformats.org/officeDocument/2006/relationships/hyperlink" Target="https://in.tradingview.com/chart/Cgv3Jm6J/?symbol=NSE%3ADVL" TargetMode="External"/><Relationship Id="rId517" Type="http://schemas.openxmlformats.org/officeDocument/2006/relationships/hyperlink" Target="https://in.tradingview.com/chart/Cgv3Jm6J/?symbol=NSE%3ADUCON" TargetMode="External"/><Relationship Id="rId516" Type="http://schemas.openxmlformats.org/officeDocument/2006/relationships/hyperlink" Target="https://in.tradingview.com/chart/Cgv3Jm6J/?symbol=NSE%3ADTIL" TargetMode="External"/><Relationship Id="rId515" Type="http://schemas.openxmlformats.org/officeDocument/2006/relationships/hyperlink" Target="https://in.tradingview.com/chart/Cgv3Jm6J/?symbol=NSE%3ADSSL" TargetMode="External"/><Relationship Id="rId510" Type="http://schemas.openxmlformats.org/officeDocument/2006/relationships/hyperlink" Target="https://in.tradingview.com/chart/Cgv3Jm6J/?symbol=NSE%3ADPWIRES" TargetMode="External"/><Relationship Id="rId2430" Type="http://schemas.openxmlformats.org/officeDocument/2006/relationships/hyperlink" Target="https://in.tradingview.com/chart/ofQQfXOP/?symbol=NSE%3AVLSFINANCE" TargetMode="External"/><Relationship Id="rId1100" Type="http://schemas.openxmlformats.org/officeDocument/2006/relationships/hyperlink" Target="https://in.tradingview.com/chart/Cgv3Jm6J/?symbol=NSE%3AKSL" TargetMode="External"/><Relationship Id="rId2431" Type="http://schemas.openxmlformats.org/officeDocument/2006/relationships/hyperlink" Target="https://in.tradingview.com/chart/ofQQfXOP/?symbol=NSE%3AVMSTMT" TargetMode="External"/><Relationship Id="rId1101" Type="http://schemas.openxmlformats.org/officeDocument/2006/relationships/hyperlink" Target="https://in.tradingview.com/chart/Cgv3Jm6J/?symbol=NSE%3AKSOLVES" TargetMode="External"/><Relationship Id="rId2432" Type="http://schemas.openxmlformats.org/officeDocument/2006/relationships/hyperlink" Target="https://in.tradingview.com/chart/ofQQfXOP/?symbol=NSE%3AVOLTAMP" TargetMode="External"/><Relationship Id="rId1102" Type="http://schemas.openxmlformats.org/officeDocument/2006/relationships/hyperlink" Target="https://in.tradingview.com/chart/Cgv3Jm6J/?symbol=NSE%3AKTKBANK" TargetMode="External"/><Relationship Id="rId2433" Type="http://schemas.openxmlformats.org/officeDocument/2006/relationships/hyperlink" Target="https://in.tradingview.com/chart/ofQQfXOP/?symbol=NSE%3AVOLTAS" TargetMode="External"/><Relationship Id="rId2401" Type="http://schemas.openxmlformats.org/officeDocument/2006/relationships/hyperlink" Target="https://in.tradingview.com/chart/ofQQfXOP/?symbol=NSE%3AVENUSPIPES" TargetMode="External"/><Relationship Id="rId2402" Type="http://schemas.openxmlformats.org/officeDocument/2006/relationships/hyperlink" Target="https://in.tradingview.com/chart/ofQQfXOP/?symbol=NSE%3AVENUSREM" TargetMode="External"/><Relationship Id="rId2403" Type="http://schemas.openxmlformats.org/officeDocument/2006/relationships/hyperlink" Target="https://in.tradingview.com/chart/ofQQfXOP/?symbol=NSE%3AVERANDA" TargetMode="External"/><Relationship Id="rId2404" Type="http://schemas.openxmlformats.org/officeDocument/2006/relationships/hyperlink" Target="https://in.tradingview.com/chart/ofQQfXOP/?symbol=NSE%3AVERTOZ" TargetMode="External"/><Relationship Id="rId2405" Type="http://schemas.openxmlformats.org/officeDocument/2006/relationships/hyperlink" Target="https://in.tradingview.com/chart/ofQQfXOP/?symbol=NSE%3AVESUVIUS" TargetMode="External"/><Relationship Id="rId2406" Type="http://schemas.openxmlformats.org/officeDocument/2006/relationships/hyperlink" Target="https://in.tradingview.com/chart/ofQQfXOP/?symbol=NSE%3AVETO" TargetMode="External"/><Relationship Id="rId2407" Type="http://schemas.openxmlformats.org/officeDocument/2006/relationships/hyperlink" Target="https://in.tradingview.com/chart/ofQQfXOP/?symbol=NSE%3AVSTL" TargetMode="External"/><Relationship Id="rId2408" Type="http://schemas.openxmlformats.org/officeDocument/2006/relationships/hyperlink" Target="https://in.tradingview.com/chart/ofQQfXOP/?symbol=NSE%3AVHLTD" TargetMode="External"/><Relationship Id="rId2409" Type="http://schemas.openxmlformats.org/officeDocument/2006/relationships/hyperlink" Target="https://in.tradingview.com/chart/ofQQfXOP/?symbol=NSE%3AVIDHIING" TargetMode="External"/><Relationship Id="rId2400" Type="http://schemas.openxmlformats.org/officeDocument/2006/relationships/hyperlink" Target="https://in.tradingview.com/chart/ofQQfXOP/?symbol=NSE%3AVENTIVE" TargetMode="External"/><Relationship Id="rId590" Type="http://schemas.openxmlformats.org/officeDocument/2006/relationships/hyperlink" Target="https://in.tradingview.com/chart/Cgv3Jm6J/?symbol=NSE%3AEXXARO" TargetMode="External"/><Relationship Id="rId589" Type="http://schemas.openxmlformats.org/officeDocument/2006/relationships/hyperlink" Target="https://in.tradingview.com/chart/Cgv3Jm6J/?symbol=NSE%3AEXPLEOSOL" TargetMode="External"/><Relationship Id="rId588" Type="http://schemas.openxmlformats.org/officeDocument/2006/relationships/hyperlink" Target="https://in.tradingview.com/chart/Cgv3Jm6J/?symbol=NSE%3AEXIDEIND" TargetMode="External"/><Relationship Id="rId1170" Type="http://schemas.openxmlformats.org/officeDocument/2006/relationships/hyperlink" Target="https://in.tradingview.com/chart/Cgv3Jm6J/?symbol=NSE%3ALXCHEM" TargetMode="External"/><Relationship Id="rId1171" Type="http://schemas.openxmlformats.org/officeDocument/2006/relationships/hyperlink" Target="https://in.tradingview.com/chart/Cgv3Jm6J/?symbol=NSE%3ALYKALABS" TargetMode="External"/><Relationship Id="rId583" Type="http://schemas.openxmlformats.org/officeDocument/2006/relationships/hyperlink" Target="https://in.tradingview.com/chart/Cgv3Jm6J/?symbol=NSE%3AEVERESTIND" TargetMode="External"/><Relationship Id="rId1172" Type="http://schemas.openxmlformats.org/officeDocument/2006/relationships/hyperlink" Target="https://in.tradingview.com/chart/Cgv3Jm6J/?symbol=NSE%3ALYPSAGEMS" TargetMode="External"/><Relationship Id="rId582" Type="http://schemas.openxmlformats.org/officeDocument/2006/relationships/hyperlink" Target="https://in.tradingview.com/chart/Cgv3Jm6J/?symbol=NSE%3AEVEREADY" TargetMode="External"/><Relationship Id="rId1173" Type="http://schemas.openxmlformats.org/officeDocument/2006/relationships/hyperlink" Target="https://in.tradingview.com/chart/Cgv3Jm6J/?symbol=NSE%3AM_M" TargetMode="External"/><Relationship Id="rId581" Type="http://schemas.openxmlformats.org/officeDocument/2006/relationships/hyperlink" Target="https://in.tradingview.com/chart/Cgv3Jm6J/?symbol=NSE%3AEUROTEXIND" TargetMode="External"/><Relationship Id="rId1174" Type="http://schemas.openxmlformats.org/officeDocument/2006/relationships/hyperlink" Target="https://in.tradingview.com/chart/Cgv3Jm6J/?symbol=NSE%3AM_MFIN" TargetMode="External"/><Relationship Id="rId580" Type="http://schemas.openxmlformats.org/officeDocument/2006/relationships/hyperlink" Target="https://in.tradingview.com/chart/Cgv3Jm6J/?symbol=NSE%3AEUREKAFORB" TargetMode="External"/><Relationship Id="rId1175" Type="http://schemas.openxmlformats.org/officeDocument/2006/relationships/hyperlink" Target="https://in.tradingview.com/chart/Cgv3Jm6J/?symbol=NSE%3AMAANALU" TargetMode="External"/><Relationship Id="rId587" Type="http://schemas.openxmlformats.org/officeDocument/2006/relationships/hyperlink" Target="https://in.tradingview.com/chart/Cgv3Jm6J/?symbol=NSE%3AEXICOM" TargetMode="External"/><Relationship Id="rId1176" Type="http://schemas.openxmlformats.org/officeDocument/2006/relationships/hyperlink" Target="https://in.tradingview.com/chart/Cgv3Jm6J/?symbol=NSE%3AMACPOWER" TargetMode="External"/><Relationship Id="rId586" Type="http://schemas.openxmlformats.org/officeDocument/2006/relationships/hyperlink" Target="https://in.tradingview.com/chart/Cgv3Jm6J/?symbol=NSE%3AEXCELINDUS" TargetMode="External"/><Relationship Id="rId1177" Type="http://schemas.openxmlformats.org/officeDocument/2006/relationships/hyperlink" Target="https://in.tradingview.com/chart/Cgv3Jm6J/?symbol=NSE%3AMADHAV" TargetMode="External"/><Relationship Id="rId585" Type="http://schemas.openxmlformats.org/officeDocument/2006/relationships/hyperlink" Target="https://in.tradingview.com/chart/Cgv3Jm6J/?symbol=NSE%3AEXCEL" TargetMode="External"/><Relationship Id="rId1178" Type="http://schemas.openxmlformats.org/officeDocument/2006/relationships/hyperlink" Target="https://in.tradingview.com/chart/Cgv3Jm6J/?symbol=NSE%3AMADHUCON" TargetMode="External"/><Relationship Id="rId584" Type="http://schemas.openxmlformats.org/officeDocument/2006/relationships/hyperlink" Target="https://in.tradingview.com/chart/Cgv3Jm6J/?symbol=NSE%3AEVINDIA" TargetMode="External"/><Relationship Id="rId1179" Type="http://schemas.openxmlformats.org/officeDocument/2006/relationships/hyperlink" Target="https://in.tradingview.com/chart/Cgv3Jm6J/?symbol=NSE%3AMADRASFERT" TargetMode="External"/><Relationship Id="rId1169" Type="http://schemas.openxmlformats.org/officeDocument/2006/relationships/hyperlink" Target="https://in.tradingview.com/chart/Cgv3Jm6J/?symbol=NSE%3ALUXIND" TargetMode="External"/><Relationship Id="rId579" Type="http://schemas.openxmlformats.org/officeDocument/2006/relationships/hyperlink" Target="https://in.tradingview.com/chart/Cgv3Jm6J/?symbol=NSE%3AETHOSLTD" TargetMode="External"/><Relationship Id="rId578" Type="http://schemas.openxmlformats.org/officeDocument/2006/relationships/hyperlink" Target="https://in.tradingview.com/chart/Cgv3Jm6J/?symbol=NSE%3AESTER" TargetMode="External"/><Relationship Id="rId577" Type="http://schemas.openxmlformats.org/officeDocument/2006/relationships/hyperlink" Target="https://in.tradingview.com/chart/Cgv3Jm6J/?symbol=NSE%3AESSENTIA" TargetMode="External"/><Relationship Id="rId2490" Type="http://schemas.openxmlformats.org/officeDocument/2006/relationships/hyperlink" Target="https://in.tradingview.com/chart/ofQQfXOP/?symbol=NSE%3ASILVERCASE" TargetMode="External"/><Relationship Id="rId1160" Type="http://schemas.openxmlformats.org/officeDocument/2006/relationships/hyperlink" Target="https://in.tradingview.com/chart/Cgv3Jm6J/?symbol=NSE%3ALT" TargetMode="External"/><Relationship Id="rId2491" Type="http://schemas.openxmlformats.org/officeDocument/2006/relationships/hyperlink" Target="https://in.tradingview.com/chart/ofQQfXOP/?symbol=NSE%3AZFCVINDIA" TargetMode="External"/><Relationship Id="rId572" Type="http://schemas.openxmlformats.org/officeDocument/2006/relationships/hyperlink" Target="https://in.tradingview.com/chart/Cgv3Jm6J/?symbol=NSE%3AESAFSFB" TargetMode="External"/><Relationship Id="rId1161" Type="http://schemas.openxmlformats.org/officeDocument/2006/relationships/hyperlink" Target="https://in.tradingview.com/chart/Cgv3Jm6J/?symbol=NSE%3ALTF" TargetMode="External"/><Relationship Id="rId2492" Type="http://schemas.openxmlformats.org/officeDocument/2006/relationships/hyperlink" Target="https://in.tradingview.com/chart/ofQQfXOP/?symbol=NSE%3AZIMLAB" TargetMode="External"/><Relationship Id="rId571" Type="http://schemas.openxmlformats.org/officeDocument/2006/relationships/hyperlink" Target="https://in.tradingview.com/chart/Cgv3Jm6J/?symbol=NSE%3AESABINDIA" TargetMode="External"/><Relationship Id="rId1162" Type="http://schemas.openxmlformats.org/officeDocument/2006/relationships/hyperlink" Target="https://in.tradingview.com/chart/Cgv3Jm6J/?symbol=NSE%3ALTFOODS" TargetMode="External"/><Relationship Id="rId2493" Type="http://schemas.openxmlformats.org/officeDocument/2006/relationships/hyperlink" Target="https://in.tradingview.com/chart/ofQQfXOP/?symbol=NSE%3ABLACKBUCK" TargetMode="External"/><Relationship Id="rId570" Type="http://schemas.openxmlformats.org/officeDocument/2006/relationships/hyperlink" Target="https://in.tradingview.com/chart/Cgv3Jm6J/?symbol=NSE%3AERIS" TargetMode="External"/><Relationship Id="rId1163" Type="http://schemas.openxmlformats.org/officeDocument/2006/relationships/hyperlink" Target="https://in.tradingview.com/chart/Cgv3Jm6J/?symbol=NSE%3ALTGILTBEES" TargetMode="External"/><Relationship Id="rId2494" Type="http://schemas.openxmlformats.org/officeDocument/2006/relationships/hyperlink" Target="https://in.tradingview.com/chart/ofQQfXOP/?symbol=NSE%3AZODIACLOTH" TargetMode="External"/><Relationship Id="rId1164" Type="http://schemas.openxmlformats.org/officeDocument/2006/relationships/hyperlink" Target="https://in.tradingview.com/chart/Cgv3Jm6J/?symbol=NSE%3ALTIM" TargetMode="External"/><Relationship Id="rId2495" Type="http://schemas.openxmlformats.org/officeDocument/2006/relationships/hyperlink" Target="https://in.tradingview.com/chart/ofQQfXOP/?symbol=NSE%3AZODIAC" TargetMode="External"/><Relationship Id="rId576" Type="http://schemas.openxmlformats.org/officeDocument/2006/relationships/hyperlink" Target="https://in.tradingview.com/chart/Cgv3Jm6J/?symbol=NSE%3AESSARSHPNG" TargetMode="External"/><Relationship Id="rId1165" Type="http://schemas.openxmlformats.org/officeDocument/2006/relationships/hyperlink" Target="https://in.tradingview.com/chart/Cgv3Jm6J/?symbol=NSE%3ALTTS" TargetMode="External"/><Relationship Id="rId2496" Type="http://schemas.openxmlformats.org/officeDocument/2006/relationships/hyperlink" Target="https://in.tradingview.com/chart/ofQQfXOP/?symbol=NSE%3AZOTA" TargetMode="External"/><Relationship Id="rId575" Type="http://schemas.openxmlformats.org/officeDocument/2006/relationships/hyperlink" Target="https://in.tradingview.com/chart/Cgv3Jm6J/?symbol=NSE%3AESILVER" TargetMode="External"/><Relationship Id="rId1166" Type="http://schemas.openxmlformats.org/officeDocument/2006/relationships/hyperlink" Target="https://in.tradingview.com/chart/Cgv3Jm6J/?symbol=NSE%3ALUMAXIND" TargetMode="External"/><Relationship Id="rId2497" Type="http://schemas.openxmlformats.org/officeDocument/2006/relationships/hyperlink" Target="https://in.tradingview.com/chart/ofQQfXOP/?symbol=NSE%3AZUARI" TargetMode="External"/><Relationship Id="rId574" Type="http://schemas.openxmlformats.org/officeDocument/2006/relationships/hyperlink" Target="https://in.tradingview.com/chart/Cgv3Jm6J/?symbol=NSE%3AESG" TargetMode="External"/><Relationship Id="rId1167" Type="http://schemas.openxmlformats.org/officeDocument/2006/relationships/hyperlink" Target="https://in.tradingview.com/chart/Cgv3Jm6J/?symbol=NSE%3ALUMAXTECH" TargetMode="External"/><Relationship Id="rId2498" Type="http://schemas.openxmlformats.org/officeDocument/2006/relationships/hyperlink" Target="https://in.tradingview.com/chart/ofQQfXOP/?symbol=NSE%3AZUARIIND" TargetMode="External"/><Relationship Id="rId573" Type="http://schemas.openxmlformats.org/officeDocument/2006/relationships/hyperlink" Target="https://in.tradingview.com/chart/Cgv3Jm6J/?symbol=NSE%3AESCORTS" TargetMode="External"/><Relationship Id="rId1168" Type="http://schemas.openxmlformats.org/officeDocument/2006/relationships/hyperlink" Target="https://in.tradingview.com/chart/Cgv3Jm6J/?symbol=NSE%3ALUPIN" TargetMode="External"/><Relationship Id="rId2499" Type="http://schemas.openxmlformats.org/officeDocument/2006/relationships/hyperlink" Target="https://in.tradingview.com/chart/ofQQfXOP/?symbol=NSE%3AZYDUSLIFE" TargetMode="External"/><Relationship Id="rId1190" Type="http://schemas.openxmlformats.org/officeDocument/2006/relationships/hyperlink" Target="https://in.tradingview.com/chart/Cgv3Jm6J/?symbol=NSE%3AMAHLOG" TargetMode="External"/><Relationship Id="rId1191" Type="http://schemas.openxmlformats.org/officeDocument/2006/relationships/hyperlink" Target="https://in.tradingview.com/chart/Cgv3Jm6J/?symbol=NSE%3AMAHSCOOTER" TargetMode="External"/><Relationship Id="rId1192" Type="http://schemas.openxmlformats.org/officeDocument/2006/relationships/hyperlink" Target="https://in.tradingview.com/chart/Cgv3Jm6J/?symbol=NSE%3AMAHSEAMLES" TargetMode="External"/><Relationship Id="rId1193" Type="http://schemas.openxmlformats.org/officeDocument/2006/relationships/hyperlink" Target="https://in.tradingview.com/chart/Cgv3Jm6J/?symbol=NSE%3AMAITHANALL" TargetMode="External"/><Relationship Id="rId1194" Type="http://schemas.openxmlformats.org/officeDocument/2006/relationships/hyperlink" Target="https://in.tradingview.com/chart/Cgv3Jm6J/?symbol=NSE%3AMAKEINDIA" TargetMode="External"/><Relationship Id="rId1195" Type="http://schemas.openxmlformats.org/officeDocument/2006/relationships/hyperlink" Target="https://in.tradingview.com/chart/Cgv3Jm6J/?symbol=NSE%3AMALLCOM" TargetMode="External"/><Relationship Id="rId1196" Type="http://schemas.openxmlformats.org/officeDocument/2006/relationships/hyperlink" Target="https://in.tradingview.com/chart/Cgv3Jm6J/?symbol=NSE%3AMALUPAPER" TargetMode="External"/><Relationship Id="rId1197" Type="http://schemas.openxmlformats.org/officeDocument/2006/relationships/hyperlink" Target="https://in.tradingview.com/chart/Cgv3Jm6J/?symbol=NSE%3AMAMATA" TargetMode="External"/><Relationship Id="rId1198" Type="http://schemas.openxmlformats.org/officeDocument/2006/relationships/hyperlink" Target="https://in.tradingview.com/chart/Cgv3Jm6J/?symbol=NSE%3AMANAKALUCO" TargetMode="External"/><Relationship Id="rId1199" Type="http://schemas.openxmlformats.org/officeDocument/2006/relationships/hyperlink" Target="https://in.tradingview.com/chart/Cgv3Jm6J/?symbol=NSE%3AMANAKCOAT" TargetMode="External"/><Relationship Id="rId599" Type="http://schemas.openxmlformats.org/officeDocument/2006/relationships/hyperlink" Target="https://in.tradingview.com/chart/Cgv3Jm6J/?symbol=NSE%3AFEL" TargetMode="External"/><Relationship Id="rId1180" Type="http://schemas.openxmlformats.org/officeDocument/2006/relationships/hyperlink" Target="https://in.tradingview.com/chart/Cgv3Jm6J/?symbol=NSE%3AMAFANG" TargetMode="External"/><Relationship Id="rId1181" Type="http://schemas.openxmlformats.org/officeDocument/2006/relationships/hyperlink" Target="https://in.tradingview.com/chart/Cgv3Jm6J/?symbol=NSE%3AMAGADSUGAR" TargetMode="External"/><Relationship Id="rId1182" Type="http://schemas.openxmlformats.org/officeDocument/2006/relationships/hyperlink" Target="https://in.tradingview.com/chart/Cgv3Jm6J/?symbol=NSE%3AMAGNUM" TargetMode="External"/><Relationship Id="rId594" Type="http://schemas.openxmlformats.org/officeDocument/2006/relationships/hyperlink" Target="https://in.tradingview.com/chart/Cgv3Jm6J/?symbol=NSE%3AFCL" TargetMode="External"/><Relationship Id="rId1183" Type="http://schemas.openxmlformats.org/officeDocument/2006/relationships/hyperlink" Target="https://in.tradingview.com/chart/Cgv3Jm6J/?symbol=NSE%3AMAHABANK" TargetMode="External"/><Relationship Id="rId593" Type="http://schemas.openxmlformats.org/officeDocument/2006/relationships/hyperlink" Target="https://in.tradingview.com/chart/Cgv3Jm6J/?symbol=NSE%3AFAZE3Q" TargetMode="External"/><Relationship Id="rId1184" Type="http://schemas.openxmlformats.org/officeDocument/2006/relationships/hyperlink" Target="https://in.tradingview.com/chart/Cgv3Jm6J/?symbol=NSE%3AMAHAPEXLTD" TargetMode="External"/><Relationship Id="rId592" Type="http://schemas.openxmlformats.org/officeDocument/2006/relationships/hyperlink" Target="https://in.tradingview.com/chart/Cgv3Jm6J/?symbol=NSE%3AFAIRCHEMOR" TargetMode="External"/><Relationship Id="rId1185" Type="http://schemas.openxmlformats.org/officeDocument/2006/relationships/hyperlink" Target="https://in.tradingview.com/chart/Cgv3Jm6J/?symbol=NSE%3AMAHASTEEL" TargetMode="External"/><Relationship Id="rId591" Type="http://schemas.openxmlformats.org/officeDocument/2006/relationships/hyperlink" Target="https://in.tradingview.com/chart/Cgv3Jm6J/?symbol=NSE%3AFACT" TargetMode="External"/><Relationship Id="rId1186" Type="http://schemas.openxmlformats.org/officeDocument/2006/relationships/hyperlink" Target="https://in.tradingview.com/chart/Cgv3Jm6J/?symbol=NSE%3AMAHEPC" TargetMode="External"/><Relationship Id="rId598" Type="http://schemas.openxmlformats.org/officeDocument/2006/relationships/hyperlink" Target="https://in.tradingview.com/chart/Cgv3Jm6J/?symbol=NSE%3AFEDFINA" TargetMode="External"/><Relationship Id="rId1187" Type="http://schemas.openxmlformats.org/officeDocument/2006/relationships/hyperlink" Target="https://in.tradingview.com/chart/Cgv3Jm6J/?symbol=NSE%3AMAHESHWARI" TargetMode="External"/><Relationship Id="rId597" Type="http://schemas.openxmlformats.org/officeDocument/2006/relationships/hyperlink" Target="https://in.tradingview.com/chart/Cgv3Jm6J/?symbol=NSE%3AFEDERALBNK" TargetMode="External"/><Relationship Id="rId1188" Type="http://schemas.openxmlformats.org/officeDocument/2006/relationships/hyperlink" Target="https://in.tradingview.com/chart/Cgv3Jm6J/?symbol=NSE%3AMAHKTECH" TargetMode="External"/><Relationship Id="rId596" Type="http://schemas.openxmlformats.org/officeDocument/2006/relationships/hyperlink" Target="https://in.tradingview.com/chart/Cgv3Jm6J/?symbol=NSE%3AFDC" TargetMode="External"/><Relationship Id="rId1189" Type="http://schemas.openxmlformats.org/officeDocument/2006/relationships/hyperlink" Target="https://in.tradingview.com/chart/Cgv3Jm6J/?symbol=NSE%3AMAHLIFE" TargetMode="External"/><Relationship Id="rId595" Type="http://schemas.openxmlformats.org/officeDocument/2006/relationships/hyperlink" Target="https://in.tradingview.com/chart/Cgv3Jm6J/?symbol=NSE%3AFCSSOFT" TargetMode="External"/><Relationship Id="rId1136" Type="http://schemas.openxmlformats.org/officeDocument/2006/relationships/hyperlink" Target="https://in.tradingview.com/chart/Cgv3Jm6J/?symbol=NSE%3ALIQUID1" TargetMode="External"/><Relationship Id="rId2467" Type="http://schemas.openxmlformats.org/officeDocument/2006/relationships/hyperlink" Target="https://in.tradingview.com/chart/ofQQfXOP/?symbol=NSE%3AXELPMOC" TargetMode="External"/><Relationship Id="rId1137" Type="http://schemas.openxmlformats.org/officeDocument/2006/relationships/hyperlink" Target="https://in.tradingview.com/chart/Cgv3Jm6J/?symbol=NSE%3ALIQUIDADD" TargetMode="External"/><Relationship Id="rId2468" Type="http://schemas.openxmlformats.org/officeDocument/2006/relationships/hyperlink" Target="https://in.tradingview.com/chart/ofQQfXOP/?symbol=NSE%3AXPROINDIA" TargetMode="External"/><Relationship Id="rId1138" Type="http://schemas.openxmlformats.org/officeDocument/2006/relationships/hyperlink" Target="https://in.tradingview.com/chart/Cgv3Jm6J/?symbol=NSE%3ALIQUIDBEES" TargetMode="External"/><Relationship Id="rId2469" Type="http://schemas.openxmlformats.org/officeDocument/2006/relationships/hyperlink" Target="https://in.tradingview.com/chart/ofQQfXOP/?symbol=NSE%3AXTGLOBAL" TargetMode="External"/><Relationship Id="rId1139" Type="http://schemas.openxmlformats.org/officeDocument/2006/relationships/hyperlink" Target="https://in.tradingview.com/chart/Cgv3Jm6J/?symbol=NSE%3ALIQUIDBETF" TargetMode="External"/><Relationship Id="rId547" Type="http://schemas.openxmlformats.org/officeDocument/2006/relationships/hyperlink" Target="https://in.tradingview.com/chart/Cgv3Jm6J/?symbol=NSE%3AELIN" TargetMode="External"/><Relationship Id="rId546" Type="http://schemas.openxmlformats.org/officeDocument/2006/relationships/hyperlink" Target="https://in.tradingview.com/chart/Cgv3Jm6J/?symbol=NSE%3AELGIRUBCO" TargetMode="External"/><Relationship Id="rId545" Type="http://schemas.openxmlformats.org/officeDocument/2006/relationships/hyperlink" Target="https://in.tradingview.com/chart/Cgv3Jm6J/?symbol=NSE%3AELGIEQUIP" TargetMode="External"/><Relationship Id="rId544" Type="http://schemas.openxmlformats.org/officeDocument/2006/relationships/hyperlink" Target="https://in.tradingview.com/chart/Cgv3Jm6J/?symbol=NSE%3AELECTCAST" TargetMode="External"/><Relationship Id="rId549" Type="http://schemas.openxmlformats.org/officeDocument/2006/relationships/hyperlink" Target="https://in.tradingview.com/chart/Cgv3Jm6J/?symbol=NSE%3AEMAMIPAP" TargetMode="External"/><Relationship Id="rId548" Type="http://schemas.openxmlformats.org/officeDocument/2006/relationships/hyperlink" Target="https://in.tradingview.com/chart/Cgv3Jm6J/?symbol=NSE%3AEMAMILTD" TargetMode="External"/><Relationship Id="rId2460" Type="http://schemas.openxmlformats.org/officeDocument/2006/relationships/hyperlink" Target="https://in.tradingview.com/chart/ofQQfXOP/?symbol=NSE%3AWINDMACHIN" TargetMode="External"/><Relationship Id="rId1130" Type="http://schemas.openxmlformats.org/officeDocument/2006/relationships/hyperlink" Target="https://in.tradingview.com/chart/Cgv3Jm6J/?symbol=NSE%3ALICNMID100" TargetMode="External"/><Relationship Id="rId2461" Type="http://schemas.openxmlformats.org/officeDocument/2006/relationships/hyperlink" Target="https://in.tradingview.com/chart/ofQQfXOP/?symbol=NSE%3AWIPRO" TargetMode="External"/><Relationship Id="rId1131" Type="http://schemas.openxmlformats.org/officeDocument/2006/relationships/hyperlink" Target="https://in.tradingview.com/chart/Cgv3Jm6J/?symbol=NSE%3ALIKHITHA" TargetMode="External"/><Relationship Id="rId2462" Type="http://schemas.openxmlformats.org/officeDocument/2006/relationships/hyperlink" Target="https://in.tradingview.com/chart/ofQQfXOP/?symbol=NSE%3AWOCKPHARMA" TargetMode="External"/><Relationship Id="rId543" Type="http://schemas.openxmlformats.org/officeDocument/2006/relationships/hyperlink" Target="https://in.tradingview.com/chart/Cgv3Jm6J/?symbol=NSE%3AELECON" TargetMode="External"/><Relationship Id="rId1132" Type="http://schemas.openxmlformats.org/officeDocument/2006/relationships/hyperlink" Target="https://in.tradingview.com/chart/Cgv3Jm6J/?symbol=NSE%3ALINC" TargetMode="External"/><Relationship Id="rId2463" Type="http://schemas.openxmlformats.org/officeDocument/2006/relationships/hyperlink" Target="https://in.tradingview.com/chart/ofQQfXOP/?symbol=NSE%3AWEL" TargetMode="External"/><Relationship Id="rId542" Type="http://schemas.openxmlformats.org/officeDocument/2006/relationships/hyperlink" Target="https://in.tradingview.com/chart/Cgv3Jm6J/?symbol=NSE%3AELDEHSG" TargetMode="External"/><Relationship Id="rId1133" Type="http://schemas.openxmlformats.org/officeDocument/2006/relationships/hyperlink" Target="https://in.tradingview.com/chart/Cgv3Jm6J/?symbol=NSE%3ALINCOLN" TargetMode="External"/><Relationship Id="rId2464" Type="http://schemas.openxmlformats.org/officeDocument/2006/relationships/hyperlink" Target="https://in.tradingview.com/chart/ofQQfXOP/?symbol=NSE%3AWONDERLA" TargetMode="External"/><Relationship Id="rId541" Type="http://schemas.openxmlformats.org/officeDocument/2006/relationships/hyperlink" Target="https://in.tradingview.com/chart/Cgv3Jm6J/?symbol=NSE%3AEKC" TargetMode="External"/><Relationship Id="rId1134" Type="http://schemas.openxmlformats.org/officeDocument/2006/relationships/hyperlink" Target="https://in.tradingview.com/chart/Cgv3Jm6J/?symbol=NSE%3ALINDEINDIA" TargetMode="External"/><Relationship Id="rId2465" Type="http://schemas.openxmlformats.org/officeDocument/2006/relationships/hyperlink" Target="https://in.tradingview.com/chart/ofQQfXOP/?symbol=NSE%3AWORTHPERI" TargetMode="External"/><Relationship Id="rId540" Type="http://schemas.openxmlformats.org/officeDocument/2006/relationships/hyperlink" Target="https://in.tradingview.com/chart/Cgv3Jm6J/?symbol=NSE%3AEIMCOELECO" TargetMode="External"/><Relationship Id="rId1135" Type="http://schemas.openxmlformats.org/officeDocument/2006/relationships/hyperlink" Target="https://in.tradingview.com/chart/Cgv3Jm6J/?symbol=NSE%3ALIQUID" TargetMode="External"/><Relationship Id="rId2466" Type="http://schemas.openxmlformats.org/officeDocument/2006/relationships/hyperlink" Target="https://in.tradingview.com/chart/ofQQfXOP/?symbol=NSE%3AXCHANGING" TargetMode="External"/><Relationship Id="rId1125" Type="http://schemas.openxmlformats.org/officeDocument/2006/relationships/hyperlink" Target="https://in.tradingview.com/chart/Cgv3Jm6J/?symbol=NSE%3ALICMFGOLD" TargetMode="External"/><Relationship Id="rId2456" Type="http://schemas.openxmlformats.org/officeDocument/2006/relationships/hyperlink" Target="https://in.tradingview.com/chart/ofQQfXOP/?symbol=NSE%3AWHEELS" TargetMode="External"/><Relationship Id="rId1126" Type="http://schemas.openxmlformats.org/officeDocument/2006/relationships/hyperlink" Target="https://in.tradingview.com/chart/Cgv3Jm6J/?symbol=NSE%3ALICNETFGSC" TargetMode="External"/><Relationship Id="rId2457" Type="http://schemas.openxmlformats.org/officeDocument/2006/relationships/hyperlink" Target="https://in.tradingview.com/chart/ofQQfXOP/?symbol=NSE%3AWHIRLPOOL" TargetMode="External"/><Relationship Id="rId1127" Type="http://schemas.openxmlformats.org/officeDocument/2006/relationships/hyperlink" Target="https://in.tradingview.com/chart/Cgv3Jm6J/?symbol=NSE%3ALICNETFN50" TargetMode="External"/><Relationship Id="rId2458" Type="http://schemas.openxmlformats.org/officeDocument/2006/relationships/hyperlink" Target="https://in.tradingview.com/chart/ofQQfXOP/?symbol=NSE%3AWILLAMAGOR" TargetMode="External"/><Relationship Id="rId1128" Type="http://schemas.openxmlformats.org/officeDocument/2006/relationships/hyperlink" Target="https://in.tradingview.com/chart/Cgv3Jm6J/?symbol=NSE%3ALICNETFSEN" TargetMode="External"/><Relationship Id="rId2459" Type="http://schemas.openxmlformats.org/officeDocument/2006/relationships/hyperlink" Target="https://in.tradingview.com/chart/ofQQfXOP/?symbol=NSE%3AWINDLAS" TargetMode="External"/><Relationship Id="rId1129" Type="http://schemas.openxmlformats.org/officeDocument/2006/relationships/hyperlink" Target="https://in.tradingview.com/chart/Cgv3Jm6J/?symbol=NSE%3ALICNFNHGP" TargetMode="External"/><Relationship Id="rId536" Type="http://schemas.openxmlformats.org/officeDocument/2006/relationships/hyperlink" Target="https://in.tradingview.com/chart/Cgv3Jm6J/?symbol=NSE%3AEIEL" TargetMode="External"/><Relationship Id="rId535" Type="http://schemas.openxmlformats.org/officeDocument/2006/relationships/hyperlink" Target="https://in.tradingview.com/chart/Cgv3Jm6J/?symbol=NSE%3AEIDPARRY" TargetMode="External"/><Relationship Id="rId534" Type="http://schemas.openxmlformats.org/officeDocument/2006/relationships/hyperlink" Target="https://in.tradingview.com/chart/Cgv3Jm6J/?symbol=NSE%3AEICHERMOT" TargetMode="External"/><Relationship Id="rId533" Type="http://schemas.openxmlformats.org/officeDocument/2006/relationships/hyperlink" Target="https://in.tradingview.com/chart/Cgv3Jm6J/?symbol=NSE%3AEGOLD" TargetMode="External"/><Relationship Id="rId539" Type="http://schemas.openxmlformats.org/officeDocument/2006/relationships/hyperlink" Target="https://in.tradingview.com/chart/Cgv3Jm6J/?symbol=NSE%3AEIHOTEL" TargetMode="External"/><Relationship Id="rId538" Type="http://schemas.openxmlformats.org/officeDocument/2006/relationships/hyperlink" Target="https://in.tradingview.com/chart/Cgv3Jm6J/?symbol=NSE%3AEIHAHOTELS" TargetMode="External"/><Relationship Id="rId537" Type="http://schemas.openxmlformats.org/officeDocument/2006/relationships/hyperlink" Target="https://in.tradingview.com/chart/Cgv3Jm6J/?symbol=NSE%3AEIFFL" TargetMode="External"/><Relationship Id="rId2450" Type="http://schemas.openxmlformats.org/officeDocument/2006/relationships/hyperlink" Target="https://in.tradingview.com/chart/ofQQfXOP/?symbol=NSE%3AWENDT" TargetMode="External"/><Relationship Id="rId1120" Type="http://schemas.openxmlformats.org/officeDocument/2006/relationships/hyperlink" Target="https://in.tradingview.com/chart/Cgv3Jm6J/?symbol=NSE%3ALGHL" TargetMode="External"/><Relationship Id="rId2451" Type="http://schemas.openxmlformats.org/officeDocument/2006/relationships/hyperlink" Target="https://in.tradingview.com/chart/ofQQfXOP/?symbol=NSE%3AWSTCSTPAPR" TargetMode="External"/><Relationship Id="rId532" Type="http://schemas.openxmlformats.org/officeDocument/2006/relationships/hyperlink" Target="https://in.tradingview.com/chart/Cgv3Jm6J/?symbol=NSE%3AEDELWEISS" TargetMode="External"/><Relationship Id="rId1121" Type="http://schemas.openxmlformats.org/officeDocument/2006/relationships/hyperlink" Target="https://in.tradingview.com/chart/Cgv3Jm6J/?symbol=NSE%3ALIBAS" TargetMode="External"/><Relationship Id="rId2452" Type="http://schemas.openxmlformats.org/officeDocument/2006/relationships/hyperlink" Target="https://in.tradingview.com/chart/ofQQfXOP/?symbol=NSE%3AWCIL" TargetMode="External"/><Relationship Id="rId531" Type="http://schemas.openxmlformats.org/officeDocument/2006/relationships/hyperlink" Target="https://in.tradingview.com/chart/Cgv3Jm6J/?symbol=NSE%3AECOSMOBLTY" TargetMode="External"/><Relationship Id="rId1122" Type="http://schemas.openxmlformats.org/officeDocument/2006/relationships/hyperlink" Target="https://in.tradingview.com/chart/Cgv3Jm6J/?symbol=NSE%3ALIBERTSHOE" TargetMode="External"/><Relationship Id="rId2453" Type="http://schemas.openxmlformats.org/officeDocument/2006/relationships/hyperlink" Target="https://in.tradingview.com/chart/ofQQfXOP/?symbol=NSE%3AWIPL" TargetMode="External"/><Relationship Id="rId530" Type="http://schemas.openxmlformats.org/officeDocument/2006/relationships/hyperlink" Target="https://in.tradingview.com/chart/Cgv3Jm6J/?symbol=NSE%3AECLERX" TargetMode="External"/><Relationship Id="rId1123" Type="http://schemas.openxmlformats.org/officeDocument/2006/relationships/hyperlink" Target="https://in.tradingview.com/chart/Cgv3Jm6J/?symbol=NSE%3ALICHSGFIN" TargetMode="External"/><Relationship Id="rId2454" Type="http://schemas.openxmlformats.org/officeDocument/2006/relationships/hyperlink" Target="https://in.tradingview.com/chart/ofQQfXOP/?symbol=NSE%3AWESTLIFE" TargetMode="External"/><Relationship Id="rId1124" Type="http://schemas.openxmlformats.org/officeDocument/2006/relationships/hyperlink" Target="https://in.tradingview.com/chart/Cgv3Jm6J/?symbol=NSE%3ALICI" TargetMode="External"/><Relationship Id="rId2455" Type="http://schemas.openxmlformats.org/officeDocument/2006/relationships/hyperlink" Target="https://in.tradingview.com/chart/ofQQfXOP/?symbol=NSE%3AWEWORK" TargetMode="External"/><Relationship Id="rId1158" Type="http://schemas.openxmlformats.org/officeDocument/2006/relationships/hyperlink" Target="https://in.tradingview.com/chart/Cgv3Jm6J/?symbol=NSE%3ALOYALTEX" TargetMode="External"/><Relationship Id="rId2489" Type="http://schemas.openxmlformats.org/officeDocument/2006/relationships/hyperlink" Target="https://in.tradingview.com/chart/ofQQfXOP/?symbol=NSE%3ASML100CASE" TargetMode="External"/><Relationship Id="rId1159" Type="http://schemas.openxmlformats.org/officeDocument/2006/relationships/hyperlink" Target="https://in.tradingview.com/chart/Cgv3Jm6J/?symbol=NSE%3ALPDC" TargetMode="External"/><Relationship Id="rId569" Type="http://schemas.openxmlformats.org/officeDocument/2006/relationships/hyperlink" Target="https://in.tradingview.com/chart/Cgv3Jm6J/?symbol=NSE%3AEQUITASBNK" TargetMode="External"/><Relationship Id="rId568" Type="http://schemas.openxmlformats.org/officeDocument/2006/relationships/hyperlink" Target="https://in.tradingview.com/chart/Cgv3Jm6J/?symbol=NSE%3AEQUIPPP" TargetMode="External"/><Relationship Id="rId567" Type="http://schemas.openxmlformats.org/officeDocument/2006/relationships/hyperlink" Target="https://in.tradingview.com/chart/Cgv3Jm6J/?symbol=NSE%3AEQUAL50ADD" TargetMode="External"/><Relationship Id="rId566" Type="http://schemas.openxmlformats.org/officeDocument/2006/relationships/hyperlink" Target="https://in.tradingview.com/chart/Cgv3Jm6J/?symbol=NSE%3AEPL" TargetMode="External"/><Relationship Id="rId2480" Type="http://schemas.openxmlformats.org/officeDocument/2006/relationships/hyperlink" Target="https://in.tradingview.com/chart/ofQQfXOP/?symbol=NSE%3AZENITHEXPO" TargetMode="External"/><Relationship Id="rId561" Type="http://schemas.openxmlformats.org/officeDocument/2006/relationships/hyperlink" Target="https://in.tradingview.com/chart/Cgv3Jm6J/?symbol=NSE%3AENGINERSIN" TargetMode="External"/><Relationship Id="rId1150" Type="http://schemas.openxmlformats.org/officeDocument/2006/relationships/hyperlink" Target="https://in.tradingview.com/chart/Cgv3Jm6J/?symbol=NSE%3ALODHA" TargetMode="External"/><Relationship Id="rId2481" Type="http://schemas.openxmlformats.org/officeDocument/2006/relationships/hyperlink" Target="https://in.tradingview.com/chart/ofQQfXOP/?symbol=NSE%3AZENITHSTL" TargetMode="External"/><Relationship Id="rId560" Type="http://schemas.openxmlformats.org/officeDocument/2006/relationships/hyperlink" Target="https://in.tradingview.com/chart/Cgv3Jm6J/?symbol=NSE%3AENERGYDEV" TargetMode="External"/><Relationship Id="rId1151" Type="http://schemas.openxmlformats.org/officeDocument/2006/relationships/hyperlink" Target="https://in.tradingview.com/chart/Cgv3Jm6J/?symbol=NSE%3ALOKESHMACH" TargetMode="External"/><Relationship Id="rId2482" Type="http://schemas.openxmlformats.org/officeDocument/2006/relationships/hyperlink" Target="https://in.tradingview.com/chart/ofQQfXOP/?symbol=NSE%3AZENSARTECH" TargetMode="External"/><Relationship Id="rId1152" Type="http://schemas.openxmlformats.org/officeDocument/2006/relationships/hyperlink" Target="https://in.tradingview.com/chart/Cgv3Jm6J/?symbol=NSE%3ALORDSCHLO" TargetMode="External"/><Relationship Id="rId2483" Type="http://schemas.openxmlformats.org/officeDocument/2006/relationships/hyperlink" Target="https://in.tradingview.com/chart/ofQQfXOP/?symbol=NSE%3AGOLDCASE" TargetMode="External"/><Relationship Id="rId1153" Type="http://schemas.openxmlformats.org/officeDocument/2006/relationships/hyperlink" Target="https://in.tradingview.com/chart/Cgv3Jm6J/?symbol=NSE%3ALOTUSEYE" TargetMode="External"/><Relationship Id="rId2484" Type="http://schemas.openxmlformats.org/officeDocument/2006/relationships/hyperlink" Target="https://in.tradingview.com/chart/ofQQfXOP/?symbol=NSE%3ATOP100CASE" TargetMode="External"/><Relationship Id="rId565" Type="http://schemas.openxmlformats.org/officeDocument/2006/relationships/hyperlink" Target="https://in.tradingview.com/chart/Cgv3Jm6J/?symbol=NSE%3AEPIGRAL" TargetMode="External"/><Relationship Id="rId1154" Type="http://schemas.openxmlformats.org/officeDocument/2006/relationships/hyperlink" Target="https://in.tradingview.com/chart/Cgv3Jm6J/?symbol=NSE%3ALOVABLE" TargetMode="External"/><Relationship Id="rId2485" Type="http://schemas.openxmlformats.org/officeDocument/2006/relationships/hyperlink" Target="https://in.tradingview.com/chart/ofQQfXOP/?symbol=NSE%3ALIQUIDCASE" TargetMode="External"/><Relationship Id="rId564" Type="http://schemas.openxmlformats.org/officeDocument/2006/relationships/hyperlink" Target="https://in.tradingview.com/chart/Cgv3Jm6J/?symbol=NSE%3AEPACK" TargetMode="External"/><Relationship Id="rId1155" Type="http://schemas.openxmlformats.org/officeDocument/2006/relationships/hyperlink" Target="https://in.tradingview.com/chart/Cgv3Jm6J/?symbol=NSE%3ALOWVOL" TargetMode="External"/><Relationship Id="rId2486" Type="http://schemas.openxmlformats.org/officeDocument/2006/relationships/hyperlink" Target="https://in.tradingview.com/chart/ofQQfXOP/?symbol=NSE%3ANIFTYCASE" TargetMode="External"/><Relationship Id="rId563" Type="http://schemas.openxmlformats.org/officeDocument/2006/relationships/hyperlink" Target="https://in.tradingview.com/chart/Cgv3Jm6J/?symbol=NSE%3AENTERO" TargetMode="External"/><Relationship Id="rId1156" Type="http://schemas.openxmlformats.org/officeDocument/2006/relationships/hyperlink" Target="https://in.tradingview.com/chart/Cgv3Jm6J/?symbol=NSE%3ALOWVOL1" TargetMode="External"/><Relationship Id="rId2487" Type="http://schemas.openxmlformats.org/officeDocument/2006/relationships/hyperlink" Target="https://in.tradingview.com/chart/ofQQfXOP/?symbol=NSE%3ALTGILTCASE" TargetMode="External"/><Relationship Id="rId562" Type="http://schemas.openxmlformats.org/officeDocument/2006/relationships/hyperlink" Target="https://in.tradingview.com/chart/Cgv3Jm6J/?symbol=NSE%3AENIL" TargetMode="External"/><Relationship Id="rId1157" Type="http://schemas.openxmlformats.org/officeDocument/2006/relationships/hyperlink" Target="https://in.tradingview.com/chart/Cgv3Jm6J/?symbol=NSE%3ALOWVOLIETF" TargetMode="External"/><Relationship Id="rId2488" Type="http://schemas.openxmlformats.org/officeDocument/2006/relationships/hyperlink" Target="https://in.tradingview.com/chart/ofQQfXOP/?symbol=NSE%3AMID150CASE" TargetMode="External"/><Relationship Id="rId1147" Type="http://schemas.openxmlformats.org/officeDocument/2006/relationships/hyperlink" Target="https://in.tradingview.com/chart/Cgv3Jm6J/?symbol=NSE%3ALLOYDSENT" TargetMode="External"/><Relationship Id="rId2478" Type="http://schemas.openxmlformats.org/officeDocument/2006/relationships/hyperlink" Target="https://in.tradingview.com/chart/ofQQfXOP/?symbol=NSE%3AZEEMEDIA" TargetMode="External"/><Relationship Id="rId1148" Type="http://schemas.openxmlformats.org/officeDocument/2006/relationships/hyperlink" Target="https://in.tradingview.com/chart/Cgv3Jm6J/?symbol=NSE%3ALLOYDSME" TargetMode="External"/><Relationship Id="rId2479" Type="http://schemas.openxmlformats.org/officeDocument/2006/relationships/hyperlink" Target="https://in.tradingview.com/chart/ofQQfXOP/?symbol=NSE%3AZENTEC" TargetMode="External"/><Relationship Id="rId1149" Type="http://schemas.openxmlformats.org/officeDocument/2006/relationships/hyperlink" Target="https://in.tradingview.com/chart/Cgv3Jm6J/?symbol=NSE%3ALMW" TargetMode="External"/><Relationship Id="rId558" Type="http://schemas.openxmlformats.org/officeDocument/2006/relationships/hyperlink" Target="https://in.tradingview.com/chart/Cgv3Jm6J/?symbol=NSE%3AEMULTIMQ" TargetMode="External"/><Relationship Id="rId557" Type="http://schemas.openxmlformats.org/officeDocument/2006/relationships/hyperlink" Target="https://in.tradingview.com/chart/Cgv3Jm6J/?symbol=NSE%3AEMUDHRA" TargetMode="External"/><Relationship Id="rId556" Type="http://schemas.openxmlformats.org/officeDocument/2006/relationships/hyperlink" Target="https://in.tradingview.com/chart/Cgv3Jm6J/?symbol=NSE%3AEMSLIMITED" TargetMode="External"/><Relationship Id="rId555" Type="http://schemas.openxmlformats.org/officeDocument/2006/relationships/hyperlink" Target="https://in.tradingview.com/chart/Cgv3Jm6J/?symbol=NSE%3AEMMBI" TargetMode="External"/><Relationship Id="rId559" Type="http://schemas.openxmlformats.org/officeDocument/2006/relationships/hyperlink" Target="https://in.tradingview.com/chart/Cgv3Jm6J/?symbol=NSE%3AENDURANCE" TargetMode="External"/><Relationship Id="rId550" Type="http://schemas.openxmlformats.org/officeDocument/2006/relationships/hyperlink" Target="https://in.tradingview.com/chart/Cgv3Jm6J/?symbol=NSE%3AEMAMIREAL" TargetMode="External"/><Relationship Id="rId2470" Type="http://schemas.openxmlformats.org/officeDocument/2006/relationships/hyperlink" Target="https://in.tradingview.com/chart/ofQQfXOP/?symbol=NSE%3AYASHO" TargetMode="External"/><Relationship Id="rId1140" Type="http://schemas.openxmlformats.org/officeDocument/2006/relationships/hyperlink" Target="https://in.tradingview.com/chart/Cgv3Jm6J/?symbol=NSE%3ALIQUIDCASE" TargetMode="External"/><Relationship Id="rId2471" Type="http://schemas.openxmlformats.org/officeDocument/2006/relationships/hyperlink" Target="https://in.tradingview.com/chart/ofQQfXOP/?symbol=NSE%3AYATHARTH" TargetMode="External"/><Relationship Id="rId1141" Type="http://schemas.openxmlformats.org/officeDocument/2006/relationships/hyperlink" Target="https://in.tradingview.com/chart/Cgv3Jm6J/?symbol=NSE%3ALIQUIDETF" TargetMode="External"/><Relationship Id="rId2472" Type="http://schemas.openxmlformats.org/officeDocument/2006/relationships/hyperlink" Target="https://in.tradingview.com/chart/ofQQfXOP/?symbol=NSE%3AYATRA" TargetMode="External"/><Relationship Id="rId1142" Type="http://schemas.openxmlformats.org/officeDocument/2006/relationships/hyperlink" Target="https://in.tradingview.com/chart/Cgv3Jm6J/?symbol=NSE%3ALIQUIDIETF" TargetMode="External"/><Relationship Id="rId2473" Type="http://schemas.openxmlformats.org/officeDocument/2006/relationships/hyperlink" Target="https://in.tradingview.com/chart/ofQQfXOP/?symbol=NSE%3AYESBANK" TargetMode="External"/><Relationship Id="rId554" Type="http://schemas.openxmlformats.org/officeDocument/2006/relationships/hyperlink" Target="https://in.tradingview.com/chart/Cgv3Jm6J/?symbol=NSE%3AEMKAY" TargetMode="External"/><Relationship Id="rId1143" Type="http://schemas.openxmlformats.org/officeDocument/2006/relationships/hyperlink" Target="https://in.tradingview.com/chart/Cgv3Jm6J/?symbol=NSE%3ALIQUIDPLUS" TargetMode="External"/><Relationship Id="rId2474" Type="http://schemas.openxmlformats.org/officeDocument/2006/relationships/hyperlink" Target="https://in.tradingview.com/chart/ofQQfXOP/?symbol=NSE%3AYUKEN" TargetMode="External"/><Relationship Id="rId553" Type="http://schemas.openxmlformats.org/officeDocument/2006/relationships/hyperlink" Target="https://in.tradingview.com/chart/Cgv3Jm6J/?symbol=NSE%3AEMIL" TargetMode="External"/><Relationship Id="rId1144" Type="http://schemas.openxmlformats.org/officeDocument/2006/relationships/hyperlink" Target="https://in.tradingview.com/chart/Cgv3Jm6J/?symbol=NSE%3ALIQUIDSBI" TargetMode="External"/><Relationship Id="rId2475" Type="http://schemas.openxmlformats.org/officeDocument/2006/relationships/hyperlink" Target="https://in.tradingview.com/chart/ofQQfXOP/?symbol=NSE%3AZAGGLE" TargetMode="External"/><Relationship Id="rId552" Type="http://schemas.openxmlformats.org/officeDocument/2006/relationships/hyperlink" Target="https://in.tradingview.com/chart/Cgv3Jm6J/?symbol=NSE%3AEMCURE" TargetMode="External"/><Relationship Id="rId1145" Type="http://schemas.openxmlformats.org/officeDocument/2006/relationships/hyperlink" Target="https://in.tradingview.com/chart/Cgv3Jm6J/?symbol=NSE%3ALIQUIDSHRI" TargetMode="External"/><Relationship Id="rId2476" Type="http://schemas.openxmlformats.org/officeDocument/2006/relationships/hyperlink" Target="https://in.tradingview.com/chart/ofQQfXOP/?symbol=NSE%3AZEEL" TargetMode="External"/><Relationship Id="rId551" Type="http://schemas.openxmlformats.org/officeDocument/2006/relationships/hyperlink" Target="https://in.tradingview.com/chart/Cgv3Jm6J/?symbol=NSE%3AEMBDL" TargetMode="External"/><Relationship Id="rId1146" Type="http://schemas.openxmlformats.org/officeDocument/2006/relationships/hyperlink" Target="https://in.tradingview.com/chart/Cgv3Jm6J/?symbol=NSE%3ALLOYDSENGG" TargetMode="External"/><Relationship Id="rId2477" Type="http://schemas.openxmlformats.org/officeDocument/2006/relationships/hyperlink" Target="https://in.tradingview.com/chart/ofQQfXOP/?symbol=NSE%3AZEELEARN" TargetMode="External"/><Relationship Id="rId495" Type="http://schemas.openxmlformats.org/officeDocument/2006/relationships/hyperlink" Target="https://in.tradingview.com/chart/Cgv3Jm6J/?symbol=NSE%3ADIVISLAB" TargetMode="External"/><Relationship Id="rId494" Type="http://schemas.openxmlformats.org/officeDocument/2006/relationships/hyperlink" Target="https://in.tradingview.com/chart/Cgv3Jm6J/?symbol=NSE%3ADIVGIITTS" TargetMode="External"/><Relationship Id="rId493" Type="http://schemas.openxmlformats.org/officeDocument/2006/relationships/hyperlink" Target="https://in.tradingview.com/chart/Cgv3Jm6J/?symbol=NSE%3ADISHTV" TargetMode="External"/><Relationship Id="rId492" Type="http://schemas.openxmlformats.org/officeDocument/2006/relationships/hyperlink" Target="https://in.tradingview.com/chart/Cgv3Jm6J/?symbol=NSE%3ADIL" TargetMode="External"/><Relationship Id="rId499" Type="http://schemas.openxmlformats.org/officeDocument/2006/relationships/hyperlink" Target="https://in.tradingview.com/chart/Cgv3Jm6J/?symbol=NSE%3ADLINKINDIA" TargetMode="External"/><Relationship Id="rId498" Type="http://schemas.openxmlformats.org/officeDocument/2006/relationships/hyperlink" Target="https://in.tradingview.com/chart/Cgv3Jm6J/?symbol=NSE%3ADLF" TargetMode="External"/><Relationship Id="rId497" Type="http://schemas.openxmlformats.org/officeDocument/2006/relationships/hyperlink" Target="https://in.tradingview.com/chart/Cgv3Jm6J/?symbol=NSE%3ADIXON" TargetMode="External"/><Relationship Id="rId496" Type="http://schemas.openxmlformats.org/officeDocument/2006/relationships/hyperlink" Target="https://in.tradingview.com/chart/Cgv3Jm6J/?symbol=NSE%3ADIVOPPBEES" TargetMode="External"/><Relationship Id="rId1213" Type="http://schemas.openxmlformats.org/officeDocument/2006/relationships/hyperlink" Target="https://in.tradingview.com/chart/Cgv3Jm6J/?symbol=NSE%3AMANORAMA" TargetMode="External"/><Relationship Id="rId1214" Type="http://schemas.openxmlformats.org/officeDocument/2006/relationships/hyperlink" Target="https://in.tradingview.com/chart/Cgv3Jm6J/?symbol=NSE%3AMANORG" TargetMode="External"/><Relationship Id="rId1215" Type="http://schemas.openxmlformats.org/officeDocument/2006/relationships/hyperlink" Target="https://in.tradingview.com/chart/Cgv3Jm6J/?symbol=NSE%3AMANUGRAPH" TargetMode="External"/><Relationship Id="rId1216" Type="http://schemas.openxmlformats.org/officeDocument/2006/relationships/hyperlink" Target="https://in.tradingview.com/chart/Cgv3Jm6J/?symbol=NSE%3AMANYAVAR" TargetMode="External"/><Relationship Id="rId1217" Type="http://schemas.openxmlformats.org/officeDocument/2006/relationships/hyperlink" Target="https://in.tradingview.com/chart/Cgv3Jm6J/?symbol=NSE%3AMAPMYINDIA" TargetMode="External"/><Relationship Id="rId1218" Type="http://schemas.openxmlformats.org/officeDocument/2006/relationships/hyperlink" Target="https://in.tradingview.com/chart/Cgv3Jm6J/?symbol=NSE%3AMARALOVER" TargetMode="External"/><Relationship Id="rId1219" Type="http://schemas.openxmlformats.org/officeDocument/2006/relationships/hyperlink" Target="https://in.tradingview.com/chart/Cgv3Jm6J/?symbol=NSE%3AMARATHON" TargetMode="External"/><Relationship Id="rId1210" Type="http://schemas.openxmlformats.org/officeDocument/2006/relationships/hyperlink" Target="https://in.tradingview.com/chart/Cgv3Jm6J/?symbol=NSE%3AMANINFRA" TargetMode="External"/><Relationship Id="rId1211" Type="http://schemas.openxmlformats.org/officeDocument/2006/relationships/hyperlink" Target="https://in.tradingview.com/chart/Cgv3Jm6J/?symbol=NSE%3AMANKIND" TargetMode="External"/><Relationship Id="rId1212" Type="http://schemas.openxmlformats.org/officeDocument/2006/relationships/hyperlink" Target="https://in.tradingview.com/chart/Cgv3Jm6J/?symbol=NSE%3AMANOMAY" TargetMode="External"/><Relationship Id="rId1202" Type="http://schemas.openxmlformats.org/officeDocument/2006/relationships/hyperlink" Target="https://in.tradingview.com/chart/Cgv3Jm6J/?symbol=NSE%3AMANALIPETC" TargetMode="External"/><Relationship Id="rId1203" Type="http://schemas.openxmlformats.org/officeDocument/2006/relationships/hyperlink" Target="https://in.tradingview.com/chart/Cgv3Jm6J/?symbol=NSE%3AMANAPPURAM" TargetMode="External"/><Relationship Id="rId1204" Type="http://schemas.openxmlformats.org/officeDocument/2006/relationships/hyperlink" Target="https://in.tradingview.com/chart/Cgv3Jm6J/?symbol=NSE%3AMANBA" TargetMode="External"/><Relationship Id="rId1205" Type="http://schemas.openxmlformats.org/officeDocument/2006/relationships/hyperlink" Target="https://in.tradingview.com/chart/Cgv3Jm6J/?symbol=NSE%3AMANCREDIT" TargetMode="External"/><Relationship Id="rId1206" Type="http://schemas.openxmlformats.org/officeDocument/2006/relationships/hyperlink" Target="https://in.tradingview.com/chart/Cgv3Jm6J/?symbol=NSE%3AMANGALAM" TargetMode="External"/><Relationship Id="rId1207" Type="http://schemas.openxmlformats.org/officeDocument/2006/relationships/hyperlink" Target="https://in.tradingview.com/chart/Cgv3Jm6J/?symbol=NSE%3AMANGCHEFER" TargetMode="External"/><Relationship Id="rId1208" Type="http://schemas.openxmlformats.org/officeDocument/2006/relationships/hyperlink" Target="https://in.tradingview.com/chart/Cgv3Jm6J/?symbol=NSE%3AMANGLMCEM" TargetMode="External"/><Relationship Id="rId1209" Type="http://schemas.openxmlformats.org/officeDocument/2006/relationships/hyperlink" Target="https://in.tradingview.com/chart/Cgv3Jm6J/?symbol=NSE%3AMANINDS" TargetMode="External"/><Relationship Id="rId1200" Type="http://schemas.openxmlformats.org/officeDocument/2006/relationships/hyperlink" Target="https://in.tradingview.com/chart/Cgv3Jm6J/?symbol=NSE%3AMANAKSIA" TargetMode="External"/><Relationship Id="rId1201" Type="http://schemas.openxmlformats.org/officeDocument/2006/relationships/hyperlink" Target="https://in.tradingview.com/chart/Cgv3Jm6J/?symbol=NSE%3AMANAKSTEEL" TargetMode="External"/><Relationship Id="rId1235" Type="http://schemas.openxmlformats.org/officeDocument/2006/relationships/hyperlink" Target="https://in.tradingview.com/chart/Cgv3Jm6J/?symbol=NSE%3AMAZDA" TargetMode="External"/><Relationship Id="rId1236" Type="http://schemas.openxmlformats.org/officeDocument/2006/relationships/hyperlink" Target="https://in.tradingview.com/chart/Cgv3Jm6J/?symbol=NSE%3AMAZDOCK" TargetMode="External"/><Relationship Id="rId1237" Type="http://schemas.openxmlformats.org/officeDocument/2006/relationships/hyperlink" Target="https://in.tradingview.com/chart/Cgv3Jm6J/?symbol=NSE%3AMBAPL" TargetMode="External"/><Relationship Id="rId1238" Type="http://schemas.openxmlformats.org/officeDocument/2006/relationships/hyperlink" Target="https://in.tradingview.com/chart/Cgv3Jm6J/?symbol=NSE%3AMBLINFRA" TargetMode="External"/><Relationship Id="rId1239" Type="http://schemas.openxmlformats.org/officeDocument/2006/relationships/hyperlink" Target="https://in.tradingview.com/chart/Cgv3Jm6J/?symbol=NSE%3AMCL" TargetMode="External"/><Relationship Id="rId409" Type="http://schemas.openxmlformats.org/officeDocument/2006/relationships/hyperlink" Target="https://in.tradingview.com/chart/Cgv3Jm6J/?symbol=NSE%3ACONSOFINVT" TargetMode="External"/><Relationship Id="rId404" Type="http://schemas.openxmlformats.org/officeDocument/2006/relationships/hyperlink" Target="https://in.tradingview.com/chart/Cgv3Jm6J/?symbol=NSE%3ACOMPUSOFT" TargetMode="External"/><Relationship Id="rId403" Type="http://schemas.openxmlformats.org/officeDocument/2006/relationships/hyperlink" Target="https://in.tradingview.com/chart/Cgv3Jm6J/?symbol=NSE%3ACOMPINFO" TargetMode="External"/><Relationship Id="rId402" Type="http://schemas.openxmlformats.org/officeDocument/2006/relationships/hyperlink" Target="https://in.tradingview.com/chart/Cgv3Jm6J/?symbol=NSE%3ACOMMOIETF" TargetMode="External"/><Relationship Id="rId401" Type="http://schemas.openxmlformats.org/officeDocument/2006/relationships/hyperlink" Target="https://in.tradingview.com/chart/Cgv3Jm6J/?symbol=NSE%3ACOLPAL" TargetMode="External"/><Relationship Id="rId408" Type="http://schemas.openxmlformats.org/officeDocument/2006/relationships/hyperlink" Target="https://in.tradingview.com/chart/Cgv3Jm6J/?symbol=NSE%3ACONS" TargetMode="External"/><Relationship Id="rId407" Type="http://schemas.openxmlformats.org/officeDocument/2006/relationships/hyperlink" Target="https://in.tradingview.com/chart/Cgv3Jm6J/?symbol=NSE%3ACONFIPET" TargetMode="External"/><Relationship Id="rId406" Type="http://schemas.openxmlformats.org/officeDocument/2006/relationships/hyperlink" Target="https://in.tradingview.com/chart/Cgv3Jm6J/?symbol=NSE%3ACONCORDBIO" TargetMode="External"/><Relationship Id="rId405" Type="http://schemas.openxmlformats.org/officeDocument/2006/relationships/hyperlink" Target="https://in.tradingview.com/chart/Cgv3Jm6J/?symbol=NSE%3ACONCOR" TargetMode="External"/><Relationship Id="rId1230" Type="http://schemas.openxmlformats.org/officeDocument/2006/relationships/hyperlink" Target="https://in.tradingview.com/chart/Cgv3Jm6J/?symbol=NSE%3AMAWANASUG" TargetMode="External"/><Relationship Id="rId400" Type="http://schemas.openxmlformats.org/officeDocument/2006/relationships/hyperlink" Target="https://in.tradingview.com/chart/Cgv3Jm6J/?symbol=NSE%3ACOFORGE" TargetMode="External"/><Relationship Id="rId1231" Type="http://schemas.openxmlformats.org/officeDocument/2006/relationships/hyperlink" Target="https://in.tradingview.com/chart/Cgv3Jm6J/?symbol=NSE%3AMAXESTATES" TargetMode="External"/><Relationship Id="rId1232" Type="http://schemas.openxmlformats.org/officeDocument/2006/relationships/hyperlink" Target="https://in.tradingview.com/chart/Cgv3Jm6J/?symbol=NSE%3AMAXHEALTH" TargetMode="External"/><Relationship Id="rId1233" Type="http://schemas.openxmlformats.org/officeDocument/2006/relationships/hyperlink" Target="https://in.tradingview.com/chart/Cgv3Jm6J/?symbol=NSE%3AMAXIND" TargetMode="External"/><Relationship Id="rId1234" Type="http://schemas.openxmlformats.org/officeDocument/2006/relationships/hyperlink" Target="https://in.tradingview.com/chart/Cgv3Jm6J/?symbol=NSE%3AMAYURUNIQ" TargetMode="External"/><Relationship Id="rId1224" Type="http://schemas.openxmlformats.org/officeDocument/2006/relationships/hyperlink" Target="https://in.tradingview.com/chart/Cgv3Jm6J/?symbol=NSE%3AMARUTI" TargetMode="External"/><Relationship Id="rId1225" Type="http://schemas.openxmlformats.org/officeDocument/2006/relationships/hyperlink" Target="https://in.tradingview.com/chart/Cgv3Jm6J/?symbol=NSE%3AMASFIN" TargetMode="External"/><Relationship Id="rId1226" Type="http://schemas.openxmlformats.org/officeDocument/2006/relationships/hyperlink" Target="https://in.tradingview.com/chart/Cgv3Jm6J/?symbol=NSE%3AMASPTOP50" TargetMode="External"/><Relationship Id="rId1227" Type="http://schemas.openxmlformats.org/officeDocument/2006/relationships/hyperlink" Target="https://in.tradingview.com/chart/Cgv3Jm6J/?symbol=NSE%3AMASTEK" TargetMode="External"/><Relationship Id="rId1228" Type="http://schemas.openxmlformats.org/officeDocument/2006/relationships/hyperlink" Target="https://in.tradingview.com/chart/Cgv3Jm6J/?symbol=NSE%3AMASTERTR" TargetMode="External"/><Relationship Id="rId1229" Type="http://schemas.openxmlformats.org/officeDocument/2006/relationships/hyperlink" Target="https://in.tradingview.com/chart/Cgv3Jm6J/?symbol=NSE%3AMATRIMONY" TargetMode="External"/><Relationship Id="rId1220" Type="http://schemas.openxmlformats.org/officeDocument/2006/relationships/hyperlink" Target="https://in.tradingview.com/chart/Cgv3Jm6J/?symbol=NSE%3AMARICO" TargetMode="External"/><Relationship Id="rId1221" Type="http://schemas.openxmlformats.org/officeDocument/2006/relationships/hyperlink" Target="https://in.tradingview.com/chart/Cgv3Jm6J/?symbol=NSE%3AMARINE" TargetMode="External"/><Relationship Id="rId1222" Type="http://schemas.openxmlformats.org/officeDocument/2006/relationships/hyperlink" Target="https://in.tradingview.com/chart/Cgv3Jm6J/?symbol=NSE%3AMARKSANS" TargetMode="External"/><Relationship Id="rId1223" Type="http://schemas.openxmlformats.org/officeDocument/2006/relationships/hyperlink" Target="https://in.tradingview.com/chart/Cgv3Jm6J/?symbol=NSE%3AMARSHALL" TargetMode="External"/><Relationship Id="rId2500" Type="http://schemas.openxmlformats.org/officeDocument/2006/relationships/hyperlink" Target="https://in.tradingview.com/chart/ofQQfXOP/?symbol=NSE%3AZYDUSWELL" TargetMode="External"/><Relationship Id="rId2501" Type="http://schemas.openxmlformats.org/officeDocument/2006/relationships/drawing" Target="../drawings/drawing4.xml"/><Relationship Id="rId469" Type="http://schemas.openxmlformats.org/officeDocument/2006/relationships/hyperlink" Target="https://in.tradingview.com/chart/Cgv3Jm6J/?symbol=NSE%3ADELHIVERY" TargetMode="External"/><Relationship Id="rId468" Type="http://schemas.openxmlformats.org/officeDocument/2006/relationships/hyperlink" Target="https://in.tradingview.com/chart/Cgv3Jm6J/?symbol=NSE%3ADEEPINDS" TargetMode="External"/><Relationship Id="rId467" Type="http://schemas.openxmlformats.org/officeDocument/2006/relationships/hyperlink" Target="https://in.tradingview.com/chart/Cgv3Jm6J/?symbol=NSE%3ADEEPAKNTR" TargetMode="External"/><Relationship Id="rId1290" Type="http://schemas.openxmlformats.org/officeDocument/2006/relationships/hyperlink" Target="https://in.tradingview.com/chart/Cgv3Jm6J/?symbol=NSE%3AMOKSH" TargetMode="External"/><Relationship Id="rId1291" Type="http://schemas.openxmlformats.org/officeDocument/2006/relationships/hyperlink" Target="https://in.tradingview.com/chart/Cgv3Jm6J/?symbol=NSE%3AMOL" TargetMode="External"/><Relationship Id="rId1292" Type="http://schemas.openxmlformats.org/officeDocument/2006/relationships/hyperlink" Target="https://in.tradingview.com/chart/Cgv3Jm6J/?symbol=NSE%3AMOLDTECH" TargetMode="External"/><Relationship Id="rId462" Type="http://schemas.openxmlformats.org/officeDocument/2006/relationships/hyperlink" Target="https://in.tradingview.com/chart/Cgv3Jm6J/?symbol=NSE%3ADCXINDIA" TargetMode="External"/><Relationship Id="rId1293" Type="http://schemas.openxmlformats.org/officeDocument/2006/relationships/hyperlink" Target="https://in.tradingview.com/chart/Cgv3Jm6J/?symbol=NSE%3AMOLDTKPAC" TargetMode="External"/><Relationship Id="rId461" Type="http://schemas.openxmlformats.org/officeDocument/2006/relationships/hyperlink" Target="https://in.tradingview.com/chart/Cgv3Jm6J/?symbol=NSE%3ADCW" TargetMode="External"/><Relationship Id="rId1294" Type="http://schemas.openxmlformats.org/officeDocument/2006/relationships/hyperlink" Target="https://in.tradingview.com/chart/Cgv3Jm6J/?symbol=NSE%3AMOLOWVOL" TargetMode="External"/><Relationship Id="rId460" Type="http://schemas.openxmlformats.org/officeDocument/2006/relationships/hyperlink" Target="https://in.tradingview.com/chart/Cgv3Jm6J/?symbol=NSE%3ADCMSRIND" TargetMode="External"/><Relationship Id="rId1295" Type="http://schemas.openxmlformats.org/officeDocument/2006/relationships/hyperlink" Target="https://in.tradingview.com/chart/Cgv3Jm6J/?symbol=NSE%3AMOM100" TargetMode="External"/><Relationship Id="rId1296" Type="http://schemas.openxmlformats.org/officeDocument/2006/relationships/hyperlink" Target="https://in.tradingview.com/chart/Cgv3Jm6J/?symbol=NSE%3AMOM30IETF" TargetMode="External"/><Relationship Id="rId466" Type="http://schemas.openxmlformats.org/officeDocument/2006/relationships/hyperlink" Target="https://in.tradingview.com/chart/Cgv3Jm6J/?symbol=NSE%3ADEEPAKFERT" TargetMode="External"/><Relationship Id="rId1297" Type="http://schemas.openxmlformats.org/officeDocument/2006/relationships/hyperlink" Target="https://in.tradingview.com/chart/Cgv3Jm6J/?symbol=NSE%3AMOM50" TargetMode="External"/><Relationship Id="rId465" Type="http://schemas.openxmlformats.org/officeDocument/2006/relationships/hyperlink" Target="https://in.tradingview.com/chart/Cgv3Jm6J/?symbol=NSE%3ADEEDEV" TargetMode="External"/><Relationship Id="rId1298" Type="http://schemas.openxmlformats.org/officeDocument/2006/relationships/hyperlink" Target="https://in.tradingview.com/chart/Cgv3Jm6J/?symbol=NSE%3AMOMENTUM" TargetMode="External"/><Relationship Id="rId464" Type="http://schemas.openxmlformats.org/officeDocument/2006/relationships/hyperlink" Target="https://in.tradingview.com/chart/Cgv3Jm6J/?symbol=NSE%3ADECCANCE" TargetMode="External"/><Relationship Id="rId1299" Type="http://schemas.openxmlformats.org/officeDocument/2006/relationships/hyperlink" Target="https://in.tradingview.com/chart/Cgv3Jm6J/?symbol=NSE%3AMOMENTUM50" TargetMode="External"/><Relationship Id="rId463" Type="http://schemas.openxmlformats.org/officeDocument/2006/relationships/hyperlink" Target="https://in.tradingview.com/chart/Cgv3Jm6J/?symbol=NSE%3ADDEVPLSTIK" TargetMode="External"/><Relationship Id="rId459" Type="http://schemas.openxmlformats.org/officeDocument/2006/relationships/hyperlink" Target="https://in.tradingview.com/chart/Cgv3Jm6J/?symbol=NSE%3ADCMSHRIRAM" TargetMode="External"/><Relationship Id="rId458" Type="http://schemas.openxmlformats.org/officeDocument/2006/relationships/hyperlink" Target="https://in.tradingview.com/chart/Cgv3Jm6J/?symbol=NSE%3ADCMNVL" TargetMode="External"/><Relationship Id="rId457" Type="http://schemas.openxmlformats.org/officeDocument/2006/relationships/hyperlink" Target="https://in.tradingview.com/chart/Cgv3Jm6J/?symbol=NSE%3ADCMFINSERV" TargetMode="External"/><Relationship Id="rId456" Type="http://schemas.openxmlformats.org/officeDocument/2006/relationships/hyperlink" Target="https://in.tradingview.com/chart/Cgv3Jm6J/?symbol=NSE%3ADCM" TargetMode="External"/><Relationship Id="rId1280" Type="http://schemas.openxmlformats.org/officeDocument/2006/relationships/hyperlink" Target="https://in.tradingview.com/chart/Cgv3Jm6J/?symbol=NSE%3AMMTC" TargetMode="External"/><Relationship Id="rId1281" Type="http://schemas.openxmlformats.org/officeDocument/2006/relationships/hyperlink" Target="https://in.tradingview.com/chart/Cgv3Jm6J/?symbol=NSE%3AMNC" TargetMode="External"/><Relationship Id="rId451" Type="http://schemas.openxmlformats.org/officeDocument/2006/relationships/hyperlink" Target="https://in.tradingview.com/chart/Cgv3Jm6J/?symbol=NSE%3ADBREALTY" TargetMode="External"/><Relationship Id="rId1282" Type="http://schemas.openxmlformats.org/officeDocument/2006/relationships/hyperlink" Target="https://in.tradingview.com/chart/Cgv3Jm6J/?symbol=NSE%3AMOBIKWIK" TargetMode="External"/><Relationship Id="rId450" Type="http://schemas.openxmlformats.org/officeDocument/2006/relationships/hyperlink" Target="https://in.tradingview.com/chart/Cgv3Jm6J/?symbol=NSE%3ADBL" TargetMode="External"/><Relationship Id="rId1283" Type="http://schemas.openxmlformats.org/officeDocument/2006/relationships/hyperlink" Target="https://in.tradingview.com/chart/Cgv3Jm6J/?symbol=NSE%3AMODEFENCE" TargetMode="External"/><Relationship Id="rId1284" Type="http://schemas.openxmlformats.org/officeDocument/2006/relationships/hyperlink" Target="https://in.tradingview.com/chart/Cgv3Jm6J/?symbol=NSE%3AMODIRUBBER" TargetMode="External"/><Relationship Id="rId1285" Type="http://schemas.openxmlformats.org/officeDocument/2006/relationships/hyperlink" Target="https://in.tradingview.com/chart/Cgv3Jm6J/?symbol=NSE%3AMODISONLTD" TargetMode="External"/><Relationship Id="rId455" Type="http://schemas.openxmlformats.org/officeDocument/2006/relationships/hyperlink" Target="https://in.tradingview.com/chart/Cgv3Jm6J/?symbol=NSE%3ADCI" TargetMode="External"/><Relationship Id="rId1286" Type="http://schemas.openxmlformats.org/officeDocument/2006/relationships/hyperlink" Target="https://in.tradingview.com/chart/Cgv3Jm6J/?symbol=NSE%3AMODTHREAD" TargetMode="External"/><Relationship Id="rId454" Type="http://schemas.openxmlformats.org/officeDocument/2006/relationships/hyperlink" Target="https://in.tradingview.com/chart/Cgv3Jm6J/?symbol=NSE%3ADCBBANK" TargetMode="External"/><Relationship Id="rId1287" Type="http://schemas.openxmlformats.org/officeDocument/2006/relationships/hyperlink" Target="https://in.tradingview.com/chart/Cgv3Jm6J/?symbol=NSE%3AMOGSEC" TargetMode="External"/><Relationship Id="rId453" Type="http://schemas.openxmlformats.org/officeDocument/2006/relationships/hyperlink" Target="https://in.tradingview.com/chart/Cgv3Jm6J/?symbol=NSE%3ADCAL" TargetMode="External"/><Relationship Id="rId1288" Type="http://schemas.openxmlformats.org/officeDocument/2006/relationships/hyperlink" Target="https://in.tradingview.com/chart/Cgv3Jm6J/?symbol=NSE%3AMOHEALTH" TargetMode="External"/><Relationship Id="rId452" Type="http://schemas.openxmlformats.org/officeDocument/2006/relationships/hyperlink" Target="https://in.tradingview.com/chart/Cgv3Jm6J/?symbol=NSE%3ADBSTOCKBRO" TargetMode="External"/><Relationship Id="rId1289" Type="http://schemas.openxmlformats.org/officeDocument/2006/relationships/hyperlink" Target="https://in.tradingview.com/chart/Cgv3Jm6J/?symbol=NSE%3AMOIL" TargetMode="External"/><Relationship Id="rId491" Type="http://schemas.openxmlformats.org/officeDocument/2006/relationships/hyperlink" Target="https://in.tradingview.com/chart/Cgv3Jm6J/?symbol=NSE%3ADIGJAMLMTD" TargetMode="External"/><Relationship Id="rId490" Type="http://schemas.openxmlformats.org/officeDocument/2006/relationships/hyperlink" Target="https://in.tradingview.com/chart/Cgv3Jm6J/?symbol=NSE%3ADIGISPICE" TargetMode="External"/><Relationship Id="rId489" Type="http://schemas.openxmlformats.org/officeDocument/2006/relationships/hyperlink" Target="https://in.tradingview.com/chart/Cgv3Jm6J/?symbol=NSE%3ADIGIDRIVE" TargetMode="External"/><Relationship Id="rId484" Type="http://schemas.openxmlformats.org/officeDocument/2006/relationships/hyperlink" Target="https://in.tradingview.com/chart/Cgv3Jm6J/?symbol=NSE%3ADHUNINV" TargetMode="External"/><Relationship Id="rId483" Type="http://schemas.openxmlformats.org/officeDocument/2006/relationships/hyperlink" Target="https://in.tradingview.com/chart/Cgv3Jm6J/?symbol=NSE%3ADHRUV" TargetMode="External"/><Relationship Id="rId482" Type="http://schemas.openxmlformats.org/officeDocument/2006/relationships/hyperlink" Target="https://in.tradingview.com/chart/Cgv3Jm6J/?symbol=NSE%3ADHARMAJ" TargetMode="External"/><Relationship Id="rId481" Type="http://schemas.openxmlformats.org/officeDocument/2006/relationships/hyperlink" Target="https://in.tradingview.com/chart/Cgv3Jm6J/?symbol=NSE%3ADHANUKA" TargetMode="External"/><Relationship Id="rId488" Type="http://schemas.openxmlformats.org/officeDocument/2006/relationships/hyperlink" Target="https://in.tradingview.com/chart/Cgv3Jm6J/?symbol=NSE%3ADICIND" TargetMode="External"/><Relationship Id="rId487" Type="http://schemas.openxmlformats.org/officeDocument/2006/relationships/hyperlink" Target="https://in.tradingview.com/chart/Cgv3Jm6J/?symbol=NSE%3ADIAMONDYD" TargetMode="External"/><Relationship Id="rId486" Type="http://schemas.openxmlformats.org/officeDocument/2006/relationships/hyperlink" Target="https://in.tradingview.com/chart/Cgv3Jm6J/?symbol=NSE%3ADIAMINESQ" TargetMode="External"/><Relationship Id="rId485" Type="http://schemas.openxmlformats.org/officeDocument/2006/relationships/hyperlink" Target="https://in.tradingview.com/chart/Cgv3Jm6J/?symbol=NSE%3ADIACABS" TargetMode="External"/><Relationship Id="rId480" Type="http://schemas.openxmlformats.org/officeDocument/2006/relationships/hyperlink" Target="https://in.tradingview.com/chart/Cgv3Jm6J/?symbol=NSE%3ADHANI" TargetMode="External"/><Relationship Id="rId479" Type="http://schemas.openxmlformats.org/officeDocument/2006/relationships/hyperlink" Target="https://in.tradingview.com/chart/Cgv3Jm6J/?symbol=NSE%3ADHANBANK" TargetMode="External"/><Relationship Id="rId478" Type="http://schemas.openxmlformats.org/officeDocument/2006/relationships/hyperlink" Target="https://in.tradingview.com/chart/Cgv3Jm6J/?symbol=NSE%3ADHAMPURSUG" TargetMode="External"/><Relationship Id="rId473" Type="http://schemas.openxmlformats.org/officeDocument/2006/relationships/hyperlink" Target="https://in.tradingview.com/chart/Cgv3Jm6J/?symbol=NSE%3ADEN" TargetMode="External"/><Relationship Id="rId472" Type="http://schemas.openxmlformats.org/officeDocument/2006/relationships/hyperlink" Target="https://in.tradingview.com/chart/Cgv3Jm6J/?symbol=NSE%3ADELTAMAGNT" TargetMode="External"/><Relationship Id="rId471" Type="http://schemas.openxmlformats.org/officeDocument/2006/relationships/hyperlink" Target="https://in.tradingview.com/chart/Cgv3Jm6J/?symbol=NSE%3ADELTACORP" TargetMode="External"/><Relationship Id="rId470" Type="http://schemas.openxmlformats.org/officeDocument/2006/relationships/hyperlink" Target="https://in.tradingview.com/chart/Cgv3Jm6J/?symbol=NSE%3ADELPHIFX" TargetMode="External"/><Relationship Id="rId477" Type="http://schemas.openxmlformats.org/officeDocument/2006/relationships/hyperlink" Target="https://in.tradingview.com/chart/Cgv3Jm6J/?symbol=NSE%3ADEVYANI" TargetMode="External"/><Relationship Id="rId476" Type="http://schemas.openxmlformats.org/officeDocument/2006/relationships/hyperlink" Target="https://in.tradingview.com/chart/Cgv3Jm6J/?symbol=NSE%3ADEVIT" TargetMode="External"/><Relationship Id="rId475" Type="http://schemas.openxmlformats.org/officeDocument/2006/relationships/hyperlink" Target="https://in.tradingview.com/chart/Cgv3Jm6J/?symbol=NSE%3ADENTA" TargetMode="External"/><Relationship Id="rId474" Type="http://schemas.openxmlformats.org/officeDocument/2006/relationships/hyperlink" Target="https://in.tradingview.com/chart/Cgv3Jm6J/?symbol=NSE%3ADENORA" TargetMode="External"/><Relationship Id="rId1257" Type="http://schemas.openxmlformats.org/officeDocument/2006/relationships/hyperlink" Target="https://in.tradingview.com/chart/Cgv3Jm6J/?symbol=NSE%3AMGEL" TargetMode="External"/><Relationship Id="rId1258" Type="http://schemas.openxmlformats.org/officeDocument/2006/relationships/hyperlink" Target="https://in.tradingview.com/chart/Cgv3Jm6J/?symbol=NSE%3AMGL" TargetMode="External"/><Relationship Id="rId1259" Type="http://schemas.openxmlformats.org/officeDocument/2006/relationships/hyperlink" Target="https://in.tradingview.com/chart/Cgv3Jm6J/?symbol=NSE%3AMHLXMIRU" TargetMode="External"/><Relationship Id="rId426" Type="http://schemas.openxmlformats.org/officeDocument/2006/relationships/hyperlink" Target="https://in.tradingview.com/chart/Cgv3Jm6J/?symbol=NSE%3ACROMPTON" TargetMode="External"/><Relationship Id="rId425" Type="http://schemas.openxmlformats.org/officeDocument/2006/relationships/hyperlink" Target="https://in.tradingview.com/chart/Cgv3Jm6J/?symbol=NSE%3ACRISIL" TargetMode="External"/><Relationship Id="rId424" Type="http://schemas.openxmlformats.org/officeDocument/2006/relationships/hyperlink" Target="https://in.tradingview.com/chart/Cgv3Jm6J/?symbol=NSE%3ACREST" TargetMode="External"/><Relationship Id="rId423" Type="http://schemas.openxmlformats.org/officeDocument/2006/relationships/hyperlink" Target="https://in.tradingview.com/chart/Cgv3Jm6J/?symbol=NSE%3ACREDITACC" TargetMode="External"/><Relationship Id="rId429" Type="http://schemas.openxmlformats.org/officeDocument/2006/relationships/hyperlink" Target="https://in.tradingview.com/chart/Cgv3Jm6J/?symbol=NSE%3ACSLFINANCE" TargetMode="External"/><Relationship Id="rId428" Type="http://schemas.openxmlformats.org/officeDocument/2006/relationships/hyperlink" Target="https://in.tradingview.com/chart/Cgv3Jm6J/?symbol=NSE%3ACSBBANK" TargetMode="External"/><Relationship Id="rId427" Type="http://schemas.openxmlformats.org/officeDocument/2006/relationships/hyperlink" Target="https://in.tradingview.com/chart/Cgv3Jm6J/?symbol=NSE%3ACROWN" TargetMode="External"/><Relationship Id="rId1250" Type="http://schemas.openxmlformats.org/officeDocument/2006/relationships/hyperlink" Target="https://in.tradingview.com/chart/Cgv3Jm6J/?symbol=NSE%3AMEP" TargetMode="External"/><Relationship Id="rId1251" Type="http://schemas.openxmlformats.org/officeDocument/2006/relationships/hyperlink" Target="https://in.tradingview.com/chart/Cgv3Jm6J/?symbol=NSE%3AMETAL" TargetMode="External"/><Relationship Id="rId1252" Type="http://schemas.openxmlformats.org/officeDocument/2006/relationships/hyperlink" Target="https://in.tradingview.com/chart/Cgv3Jm6J/?symbol=NSE%3AMETALIETF" TargetMode="External"/><Relationship Id="rId422" Type="http://schemas.openxmlformats.org/officeDocument/2006/relationships/hyperlink" Target="https://in.tradingview.com/chart/Cgv3Jm6J/?symbol=NSE%3ACREATIVEYE" TargetMode="External"/><Relationship Id="rId1253" Type="http://schemas.openxmlformats.org/officeDocument/2006/relationships/hyperlink" Target="https://in.tradingview.com/chart/Cgv3Jm6J/?symbol=NSE%3AMETROBRAND" TargetMode="External"/><Relationship Id="rId421" Type="http://schemas.openxmlformats.org/officeDocument/2006/relationships/hyperlink" Target="https://in.tradingview.com/chart/Cgv3Jm6J/?symbol=NSE%3ACREATIVE" TargetMode="External"/><Relationship Id="rId1254" Type="http://schemas.openxmlformats.org/officeDocument/2006/relationships/hyperlink" Target="https://in.tradingview.com/chart/Cgv3Jm6J/?symbol=NSE%3AMETROPOLIS" TargetMode="External"/><Relationship Id="rId420" Type="http://schemas.openxmlformats.org/officeDocument/2006/relationships/hyperlink" Target="https://in.tradingview.com/chart/Cgv3Jm6J/?symbol=NSE%3ACRAFTSMAN" TargetMode="External"/><Relationship Id="rId1255" Type="http://schemas.openxmlformats.org/officeDocument/2006/relationships/hyperlink" Target="https://in.tradingview.com/chart/Cgv3Jm6J/?symbol=NSE%3AMFML" TargetMode="External"/><Relationship Id="rId1256" Type="http://schemas.openxmlformats.org/officeDocument/2006/relationships/hyperlink" Target="https://in.tradingview.com/chart/Cgv3Jm6J/?symbol=NSE%3AMFSL" TargetMode="External"/><Relationship Id="rId1246" Type="http://schemas.openxmlformats.org/officeDocument/2006/relationships/hyperlink" Target="https://in.tradingview.com/chart/Cgv3Jm6J/?symbol=NSE%3AMEDICO" TargetMode="External"/><Relationship Id="rId1247" Type="http://schemas.openxmlformats.org/officeDocument/2006/relationships/hyperlink" Target="https://in.tradingview.com/chart/Cgv3Jm6J/?symbol=NSE%3AMEDPLUS" TargetMode="External"/><Relationship Id="rId1248" Type="http://schemas.openxmlformats.org/officeDocument/2006/relationships/hyperlink" Target="https://in.tradingview.com/chart/Cgv3Jm6J/?symbol=NSE%3AMEGASTAR" TargetMode="External"/><Relationship Id="rId1249" Type="http://schemas.openxmlformats.org/officeDocument/2006/relationships/hyperlink" Target="https://in.tradingview.com/chart/Cgv3Jm6J/?symbol=NSE%3AMENONBE" TargetMode="External"/><Relationship Id="rId415" Type="http://schemas.openxmlformats.org/officeDocument/2006/relationships/hyperlink" Target="https://in.tradingview.com/chart/Cgv3Jm6J/?symbol=NSE%3ACORDSCABLE" TargetMode="External"/><Relationship Id="rId414" Type="http://schemas.openxmlformats.org/officeDocument/2006/relationships/hyperlink" Target="https://in.tradingview.com/chart/Cgv3Jm6J/?symbol=NSE%3ACORALFINAC" TargetMode="External"/><Relationship Id="rId413" Type="http://schemas.openxmlformats.org/officeDocument/2006/relationships/hyperlink" Target="https://in.tradingview.com/chart/Cgv3Jm6J/?symbol=NSE%3ACONTROLPR" TargetMode="External"/><Relationship Id="rId412" Type="http://schemas.openxmlformats.org/officeDocument/2006/relationships/hyperlink" Target="https://in.tradingview.com/chart/Cgv3Jm6J/?symbol=NSE%3ACONSUMIETF" TargetMode="External"/><Relationship Id="rId419" Type="http://schemas.openxmlformats.org/officeDocument/2006/relationships/hyperlink" Target="https://in.tradingview.com/chart/Cgv3Jm6J/?symbol=NSE%3ACPSEETF" TargetMode="External"/><Relationship Id="rId418" Type="http://schemas.openxmlformats.org/officeDocument/2006/relationships/hyperlink" Target="https://in.tradingview.com/chart/Cgv3Jm6J/?symbol=NSE%3ACOUNCODOS" TargetMode="External"/><Relationship Id="rId417" Type="http://schemas.openxmlformats.org/officeDocument/2006/relationships/hyperlink" Target="https://in.tradingview.com/chart/Cgv3Jm6J/?symbol=NSE%3ACOSMOFIRST" TargetMode="External"/><Relationship Id="rId416" Type="http://schemas.openxmlformats.org/officeDocument/2006/relationships/hyperlink" Target="https://in.tradingview.com/chart/Cgv3Jm6J/?symbol=NSE%3ACOROMANDEL" TargetMode="External"/><Relationship Id="rId1240" Type="http://schemas.openxmlformats.org/officeDocument/2006/relationships/hyperlink" Target="https://in.tradingview.com/chart/Cgv3Jm6J/?symbol=NSE%3AMCLEODRUSS" TargetMode="External"/><Relationship Id="rId1241" Type="http://schemas.openxmlformats.org/officeDocument/2006/relationships/hyperlink" Target="https://in.tradingview.com/chart/Cgv3Jm6J/?symbol=NSE%3AMCLOUD" TargetMode="External"/><Relationship Id="rId411" Type="http://schemas.openxmlformats.org/officeDocument/2006/relationships/hyperlink" Target="https://in.tradingview.com/chart/Cgv3Jm6J/?symbol=NSE%3ACONSUMER" TargetMode="External"/><Relationship Id="rId1242" Type="http://schemas.openxmlformats.org/officeDocument/2006/relationships/hyperlink" Target="https://in.tradingview.com/chart/Cgv3Jm6J/?symbol=NSE%3AMCX" TargetMode="External"/><Relationship Id="rId410" Type="http://schemas.openxmlformats.org/officeDocument/2006/relationships/hyperlink" Target="https://in.tradingview.com/chart/Cgv3Jm6J/?symbol=NSE%3ACONSUMBEES" TargetMode="External"/><Relationship Id="rId1243" Type="http://schemas.openxmlformats.org/officeDocument/2006/relationships/hyperlink" Target="https://in.tradingview.com/chart/Cgv3Jm6J/?symbol=NSE%3AMEDANTA" TargetMode="External"/><Relationship Id="rId1244" Type="http://schemas.openxmlformats.org/officeDocument/2006/relationships/hyperlink" Target="https://in.tradingview.com/chart/Cgv3Jm6J/?symbol=NSE%3AMEDIASSIST" TargetMode="External"/><Relationship Id="rId1245" Type="http://schemas.openxmlformats.org/officeDocument/2006/relationships/hyperlink" Target="https://in.tradingview.com/chart/Cgv3Jm6J/?symbol=NSE%3AMEDICAMEQ" TargetMode="External"/><Relationship Id="rId1279" Type="http://schemas.openxmlformats.org/officeDocument/2006/relationships/hyperlink" Target="https://in.tradingview.com/chart/Cgv3Jm6J/?symbol=NSE%3AMMP" TargetMode="External"/><Relationship Id="rId448" Type="http://schemas.openxmlformats.org/officeDocument/2006/relationships/hyperlink" Target="https://in.tradingview.com/chart/Cgv3Jm6J/?symbol=NSE%3ADBCORP" TargetMode="External"/><Relationship Id="rId447" Type="http://schemas.openxmlformats.org/officeDocument/2006/relationships/hyperlink" Target="https://in.tradingview.com/chart/Cgv3Jm6J/?symbol=NSE%3ADAVANGERE" TargetMode="External"/><Relationship Id="rId446" Type="http://schemas.openxmlformats.org/officeDocument/2006/relationships/hyperlink" Target="https://in.tradingview.com/chart/Cgv3Jm6J/?symbol=NSE%3ADATAPATTNS" TargetMode="External"/><Relationship Id="rId445" Type="http://schemas.openxmlformats.org/officeDocument/2006/relationships/hyperlink" Target="https://in.tradingview.com/chart/Cgv3Jm6J/?symbol=NSE%3ADATAMATICS" TargetMode="External"/><Relationship Id="rId449" Type="http://schemas.openxmlformats.org/officeDocument/2006/relationships/hyperlink" Target="https://in.tradingview.com/chart/Cgv3Jm6J/?symbol=NSE%3ADBEIL" TargetMode="External"/><Relationship Id="rId1270" Type="http://schemas.openxmlformats.org/officeDocument/2006/relationships/hyperlink" Target="https://in.tradingview.com/chart/Cgv3Jm6J/?symbol=NSE%3AMIDSMALL" TargetMode="External"/><Relationship Id="rId440" Type="http://schemas.openxmlformats.org/officeDocument/2006/relationships/hyperlink" Target="https://in.tradingview.com/chart/Cgv3Jm6J/?symbol=NSE%3ADALBHARAT" TargetMode="External"/><Relationship Id="rId1271" Type="http://schemas.openxmlformats.org/officeDocument/2006/relationships/hyperlink" Target="https://in.tradingview.com/chart/Cgv3Jm6J/?symbol=NSE%3AMINDACORP" TargetMode="External"/><Relationship Id="rId1272" Type="http://schemas.openxmlformats.org/officeDocument/2006/relationships/hyperlink" Target="https://in.tradingview.com/chart/Cgv3Jm6J/?symbol=NSE%3AMINDTECK" TargetMode="External"/><Relationship Id="rId1273" Type="http://schemas.openxmlformats.org/officeDocument/2006/relationships/hyperlink" Target="https://in.tradingview.com/chart/Cgv3Jm6J/?symbol=NSE%3AMIRCELECTR" TargetMode="External"/><Relationship Id="rId1274" Type="http://schemas.openxmlformats.org/officeDocument/2006/relationships/hyperlink" Target="https://in.tradingview.com/chart/Cgv3Jm6J/?symbol=NSE%3AMIRZAINT" TargetMode="External"/><Relationship Id="rId444" Type="http://schemas.openxmlformats.org/officeDocument/2006/relationships/hyperlink" Target="https://in.tradingview.com/chart/Cgv3Jm6J/?symbol=NSE%3ADANGEE" TargetMode="External"/><Relationship Id="rId1275" Type="http://schemas.openxmlformats.org/officeDocument/2006/relationships/hyperlink" Target="https://in.tradingview.com/chart/Cgv3Jm6J/?symbol=NSE%3AMITCON" TargetMode="External"/><Relationship Id="rId443" Type="http://schemas.openxmlformats.org/officeDocument/2006/relationships/hyperlink" Target="https://in.tradingview.com/chart/Cgv3Jm6J/?symbol=NSE%3ADAMODARIND" TargetMode="External"/><Relationship Id="rId1276" Type="http://schemas.openxmlformats.org/officeDocument/2006/relationships/hyperlink" Target="https://in.tradingview.com/chart/Cgv3Jm6J/?symbol=NSE%3AMITTAL" TargetMode="External"/><Relationship Id="rId442" Type="http://schemas.openxmlformats.org/officeDocument/2006/relationships/hyperlink" Target="https://in.tradingview.com/chart/Cgv3Jm6J/?symbol=NSE%3ADAMCAPITAL" TargetMode="External"/><Relationship Id="rId1277" Type="http://schemas.openxmlformats.org/officeDocument/2006/relationships/hyperlink" Target="https://in.tradingview.com/chart/Cgv3Jm6J/?symbol=NSE%3AMKPL" TargetMode="External"/><Relationship Id="rId441" Type="http://schemas.openxmlformats.org/officeDocument/2006/relationships/hyperlink" Target="https://in.tradingview.com/chart/Cgv3Jm6J/?symbol=NSE%3ADALMIASUG" TargetMode="External"/><Relationship Id="rId1278" Type="http://schemas.openxmlformats.org/officeDocument/2006/relationships/hyperlink" Target="https://in.tradingview.com/chart/Cgv3Jm6J/?symbol=NSE%3AMMFL" TargetMode="External"/><Relationship Id="rId1268" Type="http://schemas.openxmlformats.org/officeDocument/2006/relationships/hyperlink" Target="https://in.tradingview.com/chart/Cgv3Jm6J/?symbol=NSE%3AMIDQ50ADD" TargetMode="External"/><Relationship Id="rId1269" Type="http://schemas.openxmlformats.org/officeDocument/2006/relationships/hyperlink" Target="https://in.tradingview.com/chart/Cgv3Jm6J/?symbol=NSE%3AMIDSELIETF" TargetMode="External"/><Relationship Id="rId437" Type="http://schemas.openxmlformats.org/officeDocument/2006/relationships/hyperlink" Target="https://in.tradingview.com/chart/Cgv3Jm6J/?symbol=NSE%3ACYIENT" TargetMode="External"/><Relationship Id="rId436" Type="http://schemas.openxmlformats.org/officeDocument/2006/relationships/hyperlink" Target="https://in.tradingview.com/chart/Cgv3Jm6J/?symbol=NSE%3ACYBERTECH" TargetMode="External"/><Relationship Id="rId435" Type="http://schemas.openxmlformats.org/officeDocument/2006/relationships/hyperlink" Target="https://in.tradingview.com/chart/Cgv3Jm6J/?symbol=NSE%3ACYBERMEDIA" TargetMode="External"/><Relationship Id="rId434" Type="http://schemas.openxmlformats.org/officeDocument/2006/relationships/hyperlink" Target="https://in.tradingview.com/chart/Cgv3Jm6J/?symbol=NSE%3ACUPID" TargetMode="External"/><Relationship Id="rId439" Type="http://schemas.openxmlformats.org/officeDocument/2006/relationships/hyperlink" Target="https://in.tradingview.com/chart/Cgv3Jm6J/?symbol=NSE%3ADABUR" TargetMode="External"/><Relationship Id="rId438" Type="http://schemas.openxmlformats.org/officeDocument/2006/relationships/hyperlink" Target="https://in.tradingview.com/chart/Cgv3Jm6J/?symbol=NSE%3ACYIENTDLM" TargetMode="External"/><Relationship Id="rId1260" Type="http://schemas.openxmlformats.org/officeDocument/2006/relationships/hyperlink" Target="https://in.tradingview.com/chart/Cgv3Jm6J/?symbol=NSE%3AMHRIL" TargetMode="External"/><Relationship Id="rId1261" Type="http://schemas.openxmlformats.org/officeDocument/2006/relationships/hyperlink" Target="https://in.tradingview.com/chart/Cgv3Jm6J/?symbol=NSE%3AMICEL" TargetMode="External"/><Relationship Id="rId1262" Type="http://schemas.openxmlformats.org/officeDocument/2006/relationships/hyperlink" Target="https://in.tradingview.com/chart/Cgv3Jm6J/?symbol=NSE%3AMID150BEES" TargetMode="External"/><Relationship Id="rId1263" Type="http://schemas.openxmlformats.org/officeDocument/2006/relationships/hyperlink" Target="https://in.tradingview.com/chart/Cgv3Jm6J/?symbol=NSE%3AMID150CASE" TargetMode="External"/><Relationship Id="rId433" Type="http://schemas.openxmlformats.org/officeDocument/2006/relationships/hyperlink" Target="https://in.tradingview.com/chart/Cgv3Jm6J/?symbol=NSE%3ACUMMINSIND" TargetMode="External"/><Relationship Id="rId1264" Type="http://schemas.openxmlformats.org/officeDocument/2006/relationships/hyperlink" Target="https://in.tradingview.com/chart/Cgv3Jm6J/?symbol=NSE%3AMIDCAP" TargetMode="External"/><Relationship Id="rId432" Type="http://schemas.openxmlformats.org/officeDocument/2006/relationships/hyperlink" Target="https://in.tradingview.com/chart/Cgv3Jm6J/?symbol=NSE%3ACUBEXTUB" TargetMode="External"/><Relationship Id="rId1265" Type="http://schemas.openxmlformats.org/officeDocument/2006/relationships/hyperlink" Target="https://in.tradingview.com/chart/Cgv3Jm6J/?symbol=NSE%3AMIDCAPETF" TargetMode="External"/><Relationship Id="rId431" Type="http://schemas.openxmlformats.org/officeDocument/2006/relationships/hyperlink" Target="https://in.tradingview.com/chart/Cgv3Jm6J/?symbol=NSE%3ACUB" TargetMode="External"/><Relationship Id="rId1266" Type="http://schemas.openxmlformats.org/officeDocument/2006/relationships/hyperlink" Target="https://in.tradingview.com/chart/Cgv3Jm6J/?symbol=NSE%3AMIDCAPIETF" TargetMode="External"/><Relationship Id="rId430" Type="http://schemas.openxmlformats.org/officeDocument/2006/relationships/hyperlink" Target="https://in.tradingview.com/chart/Cgv3Jm6J/?symbol=NSE%3ACTE" TargetMode="External"/><Relationship Id="rId1267" Type="http://schemas.openxmlformats.org/officeDocument/2006/relationships/hyperlink" Target="https://in.tradingview.com/chart/Cgv3Jm6J/?symbol=NSE%3AMIDHANI" TargetMode="External"/><Relationship Id="rId1" Type="http://schemas.openxmlformats.org/officeDocument/2006/relationships/hyperlink" Target="https://in.tradingview.com/chart/5wsiHSjM/?symbol=NSE%3A20MICRONS" TargetMode="External"/><Relationship Id="rId2" Type="http://schemas.openxmlformats.org/officeDocument/2006/relationships/hyperlink" Target="https://in.tradingview.com/chart/Cgv3Jm6J/?symbol=NSE%3A21STCENMGM" TargetMode="External"/><Relationship Id="rId3" Type="http://schemas.openxmlformats.org/officeDocument/2006/relationships/hyperlink" Target="https://in.tradingview.com/chart/Cgv3Jm6J/?symbol=NSE%3A360ONE" TargetMode="External"/><Relationship Id="rId4" Type="http://schemas.openxmlformats.org/officeDocument/2006/relationships/hyperlink" Target="https://in.tradingview.com/chart/Cgv3Jm6J/?symbol=NSE%3A3IINFOLTD" TargetMode="External"/><Relationship Id="rId9" Type="http://schemas.openxmlformats.org/officeDocument/2006/relationships/hyperlink" Target="https://in.tradingview.com/chart/Cgv3Jm6J/?symbol=NSE%3AA2ZINFRA" TargetMode="External"/><Relationship Id="rId5" Type="http://schemas.openxmlformats.org/officeDocument/2006/relationships/hyperlink" Target="https://in.tradingview.com/chart/Cgv3Jm6J/?symbol=NSE%3A3MINDIA" TargetMode="External"/><Relationship Id="rId6" Type="http://schemas.openxmlformats.org/officeDocument/2006/relationships/hyperlink" Target="https://in.tradingview.com/chart/Cgv3Jm6J/?symbol=NSE%3A3PLAND" TargetMode="External"/><Relationship Id="rId7" Type="http://schemas.openxmlformats.org/officeDocument/2006/relationships/hyperlink" Target="https://in.tradingview.com/chart/Cgv3Jm6J/?symbol=NSE%3A5PAISA" TargetMode="External"/><Relationship Id="rId8" Type="http://schemas.openxmlformats.org/officeDocument/2006/relationships/hyperlink" Target="https://in.tradingview.com/chart/Cgv3Jm6J/?symbol=NSE%3A63MOONS" TargetMode="External"/><Relationship Id="rId808" Type="http://schemas.openxmlformats.org/officeDocument/2006/relationships/hyperlink" Target="https://in.tradingview.com/chart/Cgv3Jm6J/?symbol=NSE%3AHERCULES" TargetMode="External"/><Relationship Id="rId807" Type="http://schemas.openxmlformats.org/officeDocument/2006/relationships/hyperlink" Target="https://in.tradingview.com/chart/Cgv3Jm6J/?symbol=NSE%3AHERANBA" TargetMode="External"/><Relationship Id="rId806" Type="http://schemas.openxmlformats.org/officeDocument/2006/relationships/hyperlink" Target="https://in.tradingview.com/chart/Cgv3Jm6J/?symbol=NSE%3AHEMIPROP" TargetMode="External"/><Relationship Id="rId805" Type="http://schemas.openxmlformats.org/officeDocument/2006/relationships/hyperlink" Target="https://in.tradingview.com/chart/Cgv3Jm6J/?symbol=NSE%3AHEIDELBERG" TargetMode="External"/><Relationship Id="rId809" Type="http://schemas.openxmlformats.org/officeDocument/2006/relationships/hyperlink" Target="https://in.tradingview.com/chart/Cgv3Jm6J/?symbol=NSE%3AHERITGFOOD" TargetMode="External"/><Relationship Id="rId800" Type="http://schemas.openxmlformats.org/officeDocument/2006/relationships/hyperlink" Target="https://in.tradingview.com/chart/Cgv3Jm6J/?symbol=NSE%3AHEALTHADD" TargetMode="External"/><Relationship Id="rId804" Type="http://schemas.openxmlformats.org/officeDocument/2006/relationships/hyperlink" Target="https://in.tradingview.com/chart/Cgv3Jm6J/?symbol=NSE%3AHEG" TargetMode="External"/><Relationship Id="rId803" Type="http://schemas.openxmlformats.org/officeDocument/2006/relationships/hyperlink" Target="https://in.tradingview.com/chart/Cgv3Jm6J/?symbol=NSE%3AHECPROJECT" TargetMode="External"/><Relationship Id="rId802" Type="http://schemas.openxmlformats.org/officeDocument/2006/relationships/hyperlink" Target="https://in.tradingview.com/chart/Cgv3Jm6J/?symbol=NSE%3AHEALTHY" TargetMode="External"/><Relationship Id="rId801" Type="http://schemas.openxmlformats.org/officeDocument/2006/relationships/hyperlink" Target="https://in.tradingview.com/chart/Cgv3Jm6J/?symbol=NSE%3AHEALTHIETF" TargetMode="External"/><Relationship Id="rId1334" Type="http://schemas.openxmlformats.org/officeDocument/2006/relationships/hyperlink" Target="https://in.tradingview.com/chart/Cgv3Jm6J/?symbol=NSE%3AMUNJALAU" TargetMode="External"/><Relationship Id="rId1335" Type="http://schemas.openxmlformats.org/officeDocument/2006/relationships/hyperlink" Target="https://in.tradingview.com/chart/Cgv3Jm6J/?symbol=NSE%3AMUNJALSHOW" TargetMode="External"/><Relationship Id="rId1336" Type="http://schemas.openxmlformats.org/officeDocument/2006/relationships/hyperlink" Target="https://in.tradingview.com/chart/Cgv3Jm6J/?symbol=NSE%3AMURUDCERA" TargetMode="External"/><Relationship Id="rId1337" Type="http://schemas.openxmlformats.org/officeDocument/2006/relationships/hyperlink" Target="https://in.tradingview.com/chart/Cgv3Jm6J/?symbol=NSE%3AMUTHOOTCAP" TargetMode="External"/><Relationship Id="rId1338" Type="http://schemas.openxmlformats.org/officeDocument/2006/relationships/hyperlink" Target="https://in.tradingview.com/chart/Cgv3Jm6J/?symbol=NSE%3AMUTHOOTFIN" TargetMode="External"/><Relationship Id="rId1339" Type="http://schemas.openxmlformats.org/officeDocument/2006/relationships/hyperlink" Target="https://in.tradingview.com/chart/Cgv3Jm6J/?symbol=NSE%3AMUTHOOTMF" TargetMode="External"/><Relationship Id="rId745" Type="http://schemas.openxmlformats.org/officeDocument/2006/relationships/hyperlink" Target="https://in.tradingview.com/chart/Cgv3Jm6J/?symbol=NSE%3AGTL" TargetMode="External"/><Relationship Id="rId744" Type="http://schemas.openxmlformats.org/officeDocument/2006/relationships/hyperlink" Target="https://in.tradingview.com/chart/Cgv3Jm6J/?symbol=NSE%3AGTECJAINX" TargetMode="External"/><Relationship Id="rId743" Type="http://schemas.openxmlformats.org/officeDocument/2006/relationships/hyperlink" Target="https://in.tradingview.com/chart/Cgv3Jm6J/?symbol=NSE%3AGSS" TargetMode="External"/><Relationship Id="rId742" Type="http://schemas.openxmlformats.org/officeDocument/2006/relationships/hyperlink" Target="https://in.tradingview.com/chart/Cgv3Jm6J/?symbol=NSE%3AGSPL" TargetMode="External"/><Relationship Id="rId749" Type="http://schemas.openxmlformats.org/officeDocument/2006/relationships/hyperlink" Target="https://in.tradingview.com/chart/Cgv3Jm6J/?symbol=NSE%3AGUJALKALI" TargetMode="External"/><Relationship Id="rId748" Type="http://schemas.openxmlformats.org/officeDocument/2006/relationships/hyperlink" Target="https://in.tradingview.com/chart/Cgv3Jm6J/?symbol=NSE%3AGUFICBIO" TargetMode="External"/><Relationship Id="rId747" Type="http://schemas.openxmlformats.org/officeDocument/2006/relationships/hyperlink" Target="https://in.tradingview.com/chart/Cgv3Jm6J/?symbol=NSE%3AGTPL" TargetMode="External"/><Relationship Id="rId746" Type="http://schemas.openxmlformats.org/officeDocument/2006/relationships/hyperlink" Target="https://in.tradingview.com/chart/Cgv3Jm6J/?symbol=NSE%3AGTLINFRA" TargetMode="External"/><Relationship Id="rId741" Type="http://schemas.openxmlformats.org/officeDocument/2006/relationships/hyperlink" Target="https://in.tradingview.com/chart/Cgv3Jm6J/?symbol=NSE%3AGSLSU" TargetMode="External"/><Relationship Id="rId1330" Type="http://schemas.openxmlformats.org/officeDocument/2006/relationships/hyperlink" Target="https://in.tradingview.com/chart/Cgv3Jm6J/?symbol=NSE%3AMUKANDLTD" TargetMode="External"/><Relationship Id="rId740" Type="http://schemas.openxmlformats.org/officeDocument/2006/relationships/hyperlink" Target="https://in.tradingview.com/chart/Cgv3Jm6J/?symbol=NSE%3AGSFC" TargetMode="External"/><Relationship Id="rId1331" Type="http://schemas.openxmlformats.org/officeDocument/2006/relationships/hyperlink" Target="https://in.tradingview.com/chart/Cgv3Jm6J/?symbol=NSE%3AMUKKA" TargetMode="External"/><Relationship Id="rId1332" Type="http://schemas.openxmlformats.org/officeDocument/2006/relationships/hyperlink" Target="https://in.tradingview.com/chart/Cgv3Jm6J/?symbol=NSE%3AMUKTAARTS" TargetMode="External"/><Relationship Id="rId1333" Type="http://schemas.openxmlformats.org/officeDocument/2006/relationships/hyperlink" Target="https://in.tradingview.com/chart/Cgv3Jm6J/?symbol=NSE%3AMULTICAP" TargetMode="External"/><Relationship Id="rId1323" Type="http://schemas.openxmlformats.org/officeDocument/2006/relationships/hyperlink" Target="https://in.tradingview.com/chart/Cgv3Jm6J/?symbol=NSE%3AMSTCLTD" TargetMode="External"/><Relationship Id="rId1324" Type="http://schemas.openxmlformats.org/officeDocument/2006/relationships/hyperlink" Target="https://in.tradingview.com/chart/Cgv3Jm6J/?symbol=NSE%3AMSUMI" TargetMode="External"/><Relationship Id="rId1325" Type="http://schemas.openxmlformats.org/officeDocument/2006/relationships/hyperlink" Target="https://in.tradingview.com/chart/Cgv3Jm6J/?symbol=NSE%3AMTARTECH" TargetMode="External"/><Relationship Id="rId1326" Type="http://schemas.openxmlformats.org/officeDocument/2006/relationships/hyperlink" Target="https://in.tradingview.com/chart/Cgv3Jm6J/?symbol=NSE%3AMTEDUCARE" TargetMode="External"/><Relationship Id="rId1327" Type="http://schemas.openxmlformats.org/officeDocument/2006/relationships/hyperlink" Target="https://in.tradingview.com/chart/Cgv3Jm6J/?symbol=NSE%3AMTNL" TargetMode="External"/><Relationship Id="rId1328" Type="http://schemas.openxmlformats.org/officeDocument/2006/relationships/hyperlink" Target="https://in.tradingview.com/chart/Cgv3Jm6J/?symbol=NSE%3AMUFIN" TargetMode="External"/><Relationship Id="rId1329" Type="http://schemas.openxmlformats.org/officeDocument/2006/relationships/hyperlink" Target="https://in.tradingview.com/chart/Cgv3Jm6J/?symbol=NSE%3AMUFTI" TargetMode="External"/><Relationship Id="rId739" Type="http://schemas.openxmlformats.org/officeDocument/2006/relationships/hyperlink" Target="https://in.tradingview.com/chart/Cgv3Jm6J/?symbol=NSE%3AGSEC5IETF" TargetMode="External"/><Relationship Id="rId734" Type="http://schemas.openxmlformats.org/officeDocument/2006/relationships/hyperlink" Target="https://in.tradingview.com/chart/Cgv3Jm6J/?symbol=NSE%3AGRSE" TargetMode="External"/><Relationship Id="rId733" Type="http://schemas.openxmlformats.org/officeDocument/2006/relationships/hyperlink" Target="https://in.tradingview.com/chart/Cgv3Jm6J/?symbol=NSE%3AGRPLTD" TargetMode="External"/><Relationship Id="rId732" Type="http://schemas.openxmlformats.org/officeDocument/2006/relationships/hyperlink" Target="https://in.tradingview.com/chart/Cgv3Jm6J/?symbol=NSE%3AGROWWRAIL" TargetMode="External"/><Relationship Id="rId731" Type="http://schemas.openxmlformats.org/officeDocument/2006/relationships/hyperlink" Target="https://in.tradingview.com/chart/Cgv3Jm6J/?symbol=NSE%3AGROWWN200" TargetMode="External"/><Relationship Id="rId738" Type="http://schemas.openxmlformats.org/officeDocument/2006/relationships/hyperlink" Target="https://in.tradingview.com/chart/Cgv3Jm6J/?symbol=NSE%3AGSEC10YEAR" TargetMode="External"/><Relationship Id="rId737" Type="http://schemas.openxmlformats.org/officeDocument/2006/relationships/hyperlink" Target="https://in.tradingview.com/chart/Cgv3Jm6J/?symbol=NSE%3AGSEC10IETF" TargetMode="External"/><Relationship Id="rId736" Type="http://schemas.openxmlformats.org/officeDocument/2006/relationships/hyperlink" Target="https://in.tradingview.com/chart/Cgv3Jm6J/?symbol=NSE%3AGSEC10ABSL" TargetMode="External"/><Relationship Id="rId735" Type="http://schemas.openxmlformats.org/officeDocument/2006/relationships/hyperlink" Target="https://in.tradingview.com/chart/Cgv3Jm6J/?symbol=NSE%3AGRWRHITECH" TargetMode="External"/><Relationship Id="rId730" Type="http://schemas.openxmlformats.org/officeDocument/2006/relationships/hyperlink" Target="https://in.tradingview.com/chart/Cgv3Jm6J/?symbol=NSE%3AGROWWLIQID" TargetMode="External"/><Relationship Id="rId1320" Type="http://schemas.openxmlformats.org/officeDocument/2006/relationships/hyperlink" Target="https://in.tradingview.com/chart/Cgv3Jm6J/?symbol=NSE%3AMRPL" TargetMode="External"/><Relationship Id="rId1321" Type="http://schemas.openxmlformats.org/officeDocument/2006/relationships/hyperlink" Target="https://in.tradingview.com/chart/Cgv3Jm6J/?symbol=NSE%3AMSCIINDIA" TargetMode="External"/><Relationship Id="rId1322" Type="http://schemas.openxmlformats.org/officeDocument/2006/relationships/hyperlink" Target="https://in.tradingview.com/chart/Cgv3Jm6J/?symbol=NSE%3AMSPL" TargetMode="External"/><Relationship Id="rId1356" Type="http://schemas.openxmlformats.org/officeDocument/2006/relationships/hyperlink" Target="https://in.tradingview.com/chart/Cgv3Jm6J/?symbol=NSE%3ANAVINFLUOR" TargetMode="External"/><Relationship Id="rId1357" Type="http://schemas.openxmlformats.org/officeDocument/2006/relationships/hyperlink" Target="https://in.tradingview.com/chart/Cgv3Jm6J/?symbol=NSE%3ANAVKARCORP" TargetMode="External"/><Relationship Id="rId1358" Type="http://schemas.openxmlformats.org/officeDocument/2006/relationships/hyperlink" Target="https://in.tradingview.com/chart/Cgv3Jm6J/?symbol=NSE%3ANAVKARURB" TargetMode="External"/><Relationship Id="rId1359" Type="http://schemas.openxmlformats.org/officeDocument/2006/relationships/hyperlink" Target="https://in.tradingview.com/chart/Cgv3Jm6J/?symbol=NSE%3ANAVNETEDUL" TargetMode="External"/><Relationship Id="rId767" Type="http://schemas.openxmlformats.org/officeDocument/2006/relationships/hyperlink" Target="https://in.tradingview.com/chart/Cgv3Jm6J/?symbol=NSE%3AHATHWAY" TargetMode="External"/><Relationship Id="rId766" Type="http://schemas.openxmlformats.org/officeDocument/2006/relationships/hyperlink" Target="https://in.tradingview.com/chart/Cgv3Jm6J/?symbol=NSE%3AHARSHA" TargetMode="External"/><Relationship Id="rId765" Type="http://schemas.openxmlformats.org/officeDocument/2006/relationships/hyperlink" Target="https://in.tradingview.com/chart/Cgv3Jm6J/?symbol=NSE%3AHARRMALAYA" TargetMode="External"/><Relationship Id="rId764" Type="http://schemas.openxmlformats.org/officeDocument/2006/relationships/hyperlink" Target="https://in.tradingview.com/chart/Cgv3Jm6J/?symbol=NSE%3AHARIOMPIPE" TargetMode="External"/><Relationship Id="rId769" Type="http://schemas.openxmlformats.org/officeDocument/2006/relationships/hyperlink" Target="https://in.tradingview.com/chart/Cgv3Jm6J/?symbol=NSE%3AHAVELLS" TargetMode="External"/><Relationship Id="rId768" Type="http://schemas.openxmlformats.org/officeDocument/2006/relationships/hyperlink" Target="https://in.tradingview.com/chart/Cgv3Jm6J/?symbol=NSE%3AHATSUN" TargetMode="External"/><Relationship Id="rId1350" Type="http://schemas.openxmlformats.org/officeDocument/2006/relationships/hyperlink" Target="https://in.tradingview.com/chart/Cgv3Jm6J/?symbol=NSE%3ANATCAPSUQ" TargetMode="External"/><Relationship Id="rId1351" Type="http://schemas.openxmlformats.org/officeDocument/2006/relationships/hyperlink" Target="https://in.tradingview.com/chart/Cgv3Jm6J/?symbol=NSE%3ANATCOPHARM" TargetMode="External"/><Relationship Id="rId763" Type="http://schemas.openxmlformats.org/officeDocument/2006/relationships/hyperlink" Target="https://in.tradingview.com/chart/Cgv3Jm6J/?symbol=NSE%3AHARDWYN" TargetMode="External"/><Relationship Id="rId1352" Type="http://schemas.openxmlformats.org/officeDocument/2006/relationships/hyperlink" Target="https://in.tradingview.com/chart/Cgv3Jm6J/?symbol=NSE%3ANATHBIOGEN" TargetMode="External"/><Relationship Id="rId762" Type="http://schemas.openxmlformats.org/officeDocument/2006/relationships/hyperlink" Target="https://in.tradingview.com/chart/Cgv3Jm6J/?symbol=NSE%3AHAPPYFORGE" TargetMode="External"/><Relationship Id="rId1353" Type="http://schemas.openxmlformats.org/officeDocument/2006/relationships/hyperlink" Target="https://in.tradingview.com/chart/Cgv3Jm6J/?symbol=NSE%3ANATIONALUM" TargetMode="External"/><Relationship Id="rId761" Type="http://schemas.openxmlformats.org/officeDocument/2006/relationships/hyperlink" Target="https://in.tradingview.com/chart/Cgv3Jm6J/?symbol=NSE%3AHAPPSTMNDS" TargetMode="External"/><Relationship Id="rId1354" Type="http://schemas.openxmlformats.org/officeDocument/2006/relationships/hyperlink" Target="https://in.tradingview.com/chart/Cgv3Jm6J/?symbol=NSE%3ANAUKRI" TargetMode="External"/><Relationship Id="rId760" Type="http://schemas.openxmlformats.org/officeDocument/2006/relationships/hyperlink" Target="https://in.tradingview.com/chart/Cgv3Jm6J/?symbol=NSE%3AHAL" TargetMode="External"/><Relationship Id="rId1355" Type="http://schemas.openxmlformats.org/officeDocument/2006/relationships/hyperlink" Target="https://in.tradingview.com/chart/Cgv3Jm6J/?symbol=NSE%3ANAVA" TargetMode="External"/><Relationship Id="rId1345" Type="http://schemas.openxmlformats.org/officeDocument/2006/relationships/hyperlink" Target="https://in.tradingview.com/chart/Cgv3Jm6J/?symbol=NSE%3ANAHARCAP" TargetMode="External"/><Relationship Id="rId1346" Type="http://schemas.openxmlformats.org/officeDocument/2006/relationships/hyperlink" Target="https://in.tradingview.com/chart/Cgv3Jm6J/?symbol=NSE%3ANAHARINDUS" TargetMode="External"/><Relationship Id="rId1347" Type="http://schemas.openxmlformats.org/officeDocument/2006/relationships/hyperlink" Target="https://in.tradingview.com/chart/Cgv3Jm6J/?symbol=NSE%3ANAHARPOLY" TargetMode="External"/><Relationship Id="rId1348" Type="http://schemas.openxmlformats.org/officeDocument/2006/relationships/hyperlink" Target="https://in.tradingview.com/chart/Cgv3Jm6J/?symbol=NSE%3ANAHARSPING" TargetMode="External"/><Relationship Id="rId1349" Type="http://schemas.openxmlformats.org/officeDocument/2006/relationships/hyperlink" Target="https://in.tradingview.com/chart/Cgv3Jm6J/?symbol=NSE%3ANARMADA" TargetMode="External"/><Relationship Id="rId756" Type="http://schemas.openxmlformats.org/officeDocument/2006/relationships/hyperlink" Target="https://in.tradingview.com/chart/Cgv3Jm6J/?symbol=NSE%3AGULPOLY" TargetMode="External"/><Relationship Id="rId755" Type="http://schemas.openxmlformats.org/officeDocument/2006/relationships/hyperlink" Target="https://in.tradingview.com/chart/Cgv3Jm6J/?symbol=NSE%3AGULFPETRO" TargetMode="External"/><Relationship Id="rId754" Type="http://schemas.openxmlformats.org/officeDocument/2006/relationships/hyperlink" Target="https://in.tradingview.com/chart/Cgv3Jm6J/?symbol=NSE%3AGULFOILLUB" TargetMode="External"/><Relationship Id="rId753" Type="http://schemas.openxmlformats.org/officeDocument/2006/relationships/hyperlink" Target="https://in.tradingview.com/chart/Cgv3Jm6J/?symbol=NSE%3AGUJTHEM" TargetMode="External"/><Relationship Id="rId759" Type="http://schemas.openxmlformats.org/officeDocument/2006/relationships/hyperlink" Target="https://in.tradingview.com/chart/Cgv3Jm6J/?symbol=NSE%3AGVT_D" TargetMode="External"/><Relationship Id="rId758" Type="http://schemas.openxmlformats.org/officeDocument/2006/relationships/hyperlink" Target="https://in.tradingview.com/chart/Cgv3Jm6J/?symbol=NSE%3AGVPTECH" TargetMode="External"/><Relationship Id="rId757" Type="http://schemas.openxmlformats.org/officeDocument/2006/relationships/hyperlink" Target="https://in.tradingview.com/chart/Cgv3Jm6J/?symbol=NSE%3AGVKPIL" TargetMode="External"/><Relationship Id="rId1340" Type="http://schemas.openxmlformats.org/officeDocument/2006/relationships/hyperlink" Target="https://in.tradingview.com/chart/Cgv3Jm6J/?symbol=NSE%3AMVGJL" TargetMode="External"/><Relationship Id="rId752" Type="http://schemas.openxmlformats.org/officeDocument/2006/relationships/hyperlink" Target="https://in.tradingview.com/chart/Cgv3Jm6J/?symbol=NSE%3AGUJRAFFIA" TargetMode="External"/><Relationship Id="rId1341" Type="http://schemas.openxmlformats.org/officeDocument/2006/relationships/hyperlink" Target="https://in.tradingview.com/chart/Cgv3Jm6J/?symbol=NSE%3ANACLIND" TargetMode="External"/><Relationship Id="rId751" Type="http://schemas.openxmlformats.org/officeDocument/2006/relationships/hyperlink" Target="https://in.tradingview.com/chart/Cgv3Jm6J/?symbol=NSE%3AGUJGASLTD" TargetMode="External"/><Relationship Id="rId1342" Type="http://schemas.openxmlformats.org/officeDocument/2006/relationships/hyperlink" Target="https://in.tradingview.com/chart/Cgv3Jm6J/?symbol=NSE%3ANAGAFERT" TargetMode="External"/><Relationship Id="rId750" Type="http://schemas.openxmlformats.org/officeDocument/2006/relationships/hyperlink" Target="https://in.tradingview.com/chart/Cgv3Jm6J/?symbol=NSE%3AGUJAPOLLO" TargetMode="External"/><Relationship Id="rId1343" Type="http://schemas.openxmlformats.org/officeDocument/2006/relationships/hyperlink" Target="https://in.tradingview.com/chart/Cgv3Jm6J/?symbol=NSE%3ANAGREEKCAP" TargetMode="External"/><Relationship Id="rId1344" Type="http://schemas.openxmlformats.org/officeDocument/2006/relationships/hyperlink" Target="https://in.tradingview.com/chart/Cgv3Jm6J/?symbol=NSE%3ANAGREEKEXP" TargetMode="External"/><Relationship Id="rId709" Type="http://schemas.openxmlformats.org/officeDocument/2006/relationships/hyperlink" Target="https://in.tradingview.com/chart/Cgv3Jm6J/?symbol=NSE%3AGOYALALUM" TargetMode="External"/><Relationship Id="rId708" Type="http://schemas.openxmlformats.org/officeDocument/2006/relationships/hyperlink" Target="https://in.tradingview.com/chart/Cgv3Jm6J/?symbol=NSE%3AGOPAL" TargetMode="External"/><Relationship Id="rId707" Type="http://schemas.openxmlformats.org/officeDocument/2006/relationships/hyperlink" Target="https://in.tradingview.com/chart/Cgv3Jm6J/?symbol=NSE%3AGOODLUCK" TargetMode="External"/><Relationship Id="rId706" Type="http://schemas.openxmlformats.org/officeDocument/2006/relationships/hyperlink" Target="https://in.tradingview.com/chart/Cgv3Jm6J/?symbol=NSE%3AGOLDTECH" TargetMode="External"/><Relationship Id="rId701" Type="http://schemas.openxmlformats.org/officeDocument/2006/relationships/hyperlink" Target="https://in.tradingview.com/chart/Cgv3Jm6J/?symbol=NSE%3AGOLDETF" TargetMode="External"/><Relationship Id="rId700" Type="http://schemas.openxmlformats.org/officeDocument/2006/relationships/hyperlink" Target="https://in.tradingview.com/chart/Cgv3Jm6J/?symbol=NSE%3AGOLDENTOBC" TargetMode="External"/><Relationship Id="rId705" Type="http://schemas.openxmlformats.org/officeDocument/2006/relationships/hyperlink" Target="https://in.tradingview.com/chart/Cgv3Jm6J/?symbol=NSE%3AGOLDSHARE" TargetMode="External"/><Relationship Id="rId704" Type="http://schemas.openxmlformats.org/officeDocument/2006/relationships/hyperlink" Target="https://in.tradingview.com/chart/Cgv3Jm6J/?symbol=NSE%3AGOLDIETF" TargetMode="External"/><Relationship Id="rId703" Type="http://schemas.openxmlformats.org/officeDocument/2006/relationships/hyperlink" Target="https://in.tradingview.com/chart/Cgv3Jm6J/?symbol=NSE%3AGOLDIAM" TargetMode="External"/><Relationship Id="rId702" Type="http://schemas.openxmlformats.org/officeDocument/2006/relationships/hyperlink" Target="https://in.tradingview.com/chart/Cgv3Jm6J/?symbol=NSE%3AGOLDETFADD" TargetMode="External"/><Relationship Id="rId1312" Type="http://schemas.openxmlformats.org/officeDocument/2006/relationships/hyperlink" Target="https://in.tradingview.com/chart/Cgv3Jm6J/?symbol=NSE%3AMOTHERSON" TargetMode="External"/><Relationship Id="rId1313" Type="http://schemas.openxmlformats.org/officeDocument/2006/relationships/hyperlink" Target="https://in.tradingview.com/chart/Cgv3Jm6J/?symbol=NSE%3AMOTILALOFS" TargetMode="External"/><Relationship Id="rId1314" Type="http://schemas.openxmlformats.org/officeDocument/2006/relationships/hyperlink" Target="https://in.tradingview.com/chart/Cgv3Jm6J/?symbol=NSE%3AMOTISONS" TargetMode="External"/><Relationship Id="rId1315" Type="http://schemas.openxmlformats.org/officeDocument/2006/relationships/hyperlink" Target="https://in.tradingview.com/chart/Cgv3Jm6J/?symbol=NSE%3AMOTOGENFIN" TargetMode="External"/><Relationship Id="rId1316" Type="http://schemas.openxmlformats.org/officeDocument/2006/relationships/hyperlink" Target="https://in.tradingview.com/chart/Cgv3Jm6J/?symbol=NSE%3AMOVALUE" TargetMode="External"/><Relationship Id="rId1317" Type="http://schemas.openxmlformats.org/officeDocument/2006/relationships/hyperlink" Target="https://in.tradingview.com/chart/Cgv3Jm6J/?symbol=NSE%3AMPHASIS" TargetMode="External"/><Relationship Id="rId1318" Type="http://schemas.openxmlformats.org/officeDocument/2006/relationships/hyperlink" Target="https://in.tradingview.com/chart/Cgv3Jm6J/?symbol=NSE%3AMPSLTD" TargetMode="External"/><Relationship Id="rId1319" Type="http://schemas.openxmlformats.org/officeDocument/2006/relationships/hyperlink" Target="https://in.tradingview.com/chart/Cgv3Jm6J/?symbol=NSE%3AMRF" TargetMode="External"/><Relationship Id="rId729" Type="http://schemas.openxmlformats.org/officeDocument/2006/relationships/hyperlink" Target="https://in.tradingview.com/chart/Cgv3Jm6J/?symbol=NSE%3AGROWWGOLD" TargetMode="External"/><Relationship Id="rId728" Type="http://schemas.openxmlformats.org/officeDocument/2006/relationships/hyperlink" Target="https://in.tradingview.com/chart/Cgv3Jm6J/?symbol=NSE%3AGROWWEV" TargetMode="External"/><Relationship Id="rId723" Type="http://schemas.openxmlformats.org/officeDocument/2006/relationships/hyperlink" Target="https://in.tradingview.com/chart/Cgv3Jm6J/?symbol=NSE%3AGRINDWELL" TargetMode="External"/><Relationship Id="rId722" Type="http://schemas.openxmlformats.org/officeDocument/2006/relationships/hyperlink" Target="https://in.tradingview.com/chart/Cgv3Jm6J/?symbol=NSE%3AGREENPOWER" TargetMode="External"/><Relationship Id="rId721" Type="http://schemas.openxmlformats.org/officeDocument/2006/relationships/hyperlink" Target="https://in.tradingview.com/chart/Cgv3Jm6J/?symbol=NSE%3AGREENPLY" TargetMode="External"/><Relationship Id="rId720" Type="http://schemas.openxmlformats.org/officeDocument/2006/relationships/hyperlink" Target="https://in.tradingview.com/chart/Cgv3Jm6J/?symbol=NSE%3AGREENPANEL" TargetMode="External"/><Relationship Id="rId727" Type="http://schemas.openxmlformats.org/officeDocument/2006/relationships/hyperlink" Target="https://in.tradingview.com/chart/Cgv3Jm6J/?symbol=NSE%3AGROWWDEFNC" TargetMode="External"/><Relationship Id="rId726" Type="http://schemas.openxmlformats.org/officeDocument/2006/relationships/hyperlink" Target="https://in.tradingview.com/chart/Cgv3Jm6J/?symbol=NSE%3AGROBTEA" TargetMode="External"/><Relationship Id="rId725" Type="http://schemas.openxmlformats.org/officeDocument/2006/relationships/hyperlink" Target="https://in.tradingview.com/chart/Cgv3Jm6J/?symbol=NSE%3AGRMOVER" TargetMode="External"/><Relationship Id="rId724" Type="http://schemas.openxmlformats.org/officeDocument/2006/relationships/hyperlink" Target="https://in.tradingview.com/chart/Cgv3Jm6J/?symbol=NSE%3AGRINFRA" TargetMode="External"/><Relationship Id="rId1310" Type="http://schemas.openxmlformats.org/officeDocument/2006/relationships/hyperlink" Target="https://in.tradingview.com/chart/Cgv3Jm6J/?symbol=NSE%3AMOSCHIP" TargetMode="External"/><Relationship Id="rId1311" Type="http://schemas.openxmlformats.org/officeDocument/2006/relationships/hyperlink" Target="https://in.tradingview.com/chart/Cgv3Jm6J/?symbol=NSE%3AMOSMALL250" TargetMode="External"/><Relationship Id="rId1301" Type="http://schemas.openxmlformats.org/officeDocument/2006/relationships/hyperlink" Target="https://in.tradingview.com/chart/Cgv3Jm6J/?symbol=NSE%3AMON100" TargetMode="External"/><Relationship Id="rId1302" Type="http://schemas.openxmlformats.org/officeDocument/2006/relationships/hyperlink" Target="https://in.tradingview.com/chart/Cgv3Jm6J/?symbol=NSE%3AMONARCH" TargetMode="External"/><Relationship Id="rId1303" Type="http://schemas.openxmlformats.org/officeDocument/2006/relationships/hyperlink" Target="https://in.tradingview.com/chart/Cgv3Jm6J/?symbol=NSE%3AMONIFTY500" TargetMode="External"/><Relationship Id="rId1304" Type="http://schemas.openxmlformats.org/officeDocument/2006/relationships/hyperlink" Target="https://in.tradingview.com/chart/Cgv3Jm6J/?symbol=NSE%3AMONQ50" TargetMode="External"/><Relationship Id="rId1305" Type="http://schemas.openxmlformats.org/officeDocument/2006/relationships/hyperlink" Target="https://in.tradingview.com/chart/Cgv3Jm6J/?symbol=NSE%3AMONTECARLO" TargetMode="External"/><Relationship Id="rId1306" Type="http://schemas.openxmlformats.org/officeDocument/2006/relationships/hyperlink" Target="https://in.tradingview.com/chart/Cgv3Jm6J/?symbol=NSE%3AMOQUALITY" TargetMode="External"/><Relationship Id="rId1307" Type="http://schemas.openxmlformats.org/officeDocument/2006/relationships/hyperlink" Target="https://in.tradingview.com/chart/Cgv3Jm6J/?symbol=NSE%3AMORARJEE" TargetMode="External"/><Relationship Id="rId1308" Type="http://schemas.openxmlformats.org/officeDocument/2006/relationships/hyperlink" Target="https://in.tradingview.com/chart/Cgv3Jm6J/?symbol=NSE%3AMOREALTY" TargetMode="External"/><Relationship Id="rId1309" Type="http://schemas.openxmlformats.org/officeDocument/2006/relationships/hyperlink" Target="https://in.tradingview.com/chart/Cgv3Jm6J/?symbol=NSE%3AMOREPENLAB" TargetMode="External"/><Relationship Id="rId719" Type="http://schemas.openxmlformats.org/officeDocument/2006/relationships/hyperlink" Target="https://in.tradingview.com/chart/Cgv3Jm6J/?symbol=NSE%3AGREENLAM" TargetMode="External"/><Relationship Id="rId718" Type="http://schemas.openxmlformats.org/officeDocument/2006/relationships/hyperlink" Target="https://in.tradingview.com/chart/Cgv3Jm6J/?symbol=NSE%3AGREAVESCOT" TargetMode="External"/><Relationship Id="rId717" Type="http://schemas.openxmlformats.org/officeDocument/2006/relationships/hyperlink" Target="https://in.tradingview.com/chart/Cgv3Jm6J/?symbol=NSE%3AGRAVITA" TargetMode="External"/><Relationship Id="rId712" Type="http://schemas.openxmlformats.org/officeDocument/2006/relationships/hyperlink" Target="https://in.tradingview.com/chart/Cgv3Jm6J/?symbol=NSE%3AGPTHEALTH" TargetMode="External"/><Relationship Id="rId711" Type="http://schemas.openxmlformats.org/officeDocument/2006/relationships/hyperlink" Target="https://in.tradingview.com/chart/Cgv3Jm6J/?symbol=NSE%3AGPPL" TargetMode="External"/><Relationship Id="rId710" Type="http://schemas.openxmlformats.org/officeDocument/2006/relationships/hyperlink" Target="https://in.tradingview.com/chart/Cgv3Jm6J/?symbol=NSE%3AGPIL" TargetMode="External"/><Relationship Id="rId716" Type="http://schemas.openxmlformats.org/officeDocument/2006/relationships/hyperlink" Target="https://in.tradingview.com/chart/Cgv3Jm6J/?symbol=NSE%3AGRASIM" TargetMode="External"/><Relationship Id="rId715" Type="http://schemas.openxmlformats.org/officeDocument/2006/relationships/hyperlink" Target="https://in.tradingview.com/chart/Cgv3Jm6J/?symbol=NSE%3AGRAPHITE" TargetMode="External"/><Relationship Id="rId714" Type="http://schemas.openxmlformats.org/officeDocument/2006/relationships/hyperlink" Target="https://in.tradingview.com/chart/Cgv3Jm6J/?symbol=NSE%3AGRANULES" TargetMode="External"/><Relationship Id="rId713" Type="http://schemas.openxmlformats.org/officeDocument/2006/relationships/hyperlink" Target="https://in.tradingview.com/chart/Cgv3Jm6J/?symbol=NSE%3AGPTINFRA" TargetMode="External"/><Relationship Id="rId1300" Type="http://schemas.openxmlformats.org/officeDocument/2006/relationships/hyperlink" Target="https://in.tradingview.com/chart/Cgv3Jm6J/?symbol=NSE%3AMOMOMENTUM" TargetMode="External"/><Relationship Id="rId1378" Type="http://schemas.openxmlformats.org/officeDocument/2006/relationships/hyperlink" Target="https://in.tradingview.com/chart/Cgv3Jm6J/?symbol=NSE%3ANETWEB" TargetMode="External"/><Relationship Id="rId1379" Type="http://schemas.openxmlformats.org/officeDocument/2006/relationships/hyperlink" Target="https://in.tradingview.com/chart/Cgv3Jm6J/?symbol=NSE%3ANETWORK18" TargetMode="External"/><Relationship Id="rId789" Type="http://schemas.openxmlformats.org/officeDocument/2006/relationships/hyperlink" Target="https://in.tradingview.com/chart/Cgv3Jm6J/?symbol=NSE%3AHDFCNIFIT" TargetMode="External"/><Relationship Id="rId788" Type="http://schemas.openxmlformats.org/officeDocument/2006/relationships/hyperlink" Target="https://in.tradingview.com/chart/Cgv3Jm6J/?symbol=NSE%3AHDFCNIFBAN" TargetMode="External"/><Relationship Id="rId787" Type="http://schemas.openxmlformats.org/officeDocument/2006/relationships/hyperlink" Target="https://in.tradingview.com/chart/Cgv3Jm6J/?symbol=NSE%3AHDFCNIF100" TargetMode="External"/><Relationship Id="rId786" Type="http://schemas.openxmlformats.org/officeDocument/2006/relationships/hyperlink" Target="https://in.tradingview.com/chart/Cgv3Jm6J/?symbol=NSE%3AHDFCNEXT50" TargetMode="External"/><Relationship Id="rId781" Type="http://schemas.openxmlformats.org/officeDocument/2006/relationships/hyperlink" Target="https://in.tradingview.com/chart/Cgv3Jm6J/?symbol=NSE%3AHDFCLIFE" TargetMode="External"/><Relationship Id="rId1370" Type="http://schemas.openxmlformats.org/officeDocument/2006/relationships/hyperlink" Target="https://in.tradingview.com/chart/Cgv3Jm6J/?symbol=NSE%3ANECCLTD" TargetMode="External"/><Relationship Id="rId780" Type="http://schemas.openxmlformats.org/officeDocument/2006/relationships/hyperlink" Target="https://in.tradingview.com/chart/Cgv3Jm6J/?symbol=NSE%3AHDFCGOLD" TargetMode="External"/><Relationship Id="rId1371" Type="http://schemas.openxmlformats.org/officeDocument/2006/relationships/hyperlink" Target="https://in.tradingview.com/chart/Cgv3Jm6J/?symbol=NSE%3ANECLIFE" TargetMode="External"/><Relationship Id="rId1372" Type="http://schemas.openxmlformats.org/officeDocument/2006/relationships/hyperlink" Target="https://in.tradingview.com/chart/Cgv3Jm6J/?symbol=NSE%3ANELCAST" TargetMode="External"/><Relationship Id="rId1373" Type="http://schemas.openxmlformats.org/officeDocument/2006/relationships/hyperlink" Target="https://in.tradingview.com/chart/Cgv3Jm6J/?symbol=NSE%3ANELCO" TargetMode="External"/><Relationship Id="rId785" Type="http://schemas.openxmlformats.org/officeDocument/2006/relationships/hyperlink" Target="https://in.tradingview.com/chart/Cgv3Jm6J/?symbol=NSE%3AHDFCMOMENT" TargetMode="External"/><Relationship Id="rId1374" Type="http://schemas.openxmlformats.org/officeDocument/2006/relationships/hyperlink" Target="https://in.tradingview.com/chart/Cgv3Jm6J/?symbol=NSE%3ANEOGEN" TargetMode="External"/><Relationship Id="rId784" Type="http://schemas.openxmlformats.org/officeDocument/2006/relationships/hyperlink" Target="https://in.tradingview.com/chart/Cgv3Jm6J/?symbol=NSE%3AHDFCMID150" TargetMode="External"/><Relationship Id="rId1375" Type="http://schemas.openxmlformats.org/officeDocument/2006/relationships/hyperlink" Target="https://in.tradingview.com/chart/Cgv3Jm6J/?symbol=NSE%3ANESCO" TargetMode="External"/><Relationship Id="rId783" Type="http://schemas.openxmlformats.org/officeDocument/2006/relationships/hyperlink" Target="https://in.tradingview.com/chart/Cgv3Jm6J/?symbol=NSE%3AHDFCLOWVOL" TargetMode="External"/><Relationship Id="rId1376" Type="http://schemas.openxmlformats.org/officeDocument/2006/relationships/hyperlink" Target="https://in.tradingview.com/chart/Cgv3Jm6J/?symbol=NSE%3ANESTLEIND" TargetMode="External"/><Relationship Id="rId782" Type="http://schemas.openxmlformats.org/officeDocument/2006/relationships/hyperlink" Target="https://in.tradingview.com/chart/Cgv3Jm6J/?symbol=NSE%3AHDFCLIQUID" TargetMode="External"/><Relationship Id="rId1377" Type="http://schemas.openxmlformats.org/officeDocument/2006/relationships/hyperlink" Target="https://in.tradingview.com/chart/Cgv3Jm6J/?symbol=NSE%3ANETF" TargetMode="External"/><Relationship Id="rId1367" Type="http://schemas.openxmlformats.org/officeDocument/2006/relationships/hyperlink" Target="https://in.tradingview.com/chart/Cgv3Jm6J/?symbol=NSE%3ANDLVENTURE" TargetMode="External"/><Relationship Id="rId1368" Type="http://schemas.openxmlformats.org/officeDocument/2006/relationships/hyperlink" Target="https://in.tradingview.com/chart/Cgv3Jm6J/?symbol=NSE%3ANDRAUTO" TargetMode="External"/><Relationship Id="rId1369" Type="http://schemas.openxmlformats.org/officeDocument/2006/relationships/hyperlink" Target="https://in.tradingview.com/chart/Cgv3Jm6J/?symbol=NSE%3ANDTV" TargetMode="External"/><Relationship Id="rId778" Type="http://schemas.openxmlformats.org/officeDocument/2006/relationships/hyperlink" Target="https://in.tradingview.com/chart/Cgv3Jm6J/?symbol=NSE%3AHDFCBANK" TargetMode="External"/><Relationship Id="rId777" Type="http://schemas.openxmlformats.org/officeDocument/2006/relationships/hyperlink" Target="https://in.tradingview.com/chart/Cgv3Jm6J/?symbol=NSE%3AHDFCAMC" TargetMode="External"/><Relationship Id="rId776" Type="http://schemas.openxmlformats.org/officeDocument/2006/relationships/hyperlink" Target="https://in.tradingview.com/chart/Cgv3Jm6J/?symbol=NSE%3AHCLTECH" TargetMode="External"/><Relationship Id="rId775" Type="http://schemas.openxmlformats.org/officeDocument/2006/relationships/hyperlink" Target="https://in.tradingview.com/chart/Cgv3Jm6J/?symbol=NSE%3AHCL_INSYS" TargetMode="External"/><Relationship Id="rId779" Type="http://schemas.openxmlformats.org/officeDocument/2006/relationships/hyperlink" Target="https://in.tradingview.com/chart/Cgv3Jm6J/?symbol=NSE%3AHDFCBSE500" TargetMode="External"/><Relationship Id="rId770" Type="http://schemas.openxmlformats.org/officeDocument/2006/relationships/hyperlink" Target="https://in.tradingview.com/chart/Cgv3Jm6J/?symbol=NSE%3AHAVISHA" TargetMode="External"/><Relationship Id="rId1360" Type="http://schemas.openxmlformats.org/officeDocument/2006/relationships/hyperlink" Target="https://in.tradingview.com/chart/Cgv3Jm6J/?symbol=NSE%3ANAZARA" TargetMode="External"/><Relationship Id="rId1361" Type="http://schemas.openxmlformats.org/officeDocument/2006/relationships/hyperlink" Target="https://in.tradingview.com/chart/Cgv3Jm6J/?symbol=NSE%3ANBCC" TargetMode="External"/><Relationship Id="rId1362" Type="http://schemas.openxmlformats.org/officeDocument/2006/relationships/hyperlink" Target="https://in.tradingview.com/chart/Cgv3Jm6J/?symbol=NSE%3ANBIFIN" TargetMode="External"/><Relationship Id="rId774" Type="http://schemas.openxmlformats.org/officeDocument/2006/relationships/hyperlink" Target="https://in.tradingview.com/chart/Cgv3Jm6J/?symbol=NSE%3AHCG" TargetMode="External"/><Relationship Id="rId1363" Type="http://schemas.openxmlformats.org/officeDocument/2006/relationships/hyperlink" Target="https://in.tradingview.com/chart/Cgv3Jm6J/?symbol=NSE%3ANCC" TargetMode="External"/><Relationship Id="rId773" Type="http://schemas.openxmlformats.org/officeDocument/2006/relationships/hyperlink" Target="https://in.tradingview.com/chart/Cgv3Jm6J/?symbol=NSE%3AHCC" TargetMode="External"/><Relationship Id="rId1364" Type="http://schemas.openxmlformats.org/officeDocument/2006/relationships/hyperlink" Target="https://in.tradingview.com/chart/Cgv3Jm6J/?symbol=NSE%3ANCLIND" TargetMode="External"/><Relationship Id="rId772" Type="http://schemas.openxmlformats.org/officeDocument/2006/relationships/hyperlink" Target="https://in.tradingview.com/chart/Cgv3Jm6J/?symbol=NSE%3AHBSL" TargetMode="External"/><Relationship Id="rId1365" Type="http://schemas.openxmlformats.org/officeDocument/2006/relationships/hyperlink" Target="https://in.tradingview.com/chart/Cgv3Jm6J/?symbol=NSE%3ANDGL" TargetMode="External"/><Relationship Id="rId771" Type="http://schemas.openxmlformats.org/officeDocument/2006/relationships/hyperlink" Target="https://in.tradingview.com/chart/Cgv3Jm6J/?symbol=NSE%3AHBLENGINE" TargetMode="External"/><Relationship Id="rId1366" Type="http://schemas.openxmlformats.org/officeDocument/2006/relationships/hyperlink" Target="https://in.tradingview.com/chart/Cgv3Jm6J/?symbol=NSE%3ANDL" TargetMode="External"/><Relationship Id="rId1390" Type="http://schemas.openxmlformats.org/officeDocument/2006/relationships/hyperlink" Target="https://in.tradingview.com/chart/Cgv3Jm6J/?symbol=NSE%3ANIACL" TargetMode="External"/><Relationship Id="rId1391" Type="http://schemas.openxmlformats.org/officeDocument/2006/relationships/hyperlink" Target="https://in.tradingview.com/chart/Cgv3Jm6J/?symbol=NSE%3ANIBE" TargetMode="External"/><Relationship Id="rId1392" Type="http://schemas.openxmlformats.org/officeDocument/2006/relationships/hyperlink" Target="https://in.tradingview.com/chart/Cgv3Jm6J/?symbol=NSE%3ANIBL" TargetMode="External"/><Relationship Id="rId1393" Type="http://schemas.openxmlformats.org/officeDocument/2006/relationships/hyperlink" Target="https://in.tradingview.com/chart/Cgv3Jm6J/?symbol=NSE%3ANIF100BEES" TargetMode="External"/><Relationship Id="rId1394" Type="http://schemas.openxmlformats.org/officeDocument/2006/relationships/hyperlink" Target="https://in.tradingview.com/chart/Cgv3Jm6J/?symbol=NSE%3ANIF100IETF" TargetMode="External"/><Relationship Id="rId1395" Type="http://schemas.openxmlformats.org/officeDocument/2006/relationships/hyperlink" Target="https://in.tradingview.com/chart/Cgv3Jm6J/?symbol=NSE%3ANIF10GETF" TargetMode="External"/><Relationship Id="rId1396" Type="http://schemas.openxmlformats.org/officeDocument/2006/relationships/hyperlink" Target="https://in.tradingview.com/chart/Cgv3Jm6J/?symbol=NSE%3ANIF5GETF" TargetMode="External"/><Relationship Id="rId1397" Type="http://schemas.openxmlformats.org/officeDocument/2006/relationships/hyperlink" Target="https://in.tradingview.com/chart/Cgv3Jm6J/?symbol=NSE%3ANIFITETF" TargetMode="External"/><Relationship Id="rId1398" Type="http://schemas.openxmlformats.org/officeDocument/2006/relationships/hyperlink" Target="https://in.tradingview.com/chart/Cgv3Jm6J/?symbol=NSE%3ANIFMID150" TargetMode="External"/><Relationship Id="rId1399" Type="http://schemas.openxmlformats.org/officeDocument/2006/relationships/hyperlink" Target="https://in.tradingview.com/chart/Cgv3Jm6J/?symbol=NSE%3ANIFTY1" TargetMode="External"/><Relationship Id="rId1389" Type="http://schemas.openxmlformats.org/officeDocument/2006/relationships/hyperlink" Target="https://in.tradingview.com/chart/Cgv3Jm6J/?symbol=NSE%3ANHPC" TargetMode="External"/><Relationship Id="rId799" Type="http://schemas.openxmlformats.org/officeDocument/2006/relationships/hyperlink" Target="https://in.tradingview.com/chart/Cgv3Jm6J/?symbol=NSE%3AHEADSUP" TargetMode="External"/><Relationship Id="rId798" Type="http://schemas.openxmlformats.org/officeDocument/2006/relationships/hyperlink" Target="https://in.tradingview.com/chart/Cgv3Jm6J/?symbol=NSE%3AHDIL" TargetMode="External"/><Relationship Id="rId797" Type="http://schemas.openxmlformats.org/officeDocument/2006/relationships/hyperlink" Target="https://in.tradingview.com/chart/Cgv3Jm6J/?symbol=NSE%3AHDFCVALUE" TargetMode="External"/><Relationship Id="rId1380" Type="http://schemas.openxmlformats.org/officeDocument/2006/relationships/hyperlink" Target="https://in.tradingview.com/chart/Cgv3Jm6J/?symbol=NSE%3ANEULANDLAB" TargetMode="External"/><Relationship Id="rId792" Type="http://schemas.openxmlformats.org/officeDocument/2006/relationships/hyperlink" Target="https://in.tradingview.com/chart/Cgv3Jm6J/?symbol=NSE%3AHDFCPVTBAN" TargetMode="External"/><Relationship Id="rId1381" Type="http://schemas.openxmlformats.org/officeDocument/2006/relationships/hyperlink" Target="https://in.tradingview.com/chart/Cgv3Jm6J/?symbol=NSE%3ANEWGEN" TargetMode="External"/><Relationship Id="rId791" Type="http://schemas.openxmlformats.org/officeDocument/2006/relationships/hyperlink" Target="https://in.tradingview.com/chart/Cgv3Jm6J/?symbol=NSE%3AHDFCPSUBK" TargetMode="External"/><Relationship Id="rId1382" Type="http://schemas.openxmlformats.org/officeDocument/2006/relationships/hyperlink" Target="https://in.tradingview.com/chart/Cgv3Jm6J/?symbol=NSE%3ANEXT30ADD" TargetMode="External"/><Relationship Id="rId790" Type="http://schemas.openxmlformats.org/officeDocument/2006/relationships/hyperlink" Target="https://in.tradingview.com/chart/Cgv3Jm6J/?symbol=NSE%3AHDFCNIFTY" TargetMode="External"/><Relationship Id="rId1383" Type="http://schemas.openxmlformats.org/officeDocument/2006/relationships/hyperlink" Target="https://in.tradingview.com/chart/Cgv3Jm6J/?symbol=NSE%3ANEXT50" TargetMode="External"/><Relationship Id="rId1384" Type="http://schemas.openxmlformats.org/officeDocument/2006/relationships/hyperlink" Target="https://in.tradingview.com/chart/Cgv3Jm6J/?symbol=NSE%3ANEXT50IETF" TargetMode="External"/><Relationship Id="rId796" Type="http://schemas.openxmlformats.org/officeDocument/2006/relationships/hyperlink" Target="https://in.tradingview.com/chart/Cgv3Jm6J/?symbol=NSE%3AHDFCSML250" TargetMode="External"/><Relationship Id="rId1385" Type="http://schemas.openxmlformats.org/officeDocument/2006/relationships/hyperlink" Target="https://in.tradingview.com/chart/Cgv3Jm6J/?symbol=NSE%3ANEXTMEDIA" TargetMode="External"/><Relationship Id="rId795" Type="http://schemas.openxmlformats.org/officeDocument/2006/relationships/hyperlink" Target="https://in.tradingview.com/chart/Cgv3Jm6J/?symbol=NSE%3AHDFCSILVER" TargetMode="External"/><Relationship Id="rId1386" Type="http://schemas.openxmlformats.org/officeDocument/2006/relationships/hyperlink" Target="https://in.tradingview.com/chart/Cgv3Jm6J/?symbol=NSE%3ANFL" TargetMode="External"/><Relationship Id="rId794" Type="http://schemas.openxmlformats.org/officeDocument/2006/relationships/hyperlink" Target="https://in.tradingview.com/chart/Cgv3Jm6J/?symbol=NSE%3AHDFCSENSEX" TargetMode="External"/><Relationship Id="rId1387" Type="http://schemas.openxmlformats.org/officeDocument/2006/relationships/hyperlink" Target="https://in.tradingview.com/chart/Cgv3Jm6J/?symbol=NSE%3ANGIL" TargetMode="External"/><Relationship Id="rId793" Type="http://schemas.openxmlformats.org/officeDocument/2006/relationships/hyperlink" Target="https://in.tradingview.com/chart/Cgv3Jm6J/?symbol=NSE%3AHDFCQUAL" TargetMode="External"/><Relationship Id="rId1388" Type="http://schemas.openxmlformats.org/officeDocument/2006/relationships/hyperlink" Target="https://in.tradingview.com/chart/Cgv3Jm6J/?symbol=NSE%3ANH" TargetMode="External"/><Relationship Id="rId1455" Type="http://schemas.openxmlformats.org/officeDocument/2006/relationships/hyperlink" Target="https://in.tradingview.com/chart/Cgv3Jm6J/?symbol=NSE%3AOMAXE" TargetMode="External"/><Relationship Id="rId1456" Type="http://schemas.openxmlformats.org/officeDocument/2006/relationships/hyperlink" Target="https://in.tradingview.com/chart/Cgv3Jm6J/?symbol=NSE%3AOMINFRAL" TargetMode="External"/><Relationship Id="rId1457" Type="http://schemas.openxmlformats.org/officeDocument/2006/relationships/hyperlink" Target="https://in.tradingview.com/chart/Cgv3Jm6J/?symbol=NSE%3AOMKARCHEM" TargetMode="External"/><Relationship Id="rId1458" Type="http://schemas.openxmlformats.org/officeDocument/2006/relationships/hyperlink" Target="https://in.tradingview.com/chart/Cgv3Jm6J/?symbol=NSE%3AONELIFECAP" TargetMode="External"/><Relationship Id="rId1459" Type="http://schemas.openxmlformats.org/officeDocument/2006/relationships/hyperlink" Target="https://in.tradingview.com/chart/Cgv3Jm6J/?symbol=NSE%3AONEPOINT" TargetMode="External"/><Relationship Id="rId629" Type="http://schemas.openxmlformats.org/officeDocument/2006/relationships/hyperlink" Target="https://in.tradingview.com/chart/Cgv3Jm6J/?symbol=NSE%3AGALAPREC" TargetMode="External"/><Relationship Id="rId624" Type="http://schemas.openxmlformats.org/officeDocument/2006/relationships/hyperlink" Target="https://in.tradingview.com/chart/Cgv3Jm6J/?symbol=NSE%3AFSL" TargetMode="External"/><Relationship Id="rId623" Type="http://schemas.openxmlformats.org/officeDocument/2006/relationships/hyperlink" Target="https://in.tradingview.com/chart/Cgv3Jm6J/?symbol=NSE%3AFSC" TargetMode="External"/><Relationship Id="rId622" Type="http://schemas.openxmlformats.org/officeDocument/2006/relationships/hyperlink" Target="https://in.tradingview.com/chart/Cgv3Jm6J/?symbol=NSE%3AFOSECOIND" TargetMode="External"/><Relationship Id="rId621" Type="http://schemas.openxmlformats.org/officeDocument/2006/relationships/hyperlink" Target="https://in.tradingview.com/chart/Cgv3Jm6J/?symbol=NSE%3AFORTIS" TargetMode="External"/><Relationship Id="rId628" Type="http://schemas.openxmlformats.org/officeDocument/2006/relationships/hyperlink" Target="https://in.tradingview.com/chart/Cgv3Jm6J/?symbol=NSE%3AGAIL" TargetMode="External"/><Relationship Id="rId627" Type="http://schemas.openxmlformats.org/officeDocument/2006/relationships/hyperlink" Target="https://in.tradingview.com/chart/Cgv3Jm6J/?symbol=NSE%3AGAEL" TargetMode="External"/><Relationship Id="rId626" Type="http://schemas.openxmlformats.org/officeDocument/2006/relationships/hyperlink" Target="https://in.tradingview.com/chart/Cgv3Jm6J/?symbol=NSE%3AGABRIEL" TargetMode="External"/><Relationship Id="rId625" Type="http://schemas.openxmlformats.org/officeDocument/2006/relationships/hyperlink" Target="https://in.tradingview.com/chart/Cgv3Jm6J/?symbol=NSE%3AFUSION" TargetMode="External"/><Relationship Id="rId1450" Type="http://schemas.openxmlformats.org/officeDocument/2006/relationships/hyperlink" Target="https://in.tradingview.com/chart/Cgv3Jm6J/?symbol=NSE%3AOILCOUNTUB" TargetMode="External"/><Relationship Id="rId620" Type="http://schemas.openxmlformats.org/officeDocument/2006/relationships/hyperlink" Target="https://in.tradingview.com/chart/Cgv3Jm6J/?symbol=NSE%3AFORCEMOT" TargetMode="External"/><Relationship Id="rId1451" Type="http://schemas.openxmlformats.org/officeDocument/2006/relationships/hyperlink" Target="https://in.tradingview.com/chart/Cgv3Jm6J/?symbol=NSE%3AOILIETF" TargetMode="External"/><Relationship Id="rId1452" Type="http://schemas.openxmlformats.org/officeDocument/2006/relationships/hyperlink" Target="https://in.tradingview.com/chart/Cgv3Jm6J/?symbol=NSE%3AOLAELEC" TargetMode="External"/><Relationship Id="rId1453" Type="http://schemas.openxmlformats.org/officeDocument/2006/relationships/hyperlink" Target="https://in.tradingview.com/chart/Cgv3Jm6J/?symbol=NSE%3AOLECTRA" TargetMode="External"/><Relationship Id="rId1454" Type="http://schemas.openxmlformats.org/officeDocument/2006/relationships/hyperlink" Target="https://in.tradingview.com/chart/Cgv3Jm6J/?symbol=NSE%3AOMAXAUTO" TargetMode="External"/><Relationship Id="rId1444" Type="http://schemas.openxmlformats.org/officeDocument/2006/relationships/hyperlink" Target="https://in.tradingview.com/chart/Cgv3Jm6J/?symbol=NSE%3AOBEROIRLTY" TargetMode="External"/><Relationship Id="rId1445" Type="http://schemas.openxmlformats.org/officeDocument/2006/relationships/hyperlink" Target="https://in.tradingview.com/chart/Cgv3Jm6J/?symbol=NSE%3AOCCL" TargetMode="External"/><Relationship Id="rId1446" Type="http://schemas.openxmlformats.org/officeDocument/2006/relationships/hyperlink" Target="https://in.tradingview.com/chart/Cgv3Jm6J/?symbol=NSE%3AOCCLLTD" TargetMode="External"/><Relationship Id="rId1447" Type="http://schemas.openxmlformats.org/officeDocument/2006/relationships/hyperlink" Target="https://in.tradingview.com/chart/Cgv3Jm6J/?symbol=NSE%3AODIGMA" TargetMode="External"/><Relationship Id="rId1448" Type="http://schemas.openxmlformats.org/officeDocument/2006/relationships/hyperlink" Target="https://in.tradingview.com/chart/Cgv3Jm6J/?symbol=NSE%3AOFSS" TargetMode="External"/><Relationship Id="rId1449" Type="http://schemas.openxmlformats.org/officeDocument/2006/relationships/hyperlink" Target="https://in.tradingview.com/chart/Cgv3Jm6J/?symbol=NSE%3AOIL" TargetMode="External"/><Relationship Id="rId619" Type="http://schemas.openxmlformats.org/officeDocument/2006/relationships/hyperlink" Target="https://in.tradingview.com/chart/Cgv3Jm6J/?symbol=NSE%3AFOODSIN" TargetMode="External"/><Relationship Id="rId618" Type="http://schemas.openxmlformats.org/officeDocument/2006/relationships/hyperlink" Target="https://in.tradingview.com/chart/Cgv3Jm6J/?symbol=NSE%3AFOCUS" TargetMode="External"/><Relationship Id="rId613" Type="http://schemas.openxmlformats.org/officeDocument/2006/relationships/hyperlink" Target="https://in.tradingview.com/chart/Cgv3Jm6J/?symbol=NSE%3AFLFL" TargetMode="External"/><Relationship Id="rId612" Type="http://schemas.openxmlformats.org/officeDocument/2006/relationships/hyperlink" Target="https://in.tradingview.com/chart/Cgv3Jm6J/?symbol=NSE%3AFLAIR" TargetMode="External"/><Relationship Id="rId611" Type="http://schemas.openxmlformats.org/officeDocument/2006/relationships/hyperlink" Target="https://in.tradingview.com/chart/Cgv3Jm6J/?symbol=NSE%3AFIVESTAR" TargetMode="External"/><Relationship Id="rId610" Type="http://schemas.openxmlformats.org/officeDocument/2006/relationships/hyperlink" Target="https://in.tradingview.com/chart/Cgv3Jm6J/?symbol=NSE%3AFIRSTCRY" TargetMode="External"/><Relationship Id="rId617" Type="http://schemas.openxmlformats.org/officeDocument/2006/relationships/hyperlink" Target="https://in.tradingview.com/chart/Cgv3Jm6J/?symbol=NSE%3AFMNL" TargetMode="External"/><Relationship Id="rId616" Type="http://schemas.openxmlformats.org/officeDocument/2006/relationships/hyperlink" Target="https://in.tradingview.com/chart/Cgv3Jm6J/?symbol=NSE%3AFMGOETZE" TargetMode="External"/><Relationship Id="rId615" Type="http://schemas.openxmlformats.org/officeDocument/2006/relationships/hyperlink" Target="https://in.tradingview.com/chart/Cgv3Jm6J/?symbol=NSE%3AFMCGIETF" TargetMode="External"/><Relationship Id="rId614" Type="http://schemas.openxmlformats.org/officeDocument/2006/relationships/hyperlink" Target="https://in.tradingview.com/chart/Cgv3Jm6J/?symbol=NSE%3AFLUOROCHEM" TargetMode="External"/><Relationship Id="rId1440" Type="http://schemas.openxmlformats.org/officeDocument/2006/relationships/hyperlink" Target="https://in.tradingview.com/chart/Cgv3Jm6J/?symbol=NSE%3ANV20IETF" TargetMode="External"/><Relationship Id="rId1441" Type="http://schemas.openxmlformats.org/officeDocument/2006/relationships/hyperlink" Target="https://in.tradingview.com/chart/Cgv3Jm6J/?symbol=NSE%3ANYKAA" TargetMode="External"/><Relationship Id="rId1442" Type="http://schemas.openxmlformats.org/officeDocument/2006/relationships/hyperlink" Target="https://in.tradingview.com/chart/Cgv3Jm6J/?symbol=NSE%3AOAL" TargetMode="External"/><Relationship Id="rId1443" Type="http://schemas.openxmlformats.org/officeDocument/2006/relationships/hyperlink" Target="https://in.tradingview.com/chart/Cgv3Jm6J/?symbol=NSE%3AOBCL" TargetMode="External"/><Relationship Id="rId1477" Type="http://schemas.openxmlformats.org/officeDocument/2006/relationships/hyperlink" Target="https://in.tradingview.com/chart/Cgv3Jm6J/?symbol=NSE%3AORIENTTECH" TargetMode="External"/><Relationship Id="rId1478" Type="http://schemas.openxmlformats.org/officeDocument/2006/relationships/hyperlink" Target="https://in.tradingview.com/chart/Cgv3Jm6J/?symbol=NSE%3AORISSAMINE" TargetMode="External"/><Relationship Id="rId1479" Type="http://schemas.openxmlformats.org/officeDocument/2006/relationships/hyperlink" Target="https://in.tradingview.com/chart/Cgv3Jm6J/?symbol=NSE%3AORTINGLOBE" TargetMode="External"/><Relationship Id="rId646" Type="http://schemas.openxmlformats.org/officeDocument/2006/relationships/hyperlink" Target="https://in.tradingview.com/chart/Cgv3Jm6J/?symbol=NSE%3AGEEKAYWIRE" TargetMode="External"/><Relationship Id="rId645" Type="http://schemas.openxmlformats.org/officeDocument/2006/relationships/hyperlink" Target="https://in.tradingview.com/chart/Cgv3Jm6J/?symbol=NSE%3AGEECEE" TargetMode="External"/><Relationship Id="rId644" Type="http://schemas.openxmlformats.org/officeDocument/2006/relationships/hyperlink" Target="https://in.tradingview.com/chart/Cgv3Jm6J/?symbol=NSE%3AGAYAPROJ" TargetMode="External"/><Relationship Id="rId643" Type="http://schemas.openxmlformats.org/officeDocument/2006/relationships/hyperlink" Target="https://in.tradingview.com/chart/Cgv3Jm6J/?symbol=NSE%3AGATEWAY" TargetMode="External"/><Relationship Id="rId649" Type="http://schemas.openxmlformats.org/officeDocument/2006/relationships/hyperlink" Target="https://in.tradingview.com/chart/Cgv3Jm6J/?symbol=NSE%3AGENSOL" TargetMode="External"/><Relationship Id="rId648" Type="http://schemas.openxmlformats.org/officeDocument/2006/relationships/hyperlink" Target="https://in.tradingview.com/chart/Cgv3Jm6J/?symbol=NSE%3AGENESYS" TargetMode="External"/><Relationship Id="rId647" Type="http://schemas.openxmlformats.org/officeDocument/2006/relationships/hyperlink" Target="https://in.tradingview.com/chart/Cgv3Jm6J/?symbol=NSE%3AGENCON" TargetMode="External"/><Relationship Id="rId1470" Type="http://schemas.openxmlformats.org/officeDocument/2006/relationships/hyperlink" Target="https://in.tradingview.com/chart/Cgv3Jm6J/?symbol=NSE%3AORIENTBELL" TargetMode="External"/><Relationship Id="rId1471" Type="http://schemas.openxmlformats.org/officeDocument/2006/relationships/hyperlink" Target="https://in.tradingview.com/chart/Cgv3Jm6J/?symbol=NSE%3AORIENTCEM" TargetMode="External"/><Relationship Id="rId1472" Type="http://schemas.openxmlformats.org/officeDocument/2006/relationships/hyperlink" Target="https://in.tradingview.com/chart/Cgv3Jm6J/?symbol=NSE%3AORIENTCER" TargetMode="External"/><Relationship Id="rId642" Type="http://schemas.openxmlformats.org/officeDocument/2006/relationships/hyperlink" Target="https://in.tradingview.com/chart/Cgv3Jm6J/?symbol=NSE%3AGATECHDVR" TargetMode="External"/><Relationship Id="rId1473" Type="http://schemas.openxmlformats.org/officeDocument/2006/relationships/hyperlink" Target="https://in.tradingview.com/chart/Cgv3Jm6J/?symbol=NSE%3AORIENTELEC" TargetMode="External"/><Relationship Id="rId641" Type="http://schemas.openxmlformats.org/officeDocument/2006/relationships/hyperlink" Target="https://in.tradingview.com/chart/Cgv3Jm6J/?symbol=NSE%3AGATECH" TargetMode="External"/><Relationship Id="rId1474" Type="http://schemas.openxmlformats.org/officeDocument/2006/relationships/hyperlink" Target="https://in.tradingview.com/chart/Cgv3Jm6J/?symbol=NSE%3AORIENTHOT" TargetMode="External"/><Relationship Id="rId640" Type="http://schemas.openxmlformats.org/officeDocument/2006/relationships/hyperlink" Target="https://in.tradingview.com/chart/Cgv3Jm6J/?symbol=NSE%3AGARUDA" TargetMode="External"/><Relationship Id="rId1475" Type="http://schemas.openxmlformats.org/officeDocument/2006/relationships/hyperlink" Target="https://in.tradingview.com/chart/Cgv3Jm6J/?symbol=NSE%3AORIENTLTD" TargetMode="External"/><Relationship Id="rId1476" Type="http://schemas.openxmlformats.org/officeDocument/2006/relationships/hyperlink" Target="https://in.tradingview.com/chart/Cgv3Jm6J/?symbol=NSE%3AORIENTPPR" TargetMode="External"/><Relationship Id="rId1466" Type="http://schemas.openxmlformats.org/officeDocument/2006/relationships/hyperlink" Target="https://in.tradingview.com/chart/Cgv3Jm6J/?symbol=NSE%3AORCHASP" TargetMode="External"/><Relationship Id="rId1467" Type="http://schemas.openxmlformats.org/officeDocument/2006/relationships/hyperlink" Target="https://in.tradingview.com/chart/Cgv3Jm6J/?symbol=NSE%3AORCHPHARMA" TargetMode="External"/><Relationship Id="rId1468" Type="http://schemas.openxmlformats.org/officeDocument/2006/relationships/hyperlink" Target="https://in.tradingview.com/chart/Cgv3Jm6J/?symbol=NSE%3AORICONENT" TargetMode="External"/><Relationship Id="rId1469" Type="http://schemas.openxmlformats.org/officeDocument/2006/relationships/hyperlink" Target="https://in.tradingview.com/chart/Cgv3Jm6J/?symbol=NSE%3AORIENTALTL" TargetMode="External"/><Relationship Id="rId635" Type="http://schemas.openxmlformats.org/officeDocument/2006/relationships/hyperlink" Target="https://in.tradingview.com/chart/Cgv3Jm6J/?symbol=NSE%3AGANESHBE" TargetMode="External"/><Relationship Id="rId634" Type="http://schemas.openxmlformats.org/officeDocument/2006/relationships/hyperlink" Target="https://in.tradingview.com/chart/Cgv3Jm6J/?symbol=NSE%3AGANECOS" TargetMode="External"/><Relationship Id="rId633" Type="http://schemas.openxmlformats.org/officeDocument/2006/relationships/hyperlink" Target="https://in.tradingview.com/chart/Cgv3Jm6J/?symbol=NSE%3AGANDHITUBE" TargetMode="External"/><Relationship Id="rId632" Type="http://schemas.openxmlformats.org/officeDocument/2006/relationships/hyperlink" Target="https://in.tradingview.com/chart/Cgv3Jm6J/?symbol=NSE%3AGANDHAR" TargetMode="External"/><Relationship Id="rId639" Type="http://schemas.openxmlformats.org/officeDocument/2006/relationships/hyperlink" Target="https://in.tradingview.com/chart/Cgv3Jm6J/?symbol=NSE%3AGARFIBRES" TargetMode="External"/><Relationship Id="rId638" Type="http://schemas.openxmlformats.org/officeDocument/2006/relationships/hyperlink" Target="https://in.tradingview.com/chart/Cgv3Jm6J/?symbol=NSE%3AGANGESSECU" TargetMode="External"/><Relationship Id="rId637" Type="http://schemas.openxmlformats.org/officeDocument/2006/relationships/hyperlink" Target="https://in.tradingview.com/chart/Cgv3Jm6J/?symbol=NSE%3AGANGAFORGE" TargetMode="External"/><Relationship Id="rId636" Type="http://schemas.openxmlformats.org/officeDocument/2006/relationships/hyperlink" Target="https://in.tradingview.com/chart/Cgv3Jm6J/?symbol=NSE%3AGANESHHOUC" TargetMode="External"/><Relationship Id="rId1460" Type="http://schemas.openxmlformats.org/officeDocument/2006/relationships/hyperlink" Target="https://in.tradingview.com/chart/Cgv3Jm6J/?symbol=NSE%3AONESOURCE" TargetMode="External"/><Relationship Id="rId1461" Type="http://schemas.openxmlformats.org/officeDocument/2006/relationships/hyperlink" Target="https://in.tradingview.com/chart/Cgv3Jm6J/?symbol=NSE%3AONGC" TargetMode="External"/><Relationship Id="rId631" Type="http://schemas.openxmlformats.org/officeDocument/2006/relationships/hyperlink" Target="https://in.tradingview.com/chart/Cgv3Jm6J/?symbol=NSE%3AGALLANTT" TargetMode="External"/><Relationship Id="rId1462" Type="http://schemas.openxmlformats.org/officeDocument/2006/relationships/hyperlink" Target="https://in.tradingview.com/chart/Cgv3Jm6J/?symbol=NSE%3AONMOBILE" TargetMode="External"/><Relationship Id="rId630" Type="http://schemas.openxmlformats.org/officeDocument/2006/relationships/hyperlink" Target="https://in.tradingview.com/chart/Cgv3Jm6J/?symbol=NSE%3AGALAXYSURF" TargetMode="External"/><Relationship Id="rId1463" Type="http://schemas.openxmlformats.org/officeDocument/2006/relationships/hyperlink" Target="https://in.tradingview.com/chart/Cgv3Jm6J/?symbol=NSE%3AONWARDTEC" TargetMode="External"/><Relationship Id="rId1464" Type="http://schemas.openxmlformats.org/officeDocument/2006/relationships/hyperlink" Target="https://in.tradingview.com/chart/Cgv3Jm6J/?symbol=NSE%3AOPTIEMUS" TargetMode="External"/><Relationship Id="rId1465" Type="http://schemas.openxmlformats.org/officeDocument/2006/relationships/hyperlink" Target="https://in.tradingview.com/chart/Cgv3Jm6J/?symbol=NSE%3AORBTEXP" TargetMode="External"/><Relationship Id="rId1411" Type="http://schemas.openxmlformats.org/officeDocument/2006/relationships/hyperlink" Target="https://in.tradingview.com/chart/Cgv3Jm6J/?symbol=NSE%3ANINSYS" TargetMode="External"/><Relationship Id="rId1412" Type="http://schemas.openxmlformats.org/officeDocument/2006/relationships/hyperlink" Target="https://in.tradingview.com/chart/Cgv3Jm6J/?symbol=NSE%3ANIPPOBATRY" TargetMode="External"/><Relationship Id="rId1413" Type="http://schemas.openxmlformats.org/officeDocument/2006/relationships/hyperlink" Target="https://in.tradingview.com/chart/Cgv3Jm6J/?symbol=NSE%3ANIRAJ" TargetMode="External"/><Relationship Id="rId1414" Type="http://schemas.openxmlformats.org/officeDocument/2006/relationships/hyperlink" Target="https://in.tradingview.com/chart/Cgv3Jm6J/?symbol=NSE%3ANITCO" TargetMode="External"/><Relationship Id="rId1415" Type="http://schemas.openxmlformats.org/officeDocument/2006/relationships/hyperlink" Target="https://in.tradingview.com/chart/Cgv3Jm6J/?symbol=NSE%3ANITINSPIN" TargetMode="External"/><Relationship Id="rId1416" Type="http://schemas.openxmlformats.org/officeDocument/2006/relationships/hyperlink" Target="https://in.tradingview.com/chart/Cgv3Jm6J/?symbol=NSE%3ANITIRAJ" TargetMode="External"/><Relationship Id="rId1417" Type="http://schemas.openxmlformats.org/officeDocument/2006/relationships/hyperlink" Target="https://in.tradingview.com/chart/Cgv3Jm6J/?symbol=NSE%3ANIVABUPA" TargetMode="External"/><Relationship Id="rId1418" Type="http://schemas.openxmlformats.org/officeDocument/2006/relationships/hyperlink" Target="https://in.tradingview.com/chart/Cgv3Jm6J/?symbol=NSE%3ANKIND" TargetMode="External"/><Relationship Id="rId1419" Type="http://schemas.openxmlformats.org/officeDocument/2006/relationships/hyperlink" Target="https://in.tradingview.com/chart/Cgv3Jm6J/?symbol=NSE%3ANLCINDIA" TargetMode="External"/><Relationship Id="rId1410" Type="http://schemas.openxmlformats.org/officeDocument/2006/relationships/hyperlink" Target="https://in.tradingview.com/chart/Cgv3Jm6J/?symbol=NSE%3ANILKAMAL" TargetMode="External"/><Relationship Id="rId1400" Type="http://schemas.openxmlformats.org/officeDocument/2006/relationships/hyperlink" Target="https://in.tradingview.com/chart/Cgv3Jm6J/?symbol=NSE%3ANIFTY100EW" TargetMode="External"/><Relationship Id="rId1401" Type="http://schemas.openxmlformats.org/officeDocument/2006/relationships/hyperlink" Target="https://in.tradingview.com/chart/Cgv3Jm6J/?symbol=NSE%3ANIFTY50ADD" TargetMode="External"/><Relationship Id="rId1402" Type="http://schemas.openxmlformats.org/officeDocument/2006/relationships/hyperlink" Target="https://in.tradingview.com/chart/Cgv3Jm6J/?symbol=NSE%3ANIFTYBEES" TargetMode="External"/><Relationship Id="rId1403" Type="http://schemas.openxmlformats.org/officeDocument/2006/relationships/hyperlink" Target="https://in.tradingview.com/chart/Cgv3Jm6J/?symbol=NSE%3ANIFTYBETF" TargetMode="External"/><Relationship Id="rId1404" Type="http://schemas.openxmlformats.org/officeDocument/2006/relationships/hyperlink" Target="https://in.tradingview.com/chart/Cgv3Jm6J/?symbol=NSE%3ANIFTYETF" TargetMode="External"/><Relationship Id="rId1405" Type="http://schemas.openxmlformats.org/officeDocument/2006/relationships/hyperlink" Target="https://in.tradingview.com/chart/Cgv3Jm6J/?symbol=NSE%3ANIFTYIETF" TargetMode="External"/><Relationship Id="rId1406" Type="http://schemas.openxmlformats.org/officeDocument/2006/relationships/hyperlink" Target="https://in.tradingview.com/chart/Cgv3Jm6J/?symbol=NSE%3ANIFTYQLITY" TargetMode="External"/><Relationship Id="rId1407" Type="http://schemas.openxmlformats.org/officeDocument/2006/relationships/hyperlink" Target="https://in.tradingview.com/chart/Cgv3Jm6J/?symbol=NSE%3ANIITLTD" TargetMode="External"/><Relationship Id="rId1408" Type="http://schemas.openxmlformats.org/officeDocument/2006/relationships/hyperlink" Target="https://in.tradingview.com/chart/Cgv3Jm6J/?symbol=NSE%3ANIITMTS" TargetMode="External"/><Relationship Id="rId1409" Type="http://schemas.openxmlformats.org/officeDocument/2006/relationships/hyperlink" Target="https://in.tradingview.com/chart/Cgv3Jm6J/?symbol=NSE%3ANILAINFRA" TargetMode="External"/><Relationship Id="rId1433" Type="http://schemas.openxmlformats.org/officeDocument/2006/relationships/hyperlink" Target="https://in.tradingview.com/chart/Cgv3Jm6J/?symbol=NSE%3ANTPCGREEN" TargetMode="External"/><Relationship Id="rId1434" Type="http://schemas.openxmlformats.org/officeDocument/2006/relationships/hyperlink" Target="https://in.tradingview.com/chart/Cgv3Jm6J/?symbol=NSE%3ANUCLEUS" TargetMode="External"/><Relationship Id="rId1435" Type="http://schemas.openxmlformats.org/officeDocument/2006/relationships/hyperlink" Target="https://in.tradingview.com/chart/Cgv3Jm6J/?symbol=NSE%3ANURECA" TargetMode="External"/><Relationship Id="rId1436" Type="http://schemas.openxmlformats.org/officeDocument/2006/relationships/hyperlink" Target="https://in.tradingview.com/chart/Cgv3Jm6J/?symbol=NSE%3ANUVAMA" TargetMode="External"/><Relationship Id="rId1437" Type="http://schemas.openxmlformats.org/officeDocument/2006/relationships/hyperlink" Target="https://in.tradingview.com/chart/Cgv3Jm6J/?symbol=NSE%3ANUVOCO" TargetMode="External"/><Relationship Id="rId1438" Type="http://schemas.openxmlformats.org/officeDocument/2006/relationships/hyperlink" Target="https://in.tradingview.com/chart/Cgv3Jm6J/?symbol=NSE%3ANV20" TargetMode="External"/><Relationship Id="rId1439" Type="http://schemas.openxmlformats.org/officeDocument/2006/relationships/hyperlink" Target="https://in.tradingview.com/chart/Cgv3Jm6J/?symbol=NSE%3ANV20BEES" TargetMode="External"/><Relationship Id="rId609" Type="http://schemas.openxmlformats.org/officeDocument/2006/relationships/hyperlink" Target="https://in.tradingview.com/chart/Cgv3Jm6J/?symbol=NSE%3AFINPIPE" TargetMode="External"/><Relationship Id="rId608" Type="http://schemas.openxmlformats.org/officeDocument/2006/relationships/hyperlink" Target="https://in.tradingview.com/chart/Cgv3Jm6J/?symbol=NSE%3AFINOPB" TargetMode="External"/><Relationship Id="rId607" Type="http://schemas.openxmlformats.org/officeDocument/2006/relationships/hyperlink" Target="https://in.tradingview.com/chart/Cgv3Jm6J/?symbol=NSE%3AFINIETF" TargetMode="External"/><Relationship Id="rId602" Type="http://schemas.openxmlformats.org/officeDocument/2006/relationships/hyperlink" Target="https://in.tradingview.com/chart/Cgv3Jm6J/?symbol=NSE%3AFIEMIND" TargetMode="External"/><Relationship Id="rId601" Type="http://schemas.openxmlformats.org/officeDocument/2006/relationships/hyperlink" Target="https://in.tradingview.com/chart/Cgv3Jm6J/?symbol=NSE%3AFIBERWEB" TargetMode="External"/><Relationship Id="rId600" Type="http://schemas.openxmlformats.org/officeDocument/2006/relationships/hyperlink" Target="https://in.tradingview.com/chart/Cgv3Jm6J/?symbol=NSE%3AFELDVR" TargetMode="External"/><Relationship Id="rId606" Type="http://schemas.openxmlformats.org/officeDocument/2006/relationships/hyperlink" Target="https://in.tradingview.com/chart/Cgv3Jm6J/?symbol=NSE%3AFINEORG" TargetMode="External"/><Relationship Id="rId605" Type="http://schemas.openxmlformats.org/officeDocument/2006/relationships/hyperlink" Target="https://in.tradingview.com/chart/Cgv3Jm6J/?symbol=NSE%3AFINCABLES" TargetMode="External"/><Relationship Id="rId604" Type="http://schemas.openxmlformats.org/officeDocument/2006/relationships/hyperlink" Target="https://in.tradingview.com/chart/Cgv3Jm6J/?symbol=NSE%3AFILATFASH" TargetMode="External"/><Relationship Id="rId603" Type="http://schemas.openxmlformats.org/officeDocument/2006/relationships/hyperlink" Target="https://in.tradingview.com/chart/Cgv3Jm6J/?symbol=NSE%3AFILATEX" TargetMode="External"/><Relationship Id="rId1430" Type="http://schemas.openxmlformats.org/officeDocument/2006/relationships/hyperlink" Target="https://in.tradingview.com/chart/Cgv3Jm6J/?symbol=NSE%3ANSIL" TargetMode="External"/><Relationship Id="rId1431" Type="http://schemas.openxmlformats.org/officeDocument/2006/relationships/hyperlink" Target="https://in.tradingview.com/chart/Cgv3Jm6J/?symbol=NSE%3ANSLNISP" TargetMode="External"/><Relationship Id="rId1432" Type="http://schemas.openxmlformats.org/officeDocument/2006/relationships/hyperlink" Target="https://in.tradingview.com/chart/Cgv3Jm6J/?symbol=NSE%3ANTPC" TargetMode="External"/><Relationship Id="rId1422" Type="http://schemas.openxmlformats.org/officeDocument/2006/relationships/hyperlink" Target="https://in.tradingview.com/chart/Cgv3Jm6J/?symbol=NSE%3ANOIDATOLL" TargetMode="External"/><Relationship Id="rId1423" Type="http://schemas.openxmlformats.org/officeDocument/2006/relationships/hyperlink" Target="https://in.tradingview.com/chart/Cgv3Jm6J/?symbol=NSE%3ANORBTEAEXP" TargetMode="External"/><Relationship Id="rId1424" Type="http://schemas.openxmlformats.org/officeDocument/2006/relationships/hyperlink" Target="https://in.tradingview.com/chart/Cgv3Jm6J/?symbol=NSE%3ANORTHARC" TargetMode="External"/><Relationship Id="rId1425" Type="http://schemas.openxmlformats.org/officeDocument/2006/relationships/hyperlink" Target="https://in.tradingview.com/chart/Cgv3Jm6J/?symbol=NSE%3ANOVAAGRI" TargetMode="External"/><Relationship Id="rId1426" Type="http://schemas.openxmlformats.org/officeDocument/2006/relationships/hyperlink" Target="https://in.tradingview.com/chart/Cgv3Jm6J/?symbol=NSE%3ANPBET" TargetMode="External"/><Relationship Id="rId1427" Type="http://schemas.openxmlformats.org/officeDocument/2006/relationships/hyperlink" Target="https://in.tradingview.com/chart/Cgv3Jm6J/?symbol=NSE%3ANRAIL" TargetMode="External"/><Relationship Id="rId1428" Type="http://schemas.openxmlformats.org/officeDocument/2006/relationships/hyperlink" Target="https://in.tradingview.com/chart/Cgv3Jm6J/?symbol=NSE%3ANRBBEARING" TargetMode="External"/><Relationship Id="rId1429" Type="http://schemas.openxmlformats.org/officeDocument/2006/relationships/hyperlink" Target="https://in.tradingview.com/chart/Cgv3Jm6J/?symbol=NSE%3ANRL" TargetMode="External"/><Relationship Id="rId1420" Type="http://schemas.openxmlformats.org/officeDocument/2006/relationships/hyperlink" Target="https://in.tradingview.com/chart/Cgv3Jm6J/?symbol=NSE%3ANMDC" TargetMode="External"/><Relationship Id="rId1421" Type="http://schemas.openxmlformats.org/officeDocument/2006/relationships/hyperlink" Target="https://in.tradingview.com/chart/Cgv3Jm6J/?symbol=NSE%3ANOCIL" TargetMode="External"/><Relationship Id="rId699" Type="http://schemas.openxmlformats.org/officeDocument/2006/relationships/hyperlink" Target="https://in.tradingview.com/chart/Cgv3Jm6J/?symbol=NSE%3AGOLDCASE" TargetMode="External"/><Relationship Id="rId698" Type="http://schemas.openxmlformats.org/officeDocument/2006/relationships/hyperlink" Target="https://in.tradingview.com/chart/Cgv3Jm6J/?symbol=NSE%3AGOLDBEES" TargetMode="External"/><Relationship Id="rId693" Type="http://schemas.openxmlformats.org/officeDocument/2006/relationships/hyperlink" Target="https://in.tradingview.com/chart/Cgv3Jm6J/?symbol=NSE%3AGOENKA" TargetMode="External"/><Relationship Id="rId692" Type="http://schemas.openxmlformats.org/officeDocument/2006/relationships/hyperlink" Target="https://in.tradingview.com/chart/Cgv3Jm6J/?symbol=NSE%3AGODREJPROP" TargetMode="External"/><Relationship Id="rId691" Type="http://schemas.openxmlformats.org/officeDocument/2006/relationships/hyperlink" Target="https://in.tradingview.com/chart/Cgv3Jm6J/?symbol=NSE%3AGODREJIND" TargetMode="External"/><Relationship Id="rId690" Type="http://schemas.openxmlformats.org/officeDocument/2006/relationships/hyperlink" Target="https://in.tradingview.com/chart/Cgv3Jm6J/?symbol=NSE%3AGODREJCP" TargetMode="External"/><Relationship Id="rId697" Type="http://schemas.openxmlformats.org/officeDocument/2006/relationships/hyperlink" Target="https://in.tradingview.com/chart/Cgv3Jm6J/?symbol=NSE%3AGOLD1" TargetMode="External"/><Relationship Id="rId696" Type="http://schemas.openxmlformats.org/officeDocument/2006/relationships/hyperlink" Target="https://in.tradingview.com/chart/Cgv3Jm6J/?symbol=NSE%3AGOKULAGRO" TargetMode="External"/><Relationship Id="rId695" Type="http://schemas.openxmlformats.org/officeDocument/2006/relationships/hyperlink" Target="https://in.tradingview.com/chart/Cgv3Jm6J/?symbol=NSE%3AGOKUL" TargetMode="External"/><Relationship Id="rId694" Type="http://schemas.openxmlformats.org/officeDocument/2006/relationships/hyperlink" Target="https://in.tradingview.com/chart/Cgv3Jm6J/?symbol=NSE%3AGOKEX" TargetMode="External"/><Relationship Id="rId1499" Type="http://schemas.openxmlformats.org/officeDocument/2006/relationships/hyperlink" Target="https://in.tradingview.com/chart/Cgv3Jm6J/?symbol=NSE%3APARSVNATH" TargetMode="External"/><Relationship Id="rId668" Type="http://schemas.openxmlformats.org/officeDocument/2006/relationships/hyperlink" Target="https://in.tradingview.com/chart/Cgv3Jm6J/?symbol=NSE%3AGLENMARK" TargetMode="External"/><Relationship Id="rId667" Type="http://schemas.openxmlformats.org/officeDocument/2006/relationships/hyperlink" Target="https://in.tradingview.com/chart/Cgv3Jm6J/?symbol=NSE%3AGLAXO" TargetMode="External"/><Relationship Id="rId666" Type="http://schemas.openxmlformats.org/officeDocument/2006/relationships/hyperlink" Target="https://in.tradingview.com/chart/Cgv3Jm6J/?symbol=NSE%3AGLAND" TargetMode="External"/><Relationship Id="rId665" Type="http://schemas.openxmlformats.org/officeDocument/2006/relationships/hyperlink" Target="https://in.tradingview.com/chart/Cgv3Jm6J/?symbol=NSE%3AGKWLIMITED" TargetMode="External"/><Relationship Id="rId669" Type="http://schemas.openxmlformats.org/officeDocument/2006/relationships/hyperlink" Target="https://in.tradingview.com/chart/Cgv3Jm6J/?symbol=NSE%3AGLFL" TargetMode="External"/><Relationship Id="rId1490" Type="http://schemas.openxmlformats.org/officeDocument/2006/relationships/hyperlink" Target="https://in.tradingview.com/chart/Cgv3Jm6J/?symbol=NSE%3APANACHE" TargetMode="External"/><Relationship Id="rId660" Type="http://schemas.openxmlformats.org/officeDocument/2006/relationships/hyperlink" Target="https://in.tradingview.com/chart/Cgv3Jm6J/?symbol=NSE%3AGILLANDERS" TargetMode="External"/><Relationship Id="rId1491" Type="http://schemas.openxmlformats.org/officeDocument/2006/relationships/hyperlink" Target="https://in.tradingview.com/chart/Cgv3Jm6J/?symbol=NSE%3APANAMAPET" TargetMode="External"/><Relationship Id="rId1492" Type="http://schemas.openxmlformats.org/officeDocument/2006/relationships/hyperlink" Target="https://in.tradingview.com/chart/Cgv3Jm6J/?symbol=NSE%3APAR" TargetMode="External"/><Relationship Id="rId1493" Type="http://schemas.openxmlformats.org/officeDocument/2006/relationships/hyperlink" Target="https://in.tradingview.com/chart/Cgv3Jm6J/?symbol=NSE%3APARACABLES" TargetMode="External"/><Relationship Id="rId1494" Type="http://schemas.openxmlformats.org/officeDocument/2006/relationships/hyperlink" Target="https://in.tradingview.com/chart/Cgv3Jm6J/?symbol=NSE%3APARADEEP" TargetMode="External"/><Relationship Id="rId664" Type="http://schemas.openxmlformats.org/officeDocument/2006/relationships/hyperlink" Target="https://in.tradingview.com/chart/Cgv3Jm6J/?symbol=NSE%3AGIPCL" TargetMode="External"/><Relationship Id="rId1495" Type="http://schemas.openxmlformats.org/officeDocument/2006/relationships/hyperlink" Target="https://in.tradingview.com/chart/Cgv3Jm6J/?symbol=NSE%3APARAGMILK" TargetMode="External"/><Relationship Id="rId663" Type="http://schemas.openxmlformats.org/officeDocument/2006/relationships/hyperlink" Target="https://in.tradingview.com/chart/Cgv3Jm6J/?symbol=NSE%3AGINNIFILA" TargetMode="External"/><Relationship Id="rId1496" Type="http://schemas.openxmlformats.org/officeDocument/2006/relationships/hyperlink" Target="https://in.tradingview.com/chart/Cgv3Jm6J/?symbol=NSE%3APARAS" TargetMode="External"/><Relationship Id="rId662" Type="http://schemas.openxmlformats.org/officeDocument/2006/relationships/hyperlink" Target="https://in.tradingview.com/chart/Cgv3Jm6J/?symbol=NSE%3AGILT5YBEES" TargetMode="External"/><Relationship Id="rId1497" Type="http://schemas.openxmlformats.org/officeDocument/2006/relationships/hyperlink" Target="https://in.tradingview.com/chart/Cgv3Jm6J/?symbol=NSE%3APARASPETRO" TargetMode="External"/><Relationship Id="rId661" Type="http://schemas.openxmlformats.org/officeDocument/2006/relationships/hyperlink" Target="https://in.tradingview.com/chart/Cgv3Jm6J/?symbol=NSE%3AGILLETTE" TargetMode="External"/><Relationship Id="rId1498" Type="http://schemas.openxmlformats.org/officeDocument/2006/relationships/hyperlink" Target="https://in.tradingview.com/chart/Cgv3Jm6J/?symbol=NSE%3APARKHOTELS" TargetMode="External"/><Relationship Id="rId1488" Type="http://schemas.openxmlformats.org/officeDocument/2006/relationships/hyperlink" Target="https://in.tradingview.com/chart/Cgv3Jm6J/?symbol=NSE%3APALREDTEC" TargetMode="External"/><Relationship Id="rId1489" Type="http://schemas.openxmlformats.org/officeDocument/2006/relationships/hyperlink" Target="https://in.tradingview.com/chart/Cgv3Jm6J/?symbol=NSE%3APANACEABIO" TargetMode="External"/><Relationship Id="rId657" Type="http://schemas.openxmlformats.org/officeDocument/2006/relationships/hyperlink" Target="https://in.tradingview.com/chart/Cgv3Jm6J/?symbol=NSE%3AGHCLTEXTIL" TargetMode="External"/><Relationship Id="rId656" Type="http://schemas.openxmlformats.org/officeDocument/2006/relationships/hyperlink" Target="https://in.tradingview.com/chart/Cgv3Jm6J/?symbol=NSE%3AGHCL" TargetMode="External"/><Relationship Id="rId655" Type="http://schemas.openxmlformats.org/officeDocument/2006/relationships/hyperlink" Target="https://in.tradingview.com/chart/Cgv3Jm6J/?symbol=NSE%3AGFLLIMITED" TargetMode="External"/><Relationship Id="rId654" Type="http://schemas.openxmlformats.org/officeDocument/2006/relationships/hyperlink" Target="https://in.tradingview.com/chart/Cgv3Jm6J/?symbol=NSE%3AGESHIP" TargetMode="External"/><Relationship Id="rId659" Type="http://schemas.openxmlformats.org/officeDocument/2006/relationships/hyperlink" Target="https://in.tradingview.com/chart/Cgv3Jm6J/?symbol=NSE%3AGICRE" TargetMode="External"/><Relationship Id="rId658" Type="http://schemas.openxmlformats.org/officeDocument/2006/relationships/hyperlink" Target="https://in.tradingview.com/chart/Cgv3Jm6J/?symbol=NSE%3AGICHSGFIN" TargetMode="External"/><Relationship Id="rId1480" Type="http://schemas.openxmlformats.org/officeDocument/2006/relationships/hyperlink" Target="https://in.tradingview.com/chart/Cgv3Jm6J/?symbol=NSE%3AOSIAHYPER" TargetMode="External"/><Relationship Id="rId1481" Type="http://schemas.openxmlformats.org/officeDocument/2006/relationships/hyperlink" Target="https://in.tradingview.com/chart/Cgv3Jm6J/?symbol=NSE%3AOSWALAGRO" TargetMode="External"/><Relationship Id="rId1482" Type="http://schemas.openxmlformats.org/officeDocument/2006/relationships/hyperlink" Target="https://in.tradingview.com/chart/Cgv3Jm6J/?symbol=NSE%3AOSWALGREEN" TargetMode="External"/><Relationship Id="rId1483" Type="http://schemas.openxmlformats.org/officeDocument/2006/relationships/hyperlink" Target="https://in.tradingview.com/chart/Cgv3Jm6J/?symbol=NSE%3AOSWALSEEDS" TargetMode="External"/><Relationship Id="rId653" Type="http://schemas.openxmlformats.org/officeDocument/2006/relationships/hyperlink" Target="https://in.tradingview.com/chart/Cgv3Jm6J/?symbol=NSE%3AGEPIL" TargetMode="External"/><Relationship Id="rId1484" Type="http://schemas.openxmlformats.org/officeDocument/2006/relationships/hyperlink" Target="https://in.tradingview.com/chart/Cgv3Jm6J/?symbol=NSE%3APAGEIND" TargetMode="External"/><Relationship Id="rId652" Type="http://schemas.openxmlformats.org/officeDocument/2006/relationships/hyperlink" Target="https://in.tradingview.com/chart/Cgv3Jm6J/?symbol=NSE%3AGEOJITFSL" TargetMode="External"/><Relationship Id="rId1485" Type="http://schemas.openxmlformats.org/officeDocument/2006/relationships/hyperlink" Target="https://in.tradingview.com/chart/Cgv3Jm6J/?symbol=NSE%3APAISALO" TargetMode="External"/><Relationship Id="rId651" Type="http://schemas.openxmlformats.org/officeDocument/2006/relationships/hyperlink" Target="https://in.tradingview.com/chart/Cgv3Jm6J/?symbol=NSE%3AGENUSPOWER" TargetMode="External"/><Relationship Id="rId1486" Type="http://schemas.openxmlformats.org/officeDocument/2006/relationships/hyperlink" Target="https://in.tradingview.com/chart/Cgv3Jm6J/?symbol=NSE%3APAKKA" TargetMode="External"/><Relationship Id="rId650" Type="http://schemas.openxmlformats.org/officeDocument/2006/relationships/hyperlink" Target="https://in.tradingview.com/chart/Cgv3Jm6J/?symbol=NSE%3AGENUSPAPER" TargetMode="External"/><Relationship Id="rId1487" Type="http://schemas.openxmlformats.org/officeDocument/2006/relationships/hyperlink" Target="https://in.tradingview.com/chart/Cgv3Jm6J/?symbol=NSE%3APALASHSECU" TargetMode="External"/><Relationship Id="rId689" Type="http://schemas.openxmlformats.org/officeDocument/2006/relationships/hyperlink" Target="https://in.tradingview.com/chart/Cgv3Jm6J/?symbol=NSE%3AGODREJAGRO" TargetMode="External"/><Relationship Id="rId688" Type="http://schemas.openxmlformats.org/officeDocument/2006/relationships/hyperlink" Target="https://in.tradingview.com/chart/Cgv3Jm6J/?symbol=NSE%3AGODIGIT" TargetMode="External"/><Relationship Id="rId687" Type="http://schemas.openxmlformats.org/officeDocument/2006/relationships/hyperlink" Target="https://in.tradingview.com/chart/Cgv3Jm6J/?symbol=NSE%3AGODFRYPHLP" TargetMode="External"/><Relationship Id="rId682" Type="http://schemas.openxmlformats.org/officeDocument/2006/relationships/hyperlink" Target="https://in.tradingview.com/chart/Cgv3Jm6J/?symbol=NSE%3AGNFC" TargetMode="External"/><Relationship Id="rId681" Type="http://schemas.openxmlformats.org/officeDocument/2006/relationships/hyperlink" Target="https://in.tradingview.com/chart/Cgv3Jm6J/?symbol=NSE%3AGNA" TargetMode="External"/><Relationship Id="rId680" Type="http://schemas.openxmlformats.org/officeDocument/2006/relationships/hyperlink" Target="https://in.tradingview.com/chart/Cgv3Jm6J/?symbol=NSE%3AGMRP_UI" TargetMode="External"/><Relationship Id="rId686" Type="http://schemas.openxmlformats.org/officeDocument/2006/relationships/hyperlink" Target="https://in.tradingview.com/chart/Cgv3Jm6J/?symbol=NSE%3AGODAVARIB" TargetMode="External"/><Relationship Id="rId685" Type="http://schemas.openxmlformats.org/officeDocument/2006/relationships/hyperlink" Target="https://in.tradingview.com/chart/Cgv3Jm6J/?symbol=NSE%3AGOCOLORS" TargetMode="External"/><Relationship Id="rId684" Type="http://schemas.openxmlformats.org/officeDocument/2006/relationships/hyperlink" Target="https://in.tradingview.com/chart/Cgv3Jm6J/?symbol=NSE%3AGOCLCORP" TargetMode="External"/><Relationship Id="rId683" Type="http://schemas.openxmlformats.org/officeDocument/2006/relationships/hyperlink" Target="https://in.tradingview.com/chart/Cgv3Jm6J/?symbol=NSE%3AGOACARBON" TargetMode="External"/><Relationship Id="rId679" Type="http://schemas.openxmlformats.org/officeDocument/2006/relationships/hyperlink" Target="https://in.tradingview.com/chart/Cgv3Jm6J/?symbol=NSE%3AGMRAIRPORT" TargetMode="External"/><Relationship Id="rId678" Type="http://schemas.openxmlformats.org/officeDocument/2006/relationships/hyperlink" Target="https://in.tradingview.com/chart/Cgv3Jm6J/?symbol=NSE%3AGMMPFAUDLR" TargetMode="External"/><Relationship Id="rId677" Type="http://schemas.openxmlformats.org/officeDocument/2006/relationships/hyperlink" Target="https://in.tradingview.com/chart/Cgv3Jm6J/?symbol=NSE%3AGMDCLTD" TargetMode="External"/><Relationship Id="rId676" Type="http://schemas.openxmlformats.org/officeDocument/2006/relationships/hyperlink" Target="https://in.tradingview.com/chart/Cgv3Jm6J/?symbol=NSE%3AGMBREW" TargetMode="External"/><Relationship Id="rId671" Type="http://schemas.openxmlformats.org/officeDocument/2006/relationships/hyperlink" Target="https://in.tradingview.com/chart/Cgv3Jm6J/?symbol=NSE%3AGLOBALE" TargetMode="External"/><Relationship Id="rId670" Type="http://schemas.openxmlformats.org/officeDocument/2006/relationships/hyperlink" Target="https://in.tradingview.com/chart/Cgv3Jm6J/?symbol=NSE%3AGLOBAL" TargetMode="External"/><Relationship Id="rId675" Type="http://schemas.openxmlformats.org/officeDocument/2006/relationships/hyperlink" Target="https://in.tradingview.com/chart/Cgv3Jm6J/?symbol=NSE%3AGLOSTERLTD" TargetMode="External"/><Relationship Id="rId674" Type="http://schemas.openxmlformats.org/officeDocument/2006/relationships/hyperlink" Target="https://in.tradingview.com/chart/Cgv3Jm6J/?symbol=NSE%3AGLOBUSSPR" TargetMode="External"/><Relationship Id="rId673" Type="http://schemas.openxmlformats.org/officeDocument/2006/relationships/hyperlink" Target="https://in.tradingview.com/chart/Cgv3Jm6J/?symbol=NSE%3AGLOBE" TargetMode="External"/><Relationship Id="rId672" Type="http://schemas.openxmlformats.org/officeDocument/2006/relationships/hyperlink" Target="https://in.tradingview.com/chart/Cgv3Jm6J/?symbol=NSE%3AGLOBALVECT" TargetMode="External"/><Relationship Id="rId190" Type="http://schemas.openxmlformats.org/officeDocument/2006/relationships/hyperlink" Target="https://in.tradingview.com/chart/Cgv3Jm6J/?symbol=NSE%3AAURIONPRO" TargetMode="External"/><Relationship Id="rId194" Type="http://schemas.openxmlformats.org/officeDocument/2006/relationships/hyperlink" Target="https://in.tradingview.com/chart/Cgv3Jm6J/?symbol=NSE%3AAUTOAXLES" TargetMode="External"/><Relationship Id="rId193" Type="http://schemas.openxmlformats.org/officeDocument/2006/relationships/hyperlink" Target="https://in.tradingview.com/chart/Cgv3Jm6J/?symbol=NSE%3AAUSOMENT" TargetMode="External"/><Relationship Id="rId192" Type="http://schemas.openxmlformats.org/officeDocument/2006/relationships/hyperlink" Target="https://in.tradingview.com/chart/Cgv3Jm6J/?symbol=NSE%3AAURUM" TargetMode="External"/><Relationship Id="rId191" Type="http://schemas.openxmlformats.org/officeDocument/2006/relationships/hyperlink" Target="https://in.tradingview.com/chart/Cgv3Jm6J/?symbol=NSE%3AAUROPHARMA" TargetMode="External"/><Relationship Id="rId187" Type="http://schemas.openxmlformats.org/officeDocument/2006/relationships/hyperlink" Target="https://in.tradingview.com/chart/Cgv3Jm6J/?symbol=NSE%3AATUL" TargetMode="External"/><Relationship Id="rId186" Type="http://schemas.openxmlformats.org/officeDocument/2006/relationships/hyperlink" Target="https://in.tradingview.com/chart/Cgv3Jm6J/?symbol=NSE%3AATL" TargetMode="External"/><Relationship Id="rId185" Type="http://schemas.openxmlformats.org/officeDocument/2006/relationships/hyperlink" Target="https://in.tradingview.com/chart/Cgv3Jm6J/?symbol=NSE%3AATGL" TargetMode="External"/><Relationship Id="rId184" Type="http://schemas.openxmlformats.org/officeDocument/2006/relationships/hyperlink" Target="https://in.tradingview.com/chart/Cgv3Jm6J/?symbol=NSE%3AATAM" TargetMode="External"/><Relationship Id="rId189" Type="http://schemas.openxmlformats.org/officeDocument/2006/relationships/hyperlink" Target="https://in.tradingview.com/chart/Cgv3Jm6J/?symbol=NSE%3AAUBANK" TargetMode="External"/><Relationship Id="rId188" Type="http://schemas.openxmlformats.org/officeDocument/2006/relationships/hyperlink" Target="https://in.tradingview.com/chart/Cgv3Jm6J/?symbol=NSE%3AATULAUTO" TargetMode="External"/><Relationship Id="rId183" Type="http://schemas.openxmlformats.org/officeDocument/2006/relationships/hyperlink" Target="https://in.tradingview.com/chart/Cgv3Jm6J/?symbol=NSE%3AATALREAL" TargetMode="External"/><Relationship Id="rId182" Type="http://schemas.openxmlformats.org/officeDocument/2006/relationships/hyperlink" Target="https://in.tradingview.com/chart/Cgv3Jm6J/?symbol=NSE%3AASTRON" TargetMode="External"/><Relationship Id="rId181" Type="http://schemas.openxmlformats.org/officeDocument/2006/relationships/hyperlink" Target="https://in.tradingview.com/chart/Cgv3Jm6J/?symbol=NSE%3AASTRAZEN" TargetMode="External"/><Relationship Id="rId180" Type="http://schemas.openxmlformats.org/officeDocument/2006/relationships/hyperlink" Target="https://in.tradingview.com/chart/Cgv3Jm6J/?symbol=NSE%3AASTRAMICRO" TargetMode="External"/><Relationship Id="rId176" Type="http://schemas.openxmlformats.org/officeDocument/2006/relationships/hyperlink" Target="https://in.tradingview.com/chart/Cgv3Jm6J/?symbol=NSE%3AASPINWALL" TargetMode="External"/><Relationship Id="rId175" Type="http://schemas.openxmlformats.org/officeDocument/2006/relationships/hyperlink" Target="https://in.tradingview.com/chart/Cgv3Jm6J/?symbol=NSE%3AASMS" TargetMode="External"/><Relationship Id="rId174" Type="http://schemas.openxmlformats.org/officeDocument/2006/relationships/hyperlink" Target="https://in.tradingview.com/chart/Cgv3Jm6J/?symbol=NSE%3AASKAUTOLTD" TargetMode="External"/><Relationship Id="rId173" Type="http://schemas.openxmlformats.org/officeDocument/2006/relationships/hyperlink" Target="https://in.tradingview.com/chart/Cgv3Jm6J/?symbol=NSE%3AASIANTILES" TargetMode="External"/><Relationship Id="rId179" Type="http://schemas.openxmlformats.org/officeDocument/2006/relationships/hyperlink" Target="https://in.tradingview.com/chart/Cgv3Jm6J/?symbol=NSE%3AASTRAL" TargetMode="External"/><Relationship Id="rId178" Type="http://schemas.openxmlformats.org/officeDocument/2006/relationships/hyperlink" Target="https://in.tradingview.com/chart/Cgv3Jm6J/?symbol=NSE%3AASTERDM" TargetMode="External"/><Relationship Id="rId177" Type="http://schemas.openxmlformats.org/officeDocument/2006/relationships/hyperlink" Target="https://in.tradingview.com/chart/Cgv3Jm6J/?symbol=NSE%3AASTEC" TargetMode="External"/><Relationship Id="rId198" Type="http://schemas.openxmlformats.org/officeDocument/2006/relationships/hyperlink" Target="https://in.tradingview.com/chart/Cgv3Jm6J/?symbol=NSE%3AAVADHSUGAR" TargetMode="External"/><Relationship Id="rId197" Type="http://schemas.openxmlformats.org/officeDocument/2006/relationships/hyperlink" Target="https://in.tradingview.com/chart/Cgv3Jm6J/?symbol=NSE%3AAUTOIND" TargetMode="External"/><Relationship Id="rId196" Type="http://schemas.openxmlformats.org/officeDocument/2006/relationships/hyperlink" Target="https://in.tradingview.com/chart/Cgv3Jm6J/?symbol=NSE%3AAUTOIETF" TargetMode="External"/><Relationship Id="rId195" Type="http://schemas.openxmlformats.org/officeDocument/2006/relationships/hyperlink" Target="https://in.tradingview.com/chart/Cgv3Jm6J/?symbol=NSE%3AAUTOBEES" TargetMode="External"/><Relationship Id="rId199" Type="http://schemas.openxmlformats.org/officeDocument/2006/relationships/hyperlink" Target="https://in.tradingview.com/chart/Cgv3Jm6J/?symbol=NSE%3AAVALON" TargetMode="External"/><Relationship Id="rId150" Type="http://schemas.openxmlformats.org/officeDocument/2006/relationships/hyperlink" Target="https://in.tradingview.com/chart/Cgv3Jm6J/?symbol=NSE%3AARKADE" TargetMode="External"/><Relationship Id="rId149" Type="http://schemas.openxmlformats.org/officeDocument/2006/relationships/hyperlink" Target="https://in.tradingview.com/chart/Cgv3Jm6J/?symbol=NSE%3AARIHANTSUP" TargetMode="External"/><Relationship Id="rId148" Type="http://schemas.openxmlformats.org/officeDocument/2006/relationships/hyperlink" Target="https://in.tradingview.com/chart/Cgv3Jm6J/?symbol=NSE%3AARIHANTCAP" TargetMode="External"/><Relationship Id="rId143" Type="http://schemas.openxmlformats.org/officeDocument/2006/relationships/hyperlink" Target="https://in.tradingview.com/chart/Cgv3Jm6J/?symbol=NSE%3AARCHIDPLY" TargetMode="External"/><Relationship Id="rId142" Type="http://schemas.openxmlformats.org/officeDocument/2006/relationships/hyperlink" Target="https://in.tradingview.com/chart/Cgv3Jm6J/?symbol=NSE%3AAPTUS" TargetMode="External"/><Relationship Id="rId141" Type="http://schemas.openxmlformats.org/officeDocument/2006/relationships/hyperlink" Target="https://in.tradingview.com/chart/Cgv3Jm6J/?symbol=NSE%3AAPTECHT" TargetMode="External"/><Relationship Id="rId140" Type="http://schemas.openxmlformats.org/officeDocument/2006/relationships/hyperlink" Target="https://in.tradingview.com/chart/Cgv3Jm6J/?symbol=NSE%3AAPOLSINHOT" TargetMode="External"/><Relationship Id="rId147" Type="http://schemas.openxmlformats.org/officeDocument/2006/relationships/hyperlink" Target="https://in.tradingview.com/chart/Cgv3Jm6J/?symbol=NSE%3AARIES" TargetMode="External"/><Relationship Id="rId146" Type="http://schemas.openxmlformats.org/officeDocument/2006/relationships/hyperlink" Target="https://in.tradingview.com/chart/Cgv3Jm6J/?symbol=NSE%3AARENTERP" TargetMode="External"/><Relationship Id="rId145" Type="http://schemas.openxmlformats.org/officeDocument/2006/relationships/hyperlink" Target="https://in.tradingview.com/chart/Cgv3Jm6J/?symbol=NSE%3AARE_M" TargetMode="External"/><Relationship Id="rId144" Type="http://schemas.openxmlformats.org/officeDocument/2006/relationships/hyperlink" Target="https://in.tradingview.com/chart/Cgv3Jm6J/?symbol=NSE%3AARCHIES" TargetMode="External"/><Relationship Id="rId139" Type="http://schemas.openxmlformats.org/officeDocument/2006/relationships/hyperlink" Target="https://in.tradingview.com/chart/Cgv3Jm6J/?symbol=NSE%3AAPOLLOTYRE" TargetMode="External"/><Relationship Id="rId138" Type="http://schemas.openxmlformats.org/officeDocument/2006/relationships/hyperlink" Target="https://in.tradingview.com/chart/Cgv3Jm6J/?symbol=NSE%3AAPOLLOPIPE" TargetMode="External"/><Relationship Id="rId137" Type="http://schemas.openxmlformats.org/officeDocument/2006/relationships/hyperlink" Target="https://in.tradingview.com/chart/Cgv3Jm6J/?symbol=NSE%3AAPOLLOHOSP" TargetMode="External"/><Relationship Id="rId132" Type="http://schemas.openxmlformats.org/officeDocument/2006/relationships/hyperlink" Target="https://in.tradingview.com/chart/Cgv3Jm6J/?symbol=NSE%3AAPCOTEXIND" TargetMode="External"/><Relationship Id="rId131" Type="http://schemas.openxmlformats.org/officeDocument/2006/relationships/hyperlink" Target="https://in.tradingview.com/chart/Cgv3Jm6J/?symbol=NSE%3AAPCL" TargetMode="External"/><Relationship Id="rId130" Type="http://schemas.openxmlformats.org/officeDocument/2006/relationships/hyperlink" Target="https://in.tradingview.com/chart/Cgv3Jm6J/?symbol=NSE%3AAPARINDS" TargetMode="External"/><Relationship Id="rId136" Type="http://schemas.openxmlformats.org/officeDocument/2006/relationships/hyperlink" Target="https://in.tradingview.com/chart/Cgv3Jm6J/?symbol=NSE%3AAPOLLO" TargetMode="External"/><Relationship Id="rId135" Type="http://schemas.openxmlformats.org/officeDocument/2006/relationships/hyperlink" Target="https://in.tradingview.com/chart/Cgv3Jm6J/?symbol=NSE%3AAPLLTD" TargetMode="External"/><Relationship Id="rId134" Type="http://schemas.openxmlformats.org/officeDocument/2006/relationships/hyperlink" Target="https://in.tradingview.com/chart/Cgv3Jm6J/?symbol=NSE%3AAPLAPOLLO" TargetMode="External"/><Relationship Id="rId133" Type="http://schemas.openxmlformats.org/officeDocument/2006/relationships/hyperlink" Target="https://in.tradingview.com/chart/Cgv3Jm6J/?symbol=NSE%3AAPEX" TargetMode="External"/><Relationship Id="rId172" Type="http://schemas.openxmlformats.org/officeDocument/2006/relationships/hyperlink" Target="https://in.tradingview.com/chart/Cgv3Jm6J/?symbol=NSE%3AASIANPAINT" TargetMode="External"/><Relationship Id="rId171" Type="http://schemas.openxmlformats.org/officeDocument/2006/relationships/hyperlink" Target="https://in.tradingview.com/chart/Cgv3Jm6J/?symbol=NSE%3AASIANHOTNR" TargetMode="External"/><Relationship Id="rId170" Type="http://schemas.openxmlformats.org/officeDocument/2006/relationships/hyperlink" Target="https://in.tradingview.com/chart/Cgv3Jm6J/?symbol=NSE%3AASIANENE" TargetMode="External"/><Relationship Id="rId165" Type="http://schemas.openxmlformats.org/officeDocument/2006/relationships/hyperlink" Target="https://in.tradingview.com/chart/Cgv3Jm6J/?symbol=NSE%3AASHIANA" TargetMode="External"/><Relationship Id="rId164" Type="http://schemas.openxmlformats.org/officeDocument/2006/relationships/hyperlink" Target="https://in.tradingview.com/chart/Cgv3Jm6J/?symbol=NSE%3AASHAPURMIN" TargetMode="External"/><Relationship Id="rId163" Type="http://schemas.openxmlformats.org/officeDocument/2006/relationships/hyperlink" Target="https://in.tradingview.com/chart/Cgv3Jm6J/?symbol=NSE%3AASALCBR" TargetMode="External"/><Relationship Id="rId162" Type="http://schemas.openxmlformats.org/officeDocument/2006/relationships/hyperlink" Target="https://in.tradingview.com/chart/Cgv3Jm6J/?symbol=NSE%3AASAL" TargetMode="External"/><Relationship Id="rId169" Type="http://schemas.openxmlformats.org/officeDocument/2006/relationships/hyperlink" Target="https://in.tradingview.com/chart/Cgv3Jm6J/?symbol=NSE%3AASHOKLEY" TargetMode="External"/><Relationship Id="rId168" Type="http://schemas.openxmlformats.org/officeDocument/2006/relationships/hyperlink" Target="https://in.tradingview.com/chart/Cgv3Jm6J/?symbol=NSE%3AASHOKAMET" TargetMode="External"/><Relationship Id="rId167" Type="http://schemas.openxmlformats.org/officeDocument/2006/relationships/hyperlink" Target="https://in.tradingview.com/chart/Cgv3Jm6J/?symbol=NSE%3AASHOKA" TargetMode="External"/><Relationship Id="rId166" Type="http://schemas.openxmlformats.org/officeDocument/2006/relationships/hyperlink" Target="https://in.tradingview.com/chart/Cgv3Jm6J/?symbol=NSE%3AASHIMASYN" TargetMode="External"/><Relationship Id="rId161" Type="http://schemas.openxmlformats.org/officeDocument/2006/relationships/hyperlink" Target="https://in.tradingview.com/chart/Cgv3Jm6J/?symbol=NSE%3AASAHISONG" TargetMode="External"/><Relationship Id="rId160" Type="http://schemas.openxmlformats.org/officeDocument/2006/relationships/hyperlink" Target="https://in.tradingview.com/chart/Cgv3Jm6J/?symbol=NSE%3AASAHIINDIA" TargetMode="External"/><Relationship Id="rId159" Type="http://schemas.openxmlformats.org/officeDocument/2006/relationships/hyperlink" Target="https://in.tradingview.com/chart/Cgv3Jm6J/?symbol=NSE%3AARVSMART" TargetMode="External"/><Relationship Id="rId154" Type="http://schemas.openxmlformats.org/officeDocument/2006/relationships/hyperlink" Target="https://in.tradingview.com/chart/Cgv3Jm6J/?symbol=NSE%3AARTEMISMED" TargetMode="External"/><Relationship Id="rId153" Type="http://schemas.openxmlformats.org/officeDocument/2006/relationships/hyperlink" Target="https://in.tradingview.com/chart/Cgv3Jm6J/?symbol=NSE%3AARROWGREEN" TargetMode="External"/><Relationship Id="rId152" Type="http://schemas.openxmlformats.org/officeDocument/2006/relationships/hyperlink" Target="https://in.tradingview.com/chart/Cgv3Jm6J/?symbol=NSE%3AAROGRANITE" TargetMode="External"/><Relationship Id="rId151" Type="http://schemas.openxmlformats.org/officeDocument/2006/relationships/hyperlink" Target="https://in.tradingview.com/chart/Cgv3Jm6J/?symbol=NSE%3AARMANFIN" TargetMode="External"/><Relationship Id="rId158" Type="http://schemas.openxmlformats.org/officeDocument/2006/relationships/hyperlink" Target="https://in.tradingview.com/chart/Cgv3Jm6J/?symbol=NSE%3AARVINDFASN" TargetMode="External"/><Relationship Id="rId157" Type="http://schemas.openxmlformats.org/officeDocument/2006/relationships/hyperlink" Target="https://in.tradingview.com/chart/Cgv3Jm6J/?symbol=NSE%3AARVIND" TargetMode="External"/><Relationship Id="rId156" Type="http://schemas.openxmlformats.org/officeDocument/2006/relationships/hyperlink" Target="https://in.tradingview.com/chart/Cgv3Jm6J/?symbol=NSE%3AARVEE" TargetMode="External"/><Relationship Id="rId155" Type="http://schemas.openxmlformats.org/officeDocument/2006/relationships/hyperlink" Target="https://in.tradingview.com/chart/Cgv3Jm6J/?symbol=NSE%3AARTNIRMAN" TargetMode="External"/><Relationship Id="rId1510" Type="http://schemas.openxmlformats.org/officeDocument/2006/relationships/hyperlink" Target="https://in.tradingview.com/chart/Cgv3Jm6J/?symbol=NSE%3APEARLPOLY" TargetMode="External"/><Relationship Id="rId1511" Type="http://schemas.openxmlformats.org/officeDocument/2006/relationships/hyperlink" Target="https://in.tradingview.com/chart/Cgv3Jm6J/?symbol=NSE%3APEL" TargetMode="External"/><Relationship Id="rId1512" Type="http://schemas.openxmlformats.org/officeDocument/2006/relationships/hyperlink" Target="https://in.tradingview.com/chart/Cgv3Jm6J/?symbol=NSE%3APENIND" TargetMode="External"/><Relationship Id="rId1513" Type="http://schemas.openxmlformats.org/officeDocument/2006/relationships/hyperlink" Target="https://in.tradingview.com/chart/Cgv3Jm6J/?symbol=NSE%3APERSISTENT" TargetMode="External"/><Relationship Id="rId1514" Type="http://schemas.openxmlformats.org/officeDocument/2006/relationships/hyperlink" Target="https://in.tradingview.com/chart/Cgv3Jm6J/?symbol=NSE%3APETRONET" TargetMode="External"/><Relationship Id="rId1515" Type="http://schemas.openxmlformats.org/officeDocument/2006/relationships/hyperlink" Target="https://in.tradingview.com/chart/Cgv3Jm6J/?symbol=NSE%3APFC" TargetMode="External"/><Relationship Id="rId1516" Type="http://schemas.openxmlformats.org/officeDocument/2006/relationships/hyperlink" Target="https://in.tradingview.com/chart/Cgv3Jm6J/?symbol=NSE%3APFIZER" TargetMode="External"/><Relationship Id="rId1517" Type="http://schemas.openxmlformats.org/officeDocument/2006/relationships/hyperlink" Target="https://in.tradingview.com/chart/Cgv3Jm6J/?symbol=NSE%3APFOCUS" TargetMode="External"/><Relationship Id="rId1518" Type="http://schemas.openxmlformats.org/officeDocument/2006/relationships/hyperlink" Target="https://in.tradingview.com/chart/Cgv3Jm6J/?symbol=NSE%3APFS" TargetMode="External"/><Relationship Id="rId1519" Type="http://schemas.openxmlformats.org/officeDocument/2006/relationships/hyperlink" Target="https://in.tradingview.com/chart/Cgv3Jm6J/?symbol=NSE%3APGEL" TargetMode="External"/><Relationship Id="rId1500" Type="http://schemas.openxmlformats.org/officeDocument/2006/relationships/hyperlink" Target="https://in.tradingview.com/chart/Cgv3Jm6J/?symbol=NSE%3APASUPTAC" TargetMode="External"/><Relationship Id="rId1501" Type="http://schemas.openxmlformats.org/officeDocument/2006/relationships/hyperlink" Target="https://in.tradingview.com/chart/Cgv3Jm6J/?symbol=NSE%3APATANJALI" TargetMode="External"/><Relationship Id="rId1502" Type="http://schemas.openxmlformats.org/officeDocument/2006/relationships/hyperlink" Target="https://in.tradingview.com/chart/Cgv3Jm6J/?symbol=NSE%3APATELENG" TargetMode="External"/><Relationship Id="rId1503" Type="http://schemas.openxmlformats.org/officeDocument/2006/relationships/hyperlink" Target="https://in.tradingview.com/chart/Cgv3Jm6J/?symbol=NSE%3APATINTLOG" TargetMode="External"/><Relationship Id="rId1504" Type="http://schemas.openxmlformats.org/officeDocument/2006/relationships/hyperlink" Target="https://in.tradingview.com/chart/Cgv3Jm6J/?symbol=NSE%3APAVNAIND" TargetMode="External"/><Relationship Id="rId1505" Type="http://schemas.openxmlformats.org/officeDocument/2006/relationships/hyperlink" Target="https://in.tradingview.com/chart/Cgv3Jm6J/?symbol=NSE%3APAYTM" TargetMode="External"/><Relationship Id="rId1506" Type="http://schemas.openxmlformats.org/officeDocument/2006/relationships/hyperlink" Target="https://in.tradingview.com/chart/Cgv3Jm6J/?symbol=NSE%3APCBL" TargetMode="External"/><Relationship Id="rId1507" Type="http://schemas.openxmlformats.org/officeDocument/2006/relationships/hyperlink" Target="https://in.tradingview.com/chart/Cgv3Jm6J/?symbol=NSE%3APCJEWELLER" TargetMode="External"/><Relationship Id="rId1508" Type="http://schemas.openxmlformats.org/officeDocument/2006/relationships/hyperlink" Target="https://in.tradingview.com/chart/Cgv3Jm6J/?symbol=NSE%3APDMJEPAPER" TargetMode="External"/><Relationship Id="rId1509" Type="http://schemas.openxmlformats.org/officeDocument/2006/relationships/hyperlink" Target="https://in.tradingview.com/chart/Cgv3Jm6J/?symbol=NSE%3APDSL" TargetMode="External"/><Relationship Id="rId1576" Type="http://schemas.openxmlformats.org/officeDocument/2006/relationships/hyperlink" Target="https://in.tradingview.com/chart/Cgv3Jm6J/?symbol=NSE%3APRIVISCL" TargetMode="External"/><Relationship Id="rId1577" Type="http://schemas.openxmlformats.org/officeDocument/2006/relationships/hyperlink" Target="https://in.tradingview.com/chart/Cgv3Jm6J/?symbol=NSE%3APROTEAN" TargetMode="External"/><Relationship Id="rId1578" Type="http://schemas.openxmlformats.org/officeDocument/2006/relationships/hyperlink" Target="https://in.tradingview.com/chart/Cgv3Jm6J/?symbol=NSE%3APROZONER" TargetMode="External"/><Relationship Id="rId1579" Type="http://schemas.openxmlformats.org/officeDocument/2006/relationships/hyperlink" Target="https://in.tradingview.com/chart/Cgv3Jm6J/?symbol=NSE%3APRSMJOHNSN" TargetMode="External"/><Relationship Id="rId987" Type="http://schemas.openxmlformats.org/officeDocument/2006/relationships/hyperlink" Target="https://in.tradingview.com/chart/Cgv3Jm6J/?symbol=NSE%3AJINDALSTEL" TargetMode="External"/><Relationship Id="rId986" Type="http://schemas.openxmlformats.org/officeDocument/2006/relationships/hyperlink" Target="https://in.tradingview.com/chart/Cgv3Jm6J/?symbol=NSE%3AJINDALSAW" TargetMode="External"/><Relationship Id="rId985" Type="http://schemas.openxmlformats.org/officeDocument/2006/relationships/hyperlink" Target="https://in.tradingview.com/chart/Cgv3Jm6J/?symbol=NSE%3AJINDALPOLY" TargetMode="External"/><Relationship Id="rId984" Type="http://schemas.openxmlformats.org/officeDocument/2006/relationships/hyperlink" Target="https://in.tradingview.com/chart/Cgv3Jm6J/?symbol=NSE%3AJINDALPHOT" TargetMode="External"/><Relationship Id="rId989" Type="http://schemas.openxmlformats.org/officeDocument/2006/relationships/hyperlink" Target="https://in.tradingview.com/chart/Cgv3Jm6J/?symbol=NSE%3AJINDWORLD" TargetMode="External"/><Relationship Id="rId988" Type="http://schemas.openxmlformats.org/officeDocument/2006/relationships/hyperlink" Target="https://in.tradingview.com/chart/Cgv3Jm6J/?symbol=NSE%3AJINDRILL" TargetMode="External"/><Relationship Id="rId1570" Type="http://schemas.openxmlformats.org/officeDocument/2006/relationships/hyperlink" Target="https://in.tradingview.com/chart/Cgv3Jm6J/?symbol=NSE%3APRESTIGE" TargetMode="External"/><Relationship Id="rId1571" Type="http://schemas.openxmlformats.org/officeDocument/2006/relationships/hyperlink" Target="https://in.tradingview.com/chart/Cgv3Jm6J/?symbol=NSE%3APRICOLLTD" TargetMode="External"/><Relationship Id="rId983" Type="http://schemas.openxmlformats.org/officeDocument/2006/relationships/hyperlink" Target="https://in.tradingview.com/chart/Cgv3Jm6J/?symbol=NSE%3AJHS" TargetMode="External"/><Relationship Id="rId1572" Type="http://schemas.openxmlformats.org/officeDocument/2006/relationships/hyperlink" Target="https://in.tradingview.com/chart/Cgv3Jm6J/?symbol=NSE%3APRIMESECU" TargetMode="External"/><Relationship Id="rId982" Type="http://schemas.openxmlformats.org/officeDocument/2006/relationships/hyperlink" Target="https://in.tradingview.com/chart/Cgv3Jm6J/?symbol=NSE%3AJGCHEM" TargetMode="External"/><Relationship Id="rId1573" Type="http://schemas.openxmlformats.org/officeDocument/2006/relationships/hyperlink" Target="https://in.tradingview.com/chart/Cgv3Jm6J/?symbol=NSE%3APRINCEPIPE" TargetMode="External"/><Relationship Id="rId981" Type="http://schemas.openxmlformats.org/officeDocument/2006/relationships/hyperlink" Target="https://in.tradingview.com/chart/Cgv3Jm6J/?symbol=NSE%3AJETFREIGHT" TargetMode="External"/><Relationship Id="rId1574" Type="http://schemas.openxmlformats.org/officeDocument/2006/relationships/hyperlink" Target="https://in.tradingview.com/chart/Cgv3Jm6J/?symbol=NSE%3APRITI" TargetMode="External"/><Relationship Id="rId980" Type="http://schemas.openxmlformats.org/officeDocument/2006/relationships/hyperlink" Target="https://in.tradingview.com/chart/Cgv3Jm6J/?symbol=NSE%3AJCHAC" TargetMode="External"/><Relationship Id="rId1575" Type="http://schemas.openxmlformats.org/officeDocument/2006/relationships/hyperlink" Target="https://in.tradingview.com/chart/Cgv3Jm6J/?symbol=NSE%3APRITIKAUTO" TargetMode="External"/><Relationship Id="rId1565" Type="http://schemas.openxmlformats.org/officeDocument/2006/relationships/hyperlink" Target="https://in.tradingview.com/chart/Cgv3Jm6J/?symbol=NSE%3APRECWIRE" TargetMode="External"/><Relationship Id="rId1566" Type="http://schemas.openxmlformats.org/officeDocument/2006/relationships/hyperlink" Target="https://in.tradingview.com/chart/Cgv3Jm6J/?symbol=NSE%3APREMEXPLN" TargetMode="External"/><Relationship Id="rId1567" Type="http://schemas.openxmlformats.org/officeDocument/2006/relationships/hyperlink" Target="https://in.tradingview.com/chart/Cgv3Jm6J/?symbol=NSE%3APREMIER" TargetMode="External"/><Relationship Id="rId1568" Type="http://schemas.openxmlformats.org/officeDocument/2006/relationships/hyperlink" Target="https://in.tradingview.com/chart/Cgv3Jm6J/?symbol=NSE%3APREMIERENE" TargetMode="External"/><Relationship Id="rId1569" Type="http://schemas.openxmlformats.org/officeDocument/2006/relationships/hyperlink" Target="https://in.tradingview.com/chart/Cgv3Jm6J/?symbol=NSE%3APREMIERPOL" TargetMode="External"/><Relationship Id="rId976" Type="http://schemas.openxmlformats.org/officeDocument/2006/relationships/hyperlink" Target="https://in.tradingview.com/chart/Cgv3Jm6J/?symbol=NSE%3AJAYNECOIND" TargetMode="External"/><Relationship Id="rId975" Type="http://schemas.openxmlformats.org/officeDocument/2006/relationships/hyperlink" Target="https://in.tradingview.com/chart/Cgv3Jm6J/?symbol=NSE%3AJAYBARMARU" TargetMode="External"/><Relationship Id="rId974" Type="http://schemas.openxmlformats.org/officeDocument/2006/relationships/hyperlink" Target="https://in.tradingview.com/chart/Cgv3Jm6J/?symbol=NSE%3AJAYAGROGN" TargetMode="External"/><Relationship Id="rId973" Type="http://schemas.openxmlformats.org/officeDocument/2006/relationships/hyperlink" Target="https://in.tradingview.com/chart/Cgv3Jm6J/?symbol=NSE%3AJASH" TargetMode="External"/><Relationship Id="rId979" Type="http://schemas.openxmlformats.org/officeDocument/2006/relationships/hyperlink" Target="https://in.tradingview.com/chart/Cgv3Jm6J/?symbol=NSE%3AJBMA" TargetMode="External"/><Relationship Id="rId978" Type="http://schemas.openxmlformats.org/officeDocument/2006/relationships/hyperlink" Target="https://in.tradingview.com/chart/Cgv3Jm6J/?symbol=NSE%3AJBCHEPHARM" TargetMode="External"/><Relationship Id="rId977" Type="http://schemas.openxmlformats.org/officeDocument/2006/relationships/hyperlink" Target="https://in.tradingview.com/chart/Cgv3Jm6J/?symbol=NSE%3AJAYSREETEA" TargetMode="External"/><Relationship Id="rId1560" Type="http://schemas.openxmlformats.org/officeDocument/2006/relationships/hyperlink" Target="https://in.tradingview.com/chart/Cgv3Jm6J/?symbol=NSE%3APRAKASH" TargetMode="External"/><Relationship Id="rId972" Type="http://schemas.openxmlformats.org/officeDocument/2006/relationships/hyperlink" Target="https://in.tradingview.com/chart/Cgv3Jm6J/?symbol=NSE%3AJAMNAAUTO" TargetMode="External"/><Relationship Id="rId1561" Type="http://schemas.openxmlformats.org/officeDocument/2006/relationships/hyperlink" Target="https://in.tradingview.com/chart/Cgv3Jm6J/?symbol=NSE%3APRAKASHSTL" TargetMode="External"/><Relationship Id="rId971" Type="http://schemas.openxmlformats.org/officeDocument/2006/relationships/hyperlink" Target="https://in.tradingview.com/chart/Cgv3Jm6J/?symbol=NSE%3AJAIPURKURT" TargetMode="External"/><Relationship Id="rId1562" Type="http://schemas.openxmlformats.org/officeDocument/2006/relationships/hyperlink" Target="https://in.tradingview.com/chart/Cgv3Jm6J/?symbol=NSE%3APRAXIS" TargetMode="External"/><Relationship Id="rId970" Type="http://schemas.openxmlformats.org/officeDocument/2006/relationships/hyperlink" Target="https://in.tradingview.com/chart/Cgv3Jm6J/?symbol=NSE%3AJAICORPLTD" TargetMode="External"/><Relationship Id="rId1563" Type="http://schemas.openxmlformats.org/officeDocument/2006/relationships/hyperlink" Target="https://in.tradingview.com/chart/Cgv3Jm6J/?symbol=NSE%3APRECAM" TargetMode="External"/><Relationship Id="rId1564" Type="http://schemas.openxmlformats.org/officeDocument/2006/relationships/hyperlink" Target="https://in.tradingview.com/chart/Cgv3Jm6J/?symbol=NSE%3APRECOT" TargetMode="External"/><Relationship Id="rId1598" Type="http://schemas.openxmlformats.org/officeDocument/2006/relationships/hyperlink" Target="https://in.tradingview.com/chart/Cgv3Jm6J/?symbol=NSE%3AQGOLDHALF" TargetMode="External"/><Relationship Id="rId1599" Type="http://schemas.openxmlformats.org/officeDocument/2006/relationships/hyperlink" Target="https://in.tradingview.com/chart/Cgv3Jm6J/?symbol=NSE%3AQNIFTY" TargetMode="External"/><Relationship Id="rId1590" Type="http://schemas.openxmlformats.org/officeDocument/2006/relationships/hyperlink" Target="https://in.tradingview.com/chart/Cgv3Jm6J/?symbol=NSE%3APUNJABCHEM" TargetMode="External"/><Relationship Id="rId1591" Type="http://schemas.openxmlformats.org/officeDocument/2006/relationships/hyperlink" Target="https://in.tradingview.com/chart/Cgv3Jm6J/?symbol=NSE%3APURVA" TargetMode="External"/><Relationship Id="rId1592" Type="http://schemas.openxmlformats.org/officeDocument/2006/relationships/hyperlink" Target="https://in.tradingview.com/chart/Cgv3Jm6J/?symbol=NSE%3APVP" TargetMode="External"/><Relationship Id="rId1593" Type="http://schemas.openxmlformats.org/officeDocument/2006/relationships/hyperlink" Target="https://in.tradingview.com/chart/Cgv3Jm6J/?symbol=NSE%3APVRINOX" TargetMode="External"/><Relationship Id="rId1594" Type="http://schemas.openxmlformats.org/officeDocument/2006/relationships/hyperlink" Target="https://in.tradingview.com/chart/Cgv3Jm6J/?symbol=NSE%3APVSL" TargetMode="External"/><Relationship Id="rId1595" Type="http://schemas.openxmlformats.org/officeDocument/2006/relationships/hyperlink" Target="https://in.tradingview.com/chart/Cgv3Jm6J/?symbol=NSE%3APVTBANIETF" TargetMode="External"/><Relationship Id="rId1596" Type="http://schemas.openxmlformats.org/officeDocument/2006/relationships/hyperlink" Target="https://in.tradingview.com/chart/Cgv3Jm6J/?symbol=NSE%3APVTBANKADD" TargetMode="External"/><Relationship Id="rId1597" Type="http://schemas.openxmlformats.org/officeDocument/2006/relationships/hyperlink" Target="https://in.tradingview.com/chart/Cgv3Jm6J/?symbol=NSE%3APYRAMID" TargetMode="External"/><Relationship Id="rId1587" Type="http://schemas.openxmlformats.org/officeDocument/2006/relationships/hyperlink" Target="https://in.tradingview.com/chart/Cgv3Jm6J/?symbol=NSE%3APTC" TargetMode="External"/><Relationship Id="rId1588" Type="http://schemas.openxmlformats.org/officeDocument/2006/relationships/hyperlink" Target="https://in.tradingview.com/chart/Cgv3Jm6J/?symbol=NSE%3APTCIL" TargetMode="External"/><Relationship Id="rId1589" Type="http://schemas.openxmlformats.org/officeDocument/2006/relationships/hyperlink" Target="https://in.tradingview.com/chart/Cgv3Jm6J/?symbol=NSE%3APTL" TargetMode="External"/><Relationship Id="rId998" Type="http://schemas.openxmlformats.org/officeDocument/2006/relationships/hyperlink" Target="https://in.tradingview.com/chart/Cgv3Jm6J/?symbol=NSE%3AJKTYRE" TargetMode="External"/><Relationship Id="rId997" Type="http://schemas.openxmlformats.org/officeDocument/2006/relationships/hyperlink" Target="https://in.tradingview.com/chart/Cgv3Jm6J/?symbol=NSE%3AJKPAPER" TargetMode="External"/><Relationship Id="rId996" Type="http://schemas.openxmlformats.org/officeDocument/2006/relationships/hyperlink" Target="https://in.tradingview.com/chart/Cgv3Jm6J/?symbol=NSE%3AJKLAKSHMI" TargetMode="External"/><Relationship Id="rId995" Type="http://schemas.openxmlformats.org/officeDocument/2006/relationships/hyperlink" Target="https://in.tradingview.com/chart/Cgv3Jm6J/?symbol=NSE%3AJKIL" TargetMode="External"/><Relationship Id="rId999" Type="http://schemas.openxmlformats.org/officeDocument/2006/relationships/hyperlink" Target="https://in.tradingview.com/chart/Cgv3Jm6J/?symbol=NSE%3AJLHL" TargetMode="External"/><Relationship Id="rId990" Type="http://schemas.openxmlformats.org/officeDocument/2006/relationships/hyperlink" Target="https://in.tradingview.com/chart/Cgv3Jm6J/?symbol=NSE%3AJIOFIN" TargetMode="External"/><Relationship Id="rId1580" Type="http://schemas.openxmlformats.org/officeDocument/2006/relationships/hyperlink" Target="https://in.tradingview.com/chart/Cgv3Jm6J/?symbol=NSE%3APRUDENT" TargetMode="External"/><Relationship Id="rId1581" Type="http://schemas.openxmlformats.org/officeDocument/2006/relationships/hyperlink" Target="https://in.tradingview.com/chart/Cgv3Jm6J/?symbol=NSE%3APSB" TargetMode="External"/><Relationship Id="rId1582" Type="http://schemas.openxmlformats.org/officeDocument/2006/relationships/hyperlink" Target="https://in.tradingview.com/chart/Cgv3Jm6J/?symbol=NSE%3APSPPROJECT" TargetMode="External"/><Relationship Id="rId994" Type="http://schemas.openxmlformats.org/officeDocument/2006/relationships/hyperlink" Target="https://in.tradingview.com/chart/Cgv3Jm6J/?symbol=NSE%3AJKCEMENT" TargetMode="External"/><Relationship Id="rId1583" Type="http://schemas.openxmlformats.org/officeDocument/2006/relationships/hyperlink" Target="https://in.tradingview.com/chart/Cgv3Jm6J/?symbol=NSE%3APSUBANK" TargetMode="External"/><Relationship Id="rId993" Type="http://schemas.openxmlformats.org/officeDocument/2006/relationships/hyperlink" Target="https://in.tradingview.com/chart/Cgv3Jm6J/?symbol=NSE%3AJITFINFRA" TargetMode="External"/><Relationship Id="rId1584" Type="http://schemas.openxmlformats.org/officeDocument/2006/relationships/hyperlink" Target="https://in.tradingview.com/chart/Cgv3Jm6J/?symbol=NSE%3APSUBANKADD" TargetMode="External"/><Relationship Id="rId992" Type="http://schemas.openxmlformats.org/officeDocument/2006/relationships/hyperlink" Target="https://in.tradingview.com/chart/Cgv3Jm6J/?symbol=NSE%3AJISLJALEQS" TargetMode="External"/><Relationship Id="rId1585" Type="http://schemas.openxmlformats.org/officeDocument/2006/relationships/hyperlink" Target="https://in.tradingview.com/chart/Cgv3Jm6J/?symbol=NSE%3APSUBNKBEES" TargetMode="External"/><Relationship Id="rId991" Type="http://schemas.openxmlformats.org/officeDocument/2006/relationships/hyperlink" Target="https://in.tradingview.com/chart/Cgv3Jm6J/?symbol=NSE%3AJISLDVREQS" TargetMode="External"/><Relationship Id="rId1586" Type="http://schemas.openxmlformats.org/officeDocument/2006/relationships/hyperlink" Target="https://in.tradingview.com/chart/Cgv3Jm6J/?symbol=NSE%3APSUBNKIETF" TargetMode="External"/><Relationship Id="rId1532" Type="http://schemas.openxmlformats.org/officeDocument/2006/relationships/hyperlink" Target="https://in.tradingview.com/chart/Cgv3Jm6J/?symbol=NSE%3APIXTRANS" TargetMode="External"/><Relationship Id="rId1533" Type="http://schemas.openxmlformats.org/officeDocument/2006/relationships/hyperlink" Target="https://in.tradingview.com/chart/Cgv3Jm6J/?symbol=NSE%3APKTEA" TargetMode="External"/><Relationship Id="rId1534" Type="http://schemas.openxmlformats.org/officeDocument/2006/relationships/hyperlink" Target="https://in.tradingview.com/chart/Cgv3Jm6J/?symbol=NSE%3APLASTIBLEN" TargetMode="External"/><Relationship Id="rId1535" Type="http://schemas.openxmlformats.org/officeDocument/2006/relationships/hyperlink" Target="https://in.tradingview.com/chart/Cgv3Jm6J/?symbol=NSE%3APLATIND" TargetMode="External"/><Relationship Id="rId1536" Type="http://schemas.openxmlformats.org/officeDocument/2006/relationships/hyperlink" Target="https://in.tradingview.com/chart/Cgv3Jm6J/?symbol=NSE%3APLAZACABLE" TargetMode="External"/><Relationship Id="rId1537" Type="http://schemas.openxmlformats.org/officeDocument/2006/relationships/hyperlink" Target="https://in.tradingview.com/chart/Cgv3Jm6J/?symbol=NSE%3APNB" TargetMode="External"/><Relationship Id="rId1538" Type="http://schemas.openxmlformats.org/officeDocument/2006/relationships/hyperlink" Target="https://in.tradingview.com/chart/Cgv3Jm6J/?symbol=NSE%3APNBGILTS" TargetMode="External"/><Relationship Id="rId1539" Type="http://schemas.openxmlformats.org/officeDocument/2006/relationships/hyperlink" Target="https://in.tradingview.com/chart/Cgv3Jm6J/?symbol=NSE%3APNBHOUSING" TargetMode="External"/><Relationship Id="rId949" Type="http://schemas.openxmlformats.org/officeDocument/2006/relationships/hyperlink" Target="https://in.tradingview.com/chart/Cgv3Jm6J/?symbol=NSE%3AISFT" TargetMode="External"/><Relationship Id="rId948" Type="http://schemas.openxmlformats.org/officeDocument/2006/relationships/hyperlink" Target="https://in.tradingview.com/chart/Cgv3Jm6J/?symbol=NSE%3AIRMENERGY" TargetMode="External"/><Relationship Id="rId943" Type="http://schemas.openxmlformats.org/officeDocument/2006/relationships/hyperlink" Target="https://in.tradingview.com/chart/Cgv3Jm6J/?symbol=NSE%3AIRCON" TargetMode="External"/><Relationship Id="rId942" Type="http://schemas.openxmlformats.org/officeDocument/2006/relationships/hyperlink" Target="https://in.tradingview.com/chart/Cgv3Jm6J/?symbol=NSE%3AIRB" TargetMode="External"/><Relationship Id="rId941" Type="http://schemas.openxmlformats.org/officeDocument/2006/relationships/hyperlink" Target="https://in.tradingview.com/chart/Cgv3Jm6J/?symbol=NSE%3AIPL" TargetMode="External"/><Relationship Id="rId940" Type="http://schemas.openxmlformats.org/officeDocument/2006/relationships/hyperlink" Target="https://in.tradingview.com/chart/Cgv3Jm6J/?symbol=NSE%3AIPCALAB" TargetMode="External"/><Relationship Id="rId947" Type="http://schemas.openxmlformats.org/officeDocument/2006/relationships/hyperlink" Target="https://in.tradingview.com/chart/Cgv3Jm6J/?symbol=NSE%3AIRISDOREME" TargetMode="External"/><Relationship Id="rId946" Type="http://schemas.openxmlformats.org/officeDocument/2006/relationships/hyperlink" Target="https://in.tradingview.com/chart/Cgv3Jm6J/?symbol=NSE%3AIRFC" TargetMode="External"/><Relationship Id="rId945" Type="http://schemas.openxmlformats.org/officeDocument/2006/relationships/hyperlink" Target="https://in.tradingview.com/chart/Cgv3Jm6J/?symbol=NSE%3AIREDA" TargetMode="External"/><Relationship Id="rId944" Type="http://schemas.openxmlformats.org/officeDocument/2006/relationships/hyperlink" Target="https://in.tradingview.com/chart/Cgv3Jm6J/?symbol=NSE%3AIRCTC" TargetMode="External"/><Relationship Id="rId1530" Type="http://schemas.openxmlformats.org/officeDocument/2006/relationships/hyperlink" Target="https://in.tradingview.com/chart/Cgv3Jm6J/?symbol=NSE%3APIONEEREMB" TargetMode="External"/><Relationship Id="rId1531" Type="http://schemas.openxmlformats.org/officeDocument/2006/relationships/hyperlink" Target="https://in.tradingview.com/chart/Cgv3Jm6J/?symbol=NSE%3APITTIENG" TargetMode="External"/><Relationship Id="rId1521" Type="http://schemas.openxmlformats.org/officeDocument/2006/relationships/hyperlink" Target="https://in.tradingview.com/chart/Cgv3Jm6J/?symbol=NSE%3APGHL" TargetMode="External"/><Relationship Id="rId1522" Type="http://schemas.openxmlformats.org/officeDocument/2006/relationships/hyperlink" Target="https://in.tradingview.com/chart/Cgv3Jm6J/?symbol=NSE%3APGIL" TargetMode="External"/><Relationship Id="rId1523" Type="http://schemas.openxmlformats.org/officeDocument/2006/relationships/hyperlink" Target="https://in.tradingview.com/chart/Cgv3Jm6J/?symbol=NSE%3APHARMABEES" TargetMode="External"/><Relationship Id="rId1524" Type="http://schemas.openxmlformats.org/officeDocument/2006/relationships/hyperlink" Target="https://in.tradingview.com/chart/Cgv3Jm6J/?symbol=NSE%3APHOENIXLTD" TargetMode="External"/><Relationship Id="rId1525" Type="http://schemas.openxmlformats.org/officeDocument/2006/relationships/hyperlink" Target="https://in.tradingview.com/chart/Cgv3Jm6J/?symbol=NSE%3APIDILITIND" TargetMode="External"/><Relationship Id="rId1526" Type="http://schemas.openxmlformats.org/officeDocument/2006/relationships/hyperlink" Target="https://in.tradingview.com/chart/Cgv3Jm6J/?symbol=NSE%3APIGL" TargetMode="External"/><Relationship Id="rId1527" Type="http://schemas.openxmlformats.org/officeDocument/2006/relationships/hyperlink" Target="https://in.tradingview.com/chart/Cgv3Jm6J/?symbol=NSE%3APIIND" TargetMode="External"/><Relationship Id="rId1528" Type="http://schemas.openxmlformats.org/officeDocument/2006/relationships/hyperlink" Target="https://in.tradingview.com/chart/Cgv3Jm6J/?symbol=NSE%3APILANIINVS" TargetMode="External"/><Relationship Id="rId1529" Type="http://schemas.openxmlformats.org/officeDocument/2006/relationships/hyperlink" Target="https://in.tradingview.com/chart/Cgv3Jm6J/?symbol=NSE%3APILITA" TargetMode="External"/><Relationship Id="rId939" Type="http://schemas.openxmlformats.org/officeDocument/2006/relationships/hyperlink" Target="https://in.tradingview.com/chart/Cgv3Jm6J/?symbol=NSE%3AIONEXCHANG" TargetMode="External"/><Relationship Id="rId938" Type="http://schemas.openxmlformats.org/officeDocument/2006/relationships/hyperlink" Target="https://in.tradingview.com/chart/Cgv3Jm6J/?symbol=NSE%3AIOLCP" TargetMode="External"/><Relationship Id="rId937" Type="http://schemas.openxmlformats.org/officeDocument/2006/relationships/hyperlink" Target="https://in.tradingview.com/chart/Cgv3Jm6J/?symbol=NSE%3AIOC" TargetMode="External"/><Relationship Id="rId932" Type="http://schemas.openxmlformats.org/officeDocument/2006/relationships/hyperlink" Target="https://in.tradingview.com/chart/Cgv3Jm6J/?symbol=NSE%3AINTENTECH" TargetMode="External"/><Relationship Id="rId931" Type="http://schemas.openxmlformats.org/officeDocument/2006/relationships/hyperlink" Target="https://in.tradingview.com/chart/Cgv3Jm6J/?symbol=NSE%3AINTELLECT" TargetMode="External"/><Relationship Id="rId930" Type="http://schemas.openxmlformats.org/officeDocument/2006/relationships/hyperlink" Target="https://in.tradingview.com/chart/Cgv3Jm6J/?symbol=NSE%3AINSPIRISYS" TargetMode="External"/><Relationship Id="rId936" Type="http://schemas.openxmlformats.org/officeDocument/2006/relationships/hyperlink" Target="https://in.tradingview.com/chart/Cgv3Jm6J/?symbol=NSE%3AIOB" TargetMode="External"/><Relationship Id="rId935" Type="http://schemas.openxmlformats.org/officeDocument/2006/relationships/hyperlink" Target="https://in.tradingview.com/chart/Cgv3Jm6J/?symbol=NSE%3AINVENTURE" TargetMode="External"/><Relationship Id="rId934" Type="http://schemas.openxmlformats.org/officeDocument/2006/relationships/hyperlink" Target="https://in.tradingview.com/chart/Cgv3Jm6J/?symbol=NSE%3AINTLCONV" TargetMode="External"/><Relationship Id="rId933" Type="http://schemas.openxmlformats.org/officeDocument/2006/relationships/hyperlink" Target="https://in.tradingview.com/chart/Cgv3Jm6J/?symbol=NSE%3AINTERARCH" TargetMode="External"/><Relationship Id="rId1520" Type="http://schemas.openxmlformats.org/officeDocument/2006/relationships/hyperlink" Target="https://in.tradingview.com/chart/Cgv3Jm6J/?symbol=NSE%3APGHH" TargetMode="External"/><Relationship Id="rId1554" Type="http://schemas.openxmlformats.org/officeDocument/2006/relationships/hyperlink" Target="https://in.tradingview.com/chart/Cgv3Jm6J/?symbol=NSE%3APOWERMECH" TargetMode="External"/><Relationship Id="rId1555" Type="http://schemas.openxmlformats.org/officeDocument/2006/relationships/hyperlink" Target="https://in.tradingview.com/chart/Cgv3Jm6J/?symbol=NSE%3APPAP" TargetMode="External"/><Relationship Id="rId1556" Type="http://schemas.openxmlformats.org/officeDocument/2006/relationships/hyperlink" Target="https://in.tradingview.com/chart/Cgv3Jm6J/?symbol=NSE%3APPL" TargetMode="External"/><Relationship Id="rId1557" Type="http://schemas.openxmlformats.org/officeDocument/2006/relationships/hyperlink" Target="https://in.tradingview.com/chart/Cgv3Jm6J/?symbol=NSE%3APPLPHARMA" TargetMode="External"/><Relationship Id="rId1558" Type="http://schemas.openxmlformats.org/officeDocument/2006/relationships/hyperlink" Target="https://in.tradingview.com/chart/Cgv3Jm6J/?symbol=NSE%3APRAENG" TargetMode="External"/><Relationship Id="rId1559" Type="http://schemas.openxmlformats.org/officeDocument/2006/relationships/hyperlink" Target="https://in.tradingview.com/chart/Cgv3Jm6J/?symbol=NSE%3APRAJIND" TargetMode="External"/><Relationship Id="rId965" Type="http://schemas.openxmlformats.org/officeDocument/2006/relationships/hyperlink" Target="https://in.tradingview.com/chart/Cgv3Jm6J/?symbol=NSE%3AIXIGO" TargetMode="External"/><Relationship Id="rId964" Type="http://schemas.openxmlformats.org/officeDocument/2006/relationships/hyperlink" Target="https://in.tradingview.com/chart/Cgv3Jm6J/?symbol=NSE%3AIVZINNIFTY" TargetMode="External"/><Relationship Id="rId963" Type="http://schemas.openxmlformats.org/officeDocument/2006/relationships/hyperlink" Target="https://in.tradingview.com/chart/Cgv3Jm6J/?symbol=NSE%3AIVZINGOLD" TargetMode="External"/><Relationship Id="rId962" Type="http://schemas.openxmlformats.org/officeDocument/2006/relationships/hyperlink" Target="https://in.tradingview.com/chart/Cgv3Jm6J/?symbol=NSE%3AIVP" TargetMode="External"/><Relationship Id="rId969" Type="http://schemas.openxmlformats.org/officeDocument/2006/relationships/hyperlink" Target="https://in.tradingview.com/chart/Cgv3Jm6J/?symbol=NSE%3AJAIBALAJI" TargetMode="External"/><Relationship Id="rId968" Type="http://schemas.openxmlformats.org/officeDocument/2006/relationships/hyperlink" Target="https://in.tradingview.com/chart/Cgv3Jm6J/?symbol=NSE%3AJAGSNPHARM" TargetMode="External"/><Relationship Id="rId967" Type="http://schemas.openxmlformats.org/officeDocument/2006/relationships/hyperlink" Target="https://in.tradingview.com/chart/Cgv3Jm6J/?symbol=NSE%3AJAGRAN" TargetMode="External"/><Relationship Id="rId966" Type="http://schemas.openxmlformats.org/officeDocument/2006/relationships/hyperlink" Target="https://in.tradingview.com/chart/Cgv3Jm6J/?symbol=NSE%3AJ_KBANK" TargetMode="External"/><Relationship Id="rId961" Type="http://schemas.openxmlformats.org/officeDocument/2006/relationships/hyperlink" Target="https://in.tradingview.com/chart/Cgv3Jm6J/?symbol=NSE%3AIVC" TargetMode="External"/><Relationship Id="rId1550" Type="http://schemas.openxmlformats.org/officeDocument/2006/relationships/hyperlink" Target="https://in.tradingview.com/chart/Cgv3Jm6J/?symbol=NSE%3APONNIERODE" TargetMode="External"/><Relationship Id="rId960" Type="http://schemas.openxmlformats.org/officeDocument/2006/relationships/hyperlink" Target="https://in.tradingview.com/chart/Cgv3Jm6J/?symbol=NSE%3AITIETF" TargetMode="External"/><Relationship Id="rId1551" Type="http://schemas.openxmlformats.org/officeDocument/2006/relationships/hyperlink" Target="https://in.tradingview.com/chart/Cgv3Jm6J/?symbol=NSE%3APOONAWALLA" TargetMode="External"/><Relationship Id="rId1552" Type="http://schemas.openxmlformats.org/officeDocument/2006/relationships/hyperlink" Target="https://in.tradingview.com/chart/Cgv3Jm6J/?symbol=NSE%3APOWERGRID" TargetMode="External"/><Relationship Id="rId1553" Type="http://schemas.openxmlformats.org/officeDocument/2006/relationships/hyperlink" Target="https://in.tradingview.com/chart/Cgv3Jm6J/?symbol=NSE%3APOWERINDIA" TargetMode="External"/><Relationship Id="rId1543" Type="http://schemas.openxmlformats.org/officeDocument/2006/relationships/hyperlink" Target="https://in.tradingview.com/chart/Cgv3Jm6J/?symbol=NSE%3APOCL" TargetMode="External"/><Relationship Id="rId1544" Type="http://schemas.openxmlformats.org/officeDocument/2006/relationships/hyperlink" Target="https://in.tradingview.com/chart/Cgv3Jm6J/?symbol=NSE%3APODDARMENT" TargetMode="External"/><Relationship Id="rId1545" Type="http://schemas.openxmlformats.org/officeDocument/2006/relationships/hyperlink" Target="https://in.tradingview.com/chart/Cgv3Jm6J/?symbol=NSE%3APOKARNA" TargetMode="External"/><Relationship Id="rId1546" Type="http://schemas.openxmlformats.org/officeDocument/2006/relationships/hyperlink" Target="https://in.tradingview.com/chart/Cgv3Jm6J/?symbol=NSE%3APOLICYBZR" TargetMode="External"/><Relationship Id="rId1547" Type="http://schemas.openxmlformats.org/officeDocument/2006/relationships/hyperlink" Target="https://in.tradingview.com/chart/Cgv3Jm6J/?symbol=NSE%3APOLYCAB" TargetMode="External"/><Relationship Id="rId1548" Type="http://schemas.openxmlformats.org/officeDocument/2006/relationships/hyperlink" Target="https://in.tradingview.com/chart/Cgv3Jm6J/?symbol=NSE%3APOLYMED" TargetMode="External"/><Relationship Id="rId1549" Type="http://schemas.openxmlformats.org/officeDocument/2006/relationships/hyperlink" Target="https://in.tradingview.com/chart/Cgv3Jm6J/?symbol=NSE%3APOLYPLEX" TargetMode="External"/><Relationship Id="rId959" Type="http://schemas.openxmlformats.org/officeDocument/2006/relationships/hyperlink" Target="https://in.tradingview.com/chart/Cgv3Jm6J/?symbol=NSE%3AITI" TargetMode="External"/><Relationship Id="rId954" Type="http://schemas.openxmlformats.org/officeDocument/2006/relationships/hyperlink" Target="https://in.tradingview.com/chart/Cgv3Jm6J/?symbol=NSE%3AITCHOTELS" TargetMode="External"/><Relationship Id="rId953" Type="http://schemas.openxmlformats.org/officeDocument/2006/relationships/hyperlink" Target="https://in.tradingview.com/chart/Cgv3Jm6J/?symbol=NSE%3AITC" TargetMode="External"/><Relationship Id="rId952" Type="http://schemas.openxmlformats.org/officeDocument/2006/relationships/hyperlink" Target="https://in.tradingview.com/chart/Cgv3Jm6J/?symbol=NSE%3AITBEES" TargetMode="External"/><Relationship Id="rId951" Type="http://schemas.openxmlformats.org/officeDocument/2006/relationships/hyperlink" Target="https://in.tradingview.com/chart/Cgv3Jm6J/?symbol=NSE%3AIT" TargetMode="External"/><Relationship Id="rId958" Type="http://schemas.openxmlformats.org/officeDocument/2006/relationships/hyperlink" Target="https://in.tradingview.com/chart/Cgv3Jm6J/?symbol=NSE%3AITETFADD" TargetMode="External"/><Relationship Id="rId957" Type="http://schemas.openxmlformats.org/officeDocument/2006/relationships/hyperlink" Target="https://in.tradingview.com/chart/Cgv3Jm6J/?symbol=NSE%3AITETF" TargetMode="External"/><Relationship Id="rId956" Type="http://schemas.openxmlformats.org/officeDocument/2006/relationships/hyperlink" Target="https://in.tradingview.com/chart/Cgv3Jm6J/?symbol=NSE%3AITDCEM" TargetMode="External"/><Relationship Id="rId955" Type="http://schemas.openxmlformats.org/officeDocument/2006/relationships/hyperlink" Target="https://in.tradingview.com/chart/Cgv3Jm6J/?symbol=NSE%3AITDC" TargetMode="External"/><Relationship Id="rId950" Type="http://schemas.openxmlformats.org/officeDocument/2006/relationships/hyperlink" Target="https://in.tradingview.com/chart/Cgv3Jm6J/?symbol=NSE%3AISGEC" TargetMode="External"/><Relationship Id="rId1540" Type="http://schemas.openxmlformats.org/officeDocument/2006/relationships/hyperlink" Target="https://in.tradingview.com/chart/Cgv3Jm6J/?symbol=NSE%3APNC" TargetMode="External"/><Relationship Id="rId1541" Type="http://schemas.openxmlformats.org/officeDocument/2006/relationships/hyperlink" Target="https://in.tradingview.com/chart/Cgv3Jm6J/?symbol=NSE%3APNCINFRA" TargetMode="External"/><Relationship Id="rId1542" Type="http://schemas.openxmlformats.org/officeDocument/2006/relationships/hyperlink" Target="https://in.tradingview.com/chart/Cgv3Jm6J/?symbol=NSE%3APNGJL" TargetMode="External"/><Relationship Id="rId2027" Type="http://schemas.openxmlformats.org/officeDocument/2006/relationships/hyperlink" Target="https://in.tradingview.com/chart/Cgv3Jm6J/?symbol=NSE%3ATIINDIA" TargetMode="External"/><Relationship Id="rId2028" Type="http://schemas.openxmlformats.org/officeDocument/2006/relationships/hyperlink" Target="https://in.tradingview.com/chart/Cgv3Jm6J/?symbol=NSE%3ATIJARIA" TargetMode="External"/><Relationship Id="rId2029" Type="http://schemas.openxmlformats.org/officeDocument/2006/relationships/hyperlink" Target="https://in.tradingview.com/chart/Cgv3Jm6J/?symbol=NSE%3ATIL" TargetMode="External"/><Relationship Id="rId107" Type="http://schemas.openxmlformats.org/officeDocument/2006/relationships/hyperlink" Target="https://in.tradingview.com/chart/Cgv3Jm6J/?symbol=NSE%3AALPSINDUS" TargetMode="External"/><Relationship Id="rId106" Type="http://schemas.openxmlformats.org/officeDocument/2006/relationships/hyperlink" Target="https://in.tradingview.com/chart/Cgv3Jm6J/?symbol=NSE%3AALPL30IETF" TargetMode="External"/><Relationship Id="rId105" Type="http://schemas.openxmlformats.org/officeDocument/2006/relationships/hyperlink" Target="https://in.tradingview.com/chart/Cgv3Jm6J/?symbol=NSE%3AALPHAGEO" TargetMode="External"/><Relationship Id="rId104" Type="http://schemas.openxmlformats.org/officeDocument/2006/relationships/hyperlink" Target="https://in.tradingview.com/chart/Cgv3Jm6J/?symbol=NSE%3AALPHAETF" TargetMode="External"/><Relationship Id="rId109" Type="http://schemas.openxmlformats.org/officeDocument/2006/relationships/hyperlink" Target="https://in.tradingview.com/chart/Cgv3Jm6J/?symbol=NSE%3AAMBICAAGAR" TargetMode="External"/><Relationship Id="rId108" Type="http://schemas.openxmlformats.org/officeDocument/2006/relationships/hyperlink" Target="https://in.tradingview.com/chart/Cgv3Jm6J/?symbol=NSE%3AAMBER" TargetMode="External"/><Relationship Id="rId2020" Type="http://schemas.openxmlformats.org/officeDocument/2006/relationships/hyperlink" Target="https://in.tradingview.com/chart/Cgv3Jm6J/?symbol=NSE%3ATHERMAX" TargetMode="External"/><Relationship Id="rId2021" Type="http://schemas.openxmlformats.org/officeDocument/2006/relationships/hyperlink" Target="https://in.tradingview.com/chart/Cgv3Jm6J/?symbol=NSE%3ATHOMASCOOK" TargetMode="External"/><Relationship Id="rId2022" Type="http://schemas.openxmlformats.org/officeDocument/2006/relationships/hyperlink" Target="https://in.tradingview.com/chart/Cgv3Jm6J/?symbol=NSE%3ATHOMASCOTT" TargetMode="External"/><Relationship Id="rId103" Type="http://schemas.openxmlformats.org/officeDocument/2006/relationships/hyperlink" Target="https://in.tradingview.com/chart/Cgv3Jm6J/?symbol=NSE%3AALPHA" TargetMode="External"/><Relationship Id="rId2023" Type="http://schemas.openxmlformats.org/officeDocument/2006/relationships/hyperlink" Target="https://in.tradingview.com/chart/Cgv3Jm6J/?symbol=NSE%3ATHYROCARE" TargetMode="External"/><Relationship Id="rId102" Type="http://schemas.openxmlformats.org/officeDocument/2006/relationships/hyperlink" Target="https://in.tradingview.com/chart/Cgv3Jm6J/?symbol=NSE%3AALPA" TargetMode="External"/><Relationship Id="rId2024" Type="http://schemas.openxmlformats.org/officeDocument/2006/relationships/hyperlink" Target="https://in.tradingview.com/chart/Cgv3Jm6J/?symbol=NSE%3ATI" TargetMode="External"/><Relationship Id="rId101" Type="http://schemas.openxmlformats.org/officeDocument/2006/relationships/hyperlink" Target="https://in.tradingview.com/chart/Cgv3Jm6J/?symbol=NSE%3AALOKINDS" TargetMode="External"/><Relationship Id="rId2025" Type="http://schemas.openxmlformats.org/officeDocument/2006/relationships/hyperlink" Target="https://in.tradingview.com/chart/Cgv3Jm6J/?symbol=NSE%3ATICL" TargetMode="External"/><Relationship Id="rId100" Type="http://schemas.openxmlformats.org/officeDocument/2006/relationships/hyperlink" Target="https://in.tradingview.com/chart/Cgv3Jm6J/?symbol=NSE%3AALMONDZ" TargetMode="External"/><Relationship Id="rId2026" Type="http://schemas.openxmlformats.org/officeDocument/2006/relationships/hyperlink" Target="https://in.tradingview.com/chart/Cgv3Jm6J/?symbol=NSE%3ATIIL" TargetMode="External"/><Relationship Id="rId2016" Type="http://schemas.openxmlformats.org/officeDocument/2006/relationships/hyperlink" Target="https://in.tradingview.com/chart/Cgv3Jm6J/?symbol=NSE%3ATHANGAMAYL" TargetMode="External"/><Relationship Id="rId2017" Type="http://schemas.openxmlformats.org/officeDocument/2006/relationships/hyperlink" Target="https://in.tradingview.com/chart/Cgv3Jm6J/?symbol=NSE%3ATHEINVEST" TargetMode="External"/><Relationship Id="rId2018" Type="http://schemas.openxmlformats.org/officeDocument/2006/relationships/hyperlink" Target="https://in.tradingview.com/chart/Cgv3Jm6J/?symbol=NSE%3ATHEJO" TargetMode="External"/><Relationship Id="rId2019" Type="http://schemas.openxmlformats.org/officeDocument/2006/relationships/hyperlink" Target="https://in.tradingview.com/chart/Cgv3Jm6J/?symbol=NSE%3ATHEMISMED" TargetMode="External"/><Relationship Id="rId2010" Type="http://schemas.openxmlformats.org/officeDocument/2006/relationships/hyperlink" Target="https://in.tradingview.com/chart/Cgv3Jm6J/?symbol=NSE%3ATEMBO" TargetMode="External"/><Relationship Id="rId2011" Type="http://schemas.openxmlformats.org/officeDocument/2006/relationships/hyperlink" Target="https://in.tradingview.com/chart/Cgv3Jm6J/?symbol=NSE%3ATEXINFRA" TargetMode="External"/><Relationship Id="rId2012" Type="http://schemas.openxmlformats.org/officeDocument/2006/relationships/hyperlink" Target="https://in.tradingview.com/chart/Cgv3Jm6J/?symbol=NSE%3ATEXMOPIPES" TargetMode="External"/><Relationship Id="rId2013" Type="http://schemas.openxmlformats.org/officeDocument/2006/relationships/hyperlink" Target="https://in.tradingview.com/chart/Cgv3Jm6J/?symbol=NSE%3ATEXRAIL" TargetMode="External"/><Relationship Id="rId2014" Type="http://schemas.openxmlformats.org/officeDocument/2006/relationships/hyperlink" Target="https://in.tradingview.com/chart/Cgv3Jm6J/?symbol=NSE%3ATFCILTD" TargetMode="External"/><Relationship Id="rId2015" Type="http://schemas.openxmlformats.org/officeDocument/2006/relationships/hyperlink" Target="https://in.tradingview.com/chart/Cgv3Jm6J/?symbol=NSE%3ATGBHOTELS" TargetMode="External"/><Relationship Id="rId2049" Type="http://schemas.openxmlformats.org/officeDocument/2006/relationships/hyperlink" Target="https://in.tradingview.com/chart/Cgv3Jm6J/?symbol=NSE%3ATOTAL" TargetMode="External"/><Relationship Id="rId129" Type="http://schemas.openxmlformats.org/officeDocument/2006/relationships/hyperlink" Target="https://in.tradingview.com/chart/Cgv3Jm6J/?symbol=NSE%3AAONETOTAL" TargetMode="External"/><Relationship Id="rId128" Type="http://schemas.openxmlformats.org/officeDocument/2006/relationships/hyperlink" Target="https://in.tradingview.com/chart/Cgv3Jm6J/?symbol=NSE%3AANURAS" TargetMode="External"/><Relationship Id="rId127" Type="http://schemas.openxmlformats.org/officeDocument/2006/relationships/hyperlink" Target="https://in.tradingview.com/chart/Cgv3Jm6J/?symbol=NSE%3AANUP" TargetMode="External"/><Relationship Id="rId126" Type="http://schemas.openxmlformats.org/officeDocument/2006/relationships/hyperlink" Target="https://in.tradingview.com/chart/Cgv3Jm6J/?symbol=NSE%3AANUHPHR" TargetMode="External"/><Relationship Id="rId2040" Type="http://schemas.openxmlformats.org/officeDocument/2006/relationships/hyperlink" Target="https://in.tradingview.com/chart/Cgv3Jm6J/?symbol=NSE%3ATNPETRO" TargetMode="External"/><Relationship Id="rId121" Type="http://schemas.openxmlformats.org/officeDocument/2006/relationships/hyperlink" Target="https://in.tradingview.com/chart/Cgv3Jm6J/?symbol=NSE%3AANGELONE" TargetMode="External"/><Relationship Id="rId2041" Type="http://schemas.openxmlformats.org/officeDocument/2006/relationships/hyperlink" Target="https://in.tradingview.com/chart/Cgv3Jm6J/?symbol=NSE%3ATNPL" TargetMode="External"/><Relationship Id="rId120" Type="http://schemas.openxmlformats.org/officeDocument/2006/relationships/hyperlink" Target="https://in.tradingview.com/chart/Cgv3Jm6J/?symbol=NSE%3AANDHRSUGAR" TargetMode="External"/><Relationship Id="rId2042" Type="http://schemas.openxmlformats.org/officeDocument/2006/relationships/hyperlink" Target="https://in.tradingview.com/chart/Cgv3Jm6J/?symbol=NSE%3ATNTELE" TargetMode="External"/><Relationship Id="rId2043" Type="http://schemas.openxmlformats.org/officeDocument/2006/relationships/hyperlink" Target="https://in.tradingview.com/chart/Cgv3Jm6J/?symbol=NSE%3ATOKYOPLAST" TargetMode="External"/><Relationship Id="rId2044" Type="http://schemas.openxmlformats.org/officeDocument/2006/relationships/hyperlink" Target="https://in.tradingview.com/chart/Cgv3Jm6J/?symbol=NSE%3ATOLINS" TargetMode="External"/><Relationship Id="rId125" Type="http://schemas.openxmlformats.org/officeDocument/2006/relationships/hyperlink" Target="https://in.tradingview.com/chart/Cgv3Jm6J/?symbol=NSE%3AANTGRAPHIC" TargetMode="External"/><Relationship Id="rId2045" Type="http://schemas.openxmlformats.org/officeDocument/2006/relationships/hyperlink" Target="https://in.tradingview.com/chart/Cgv3Jm6J/?symbol=NSE%3ATOP100CASE" TargetMode="External"/><Relationship Id="rId124" Type="http://schemas.openxmlformats.org/officeDocument/2006/relationships/hyperlink" Target="https://in.tradingview.com/chart/Cgv3Jm6J/?symbol=NSE%3AANSALAPI" TargetMode="External"/><Relationship Id="rId2046" Type="http://schemas.openxmlformats.org/officeDocument/2006/relationships/hyperlink" Target="https://in.tradingview.com/chart/Cgv3Jm6J/?symbol=NSE%3ATOP10ADD" TargetMode="External"/><Relationship Id="rId123" Type="http://schemas.openxmlformats.org/officeDocument/2006/relationships/hyperlink" Target="https://in.tradingview.com/chart/Cgv3Jm6J/?symbol=NSE%3AANMOL" TargetMode="External"/><Relationship Id="rId2047" Type="http://schemas.openxmlformats.org/officeDocument/2006/relationships/hyperlink" Target="https://in.tradingview.com/chart/Cgv3Jm6J/?symbol=NSE%3ATORNTPHARM" TargetMode="External"/><Relationship Id="rId122" Type="http://schemas.openxmlformats.org/officeDocument/2006/relationships/hyperlink" Target="https://in.tradingview.com/chart/Cgv3Jm6J/?symbol=NSE%3AANIKINDS" TargetMode="External"/><Relationship Id="rId2048" Type="http://schemas.openxmlformats.org/officeDocument/2006/relationships/hyperlink" Target="https://in.tradingview.com/chart/Cgv3Jm6J/?symbol=NSE%3ATORNTPOWER" TargetMode="External"/><Relationship Id="rId2038" Type="http://schemas.openxmlformats.org/officeDocument/2006/relationships/hyperlink" Target="https://in.tradingview.com/chart/Cgv3Jm6J/?symbol=NSE%3ATMB" TargetMode="External"/><Relationship Id="rId2039" Type="http://schemas.openxmlformats.org/officeDocument/2006/relationships/hyperlink" Target="https://in.tradingview.com/chart/Cgv3Jm6J/?symbol=NSE%3ATNIDETF" TargetMode="External"/><Relationship Id="rId118" Type="http://schemas.openxmlformats.org/officeDocument/2006/relationships/hyperlink" Target="https://in.tradingview.com/chart/Cgv3Jm6J/?symbol=NSE%3AANANTRAJ" TargetMode="External"/><Relationship Id="rId117" Type="http://schemas.openxmlformats.org/officeDocument/2006/relationships/hyperlink" Target="https://in.tradingview.com/chart/Cgv3Jm6J/?symbol=NSE%3AANANDRATHI" TargetMode="External"/><Relationship Id="rId116" Type="http://schemas.openxmlformats.org/officeDocument/2006/relationships/hyperlink" Target="https://in.tradingview.com/chart/Cgv3Jm6J/?symbol=NSE%3AAMRUTANJAN" TargetMode="External"/><Relationship Id="rId115" Type="http://schemas.openxmlformats.org/officeDocument/2006/relationships/hyperlink" Target="https://in.tradingview.com/chart/Cgv3Jm6J/?symbol=NSE%3AAMNPLST" TargetMode="External"/><Relationship Id="rId119" Type="http://schemas.openxmlformats.org/officeDocument/2006/relationships/hyperlink" Target="https://in.tradingview.com/chart/Cgv3Jm6J/?symbol=NSE%3AANDHRAPAP" TargetMode="External"/><Relationship Id="rId110" Type="http://schemas.openxmlformats.org/officeDocument/2006/relationships/hyperlink" Target="https://in.tradingview.com/chart/Cgv3Jm6J/?symbol=NSE%3AAMBIKCO" TargetMode="External"/><Relationship Id="rId2030" Type="http://schemas.openxmlformats.org/officeDocument/2006/relationships/hyperlink" Target="https://in.tradingview.com/chart/Cgv3Jm6J/?symbol=NSE%3ATIMESGTY" TargetMode="External"/><Relationship Id="rId2031" Type="http://schemas.openxmlformats.org/officeDocument/2006/relationships/hyperlink" Target="https://in.tradingview.com/chart/Cgv3Jm6J/?symbol=NSE%3ATIMETECHNO" TargetMode="External"/><Relationship Id="rId2032" Type="http://schemas.openxmlformats.org/officeDocument/2006/relationships/hyperlink" Target="https://in.tradingview.com/chart/Cgv3Jm6J/?symbol=NSE%3ATIMKEN" TargetMode="External"/><Relationship Id="rId2033" Type="http://schemas.openxmlformats.org/officeDocument/2006/relationships/hyperlink" Target="https://in.tradingview.com/chart/Cgv3Jm6J/?symbol=NSE%3ATIPSFILMS" TargetMode="External"/><Relationship Id="rId114" Type="http://schemas.openxmlformats.org/officeDocument/2006/relationships/hyperlink" Target="https://in.tradingview.com/chart/Cgv3Jm6J/?symbol=NSE%3AAMJLAND" TargetMode="External"/><Relationship Id="rId2034" Type="http://schemas.openxmlformats.org/officeDocument/2006/relationships/hyperlink" Target="https://in.tradingview.com/chart/Cgv3Jm6J/?symbol=NSE%3ATIPSMUSIC" TargetMode="External"/><Relationship Id="rId113" Type="http://schemas.openxmlformats.org/officeDocument/2006/relationships/hyperlink" Target="https://in.tradingview.com/chart/Cgv3Jm6J/?symbol=NSE%3AACUTAAS" TargetMode="External"/><Relationship Id="rId2035" Type="http://schemas.openxmlformats.org/officeDocument/2006/relationships/hyperlink" Target="https://in.tradingview.com/chart/Cgv3Jm6J/?symbol=NSE%3ATIRUMALCHM" TargetMode="External"/><Relationship Id="rId112" Type="http://schemas.openxmlformats.org/officeDocument/2006/relationships/hyperlink" Target="https://in.tradingview.com/chart/Cgv3Jm6J/?symbol=NSE%3AAMDIND" TargetMode="External"/><Relationship Id="rId2036" Type="http://schemas.openxmlformats.org/officeDocument/2006/relationships/hyperlink" Target="https://in.tradingview.com/chart/Cgv3Jm6J/?symbol=NSE%3ATITAGARH" TargetMode="External"/><Relationship Id="rId111" Type="http://schemas.openxmlformats.org/officeDocument/2006/relationships/hyperlink" Target="https://in.tradingview.com/chart/Cgv3Jm6J/?symbol=NSE%3AAMBUJACEM" TargetMode="External"/><Relationship Id="rId2037" Type="http://schemas.openxmlformats.org/officeDocument/2006/relationships/hyperlink" Target="https://in.tradingview.com/chart/Cgv3Jm6J/?symbol=NSE%3ATITAN" TargetMode="External"/><Relationship Id="rId2005" Type="http://schemas.openxmlformats.org/officeDocument/2006/relationships/hyperlink" Target="https://in.tradingview.com/chart/Cgv3Jm6J/?symbol=NSE%3ATECHM" TargetMode="External"/><Relationship Id="rId2006" Type="http://schemas.openxmlformats.org/officeDocument/2006/relationships/hyperlink" Target="https://in.tradingview.com/chart/Cgv3Jm6J/?symbol=NSE%3ATECHNOE" TargetMode="External"/><Relationship Id="rId2007" Type="http://schemas.openxmlformats.org/officeDocument/2006/relationships/hyperlink" Target="https://in.tradingview.com/chart/Cgv3Jm6J/?symbol=NSE%3ATECILCHEM" TargetMode="External"/><Relationship Id="rId2008" Type="http://schemas.openxmlformats.org/officeDocument/2006/relationships/hyperlink" Target="https://in.tradingview.com/chart/Cgv3Jm6J/?symbol=NSE%3ATEGA" TargetMode="External"/><Relationship Id="rId2009" Type="http://schemas.openxmlformats.org/officeDocument/2006/relationships/hyperlink" Target="https://in.tradingview.com/chart/Cgv3Jm6J/?symbol=NSE%3ATEJASNET" TargetMode="External"/><Relationship Id="rId2000" Type="http://schemas.openxmlformats.org/officeDocument/2006/relationships/hyperlink" Target="https://in.tradingview.com/chart/Cgv3Jm6J/?symbol=NSE%3ATCPLPACK" TargetMode="External"/><Relationship Id="rId2001" Type="http://schemas.openxmlformats.org/officeDocument/2006/relationships/hyperlink" Target="https://in.tradingview.com/chart/Cgv3Jm6J/?symbol=NSE%3ATCS" TargetMode="External"/><Relationship Id="rId2002" Type="http://schemas.openxmlformats.org/officeDocument/2006/relationships/hyperlink" Target="https://in.tradingview.com/chart/Cgv3Jm6J/?symbol=NSE%3ATDPOWERSYS" TargetMode="External"/><Relationship Id="rId2003" Type="http://schemas.openxmlformats.org/officeDocument/2006/relationships/hyperlink" Target="https://in.tradingview.com/chart/Cgv3Jm6J/?symbol=NSE%3ATEAMLEASE" TargetMode="External"/><Relationship Id="rId2004" Type="http://schemas.openxmlformats.org/officeDocument/2006/relationships/hyperlink" Target="https://in.tradingview.com/chart/Cgv3Jm6J/?symbol=NSE%3ATECH" TargetMode="External"/><Relationship Id="rId2090" Type="http://schemas.openxmlformats.org/officeDocument/2006/relationships/hyperlink" Target="https://in.tradingview.com/chart/Cgv3Jm6J/?symbol=NSE%3AUNICHEMLAB" TargetMode="External"/><Relationship Id="rId2091" Type="http://schemas.openxmlformats.org/officeDocument/2006/relationships/hyperlink" Target="https://in.tradingview.com/chart/Cgv3Jm6J/?symbol=NSE%3AUNIDT" TargetMode="External"/><Relationship Id="rId2092" Type="http://schemas.openxmlformats.org/officeDocument/2006/relationships/hyperlink" Target="https://in.tradingview.com/chart/Cgv3Jm6J/?symbol=NSE%3AUNIECOM" TargetMode="External"/><Relationship Id="rId2093" Type="http://schemas.openxmlformats.org/officeDocument/2006/relationships/hyperlink" Target="https://in.tradingview.com/chart/Cgv3Jm6J/?symbol=NSE%3AUNIENTER" TargetMode="External"/><Relationship Id="rId2094" Type="http://schemas.openxmlformats.org/officeDocument/2006/relationships/hyperlink" Target="https://in.tradingview.com/chart/Cgv3Jm6J/?symbol=NSE%3AUNIINFO" TargetMode="External"/><Relationship Id="rId2095" Type="http://schemas.openxmlformats.org/officeDocument/2006/relationships/hyperlink" Target="https://in.tradingview.com/chart/Cgv3Jm6J/?symbol=NSE%3AUNIMECH" TargetMode="External"/><Relationship Id="rId2096" Type="http://schemas.openxmlformats.org/officeDocument/2006/relationships/hyperlink" Target="https://in.tradingview.com/chart/Cgv3Jm6J/?symbol=NSE%3AUNIONBANK" TargetMode="External"/><Relationship Id="rId2097" Type="http://schemas.openxmlformats.org/officeDocument/2006/relationships/hyperlink" Target="https://in.tradingview.com/chart/Cgv3Jm6J/?symbol=NSE%3AUNIONGOLD" TargetMode="External"/><Relationship Id="rId2098" Type="http://schemas.openxmlformats.org/officeDocument/2006/relationships/hyperlink" Target="https://in.tradingview.com/chart/Cgv3Jm6J/?symbol=NSE%3AUNIPARTS" TargetMode="External"/><Relationship Id="rId2099" Type="http://schemas.openxmlformats.org/officeDocument/2006/relationships/hyperlink" Target="https://in.tradingview.com/chart/Cgv3Jm6J/?symbol=NSE%3AUNITDSPR" TargetMode="External"/><Relationship Id="rId2060" Type="http://schemas.openxmlformats.org/officeDocument/2006/relationships/hyperlink" Target="https://in.tradingview.com/chart/Cgv3Jm6J/?symbol=NSE%3ATRF" TargetMode="External"/><Relationship Id="rId2061" Type="http://schemas.openxmlformats.org/officeDocument/2006/relationships/hyperlink" Target="https://in.tradingview.com/chart/Cgv3Jm6J/?symbol=NSE%3ATRIDENT" TargetMode="External"/><Relationship Id="rId2062" Type="http://schemas.openxmlformats.org/officeDocument/2006/relationships/hyperlink" Target="https://in.tradingview.com/chart/Cgv3Jm6J/?symbol=NSE%3ATRIGYN" TargetMode="External"/><Relationship Id="rId2063" Type="http://schemas.openxmlformats.org/officeDocument/2006/relationships/hyperlink" Target="https://in.tradingview.com/chart/Cgv3Jm6J/?symbol=NSE%3ATRITURBINE" TargetMode="External"/><Relationship Id="rId2064" Type="http://schemas.openxmlformats.org/officeDocument/2006/relationships/hyperlink" Target="https://in.tradingview.com/chart/Cgv3Jm6J/?symbol=NSE%3ATRIVENI" TargetMode="External"/><Relationship Id="rId2065" Type="http://schemas.openxmlformats.org/officeDocument/2006/relationships/hyperlink" Target="https://in.tradingview.com/chart/Cgv3Jm6J/?symbol=NSE%3ATRU" TargetMode="External"/><Relationship Id="rId2066" Type="http://schemas.openxmlformats.org/officeDocument/2006/relationships/hyperlink" Target="https://in.tradingview.com/chart/Cgv3Jm6J/?symbol=NSE%3ATTKHLTCARE" TargetMode="External"/><Relationship Id="rId2067" Type="http://schemas.openxmlformats.org/officeDocument/2006/relationships/hyperlink" Target="https://in.tradingview.com/chart/Cgv3Jm6J/?symbol=NSE%3ATTKPRESTIG" TargetMode="External"/><Relationship Id="rId2068" Type="http://schemas.openxmlformats.org/officeDocument/2006/relationships/hyperlink" Target="https://in.tradingview.com/chart/Cgv3Jm6J/?symbol=NSE%3ATTL" TargetMode="External"/><Relationship Id="rId2069" Type="http://schemas.openxmlformats.org/officeDocument/2006/relationships/hyperlink" Target="https://in.tradingview.com/chart/Cgv3Jm6J/?symbol=NSE%3ATTML" TargetMode="External"/><Relationship Id="rId2050" Type="http://schemas.openxmlformats.org/officeDocument/2006/relationships/hyperlink" Target="https://in.tradingview.com/chart/Cgv3Jm6J/?symbol=NSE%3ATOUCHWOOD" TargetMode="External"/><Relationship Id="rId2051" Type="http://schemas.openxmlformats.org/officeDocument/2006/relationships/hyperlink" Target="https://in.tradingview.com/chart/Cgv3Jm6J/?symbol=NSE%3ATPHQ" TargetMode="External"/><Relationship Id="rId2052" Type="http://schemas.openxmlformats.org/officeDocument/2006/relationships/hyperlink" Target="https://in.tradingview.com/chart/Cgv3Jm6J/?symbol=NSE%3ATPLPLASTEH" TargetMode="External"/><Relationship Id="rId2053" Type="http://schemas.openxmlformats.org/officeDocument/2006/relationships/hyperlink" Target="https://in.tradingview.com/chart/Cgv3Jm6J/?symbol=NSE%3ATRACXN" TargetMode="External"/><Relationship Id="rId2054" Type="http://schemas.openxmlformats.org/officeDocument/2006/relationships/hyperlink" Target="https://in.tradingview.com/chart/Cgv3Jm6J/?symbol=NSE%3ATRANSRAILL" TargetMode="External"/><Relationship Id="rId2055" Type="http://schemas.openxmlformats.org/officeDocument/2006/relationships/hyperlink" Target="https://in.tradingview.com/chart/Cgv3Jm6J/?symbol=NSE%3ATRANSWORLD" TargetMode="External"/><Relationship Id="rId2056" Type="http://schemas.openxmlformats.org/officeDocument/2006/relationships/hyperlink" Target="https://in.tradingview.com/chart/Cgv3Jm6J/?symbol=NSE%3ATREEHOUSE" TargetMode="External"/><Relationship Id="rId2057" Type="http://schemas.openxmlformats.org/officeDocument/2006/relationships/hyperlink" Target="https://in.tradingview.com/chart/Cgv3Jm6J/?symbol=NSE%3ATREJHARA" TargetMode="External"/><Relationship Id="rId2058" Type="http://schemas.openxmlformats.org/officeDocument/2006/relationships/hyperlink" Target="https://in.tradingview.com/chart/Cgv3Jm6J/?symbol=NSE%3ATREL" TargetMode="External"/><Relationship Id="rId2059" Type="http://schemas.openxmlformats.org/officeDocument/2006/relationships/hyperlink" Target="https://in.tradingview.com/chart/Cgv3Jm6J/?symbol=NSE%3ATRENT" TargetMode="External"/><Relationship Id="rId2080" Type="http://schemas.openxmlformats.org/officeDocument/2006/relationships/hyperlink" Target="https://in.tradingview.com/chart/Cgv3Jm6J/?symbol=NSE%3AUDS" TargetMode="External"/><Relationship Id="rId2081" Type="http://schemas.openxmlformats.org/officeDocument/2006/relationships/hyperlink" Target="https://in.tradingview.com/chart/Cgv3Jm6J/?symbol=NSE%3AUFLEX" TargetMode="External"/><Relationship Id="rId2082" Type="http://schemas.openxmlformats.org/officeDocument/2006/relationships/hyperlink" Target="https://in.tradingview.com/chart/Cgv3Jm6J/?symbol=NSE%3AUFO" TargetMode="External"/><Relationship Id="rId2083" Type="http://schemas.openxmlformats.org/officeDocument/2006/relationships/hyperlink" Target="https://in.tradingview.com/chart/Cgv3Jm6J/?symbol=NSE%3AUGARSUGAR" TargetMode="External"/><Relationship Id="rId2084" Type="http://schemas.openxmlformats.org/officeDocument/2006/relationships/hyperlink" Target="https://in.tradingview.com/chart/Cgv3Jm6J/?symbol=NSE%3AUGROCAP" TargetMode="External"/><Relationship Id="rId2085" Type="http://schemas.openxmlformats.org/officeDocument/2006/relationships/hyperlink" Target="https://in.tradingview.com/chart/Cgv3Jm6J/?symbol=NSE%3AUJJIVANSFB" TargetMode="External"/><Relationship Id="rId2086" Type="http://schemas.openxmlformats.org/officeDocument/2006/relationships/hyperlink" Target="https://in.tradingview.com/chart/Cgv3Jm6J/?symbol=NSE%3AULTRACEMCO" TargetMode="External"/><Relationship Id="rId2087" Type="http://schemas.openxmlformats.org/officeDocument/2006/relationships/hyperlink" Target="https://in.tradingview.com/chart/Cgv3Jm6J/?symbol=NSE%3AUMAEXPORTS" TargetMode="External"/><Relationship Id="rId2088" Type="http://schemas.openxmlformats.org/officeDocument/2006/relationships/hyperlink" Target="https://in.tradingview.com/chart/Cgv3Jm6J/?symbol=NSE%3AUMANGDAIRY" TargetMode="External"/><Relationship Id="rId2089" Type="http://schemas.openxmlformats.org/officeDocument/2006/relationships/hyperlink" Target="https://in.tradingview.com/chart/Cgv3Jm6J/?symbol=NSE%3AUMESLTD" TargetMode="External"/><Relationship Id="rId2070" Type="http://schemas.openxmlformats.org/officeDocument/2006/relationships/hyperlink" Target="https://in.tradingview.com/chart/Cgv3Jm6J/?symbol=NSE%3ATVSELECT" TargetMode="External"/><Relationship Id="rId2071" Type="http://schemas.openxmlformats.org/officeDocument/2006/relationships/hyperlink" Target="https://in.tradingview.com/chart/Cgv3Jm6J/?symbol=NSE%3ATVSHLTD" TargetMode="External"/><Relationship Id="rId2072" Type="http://schemas.openxmlformats.org/officeDocument/2006/relationships/hyperlink" Target="https://in.tradingview.com/chart/Cgv3Jm6J/?symbol=NSE%3ATVSMOTOR" TargetMode="External"/><Relationship Id="rId2073" Type="http://schemas.openxmlformats.org/officeDocument/2006/relationships/hyperlink" Target="https://in.tradingview.com/chart/Cgv3Jm6J/?symbol=NSE%3ATVSSCS" TargetMode="External"/><Relationship Id="rId2074" Type="http://schemas.openxmlformats.org/officeDocument/2006/relationships/hyperlink" Target="https://in.tradingview.com/chart/Cgv3Jm6J/?symbol=NSE%3ATVSSRICHAK" TargetMode="External"/><Relationship Id="rId2075" Type="http://schemas.openxmlformats.org/officeDocument/2006/relationships/hyperlink" Target="https://in.tradingview.com/chart/Cgv3Jm6J/?symbol=NSE%3ATVTODAY" TargetMode="External"/><Relationship Id="rId2076" Type="http://schemas.openxmlformats.org/officeDocument/2006/relationships/hyperlink" Target="https://in.tradingview.com/chart/Cgv3Jm6J/?symbol=NSE%3AUBL" TargetMode="External"/><Relationship Id="rId2077" Type="http://schemas.openxmlformats.org/officeDocument/2006/relationships/hyperlink" Target="https://in.tradingview.com/chart/Cgv3Jm6J/?symbol=NSE%3AUCAL" TargetMode="External"/><Relationship Id="rId2078" Type="http://schemas.openxmlformats.org/officeDocument/2006/relationships/hyperlink" Target="https://in.tradingview.com/chart/Cgv3Jm6J/?symbol=NSE%3AUCOBANK" TargetMode="External"/><Relationship Id="rId2079" Type="http://schemas.openxmlformats.org/officeDocument/2006/relationships/hyperlink" Target="https://in.tradingview.com/chart/Cgv3Jm6J/?symbol=NSE%3AUDAICEMENT" TargetMode="External"/><Relationship Id="rId1610" Type="http://schemas.openxmlformats.org/officeDocument/2006/relationships/hyperlink" Target="https://in.tradingview.com/chart/Cgv3Jm6J/?symbol=NSE%3ARADICO" TargetMode="External"/><Relationship Id="rId1611" Type="http://schemas.openxmlformats.org/officeDocument/2006/relationships/hyperlink" Target="https://in.tradingview.com/chart/Cgv3Jm6J/?symbol=NSE%3ARADIOCITY" TargetMode="External"/><Relationship Id="rId1612" Type="http://schemas.openxmlformats.org/officeDocument/2006/relationships/hyperlink" Target="https://in.tradingview.com/chart/Cgv3Jm6J/?symbol=NSE%3ARAILTEL" TargetMode="External"/><Relationship Id="rId1613" Type="http://schemas.openxmlformats.org/officeDocument/2006/relationships/hyperlink" Target="https://in.tradingview.com/chart/Cgv3Jm6J/?symbol=NSE%3ARAIN" TargetMode="External"/><Relationship Id="rId1614" Type="http://schemas.openxmlformats.org/officeDocument/2006/relationships/hyperlink" Target="https://in.tradingview.com/chart/Cgv3Jm6J/?symbol=NSE%3ARAINBOW" TargetMode="External"/><Relationship Id="rId1615" Type="http://schemas.openxmlformats.org/officeDocument/2006/relationships/hyperlink" Target="https://in.tradingview.com/chart/Cgv3Jm6J/?symbol=NSE%3ARAJESHEXPO" TargetMode="External"/><Relationship Id="rId1616" Type="http://schemas.openxmlformats.org/officeDocument/2006/relationships/hyperlink" Target="https://in.tradingview.com/chart/Cgv3Jm6J/?symbol=NSE%3ARAJMET" TargetMode="External"/><Relationship Id="rId907" Type="http://schemas.openxmlformats.org/officeDocument/2006/relationships/hyperlink" Target="https://in.tradingview.com/chart/Cgv3Jm6J/?symbol=NSE%3AINDORAMA" TargetMode="External"/><Relationship Id="rId1617" Type="http://schemas.openxmlformats.org/officeDocument/2006/relationships/hyperlink" Target="https://in.tradingview.com/chart/Cgv3Jm6J/?symbol=NSE%3ARAJRATAN" TargetMode="External"/><Relationship Id="rId906" Type="http://schemas.openxmlformats.org/officeDocument/2006/relationships/hyperlink" Target="https://in.tradingview.com/chart/Cgv3Jm6J/?symbol=NSE%3AINDOFARM" TargetMode="External"/><Relationship Id="rId1618" Type="http://schemas.openxmlformats.org/officeDocument/2006/relationships/hyperlink" Target="https://in.tradingview.com/chart/Cgv3Jm6J/?symbol=NSE%3ARAJRILTD" TargetMode="External"/><Relationship Id="rId905" Type="http://schemas.openxmlformats.org/officeDocument/2006/relationships/hyperlink" Target="https://in.tradingview.com/chart/Cgv3Jm6J/?symbol=NSE%3AINDOCO" TargetMode="External"/><Relationship Id="rId1619" Type="http://schemas.openxmlformats.org/officeDocument/2006/relationships/hyperlink" Target="https://in.tradingview.com/chart/Cgv3Jm6J/?symbol=NSE%3ARAJSREESUG" TargetMode="External"/><Relationship Id="rId904" Type="http://schemas.openxmlformats.org/officeDocument/2006/relationships/hyperlink" Target="https://in.tradingview.com/chart/Cgv3Jm6J/?symbol=NSE%3AINDOBORAX" TargetMode="External"/><Relationship Id="rId909" Type="http://schemas.openxmlformats.org/officeDocument/2006/relationships/hyperlink" Target="https://in.tradingview.com/chart/Cgv3Jm6J/?symbol=NSE%3AINDOTECH" TargetMode="External"/><Relationship Id="rId908" Type="http://schemas.openxmlformats.org/officeDocument/2006/relationships/hyperlink" Target="https://in.tradingview.com/chart/Cgv3Jm6J/?symbol=NSE%3AINDOSTAR" TargetMode="External"/><Relationship Id="rId903" Type="http://schemas.openxmlformats.org/officeDocument/2006/relationships/hyperlink" Target="https://in.tradingview.com/chart/Cgv3Jm6J/?symbol=NSE%3AINDOAMIN" TargetMode="External"/><Relationship Id="rId902" Type="http://schemas.openxmlformats.org/officeDocument/2006/relationships/hyperlink" Target="https://in.tradingview.com/chart/Cgv3Jm6J/?symbol=NSE%3AINDNIPPON" TargetMode="External"/><Relationship Id="rId901" Type="http://schemas.openxmlformats.org/officeDocument/2006/relationships/hyperlink" Target="https://in.tradingview.com/chart/Cgv3Jm6J/?symbol=NSE%3AINDIGOPNTS" TargetMode="External"/><Relationship Id="rId900" Type="http://schemas.openxmlformats.org/officeDocument/2006/relationships/hyperlink" Target="https://in.tradingview.com/chart/Cgv3Jm6J/?symbol=NSE%3AINDIGO" TargetMode="External"/><Relationship Id="rId1600" Type="http://schemas.openxmlformats.org/officeDocument/2006/relationships/hyperlink" Target="https://in.tradingview.com/chart/Cgv3Jm6J/?symbol=NSE%3AQPOWER" TargetMode="External"/><Relationship Id="rId1601" Type="http://schemas.openxmlformats.org/officeDocument/2006/relationships/hyperlink" Target="https://in.tradingview.com/chart/Cgv3Jm6J/?symbol=NSE%3AQUADFUTURE" TargetMode="External"/><Relationship Id="rId1602" Type="http://schemas.openxmlformats.org/officeDocument/2006/relationships/hyperlink" Target="https://in.tradingview.com/chart/Cgv3Jm6J/?symbol=NSE%3AQUAL30IETF" TargetMode="External"/><Relationship Id="rId1603" Type="http://schemas.openxmlformats.org/officeDocument/2006/relationships/hyperlink" Target="https://in.tradingview.com/chart/Cgv3Jm6J/?symbol=NSE%3AQUESS" TargetMode="External"/><Relationship Id="rId1604" Type="http://schemas.openxmlformats.org/officeDocument/2006/relationships/hyperlink" Target="https://in.tradingview.com/chart/Cgv3Jm6J/?symbol=NSE%3AQUICKHEAL" TargetMode="External"/><Relationship Id="rId1605" Type="http://schemas.openxmlformats.org/officeDocument/2006/relationships/hyperlink" Target="https://in.tradingview.com/chart/Cgv3Jm6J/?symbol=NSE%3ARACE" TargetMode="External"/><Relationship Id="rId1606" Type="http://schemas.openxmlformats.org/officeDocument/2006/relationships/hyperlink" Target="https://in.tradingview.com/chart/Cgv3Jm6J/?symbol=NSE%3ARACLGEAR" TargetMode="External"/><Relationship Id="rId1607" Type="http://schemas.openxmlformats.org/officeDocument/2006/relationships/hyperlink" Target="https://in.tradingview.com/chart/Cgv3Jm6J/?symbol=NSE%3ARADAAN" TargetMode="External"/><Relationship Id="rId1608" Type="http://schemas.openxmlformats.org/officeDocument/2006/relationships/hyperlink" Target="https://in.tradingview.com/chart/Cgv3Jm6J/?symbol=NSE%3ARADHIKAJWE" TargetMode="External"/><Relationship Id="rId1609" Type="http://schemas.openxmlformats.org/officeDocument/2006/relationships/hyperlink" Target="https://in.tradingview.com/chart/Cgv3Jm6J/?symbol=NSE%3ARADIANTCMS" TargetMode="External"/><Relationship Id="rId1631" Type="http://schemas.openxmlformats.org/officeDocument/2006/relationships/hyperlink" Target="https://in.tradingview.com/chart/Cgv3Jm6J/?symbol=NSE%3ARANEHOLDIN" TargetMode="External"/><Relationship Id="rId1632" Type="http://schemas.openxmlformats.org/officeDocument/2006/relationships/hyperlink" Target="https://in.tradingview.com/chart/Cgv3Jm6J/?symbol=NSE%3ARATEGAIN" TargetMode="External"/><Relationship Id="rId1633" Type="http://schemas.openxmlformats.org/officeDocument/2006/relationships/hyperlink" Target="https://in.tradingview.com/chart/Cgv3Jm6J/?symbol=NSE%3ARATNAMANI" TargetMode="External"/><Relationship Id="rId1634" Type="http://schemas.openxmlformats.org/officeDocument/2006/relationships/hyperlink" Target="https://in.tradingview.com/chart/Cgv3Jm6J/?symbol=NSE%3ARATNAVEER" TargetMode="External"/><Relationship Id="rId1635" Type="http://schemas.openxmlformats.org/officeDocument/2006/relationships/hyperlink" Target="https://in.tradingview.com/chart/Cgv3Jm6J/?symbol=NSE%3ARAYMOND" TargetMode="External"/><Relationship Id="rId1636" Type="http://schemas.openxmlformats.org/officeDocument/2006/relationships/hyperlink" Target="https://in.tradingview.com/chart/Cgv3Jm6J/?symbol=NSE%3ARAYMONDLSL" TargetMode="External"/><Relationship Id="rId1637" Type="http://schemas.openxmlformats.org/officeDocument/2006/relationships/hyperlink" Target="https://in.tradingview.com/chart/Cgv3Jm6J/?symbol=NSE%3ARBA" TargetMode="External"/><Relationship Id="rId1638" Type="http://schemas.openxmlformats.org/officeDocument/2006/relationships/hyperlink" Target="https://in.tradingview.com/chart/Cgv3Jm6J/?symbol=NSE%3ARBLBANK" TargetMode="External"/><Relationship Id="rId929" Type="http://schemas.openxmlformats.org/officeDocument/2006/relationships/hyperlink" Target="https://in.tradingview.com/chart/Cgv3Jm6J/?symbol=NSE%3AINSECTICID" TargetMode="External"/><Relationship Id="rId1639" Type="http://schemas.openxmlformats.org/officeDocument/2006/relationships/hyperlink" Target="https://in.tradingview.com/chart/Cgv3Jm6J/?symbol=NSE%3ARBZJEWEL" TargetMode="External"/><Relationship Id="rId928" Type="http://schemas.openxmlformats.org/officeDocument/2006/relationships/hyperlink" Target="https://in.tradingview.com/chart/Cgv3Jm6J/?symbol=NSE%3AINOXWIND" TargetMode="External"/><Relationship Id="rId927" Type="http://schemas.openxmlformats.org/officeDocument/2006/relationships/hyperlink" Target="https://in.tradingview.com/chart/Cgv3Jm6J/?symbol=NSE%3AINOXINDIA" TargetMode="External"/><Relationship Id="rId926" Type="http://schemas.openxmlformats.org/officeDocument/2006/relationships/hyperlink" Target="https://in.tradingview.com/chart/Cgv3Jm6J/?symbol=NSE%3AINOXGREEN" TargetMode="External"/><Relationship Id="rId921" Type="http://schemas.openxmlformats.org/officeDocument/2006/relationships/hyperlink" Target="https://in.tradingview.com/chart/Cgv3Jm6J/?symbol=NSE%3AINFRAIETF" TargetMode="External"/><Relationship Id="rId920" Type="http://schemas.openxmlformats.org/officeDocument/2006/relationships/hyperlink" Target="https://in.tradingview.com/chart/Cgv3Jm6J/?symbol=NSE%3AINFRABEES" TargetMode="External"/><Relationship Id="rId925" Type="http://schemas.openxmlformats.org/officeDocument/2006/relationships/hyperlink" Target="https://in.tradingview.com/chart/Cgv3Jm6J/?symbol=NSE%3AINNOVANA" TargetMode="External"/><Relationship Id="rId924" Type="http://schemas.openxmlformats.org/officeDocument/2006/relationships/hyperlink" Target="https://in.tradingview.com/chart/Cgv3Jm6J/?symbol=NSE%3AINNOVACAP" TargetMode="External"/><Relationship Id="rId923" Type="http://schemas.openxmlformats.org/officeDocument/2006/relationships/hyperlink" Target="https://in.tradingview.com/chart/Cgv3Jm6J/?symbol=NSE%3AINGERRAND" TargetMode="External"/><Relationship Id="rId922" Type="http://schemas.openxmlformats.org/officeDocument/2006/relationships/hyperlink" Target="https://in.tradingview.com/chart/Cgv3Jm6J/?symbol=NSE%3AINFY" TargetMode="External"/><Relationship Id="rId1630" Type="http://schemas.openxmlformats.org/officeDocument/2006/relationships/hyperlink" Target="https://in.tradingview.com/chart/Cgv3Jm6J/?symbol=NSE%3ARANASUG" TargetMode="External"/><Relationship Id="rId1620" Type="http://schemas.openxmlformats.org/officeDocument/2006/relationships/hyperlink" Target="https://in.tradingview.com/chart/Cgv3Jm6J/?symbol=NSE%3ARAJTV" TargetMode="External"/><Relationship Id="rId1621" Type="http://schemas.openxmlformats.org/officeDocument/2006/relationships/hyperlink" Target="https://in.tradingview.com/chart/Cgv3Jm6J/?symbol=NSE%3ARALLIS" TargetMode="External"/><Relationship Id="rId1622" Type="http://schemas.openxmlformats.org/officeDocument/2006/relationships/hyperlink" Target="https://in.tradingview.com/chart/Cgv3Jm6J/?symbol=NSE%3ARAMANEWS" TargetMode="External"/><Relationship Id="rId1623" Type="http://schemas.openxmlformats.org/officeDocument/2006/relationships/hyperlink" Target="https://in.tradingview.com/chart/Cgv3Jm6J/?symbol=NSE%3ARAMAPHO" TargetMode="External"/><Relationship Id="rId1624" Type="http://schemas.openxmlformats.org/officeDocument/2006/relationships/hyperlink" Target="https://in.tradingview.com/chart/Cgv3Jm6J/?symbol=NSE%3ARAMASTEEL" TargetMode="External"/><Relationship Id="rId1625" Type="http://schemas.openxmlformats.org/officeDocument/2006/relationships/hyperlink" Target="https://in.tradingview.com/chart/Cgv3Jm6J/?symbol=NSE%3ARAMCOCEM" TargetMode="External"/><Relationship Id="rId1626" Type="http://schemas.openxmlformats.org/officeDocument/2006/relationships/hyperlink" Target="https://in.tradingview.com/chart/Cgv3Jm6J/?symbol=NSE%3ARAMCOIND" TargetMode="External"/><Relationship Id="rId1627" Type="http://schemas.openxmlformats.org/officeDocument/2006/relationships/hyperlink" Target="https://in.tradingview.com/chart/Cgv3Jm6J/?symbol=NSE%3ARAMCOSYS" TargetMode="External"/><Relationship Id="rId918" Type="http://schemas.openxmlformats.org/officeDocument/2006/relationships/hyperlink" Target="https://in.tradingview.com/chart/Cgv3Jm6J/?symbol=NSE%3AINFOBEAN" TargetMode="External"/><Relationship Id="rId1628" Type="http://schemas.openxmlformats.org/officeDocument/2006/relationships/hyperlink" Target="https://in.tradingview.com/chart/Cgv3Jm6J/?symbol=NSE%3ARAMKY" TargetMode="External"/><Relationship Id="rId917" Type="http://schemas.openxmlformats.org/officeDocument/2006/relationships/hyperlink" Target="https://in.tradingview.com/chart/Cgv3Jm6J/?symbol=NSE%3AINFIBEAM" TargetMode="External"/><Relationship Id="rId1629" Type="http://schemas.openxmlformats.org/officeDocument/2006/relationships/hyperlink" Target="https://in.tradingview.com/chart/Cgv3Jm6J/?symbol=NSE%3ARAMRAT" TargetMode="External"/><Relationship Id="rId916" Type="http://schemas.openxmlformats.org/officeDocument/2006/relationships/hyperlink" Target="https://in.tradingview.com/chart/Cgv3Jm6J/?symbol=NSE%3AINDUSTOWER" TargetMode="External"/><Relationship Id="rId915" Type="http://schemas.openxmlformats.org/officeDocument/2006/relationships/hyperlink" Target="https://in.tradingview.com/chart/Cgv3Jm6J/?symbol=NSE%3AINDUSINDBK" TargetMode="External"/><Relationship Id="rId919" Type="http://schemas.openxmlformats.org/officeDocument/2006/relationships/hyperlink" Target="https://in.tradingview.com/chart/Cgv3Jm6J/?symbol=NSE%3AINFOMEDIA" TargetMode="External"/><Relationship Id="rId910" Type="http://schemas.openxmlformats.org/officeDocument/2006/relationships/hyperlink" Target="https://in.tradingview.com/chart/Cgv3Jm6J/?symbol=NSE%3AINDOTHAI" TargetMode="External"/><Relationship Id="rId914" Type="http://schemas.openxmlformats.org/officeDocument/2006/relationships/hyperlink" Target="https://in.tradingview.com/chart/Cgv3Jm6J/?symbol=NSE%3AINDTERRAIN" TargetMode="External"/><Relationship Id="rId913" Type="http://schemas.openxmlformats.org/officeDocument/2006/relationships/hyperlink" Target="https://in.tradingview.com/chart/Cgv3Jm6J/?symbol=NSE%3AINDRAMEDCO" TargetMode="External"/><Relationship Id="rId912" Type="http://schemas.openxmlformats.org/officeDocument/2006/relationships/hyperlink" Target="https://in.tradingview.com/chart/Cgv3Jm6J/?symbol=NSE%3AINDOWIND" TargetMode="External"/><Relationship Id="rId911" Type="http://schemas.openxmlformats.org/officeDocument/2006/relationships/hyperlink" Target="https://in.tradingview.com/chart/Cgv3Jm6J/?symbol=NSE%3AINDOUS" TargetMode="External"/><Relationship Id="rId1697" Type="http://schemas.openxmlformats.org/officeDocument/2006/relationships/hyperlink" Target="https://in.tradingview.com/chart/Cgv3Jm6J/?symbol=NSE%3ARUBFILA" TargetMode="External"/><Relationship Id="rId1698" Type="http://schemas.openxmlformats.org/officeDocument/2006/relationships/hyperlink" Target="https://in.tradingview.com/chart/Cgv3Jm6J/?symbol=NSE%3ARUBYMILLS" TargetMode="External"/><Relationship Id="rId1699" Type="http://schemas.openxmlformats.org/officeDocument/2006/relationships/hyperlink" Target="https://in.tradingview.com/chart/Cgv3Jm6J/?symbol=NSE%3ARUCHINFRA" TargetMode="External"/><Relationship Id="rId866" Type="http://schemas.openxmlformats.org/officeDocument/2006/relationships/hyperlink" Target="https://in.tradingview.com/chart/Cgv3Jm6J/?symbol=NSE%3AIDEAFORGE" TargetMode="External"/><Relationship Id="rId865" Type="http://schemas.openxmlformats.org/officeDocument/2006/relationships/hyperlink" Target="https://in.tradingview.com/chart/Cgv3Jm6J/?symbol=NSE%3AIDEA" TargetMode="External"/><Relationship Id="rId864" Type="http://schemas.openxmlformats.org/officeDocument/2006/relationships/hyperlink" Target="https://in.tradingview.com/chart/Cgv3Jm6J/?symbol=NSE%3AIDBI" TargetMode="External"/><Relationship Id="rId863" Type="http://schemas.openxmlformats.org/officeDocument/2006/relationships/hyperlink" Target="https://in.tradingview.com/chart/Cgv3Jm6J/?symbol=NSE%3AICRA" TargetMode="External"/><Relationship Id="rId869" Type="http://schemas.openxmlformats.org/officeDocument/2006/relationships/hyperlink" Target="https://in.tradingview.com/chart/Cgv3Jm6J/?symbol=NSE%3AIEX" TargetMode="External"/><Relationship Id="rId868" Type="http://schemas.openxmlformats.org/officeDocument/2006/relationships/hyperlink" Target="https://in.tradingview.com/chart/Cgv3Jm6J/?symbol=NSE%3AIDFNIFTYET" TargetMode="External"/><Relationship Id="rId867" Type="http://schemas.openxmlformats.org/officeDocument/2006/relationships/hyperlink" Target="https://in.tradingview.com/chart/Cgv3Jm6J/?symbol=NSE%3AIDFCFIRSTB" TargetMode="External"/><Relationship Id="rId1690" Type="http://schemas.openxmlformats.org/officeDocument/2006/relationships/hyperlink" Target="https://in.tradingview.com/chart/Cgv3Jm6J/?symbol=NSE%3ARPTECH" TargetMode="External"/><Relationship Id="rId1691" Type="http://schemas.openxmlformats.org/officeDocument/2006/relationships/hyperlink" Target="https://in.tradingview.com/chart/Cgv3Jm6J/?symbol=NSE%3ARRKABEL" TargetMode="External"/><Relationship Id="rId1692" Type="http://schemas.openxmlformats.org/officeDocument/2006/relationships/hyperlink" Target="https://in.tradingview.com/chart/Cgv3Jm6J/?symbol=NSE%3ARSSOFTWARE" TargetMode="External"/><Relationship Id="rId862" Type="http://schemas.openxmlformats.org/officeDocument/2006/relationships/hyperlink" Target="https://in.tradingview.com/chart/Cgv3Jm6J/?symbol=NSE%3AICIL" TargetMode="External"/><Relationship Id="rId1693" Type="http://schemas.openxmlformats.org/officeDocument/2006/relationships/hyperlink" Target="https://in.tradingview.com/chart/Cgv3Jm6J/?symbol=NSE%3ARSWM" TargetMode="External"/><Relationship Id="rId861" Type="http://schemas.openxmlformats.org/officeDocument/2006/relationships/hyperlink" Target="https://in.tradingview.com/chart/Cgv3Jm6J/?symbol=NSE%3AICICIPRULI" TargetMode="External"/><Relationship Id="rId1694" Type="http://schemas.openxmlformats.org/officeDocument/2006/relationships/hyperlink" Target="https://in.tradingview.com/chart/Cgv3Jm6J/?symbol=NSE%3ARSYSTEMS" TargetMode="External"/><Relationship Id="rId860" Type="http://schemas.openxmlformats.org/officeDocument/2006/relationships/hyperlink" Target="https://in.tradingview.com/chart/Cgv3Jm6J/?symbol=NSE%3AICICIGI" TargetMode="External"/><Relationship Id="rId1695" Type="http://schemas.openxmlformats.org/officeDocument/2006/relationships/hyperlink" Target="https://in.tradingview.com/chart/Cgv3Jm6J/?symbol=NSE%3ARTNINDIA" TargetMode="External"/><Relationship Id="rId1696" Type="http://schemas.openxmlformats.org/officeDocument/2006/relationships/hyperlink" Target="https://in.tradingview.com/chart/Cgv3Jm6J/?symbol=NSE%3ARTNPOWER" TargetMode="External"/><Relationship Id="rId1686" Type="http://schemas.openxmlformats.org/officeDocument/2006/relationships/hyperlink" Target="https://in.tradingview.com/chart/Cgv3Jm6J/?symbol=NSE%3ARPOWER" TargetMode="External"/><Relationship Id="rId1687" Type="http://schemas.openxmlformats.org/officeDocument/2006/relationships/hyperlink" Target="https://in.tradingview.com/chart/Cgv3Jm6J/?symbol=NSE%3ARPPINFRA" TargetMode="External"/><Relationship Id="rId1688" Type="http://schemas.openxmlformats.org/officeDocument/2006/relationships/hyperlink" Target="https://in.tradingview.com/chart/Cgv3Jm6J/?symbol=NSE%3ARPPL" TargetMode="External"/><Relationship Id="rId1689" Type="http://schemas.openxmlformats.org/officeDocument/2006/relationships/hyperlink" Target="https://in.tradingview.com/chart/Cgv3Jm6J/?symbol=NSE%3ARPSGVENT" TargetMode="External"/><Relationship Id="rId855" Type="http://schemas.openxmlformats.org/officeDocument/2006/relationships/hyperlink" Target="https://in.tradingview.com/chart/Cgv3Jm6J/?symbol=NSE%3AHYUNDAI" TargetMode="External"/><Relationship Id="rId854" Type="http://schemas.openxmlformats.org/officeDocument/2006/relationships/hyperlink" Target="https://in.tradingview.com/chart/Cgv3Jm6J/?symbol=NSE%3AHYBRIDFIN" TargetMode="External"/><Relationship Id="rId853" Type="http://schemas.openxmlformats.org/officeDocument/2006/relationships/hyperlink" Target="https://in.tradingview.com/chart/Cgv3Jm6J/?symbol=NSE%3AHUHTAMAKI" TargetMode="External"/><Relationship Id="rId852" Type="http://schemas.openxmlformats.org/officeDocument/2006/relationships/hyperlink" Target="https://in.tradingview.com/chart/Cgv3Jm6J/?symbol=NSE%3AHUDCO" TargetMode="External"/><Relationship Id="rId859" Type="http://schemas.openxmlformats.org/officeDocument/2006/relationships/hyperlink" Target="https://in.tradingview.com/chart/Cgv3Jm6J/?symbol=NSE%3AICICIBANK" TargetMode="External"/><Relationship Id="rId858" Type="http://schemas.openxmlformats.org/officeDocument/2006/relationships/hyperlink" Target="https://in.tradingview.com/chart/Cgv3Jm6J/?symbol=NSE%3AICICIB22" TargetMode="External"/><Relationship Id="rId857" Type="http://schemas.openxmlformats.org/officeDocument/2006/relationships/hyperlink" Target="https://in.tradingview.com/chart/Cgv3Jm6J/?symbol=NSE%3AICEMAKE" TargetMode="External"/><Relationship Id="rId856" Type="http://schemas.openxmlformats.org/officeDocument/2006/relationships/hyperlink" Target="https://in.tradingview.com/chart/Cgv3Jm6J/?symbol=NSE%3AICDSLTD" TargetMode="External"/><Relationship Id="rId1680" Type="http://schemas.openxmlformats.org/officeDocument/2006/relationships/hyperlink" Target="https://in.tradingview.com/chart/Cgv3Jm6J/?symbol=NSE%3AROSSELLIND" TargetMode="External"/><Relationship Id="rId1681" Type="http://schemas.openxmlformats.org/officeDocument/2006/relationships/hyperlink" Target="https://in.tradingview.com/chart/Cgv3Jm6J/?symbol=NSE%3AROSSTECH" TargetMode="External"/><Relationship Id="rId851" Type="http://schemas.openxmlformats.org/officeDocument/2006/relationships/hyperlink" Target="https://in.tradingview.com/chart/Cgv3Jm6J/?symbol=NSE%3AHUBTOWN" TargetMode="External"/><Relationship Id="rId1682" Type="http://schemas.openxmlformats.org/officeDocument/2006/relationships/hyperlink" Target="https://in.tradingview.com/chart/Cgv3Jm6J/?symbol=NSE%3AROTO" TargetMode="External"/><Relationship Id="rId850" Type="http://schemas.openxmlformats.org/officeDocument/2006/relationships/hyperlink" Target="https://in.tradingview.com/chart/Cgv3Jm6J/?symbol=NSE%3AHTMEDIA" TargetMode="External"/><Relationship Id="rId1683" Type="http://schemas.openxmlformats.org/officeDocument/2006/relationships/hyperlink" Target="https://in.tradingview.com/chart/Cgv3Jm6J/?symbol=NSE%3AROUTE" TargetMode="External"/><Relationship Id="rId1684" Type="http://schemas.openxmlformats.org/officeDocument/2006/relationships/hyperlink" Target="https://in.tradingview.com/chart/Cgv3Jm6J/?symbol=NSE%3ARPEL" TargetMode="External"/><Relationship Id="rId1685" Type="http://schemas.openxmlformats.org/officeDocument/2006/relationships/hyperlink" Target="https://in.tradingview.com/chart/Cgv3Jm6J/?symbol=NSE%3ARPGLIFE" TargetMode="External"/><Relationship Id="rId888" Type="http://schemas.openxmlformats.org/officeDocument/2006/relationships/hyperlink" Target="https://in.tradingview.com/chart/Cgv3Jm6J/?symbol=NSE%3AIMPEXFERRO" TargetMode="External"/><Relationship Id="rId887" Type="http://schemas.openxmlformats.org/officeDocument/2006/relationships/hyperlink" Target="https://in.tradingview.com/chart/Cgv3Jm6J/?symbol=NSE%3AIMPAL" TargetMode="External"/><Relationship Id="rId886" Type="http://schemas.openxmlformats.org/officeDocument/2006/relationships/hyperlink" Target="https://in.tradingview.com/chart/Cgv3Jm6J/?symbol=NSE%3AIMFA" TargetMode="External"/><Relationship Id="rId885" Type="http://schemas.openxmlformats.org/officeDocument/2006/relationships/hyperlink" Target="https://in.tradingview.com/chart/Cgv3Jm6J/?symbol=NSE%3AIMAGICAA" TargetMode="External"/><Relationship Id="rId889" Type="http://schemas.openxmlformats.org/officeDocument/2006/relationships/hyperlink" Target="https://in.tradingview.com/chart/Cgv3Jm6J/?symbol=NSE%3AINCREDIBLE" TargetMode="External"/><Relationship Id="rId880" Type="http://schemas.openxmlformats.org/officeDocument/2006/relationships/hyperlink" Target="https://in.tradingview.com/chart/Cgv3Jm6J/?symbol=NSE%3AIITL" TargetMode="External"/><Relationship Id="rId884" Type="http://schemas.openxmlformats.org/officeDocument/2006/relationships/hyperlink" Target="https://in.tradingview.com/chart/Cgv3Jm6J/?symbol=NSE%3AIL_FSTRANS" TargetMode="External"/><Relationship Id="rId883" Type="http://schemas.openxmlformats.org/officeDocument/2006/relationships/hyperlink" Target="https://in.tradingview.com/chart/Cgv3Jm6J/?symbol=NSE%3AIL_FSENGG" TargetMode="External"/><Relationship Id="rId882" Type="http://schemas.openxmlformats.org/officeDocument/2006/relationships/hyperlink" Target="https://in.tradingview.com/chart/Cgv3Jm6J/?symbol=NSE%3AIKS" TargetMode="External"/><Relationship Id="rId881" Type="http://schemas.openxmlformats.org/officeDocument/2006/relationships/hyperlink" Target="https://in.tradingview.com/chart/Cgv3Jm6J/?symbol=NSE%3AIKIO" TargetMode="External"/><Relationship Id="rId877" Type="http://schemas.openxmlformats.org/officeDocument/2006/relationships/hyperlink" Target="https://in.tradingview.com/chart/Cgv3Jm6J/?symbol=NSE%3AIGPL" TargetMode="External"/><Relationship Id="rId876" Type="http://schemas.openxmlformats.org/officeDocument/2006/relationships/hyperlink" Target="https://in.tradingview.com/chart/Cgv3Jm6J/?symbol=NSE%3AIGL" TargetMode="External"/><Relationship Id="rId875" Type="http://schemas.openxmlformats.org/officeDocument/2006/relationships/hyperlink" Target="https://in.tradingview.com/chart/Cgv3Jm6J/?symbol=NSE%3AIGIL" TargetMode="External"/><Relationship Id="rId874" Type="http://schemas.openxmlformats.org/officeDocument/2006/relationships/hyperlink" Target="https://in.tradingview.com/chart/Cgv3Jm6J/?symbol=NSE%3AIGARASHI" TargetMode="External"/><Relationship Id="rId879" Type="http://schemas.openxmlformats.org/officeDocument/2006/relationships/hyperlink" Target="https://in.tradingview.com/chart/Cgv3Jm6J/?symbol=NSE%3AIIFLCAPS" TargetMode="External"/><Relationship Id="rId878" Type="http://schemas.openxmlformats.org/officeDocument/2006/relationships/hyperlink" Target="https://in.tradingview.com/chart/Cgv3Jm6J/?symbol=NSE%3AIIFL" TargetMode="External"/><Relationship Id="rId873" Type="http://schemas.openxmlformats.org/officeDocument/2006/relationships/hyperlink" Target="https://in.tradingview.com/chart/Cgv3Jm6J/?symbol=NSE%3AIFGLEXPOR" TargetMode="External"/><Relationship Id="rId872" Type="http://schemas.openxmlformats.org/officeDocument/2006/relationships/hyperlink" Target="https://in.tradingview.com/chart/Cgv3Jm6J/?symbol=NSE%3AIFCI" TargetMode="External"/><Relationship Id="rId871" Type="http://schemas.openxmlformats.org/officeDocument/2006/relationships/hyperlink" Target="https://in.tradingview.com/chart/Cgv3Jm6J/?symbol=NSE%3AIFBIND" TargetMode="External"/><Relationship Id="rId870" Type="http://schemas.openxmlformats.org/officeDocument/2006/relationships/hyperlink" Target="https://in.tradingview.com/chart/Cgv3Jm6J/?symbol=NSE%3AIFBAGRO" TargetMode="External"/><Relationship Id="rId1653" Type="http://schemas.openxmlformats.org/officeDocument/2006/relationships/hyperlink" Target="https://in.tradingview.com/chart/Cgv3Jm6J/?symbol=NSE%3AREMSONSIND" TargetMode="External"/><Relationship Id="rId1654" Type="http://schemas.openxmlformats.org/officeDocument/2006/relationships/hyperlink" Target="https://in.tradingview.com/chart/Cgv3Jm6J/?symbol=NSE%3ARENUKA" TargetMode="External"/><Relationship Id="rId1655" Type="http://schemas.openxmlformats.org/officeDocument/2006/relationships/hyperlink" Target="https://in.tradingview.com/chart/Cgv3Jm6J/?symbol=NSE%3AREPCOHOME" TargetMode="External"/><Relationship Id="rId1656" Type="http://schemas.openxmlformats.org/officeDocument/2006/relationships/hyperlink" Target="https://in.tradingview.com/chart/Cgv3Jm6J/?symbol=NSE%3AREPL" TargetMode="External"/><Relationship Id="rId1657" Type="http://schemas.openxmlformats.org/officeDocument/2006/relationships/hyperlink" Target="https://in.tradingview.com/chart/Cgv3Jm6J/?symbol=NSE%3AREPRO" TargetMode="External"/><Relationship Id="rId1658" Type="http://schemas.openxmlformats.org/officeDocument/2006/relationships/hyperlink" Target="https://in.tradingview.com/chart/Cgv3Jm6J/?symbol=NSE%3ARESPONIND" TargetMode="External"/><Relationship Id="rId1659" Type="http://schemas.openxmlformats.org/officeDocument/2006/relationships/hyperlink" Target="https://in.tradingview.com/chart/Cgv3Jm6J/?symbol=NSE%3ARETAIL" TargetMode="External"/><Relationship Id="rId829" Type="http://schemas.openxmlformats.org/officeDocument/2006/relationships/hyperlink" Target="https://in.tradingview.com/chart/Cgv3Jm6J/?symbol=NSE%3AHINDZINC" TargetMode="External"/><Relationship Id="rId828" Type="http://schemas.openxmlformats.org/officeDocument/2006/relationships/hyperlink" Target="https://in.tradingview.com/chart/Cgv3Jm6J/?symbol=NSE%3AHINDWAREAP" TargetMode="External"/><Relationship Id="rId827" Type="http://schemas.openxmlformats.org/officeDocument/2006/relationships/hyperlink" Target="https://in.tradingview.com/chart/Cgv3Jm6J/?symbol=NSE%3AHINDUNILVR" TargetMode="External"/><Relationship Id="rId822" Type="http://schemas.openxmlformats.org/officeDocument/2006/relationships/hyperlink" Target="https://in.tradingview.com/chart/Cgv3Jm6J/?symbol=NSE%3AHINDCOMPOS" TargetMode="External"/><Relationship Id="rId821" Type="http://schemas.openxmlformats.org/officeDocument/2006/relationships/hyperlink" Target="https://in.tradingview.com/chart/Cgv3Jm6J/?symbol=NSE%3AHINDALCO" TargetMode="External"/><Relationship Id="rId820" Type="http://schemas.openxmlformats.org/officeDocument/2006/relationships/hyperlink" Target="https://in.tradingview.com/chart/Cgv3Jm6J/?symbol=NSE%3AHIMATSEIDE" TargetMode="External"/><Relationship Id="rId826" Type="http://schemas.openxmlformats.org/officeDocument/2006/relationships/hyperlink" Target="https://in.tradingview.com/chart/Cgv3Jm6J/?symbol=NSE%3AHINDPETRO" TargetMode="External"/><Relationship Id="rId825" Type="http://schemas.openxmlformats.org/officeDocument/2006/relationships/hyperlink" Target="https://in.tradingview.com/chart/Cgv3Jm6J/?symbol=NSE%3AHINDOILEXP" TargetMode="External"/><Relationship Id="rId824" Type="http://schemas.openxmlformats.org/officeDocument/2006/relationships/hyperlink" Target="https://in.tradingview.com/chart/Cgv3Jm6J/?symbol=NSE%3AHINDCOPPER" TargetMode="External"/><Relationship Id="rId823" Type="http://schemas.openxmlformats.org/officeDocument/2006/relationships/hyperlink" Target="https://in.tradingview.com/chart/Cgv3Jm6J/?symbol=NSE%3AHINDCON" TargetMode="External"/><Relationship Id="rId1650" Type="http://schemas.openxmlformats.org/officeDocument/2006/relationships/hyperlink" Target="https://in.tradingview.com/chart/Cgv3Jm6J/?symbol=NSE%3ARELIGARE" TargetMode="External"/><Relationship Id="rId1651" Type="http://schemas.openxmlformats.org/officeDocument/2006/relationships/hyperlink" Target="https://in.tradingview.com/chart/Cgv3Jm6J/?symbol=NSE%3ARELINFRA" TargetMode="External"/><Relationship Id="rId1652" Type="http://schemas.openxmlformats.org/officeDocument/2006/relationships/hyperlink" Target="https://in.tradingview.com/chart/Cgv3Jm6J/?symbol=NSE%3ARELTD" TargetMode="External"/><Relationship Id="rId1642" Type="http://schemas.openxmlformats.org/officeDocument/2006/relationships/hyperlink" Target="https://in.tradingview.com/chart/Cgv3Jm6J/?symbol=NSE%3AREDINGTON" TargetMode="External"/><Relationship Id="rId1643" Type="http://schemas.openxmlformats.org/officeDocument/2006/relationships/hyperlink" Target="https://in.tradingview.com/chart/Cgv3Jm6J/?symbol=NSE%3AREDTAPE" TargetMode="External"/><Relationship Id="rId1644" Type="http://schemas.openxmlformats.org/officeDocument/2006/relationships/hyperlink" Target="https://in.tradingview.com/chart/Cgv3Jm6J/?symbol=NSE%3AREFEX" TargetMode="External"/><Relationship Id="rId1645" Type="http://schemas.openxmlformats.org/officeDocument/2006/relationships/hyperlink" Target="https://in.tradingview.com/chart/Cgv3Jm6J/?symbol=NSE%3AREGENCERAM" TargetMode="External"/><Relationship Id="rId1646" Type="http://schemas.openxmlformats.org/officeDocument/2006/relationships/hyperlink" Target="https://in.tradingview.com/chart/Cgv3Jm6J/?symbol=NSE%3ARELAXO" TargetMode="External"/><Relationship Id="rId1647" Type="http://schemas.openxmlformats.org/officeDocument/2006/relationships/hyperlink" Target="https://in.tradingview.com/chart/Cgv3Jm6J/?symbol=NSE%3ARELCHEMQ" TargetMode="External"/><Relationship Id="rId1648" Type="http://schemas.openxmlformats.org/officeDocument/2006/relationships/hyperlink" Target="https://in.tradingview.com/chart/Cgv3Jm6J/?symbol=NSE%3ARELIABLE" TargetMode="External"/><Relationship Id="rId1649" Type="http://schemas.openxmlformats.org/officeDocument/2006/relationships/hyperlink" Target="https://in.tradingview.com/chart/Cgv3Jm6J/?symbol=NSE%3ARELIANCE" TargetMode="External"/><Relationship Id="rId819" Type="http://schemas.openxmlformats.org/officeDocument/2006/relationships/hyperlink" Target="https://in.tradingview.com/chart/Cgv3Jm6J/?symbol=NSE%3AHILTON" TargetMode="External"/><Relationship Id="rId818" Type="http://schemas.openxmlformats.org/officeDocument/2006/relationships/hyperlink" Target="https://in.tradingview.com/chart/Cgv3Jm6J/?symbol=NSE%3AHIKAL" TargetMode="External"/><Relationship Id="rId817" Type="http://schemas.openxmlformats.org/officeDocument/2006/relationships/hyperlink" Target="https://in.tradingview.com/chart/Cgv3Jm6J/?symbol=NSE%3AHGS" TargetMode="External"/><Relationship Id="rId816" Type="http://schemas.openxmlformats.org/officeDocument/2006/relationships/hyperlink" Target="https://in.tradingview.com/chart/Cgv3Jm6J/?symbol=NSE%3AHGINFRA" TargetMode="External"/><Relationship Id="rId811" Type="http://schemas.openxmlformats.org/officeDocument/2006/relationships/hyperlink" Target="https://in.tradingview.com/chart/Cgv3Jm6J/?symbol=NSE%3AHESTERBIO" TargetMode="External"/><Relationship Id="rId810" Type="http://schemas.openxmlformats.org/officeDocument/2006/relationships/hyperlink" Target="https://in.tradingview.com/chart/Cgv3Jm6J/?symbol=NSE%3AHEROMOTOCO" TargetMode="External"/><Relationship Id="rId815" Type="http://schemas.openxmlformats.org/officeDocument/2006/relationships/hyperlink" Target="https://in.tradingview.com/chart/Cgv3Jm6J/?symbol=NSE%3AHFCL" TargetMode="External"/><Relationship Id="rId814" Type="http://schemas.openxmlformats.org/officeDocument/2006/relationships/hyperlink" Target="https://in.tradingview.com/chart/Cgv3Jm6J/?symbol=NSE%3AHEXT" TargetMode="External"/><Relationship Id="rId813" Type="http://schemas.openxmlformats.org/officeDocument/2006/relationships/hyperlink" Target="https://in.tradingview.com/chart/Cgv3Jm6J/?symbol=NSE%3AHEXATRADEX" TargetMode="External"/><Relationship Id="rId812" Type="http://schemas.openxmlformats.org/officeDocument/2006/relationships/hyperlink" Target="https://in.tradingview.com/chart/Cgv3Jm6J/?symbol=NSE%3AHEUBACHIND" TargetMode="External"/><Relationship Id="rId1640" Type="http://schemas.openxmlformats.org/officeDocument/2006/relationships/hyperlink" Target="https://in.tradingview.com/chart/Cgv3Jm6J/?symbol=NSE%3ARCF" TargetMode="External"/><Relationship Id="rId1641" Type="http://schemas.openxmlformats.org/officeDocument/2006/relationships/hyperlink" Target="https://in.tradingview.com/chart/Cgv3Jm6J/?symbol=NSE%3ARECLTD" TargetMode="External"/><Relationship Id="rId1675" Type="http://schemas.openxmlformats.org/officeDocument/2006/relationships/hyperlink" Target="https://in.tradingview.com/chart/Cgv3Jm6J/?symbol=NSE%3AROLEXRINGS" TargetMode="External"/><Relationship Id="rId1676" Type="http://schemas.openxmlformats.org/officeDocument/2006/relationships/hyperlink" Target="https://in.tradingview.com/chart/Cgv3Jm6J/?symbol=NSE%3AROLLT" TargetMode="External"/><Relationship Id="rId1677" Type="http://schemas.openxmlformats.org/officeDocument/2006/relationships/hyperlink" Target="https://in.tradingview.com/chart/Cgv3Jm6J/?symbol=NSE%3AROLTA" TargetMode="External"/><Relationship Id="rId1678" Type="http://schemas.openxmlformats.org/officeDocument/2006/relationships/hyperlink" Target="https://in.tradingview.com/chart/Cgv3Jm6J/?symbol=NSE%3AROML" TargetMode="External"/><Relationship Id="rId1679" Type="http://schemas.openxmlformats.org/officeDocument/2006/relationships/hyperlink" Target="https://in.tradingview.com/chart/Cgv3Jm6J/?symbol=NSE%3AROSSARI" TargetMode="External"/><Relationship Id="rId849" Type="http://schemas.openxmlformats.org/officeDocument/2006/relationships/hyperlink" Target="https://in.tradingview.com/chart/Cgv3Jm6J/?symbol=NSE%3AHSCL" TargetMode="External"/><Relationship Id="rId844" Type="http://schemas.openxmlformats.org/officeDocument/2006/relationships/hyperlink" Target="https://in.tradingview.com/chart/Cgv3Jm6J/?symbol=NSE%3AHONAUT" TargetMode="External"/><Relationship Id="rId843" Type="http://schemas.openxmlformats.org/officeDocument/2006/relationships/hyperlink" Target="https://in.tradingview.com/chart/Cgv3Jm6J/?symbol=NSE%3AHONASA" TargetMode="External"/><Relationship Id="rId842" Type="http://schemas.openxmlformats.org/officeDocument/2006/relationships/hyperlink" Target="https://in.tradingview.com/chart/Cgv3Jm6J/?symbol=NSE%3AHOMEFIRST" TargetMode="External"/><Relationship Id="rId841" Type="http://schemas.openxmlformats.org/officeDocument/2006/relationships/hyperlink" Target="https://in.tradingview.com/chart/Cgv3Jm6J/?symbol=NSE%3AHNGSNGBEES" TargetMode="External"/><Relationship Id="rId848" Type="http://schemas.openxmlformats.org/officeDocument/2006/relationships/hyperlink" Target="https://in.tradingview.com/chart/Cgv3Jm6J/?symbol=NSE%3AHPL" TargetMode="External"/><Relationship Id="rId847" Type="http://schemas.openxmlformats.org/officeDocument/2006/relationships/hyperlink" Target="https://in.tradingview.com/chart/Cgv3Jm6J/?symbol=NSE%3AHPIL" TargetMode="External"/><Relationship Id="rId846" Type="http://schemas.openxmlformats.org/officeDocument/2006/relationships/hyperlink" Target="https://in.tradingview.com/chart/Cgv3Jm6J/?symbol=NSE%3AHPAL" TargetMode="External"/><Relationship Id="rId845" Type="http://schemas.openxmlformats.org/officeDocument/2006/relationships/hyperlink" Target="https://in.tradingview.com/chart/Cgv3Jm6J/?symbol=NSE%3AHONDAPOWER" TargetMode="External"/><Relationship Id="rId1670" Type="http://schemas.openxmlformats.org/officeDocument/2006/relationships/hyperlink" Target="https://in.tradingview.com/chart/Cgv3Jm6J/?symbol=NSE%3ARKEC" TargetMode="External"/><Relationship Id="rId840" Type="http://schemas.openxmlformats.org/officeDocument/2006/relationships/hyperlink" Target="https://in.tradingview.com/chart/Cgv3Jm6J/?symbol=NSE%3AHNDFDS" TargetMode="External"/><Relationship Id="rId1671" Type="http://schemas.openxmlformats.org/officeDocument/2006/relationships/hyperlink" Target="https://in.tradingview.com/chart/Cgv3Jm6J/?symbol=NSE%3ARKFORGE" TargetMode="External"/><Relationship Id="rId1672" Type="http://schemas.openxmlformats.org/officeDocument/2006/relationships/hyperlink" Target="https://in.tradingview.com/chart/Cgv3Jm6J/?symbol=NSE%3ARKSWAMY" TargetMode="External"/><Relationship Id="rId1673" Type="http://schemas.openxmlformats.org/officeDocument/2006/relationships/hyperlink" Target="https://in.tradingview.com/chart/Cgv3Jm6J/?symbol=NSE%3ARML" TargetMode="External"/><Relationship Id="rId1674" Type="http://schemas.openxmlformats.org/officeDocument/2006/relationships/hyperlink" Target="https://in.tradingview.com/chart/Cgv3Jm6J/?symbol=NSE%3AROHLTD" TargetMode="External"/><Relationship Id="rId1664" Type="http://schemas.openxmlformats.org/officeDocument/2006/relationships/hyperlink" Target="https://in.tradingview.com/chart/Cgv3Jm6J/?symbol=NSE%3ARICOAUTO" TargetMode="External"/><Relationship Id="rId1665" Type="http://schemas.openxmlformats.org/officeDocument/2006/relationships/hyperlink" Target="https://in.tradingview.com/chart/Cgv3Jm6J/?symbol=NSE%3ARIIL" TargetMode="External"/><Relationship Id="rId1666" Type="http://schemas.openxmlformats.org/officeDocument/2006/relationships/hyperlink" Target="https://in.tradingview.com/chart/Cgv3Jm6J/?symbol=NSE%3ARISHABH" TargetMode="External"/><Relationship Id="rId1667" Type="http://schemas.openxmlformats.org/officeDocument/2006/relationships/hyperlink" Target="https://in.tradingview.com/chart/Cgv3Jm6J/?symbol=NSE%3ARITCO" TargetMode="External"/><Relationship Id="rId1668" Type="http://schemas.openxmlformats.org/officeDocument/2006/relationships/hyperlink" Target="https://in.tradingview.com/chart/Cgv3Jm6J/?symbol=NSE%3ARITES" TargetMode="External"/><Relationship Id="rId1669" Type="http://schemas.openxmlformats.org/officeDocument/2006/relationships/hyperlink" Target="https://in.tradingview.com/chart/Cgv3Jm6J/?symbol=NSE%3ARKDL" TargetMode="External"/><Relationship Id="rId839" Type="http://schemas.openxmlformats.org/officeDocument/2006/relationships/hyperlink" Target="https://in.tradingview.com/chart/Cgv3Jm6J/?symbol=NSE%3AHMVL" TargetMode="External"/><Relationship Id="rId838" Type="http://schemas.openxmlformats.org/officeDocument/2006/relationships/hyperlink" Target="https://in.tradingview.com/chart/Cgv3Jm6J/?symbol=NSE%3AHMT" TargetMode="External"/><Relationship Id="rId833" Type="http://schemas.openxmlformats.org/officeDocument/2006/relationships/hyperlink" Target="https://in.tradingview.com/chart/Cgv3Jm6J/?symbol=NSE%3AHITECHCORP" TargetMode="External"/><Relationship Id="rId832" Type="http://schemas.openxmlformats.org/officeDocument/2006/relationships/hyperlink" Target="https://in.tradingview.com/chart/Cgv3Jm6J/?symbol=NSE%3AHITECH" TargetMode="External"/><Relationship Id="rId831" Type="http://schemas.openxmlformats.org/officeDocument/2006/relationships/hyperlink" Target="https://in.tradingview.com/chart/Cgv3Jm6J/?symbol=NSE%3AHISARMETAL" TargetMode="External"/><Relationship Id="rId830" Type="http://schemas.openxmlformats.org/officeDocument/2006/relationships/hyperlink" Target="https://in.tradingview.com/chart/Cgv3Jm6J/?symbol=NSE%3AHIRECT" TargetMode="External"/><Relationship Id="rId837" Type="http://schemas.openxmlformats.org/officeDocument/2006/relationships/hyperlink" Target="https://in.tradingview.com/chart/Cgv3Jm6J/?symbol=NSE%3AHMAAGRO" TargetMode="External"/><Relationship Id="rId836" Type="http://schemas.openxmlformats.org/officeDocument/2006/relationships/hyperlink" Target="https://in.tradingview.com/chart/Cgv3Jm6J/?symbol=NSE%3AHLVLTD" TargetMode="External"/><Relationship Id="rId835" Type="http://schemas.openxmlformats.org/officeDocument/2006/relationships/hyperlink" Target="https://in.tradingview.com/chart/Cgv3Jm6J/?symbol=NSE%3AHLEGLAS" TargetMode="External"/><Relationship Id="rId834" Type="http://schemas.openxmlformats.org/officeDocument/2006/relationships/hyperlink" Target="https://in.tradingview.com/chart/Cgv3Jm6J/?symbol=NSE%3AHITECHGEAR" TargetMode="External"/><Relationship Id="rId1660" Type="http://schemas.openxmlformats.org/officeDocument/2006/relationships/hyperlink" Target="https://in.tradingview.com/chart/Cgv3Jm6J/?symbol=NSE%3ARGL" TargetMode="External"/><Relationship Id="rId1661" Type="http://schemas.openxmlformats.org/officeDocument/2006/relationships/hyperlink" Target="https://in.tradingview.com/chart/Cgv3Jm6J/?symbol=NSE%3ARHFL" TargetMode="External"/><Relationship Id="rId1662" Type="http://schemas.openxmlformats.org/officeDocument/2006/relationships/hyperlink" Target="https://in.tradingview.com/chart/Cgv3Jm6J/?symbol=NSE%3ARHIM" TargetMode="External"/><Relationship Id="rId1663" Type="http://schemas.openxmlformats.org/officeDocument/2006/relationships/hyperlink" Target="https://in.tradingview.com/chart/Cgv3Jm6J/?symbol=NSE%3ARHL" TargetMode="External"/><Relationship Id="rId2148" Type="http://schemas.openxmlformats.org/officeDocument/2006/relationships/hyperlink" Target="https://in.tradingview.com/chart/Cgv3Jm6J/?symbol=NSE%3AVIJAYA" TargetMode="External"/><Relationship Id="rId2149" Type="http://schemas.openxmlformats.org/officeDocument/2006/relationships/hyperlink" Target="https://in.tradingview.com/chart/Cgv3Jm6J/?symbol=NSE%3AVIJIFIN" TargetMode="External"/><Relationship Id="rId2140" Type="http://schemas.openxmlformats.org/officeDocument/2006/relationships/hyperlink" Target="https://in.tradingview.com/chart/Cgv3Jm6J/?symbol=NSE%3AVENUSREM" TargetMode="External"/><Relationship Id="rId2141" Type="http://schemas.openxmlformats.org/officeDocument/2006/relationships/hyperlink" Target="https://in.tradingview.com/chart/Cgv3Jm6J/?symbol=NSE%3AVERANDA" TargetMode="External"/><Relationship Id="rId2142" Type="http://schemas.openxmlformats.org/officeDocument/2006/relationships/hyperlink" Target="https://in.tradingview.com/chart/Cgv3Jm6J/?symbol=NSE%3AVESUVIUS" TargetMode="External"/><Relationship Id="rId2143" Type="http://schemas.openxmlformats.org/officeDocument/2006/relationships/hyperlink" Target="https://in.tradingview.com/chart/Cgv3Jm6J/?symbol=NSE%3AVETO" TargetMode="External"/><Relationship Id="rId2144" Type="http://schemas.openxmlformats.org/officeDocument/2006/relationships/hyperlink" Target="https://in.tradingview.com/chart/Cgv3Jm6J/?symbol=NSE%3AVGUARD" TargetMode="External"/><Relationship Id="rId2145" Type="http://schemas.openxmlformats.org/officeDocument/2006/relationships/hyperlink" Target="https://in.tradingview.com/chart/Cgv3Jm6J/?symbol=NSE%3AVHL" TargetMode="External"/><Relationship Id="rId2146" Type="http://schemas.openxmlformats.org/officeDocument/2006/relationships/hyperlink" Target="https://in.tradingview.com/chart/Cgv3Jm6J/?symbol=NSE%3AVHLTD" TargetMode="External"/><Relationship Id="rId2147" Type="http://schemas.openxmlformats.org/officeDocument/2006/relationships/hyperlink" Target="https://in.tradingview.com/chart/Cgv3Jm6J/?symbol=NSE%3AVIDHIING" TargetMode="External"/><Relationship Id="rId2137" Type="http://schemas.openxmlformats.org/officeDocument/2006/relationships/hyperlink" Target="https://in.tradingview.com/chart/Cgv3Jm6J/?symbol=NSE%3AVENKEYS" TargetMode="External"/><Relationship Id="rId2138" Type="http://schemas.openxmlformats.org/officeDocument/2006/relationships/hyperlink" Target="https://in.tradingview.com/chart/Cgv3Jm6J/?symbol=NSE%3AVENTIVE" TargetMode="External"/><Relationship Id="rId2139" Type="http://schemas.openxmlformats.org/officeDocument/2006/relationships/hyperlink" Target="https://in.tradingview.com/chart/Cgv3Jm6J/?symbol=NSE%3AVENUSPIPES" TargetMode="External"/><Relationship Id="rId2130" Type="http://schemas.openxmlformats.org/officeDocument/2006/relationships/hyperlink" Target="https://in.tradingview.com/chart/Cgv3Jm6J/?symbol=NSE%3AVARROC" TargetMode="External"/><Relationship Id="rId2131" Type="http://schemas.openxmlformats.org/officeDocument/2006/relationships/hyperlink" Target="https://in.tradingview.com/chart/Cgv3Jm6J/?symbol=NSE%3AVASCONEQ" TargetMode="External"/><Relationship Id="rId2132" Type="http://schemas.openxmlformats.org/officeDocument/2006/relationships/hyperlink" Target="https://in.tradingview.com/chart/Cgv3Jm6J/?symbol=NSE%3AVASWANI" TargetMode="External"/><Relationship Id="rId2133" Type="http://schemas.openxmlformats.org/officeDocument/2006/relationships/hyperlink" Target="https://in.tradingview.com/chart/Cgv3Jm6J/?symbol=NSE%3AVBL" TargetMode="External"/><Relationship Id="rId2134" Type="http://schemas.openxmlformats.org/officeDocument/2006/relationships/hyperlink" Target="https://in.tradingview.com/chart/Cgv3Jm6J/?symbol=NSE%3AVCL" TargetMode="External"/><Relationship Id="rId2135" Type="http://schemas.openxmlformats.org/officeDocument/2006/relationships/hyperlink" Target="https://in.tradingview.com/chart/Cgv3Jm6J/?symbol=NSE%3AVEDL" TargetMode="External"/><Relationship Id="rId2136" Type="http://schemas.openxmlformats.org/officeDocument/2006/relationships/hyperlink" Target="https://in.tradingview.com/chart/Cgv3Jm6J/?symbol=NSE%3AVEEDOL" TargetMode="External"/><Relationship Id="rId2160" Type="http://schemas.openxmlformats.org/officeDocument/2006/relationships/hyperlink" Target="https://in.tradingview.com/chart/Cgv3Jm6J/?symbol=NSE%3AVIRINCHI" TargetMode="External"/><Relationship Id="rId2161" Type="http://schemas.openxmlformats.org/officeDocument/2006/relationships/hyperlink" Target="https://in.tradingview.com/chart/Cgv3Jm6J/?symbol=NSE%3AVISAKAIND" TargetMode="External"/><Relationship Id="rId2162" Type="http://schemas.openxmlformats.org/officeDocument/2006/relationships/hyperlink" Target="https://in.tradingview.com/chart/Cgv3Jm6J/?symbol=NSE%3AVISASTEEL" TargetMode="External"/><Relationship Id="rId2163" Type="http://schemas.openxmlformats.org/officeDocument/2006/relationships/hyperlink" Target="https://in.tradingview.com/chart/Cgv3Jm6J/?symbol=NSE%3AVISHNU" TargetMode="External"/><Relationship Id="rId2164" Type="http://schemas.openxmlformats.org/officeDocument/2006/relationships/hyperlink" Target="https://in.tradingview.com/chart/Cgv3Jm6J/?symbol=NSE%3AVISHWARAJ" TargetMode="External"/><Relationship Id="rId2165" Type="http://schemas.openxmlformats.org/officeDocument/2006/relationships/hyperlink" Target="https://in.tradingview.com/chart/Cgv3Jm6J/?symbol=NSE%3AVIVIDHA" TargetMode="External"/><Relationship Id="rId2166" Type="http://schemas.openxmlformats.org/officeDocument/2006/relationships/hyperlink" Target="https://in.tradingview.com/chart/Cgv3Jm6J/?symbol=NSE%3AVLEGOV" TargetMode="External"/><Relationship Id="rId2167" Type="http://schemas.openxmlformats.org/officeDocument/2006/relationships/hyperlink" Target="https://in.tradingview.com/chart/Cgv3Jm6J/?symbol=NSE%3AVLSFINANCE" TargetMode="External"/><Relationship Id="rId2168" Type="http://schemas.openxmlformats.org/officeDocument/2006/relationships/hyperlink" Target="https://in.tradingview.com/chart/Cgv3Jm6J/?symbol=NSE%3AVMART" TargetMode="External"/><Relationship Id="rId2169" Type="http://schemas.openxmlformats.org/officeDocument/2006/relationships/hyperlink" Target="https://in.tradingview.com/chart/Cgv3Jm6J/?symbol=NSE%3AVMM" TargetMode="External"/><Relationship Id="rId2159" Type="http://schemas.openxmlformats.org/officeDocument/2006/relationships/hyperlink" Target="https://in.tradingview.com/chart/Cgv3Jm6J/?symbol=NSE%3AVIPIND" TargetMode="External"/><Relationship Id="rId2150" Type="http://schemas.openxmlformats.org/officeDocument/2006/relationships/hyperlink" Target="https://in.tradingview.com/chart/Cgv3Jm6J/?symbol=NSE%3AVIKASECO" TargetMode="External"/><Relationship Id="rId2151" Type="http://schemas.openxmlformats.org/officeDocument/2006/relationships/hyperlink" Target="https://in.tradingview.com/chart/Cgv3Jm6J/?symbol=NSE%3AVIKASLIFE" TargetMode="External"/><Relationship Id="rId2152" Type="http://schemas.openxmlformats.org/officeDocument/2006/relationships/hyperlink" Target="https://in.tradingview.com/chart/Cgv3Jm6J/?symbol=NSE%3AVIMTALABS" TargetMode="External"/><Relationship Id="rId2153" Type="http://schemas.openxmlformats.org/officeDocument/2006/relationships/hyperlink" Target="https://in.tradingview.com/chart/Cgv3Jm6J/?symbol=NSE%3AVINATIORGA" TargetMode="External"/><Relationship Id="rId2154" Type="http://schemas.openxmlformats.org/officeDocument/2006/relationships/hyperlink" Target="https://in.tradingview.com/chart/Cgv3Jm6J/?symbol=NSE%3AVINCOFE" TargetMode="External"/><Relationship Id="rId2155" Type="http://schemas.openxmlformats.org/officeDocument/2006/relationships/hyperlink" Target="https://in.tradingview.com/chart/Cgv3Jm6J/?symbol=NSE%3AVINDHYATEL" TargetMode="External"/><Relationship Id="rId2156" Type="http://schemas.openxmlformats.org/officeDocument/2006/relationships/hyperlink" Target="https://in.tradingview.com/chart/Cgv3Jm6J/?symbol=NSE%3AVINEETLAB" TargetMode="External"/><Relationship Id="rId2157" Type="http://schemas.openxmlformats.org/officeDocument/2006/relationships/hyperlink" Target="https://in.tradingview.com/chart/Cgv3Jm6J/?symbol=NSE%3AVINYLINDIA" TargetMode="External"/><Relationship Id="rId2158" Type="http://schemas.openxmlformats.org/officeDocument/2006/relationships/hyperlink" Target="https://in.tradingview.com/chart/Cgv3Jm6J/?symbol=NSE%3AVIPCLOTHNG" TargetMode="External"/><Relationship Id="rId2104" Type="http://schemas.openxmlformats.org/officeDocument/2006/relationships/hyperlink" Target="https://in.tradingview.com/chart/Cgv3Jm6J/?symbol=NSE%3AUNIVCABLES" TargetMode="External"/><Relationship Id="rId2105" Type="http://schemas.openxmlformats.org/officeDocument/2006/relationships/hyperlink" Target="https://in.tradingview.com/chart/Cgv3Jm6J/?symbol=NSE%3AUNIVPHOTO" TargetMode="External"/><Relationship Id="rId2106" Type="http://schemas.openxmlformats.org/officeDocument/2006/relationships/hyperlink" Target="https://in.tradingview.com/chart/Cgv3Jm6J/?symbol=NSE%3AUNOMINDA" TargetMode="External"/><Relationship Id="rId2107" Type="http://schemas.openxmlformats.org/officeDocument/2006/relationships/hyperlink" Target="https://in.tradingview.com/chart/Cgv3Jm6J/?symbol=NSE%3AUPL" TargetMode="External"/><Relationship Id="rId2108" Type="http://schemas.openxmlformats.org/officeDocument/2006/relationships/hyperlink" Target="https://in.tradingview.com/chart/Cgv3Jm6J/?symbol=NSE%3AURAVIDEF" TargetMode="External"/><Relationship Id="rId2109" Type="http://schemas.openxmlformats.org/officeDocument/2006/relationships/hyperlink" Target="https://in.tradingview.com/chart/Cgv3Jm6J/?symbol=NSE%3AUSHAMART" TargetMode="External"/><Relationship Id="rId2100" Type="http://schemas.openxmlformats.org/officeDocument/2006/relationships/hyperlink" Target="https://in.tradingview.com/chart/Cgv3Jm6J/?symbol=NSE%3AUNITECH" TargetMode="External"/><Relationship Id="rId2101" Type="http://schemas.openxmlformats.org/officeDocument/2006/relationships/hyperlink" Target="https://in.tradingview.com/chart/Cgv3Jm6J/?symbol=NSE%3AUNITEDPOLY" TargetMode="External"/><Relationship Id="rId2102" Type="http://schemas.openxmlformats.org/officeDocument/2006/relationships/hyperlink" Target="https://in.tradingview.com/chart/Cgv3Jm6J/?symbol=NSE%3AUNITEDTEA" TargetMode="External"/><Relationship Id="rId2103" Type="http://schemas.openxmlformats.org/officeDocument/2006/relationships/hyperlink" Target="https://in.tradingview.com/chart/Cgv3Jm6J/?symbol=NSE%3AUNIVASTU" TargetMode="External"/><Relationship Id="rId899" Type="http://schemas.openxmlformats.org/officeDocument/2006/relationships/hyperlink" Target="https://in.tradingview.com/chart/Cgv3Jm6J/?symbol=NSE%3AINDIASHLTR" TargetMode="External"/><Relationship Id="rId898" Type="http://schemas.openxmlformats.org/officeDocument/2006/relationships/hyperlink" Target="https://in.tradingview.com/chart/Cgv3Jm6J/?symbol=NSE%3AINDIANHUME" TargetMode="External"/><Relationship Id="rId897" Type="http://schemas.openxmlformats.org/officeDocument/2006/relationships/hyperlink" Target="https://in.tradingview.com/chart/Cgv3Jm6J/?symbol=NSE%3AINDIANCARD" TargetMode="External"/><Relationship Id="rId896" Type="http://schemas.openxmlformats.org/officeDocument/2006/relationships/hyperlink" Target="https://in.tradingview.com/chart/Cgv3Jm6J/?symbol=NSE%3AINDIANB" TargetMode="External"/><Relationship Id="rId891" Type="http://schemas.openxmlformats.org/officeDocument/2006/relationships/hyperlink" Target="https://in.tradingview.com/chart/Cgv3Jm6J/?symbol=NSE%3AINDGN" TargetMode="External"/><Relationship Id="rId890" Type="http://schemas.openxmlformats.org/officeDocument/2006/relationships/hyperlink" Target="https://in.tradingview.com/chart/Cgv3Jm6J/?symbol=NSE%3AINDBANK" TargetMode="External"/><Relationship Id="rId895" Type="http://schemas.openxmlformats.org/officeDocument/2006/relationships/hyperlink" Target="https://in.tradingview.com/chart/Cgv3Jm6J/?symbol=NSE%3AINDIAMART" TargetMode="External"/><Relationship Id="rId894" Type="http://schemas.openxmlformats.org/officeDocument/2006/relationships/hyperlink" Target="https://in.tradingview.com/chart/Cgv3Jm6J/?symbol=NSE%3AINDIAGLYCO" TargetMode="External"/><Relationship Id="rId893" Type="http://schemas.openxmlformats.org/officeDocument/2006/relationships/hyperlink" Target="https://in.tradingview.com/chart/Cgv3Jm6J/?symbol=NSE%3AINDIACEM" TargetMode="External"/><Relationship Id="rId892" Type="http://schemas.openxmlformats.org/officeDocument/2006/relationships/hyperlink" Target="https://in.tradingview.com/chart/Cgv3Jm6J/?symbol=NSE%3AINDHOTEL" TargetMode="External"/><Relationship Id="rId2126" Type="http://schemas.openxmlformats.org/officeDocument/2006/relationships/hyperlink" Target="https://in.tradingview.com/chart/Cgv3Jm6J/?symbol=NSE%3AVALIANTLAB" TargetMode="External"/><Relationship Id="rId2127" Type="http://schemas.openxmlformats.org/officeDocument/2006/relationships/hyperlink" Target="https://in.tradingview.com/chart/Cgv3Jm6J/?symbol=NSE%3AVALIANTORG" TargetMode="External"/><Relationship Id="rId2128" Type="http://schemas.openxmlformats.org/officeDocument/2006/relationships/hyperlink" Target="https://in.tradingview.com/chart/Cgv3Jm6J/?symbol=NSE%3AVARDHACRLC" TargetMode="External"/><Relationship Id="rId2129" Type="http://schemas.openxmlformats.org/officeDocument/2006/relationships/hyperlink" Target="https://in.tradingview.com/chart/Cgv3Jm6J/?symbol=NSE%3AVARDMNPOLY" TargetMode="External"/><Relationship Id="rId2120" Type="http://schemas.openxmlformats.org/officeDocument/2006/relationships/hyperlink" Target="https://in.tradingview.com/chart/Cgv3Jm6J/?symbol=NSE%3AV2RETAIL" TargetMode="External"/><Relationship Id="rId2121" Type="http://schemas.openxmlformats.org/officeDocument/2006/relationships/hyperlink" Target="https://in.tradingview.com/chart/Cgv3Jm6J/?symbol=NSE%3AVADILALIND" TargetMode="External"/><Relationship Id="rId2122" Type="http://schemas.openxmlformats.org/officeDocument/2006/relationships/hyperlink" Target="https://in.tradingview.com/chart/Cgv3Jm6J/?symbol=NSE%3AVAIBHAVGBL" TargetMode="External"/><Relationship Id="rId2123" Type="http://schemas.openxmlformats.org/officeDocument/2006/relationships/hyperlink" Target="https://in.tradingview.com/chart/Cgv3Jm6J/?symbol=NSE%3AVAISHALI" TargetMode="External"/><Relationship Id="rId2124" Type="http://schemas.openxmlformats.org/officeDocument/2006/relationships/hyperlink" Target="https://in.tradingview.com/chart/Cgv3Jm6J/?symbol=NSE%3AVAKRANGEE" TargetMode="External"/><Relationship Id="rId2125" Type="http://schemas.openxmlformats.org/officeDocument/2006/relationships/hyperlink" Target="https://in.tradingview.com/chart/Cgv3Jm6J/?symbol=NSE%3AVAL30IETF" TargetMode="External"/><Relationship Id="rId2115" Type="http://schemas.openxmlformats.org/officeDocument/2006/relationships/hyperlink" Target="https://in.tradingview.com/chart/Cgv3Jm6J/?symbol=NSE%3AUTISENSETF" TargetMode="External"/><Relationship Id="rId2116" Type="http://schemas.openxmlformats.org/officeDocument/2006/relationships/hyperlink" Target="https://in.tradingview.com/chart/Cgv3Jm6J/?symbol=NSE%3AUTISXN50" TargetMode="External"/><Relationship Id="rId2117" Type="http://schemas.openxmlformats.org/officeDocument/2006/relationships/hyperlink" Target="https://in.tradingview.com/chart/Cgv3Jm6J/?symbol=NSE%3AUTKARSHBNK" TargetMode="External"/><Relationship Id="rId2118" Type="http://schemas.openxmlformats.org/officeDocument/2006/relationships/hyperlink" Target="https://in.tradingview.com/chart/Cgv3Jm6J/?symbol=NSE%3AUTTAMSUGAR" TargetMode="External"/><Relationship Id="rId2119" Type="http://schemas.openxmlformats.org/officeDocument/2006/relationships/hyperlink" Target="https://in.tradingview.com/chart/Cgv3Jm6J/?symbol=NSE%3AUYFINCORP" TargetMode="External"/><Relationship Id="rId2110" Type="http://schemas.openxmlformats.org/officeDocument/2006/relationships/hyperlink" Target="https://in.tradingview.com/chart/Cgv3Jm6J/?symbol=NSE%3AUSK" TargetMode="External"/><Relationship Id="rId2111" Type="http://schemas.openxmlformats.org/officeDocument/2006/relationships/hyperlink" Target="https://in.tradingview.com/chart/Cgv3Jm6J/?symbol=NSE%3AUTIAMC" TargetMode="External"/><Relationship Id="rId2112" Type="http://schemas.openxmlformats.org/officeDocument/2006/relationships/hyperlink" Target="https://in.tradingview.com/chart/Cgv3Jm6J/?symbol=NSE%3AUTIBANKETF" TargetMode="External"/><Relationship Id="rId2113" Type="http://schemas.openxmlformats.org/officeDocument/2006/relationships/hyperlink" Target="https://in.tradingview.com/chart/Cgv3Jm6J/?symbol=NSE%3AUTINEXT50" TargetMode="External"/><Relationship Id="rId2114" Type="http://schemas.openxmlformats.org/officeDocument/2006/relationships/hyperlink" Target="https://in.tradingview.com/chart/Cgv3Jm6J/?symbol=NSE%3AUTINIFT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7.75"/>
    <col customWidth="1" min="4" max="4" width="59.13"/>
    <col customWidth="1" min="5" max="5" width="6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I1" s="3" t="s">
        <v>5</v>
      </c>
    </row>
    <row r="2">
      <c r="A2" s="1" t="s">
        <v>6</v>
      </c>
      <c r="B2" s="5" t="s">
        <v>7</v>
      </c>
      <c r="C2" s="3" t="s">
        <v>8</v>
      </c>
      <c r="D2" s="6" t="s">
        <v>9</v>
      </c>
      <c r="E2" s="7" t="s">
        <v>10</v>
      </c>
      <c r="F2" s="5" t="str">
        <f>IFERROR(__xludf.DUMMYFUNCTION("GOOGLEFINANCE(""NSE:""&amp;A2,""name"")"),"20 Microns Ltd")</f>
        <v>20 Microns Ltd</v>
      </c>
    </row>
    <row r="3">
      <c r="A3" s="1" t="s">
        <v>11</v>
      </c>
      <c r="B3" s="5" t="s">
        <v>12</v>
      </c>
      <c r="C3" s="3" t="s">
        <v>13</v>
      </c>
      <c r="D3" s="6" t="s">
        <v>14</v>
      </c>
      <c r="E3" s="7" t="s">
        <v>15</v>
      </c>
      <c r="F3" s="5" t="str">
        <f>IFERROR(__xludf.DUMMYFUNCTION("GOOGLEFINANCE(""NSE:""&amp;A3,""name"")"),"360 ONE Gold ETF")</f>
        <v>360 ONE Gold ETF</v>
      </c>
    </row>
    <row r="4">
      <c r="A4" s="1" t="s">
        <v>16</v>
      </c>
      <c r="B4" s="5" t="s">
        <v>17</v>
      </c>
      <c r="C4" s="3" t="s">
        <v>18</v>
      </c>
      <c r="D4" s="6" t="s">
        <v>19</v>
      </c>
      <c r="E4" s="7" t="s">
        <v>20</v>
      </c>
      <c r="F4" s="5" t="str">
        <f>IFERROR(__xludf.DUMMYFUNCTION("GOOGLEFINANCE(""NSE:""&amp;A4,""name"")"),"360 ONE Silver ETF")</f>
        <v>360 ONE Silver ETF</v>
      </c>
    </row>
    <row r="5">
      <c r="A5" s="1" t="s">
        <v>21</v>
      </c>
      <c r="B5" s="5" t="s">
        <v>22</v>
      </c>
      <c r="C5" s="3" t="s">
        <v>23</v>
      </c>
      <c r="D5" s="6" t="s">
        <v>24</v>
      </c>
      <c r="E5" s="7" t="s">
        <v>25</v>
      </c>
      <c r="F5" s="5" t="str">
        <f>IFERROR(__xludf.DUMMYFUNCTION("GOOGLEFINANCE(""NSE:""&amp;A5,""name"")"),"360 One Wam Ltd")</f>
        <v>360 One Wam Ltd</v>
      </c>
    </row>
    <row r="6">
      <c r="A6" s="1" t="s">
        <v>26</v>
      </c>
      <c r="B6" s="5" t="s">
        <v>27</v>
      </c>
      <c r="C6" s="3" t="s">
        <v>28</v>
      </c>
      <c r="D6" s="6" t="s">
        <v>29</v>
      </c>
      <c r="E6" s="7" t="s">
        <v>30</v>
      </c>
      <c r="F6" s="5" t="str">
        <f>IFERROR(__xludf.DUMMYFUNCTION("GOOGLEFINANCE(""NSE:""&amp;A6,""name"")"),"3i Infotech Ltd")</f>
        <v>3i Infotech Ltd</v>
      </c>
    </row>
    <row r="7">
      <c r="A7" s="1" t="s">
        <v>31</v>
      </c>
      <c r="B7" s="5" t="s">
        <v>32</v>
      </c>
      <c r="C7" s="3" t="s">
        <v>33</v>
      </c>
      <c r="D7" s="6" t="s">
        <v>34</v>
      </c>
      <c r="E7" s="7" t="s">
        <v>35</v>
      </c>
      <c r="F7" s="5" t="str">
        <f>IFERROR(__xludf.DUMMYFUNCTION("GOOGLEFINANCE(""NSE:""&amp;A7,""name"")"),"3M India Ltd")</f>
        <v>3M India Ltd</v>
      </c>
    </row>
    <row r="8">
      <c r="A8" s="1" t="s">
        <v>36</v>
      </c>
      <c r="B8" s="5" t="s">
        <v>37</v>
      </c>
      <c r="C8" s="3" t="s">
        <v>38</v>
      </c>
      <c r="D8" s="6" t="s">
        <v>39</v>
      </c>
      <c r="E8" s="7" t="s">
        <v>40</v>
      </c>
      <c r="F8" s="5" t="str">
        <f>IFERROR(__xludf.DUMMYFUNCTION("GOOGLEFINANCE(""NSE:""&amp;A8,""name"")"),"3P Land Holdings Ltd")</f>
        <v>3P Land Holdings Ltd</v>
      </c>
    </row>
    <row r="9">
      <c r="A9" s="1" t="s">
        <v>41</v>
      </c>
      <c r="B9" s="5" t="s">
        <v>42</v>
      </c>
      <c r="C9" s="3" t="s">
        <v>43</v>
      </c>
      <c r="D9" s="6" t="s">
        <v>44</v>
      </c>
      <c r="E9" s="7" t="s">
        <v>45</v>
      </c>
      <c r="F9" s="5" t="str">
        <f>IFERROR(__xludf.DUMMYFUNCTION("GOOGLEFINANCE(""NSE:""&amp;A9,""name"")"),"5Paisa Capital Ltd")</f>
        <v>5Paisa Capital Ltd</v>
      </c>
    </row>
    <row r="10">
      <c r="A10" s="1" t="s">
        <v>46</v>
      </c>
      <c r="B10" s="5" t="s">
        <v>47</v>
      </c>
      <c r="C10" s="3" t="s">
        <v>48</v>
      </c>
      <c r="D10" s="6" t="s">
        <v>49</v>
      </c>
      <c r="E10" s="7" t="s">
        <v>50</v>
      </c>
      <c r="F10" s="5" t="str">
        <f>IFERROR(__xludf.DUMMYFUNCTION("GOOGLEFINANCE(""NSE:""&amp;A10,""name"")"),"63 Moons Technologies Ltd")</f>
        <v>63 Moons Technologies Ltd</v>
      </c>
    </row>
    <row r="11">
      <c r="A11" s="1" t="s">
        <v>51</v>
      </c>
      <c r="B11" s="5" t="s">
        <v>52</v>
      </c>
      <c r="C11" s="3" t="s">
        <v>53</v>
      </c>
      <c r="D11" s="6" t="s">
        <v>54</v>
      </c>
      <c r="E11" s="7" t="s">
        <v>55</v>
      </c>
      <c r="F11" s="5" t="str">
        <f>IFERROR(__xludf.DUMMYFUNCTION("GOOGLEFINANCE(""NSE:""&amp;A11,""name"")"),"A B Infrabuild Ltd")</f>
        <v>A B Infrabuild Ltd</v>
      </c>
    </row>
    <row r="12">
      <c r="A12" s="1" t="s">
        <v>56</v>
      </c>
      <c r="B12" s="5" t="s">
        <v>57</v>
      </c>
      <c r="C12" s="3" t="s">
        <v>58</v>
      </c>
      <c r="D12" s="6" t="s">
        <v>59</v>
      </c>
      <c r="E12" s="7" t="s">
        <v>60</v>
      </c>
      <c r="F12" s="5" t="str">
        <f>IFERROR(__xludf.DUMMYFUNCTION("GOOGLEFINANCE(""NSE:""&amp;A12,""name"")"),"Abm International Ltd")</f>
        <v>Abm International Ltd</v>
      </c>
    </row>
    <row r="13">
      <c r="A13" s="1" t="s">
        <v>61</v>
      </c>
      <c r="B13" s="5" t="s">
        <v>62</v>
      </c>
      <c r="C13" s="3" t="s">
        <v>63</v>
      </c>
      <c r="D13" s="6" t="s">
        <v>64</v>
      </c>
      <c r="E13" s="7" t="s">
        <v>65</v>
      </c>
      <c r="F13" s="5" t="str">
        <f>IFERROR(__xludf.DUMMYFUNCTION("GOOGLEFINANCE(""NSE:""&amp;A13,""name"")"),"A2z Infra Engineering Ltd")</f>
        <v>A2z Infra Engineering Ltd</v>
      </c>
    </row>
    <row r="14">
      <c r="A14" s="1" t="s">
        <v>66</v>
      </c>
      <c r="B14" s="5" t="s">
        <v>67</v>
      </c>
      <c r="C14" s="3" t="s">
        <v>68</v>
      </c>
      <c r="D14" s="6" t="s">
        <v>69</v>
      </c>
      <c r="E14" s="7" t="s">
        <v>70</v>
      </c>
      <c r="F14" s="5" t="str">
        <f>IFERROR(__xludf.DUMMYFUNCTION("GOOGLEFINANCE(""NSE:""&amp;A14,""name"")"),"AAA Technologies Ltd")</f>
        <v>AAA Technologies Ltd</v>
      </c>
    </row>
    <row r="15">
      <c r="A15" s="1" t="s">
        <v>71</v>
      </c>
      <c r="B15" s="5" t="s">
        <v>72</v>
      </c>
      <c r="C15" s="3" t="s">
        <v>73</v>
      </c>
      <c r="D15" s="6" t="s">
        <v>74</v>
      </c>
      <c r="E15" s="7" t="s">
        <v>75</v>
      </c>
      <c r="F15" s="5" t="str">
        <f>IFERROR(__xludf.DUMMYFUNCTION("GOOGLEFINANCE(""NSE:""&amp;A15,""name"")"),"Aadhar Housing Finance Ltd")</f>
        <v>Aadhar Housing Finance Ltd</v>
      </c>
    </row>
    <row r="16">
      <c r="A16" s="1" t="s">
        <v>76</v>
      </c>
      <c r="B16" s="5" t="s">
        <v>77</v>
      </c>
      <c r="C16" s="3" t="s">
        <v>78</v>
      </c>
      <c r="D16" s="6" t="s">
        <v>79</v>
      </c>
      <c r="E16" s="7" t="s">
        <v>80</v>
      </c>
      <c r="F16" s="5" t="str">
        <f>IFERROR(__xludf.DUMMYFUNCTION("GOOGLEFINANCE(""NSE:""&amp;A16,""name"")"),"Aakash Exploration Services Ltd")</f>
        <v>Aakash Exploration Services Ltd</v>
      </c>
    </row>
    <row r="17">
      <c r="A17" s="1" t="s">
        <v>81</v>
      </c>
      <c r="B17" s="5" t="s">
        <v>82</v>
      </c>
      <c r="C17" s="3" t="s">
        <v>83</v>
      </c>
      <c r="D17" s="6" t="s">
        <v>84</v>
      </c>
      <c r="E17" s="7" t="s">
        <v>85</v>
      </c>
      <c r="F17" s="5" t="str">
        <f>IFERROR(__xludf.DUMMYFUNCTION("GOOGLEFINANCE(""NSE:""&amp;A17,""name"")"),"Aarey Drugs and Pharmaceuticals Ltd")</f>
        <v>Aarey Drugs and Pharmaceuticals Ltd</v>
      </c>
    </row>
    <row r="18">
      <c r="A18" s="1" t="s">
        <v>86</v>
      </c>
      <c r="B18" s="5" t="s">
        <v>87</v>
      </c>
      <c r="C18" s="3" t="s">
        <v>88</v>
      </c>
      <c r="D18" s="6" t="s">
        <v>89</v>
      </c>
      <c r="E18" s="7" t="s">
        <v>90</v>
      </c>
      <c r="F18" s="5" t="str">
        <f>IFERROR(__xludf.DUMMYFUNCTION("GOOGLEFINANCE(""NSE:""&amp;A18,""name"")"),"AARON INDUSTRIES Ltd")</f>
        <v>AARON INDUSTRIES Ltd</v>
      </c>
    </row>
    <row r="19">
      <c r="A19" s="1" t="s">
        <v>91</v>
      </c>
      <c r="B19" s="5" t="s">
        <v>92</v>
      </c>
      <c r="C19" s="3" t="s">
        <v>93</v>
      </c>
      <c r="D19" s="6" t="s">
        <v>94</v>
      </c>
      <c r="E19" s="7" t="s">
        <v>95</v>
      </c>
      <c r="F19" s="5" t="str">
        <f>IFERROR(__xludf.DUMMYFUNCTION("GOOGLEFINANCE(""NSE:""&amp;A19,""name"")"),"Aartech Solonics Ltd")</f>
        <v>Aartech Solonics Ltd</v>
      </c>
    </row>
    <row r="20">
      <c r="A20" s="1" t="s">
        <v>96</v>
      </c>
      <c r="B20" s="5" t="s">
        <v>97</v>
      </c>
      <c r="C20" s="3" t="s">
        <v>98</v>
      </c>
      <c r="D20" s="6" t="s">
        <v>99</v>
      </c>
      <c r="E20" s="7" t="s">
        <v>100</v>
      </c>
      <c r="F20" s="5" t="str">
        <f>IFERROR(__xludf.DUMMYFUNCTION("GOOGLEFINANCE(""NSE:""&amp;A20,""name"")"),"Aarti Drugs Ltd")</f>
        <v>Aarti Drugs Ltd</v>
      </c>
    </row>
    <row r="21">
      <c r="A21" s="1" t="s">
        <v>101</v>
      </c>
      <c r="B21" s="5" t="s">
        <v>102</v>
      </c>
      <c r="C21" s="3" t="s">
        <v>103</v>
      </c>
      <c r="D21" s="6" t="s">
        <v>104</v>
      </c>
      <c r="E21" s="7" t="s">
        <v>105</v>
      </c>
      <c r="F21" s="5" t="str">
        <f>IFERROR(__xludf.DUMMYFUNCTION("GOOGLEFINANCE(""NSE:""&amp;A21,""name"")"),"Aarti Industries Ltd")</f>
        <v>Aarti Industries Ltd</v>
      </c>
    </row>
    <row r="22">
      <c r="A22" s="1" t="s">
        <v>106</v>
      </c>
      <c r="B22" s="5" t="s">
        <v>107</v>
      </c>
      <c r="C22" s="3" t="s">
        <v>108</v>
      </c>
      <c r="D22" s="6" t="s">
        <v>109</v>
      </c>
      <c r="E22" s="7" t="s">
        <v>110</v>
      </c>
      <c r="F22" s="5" t="str">
        <f>IFERROR(__xludf.DUMMYFUNCTION("GOOGLEFINANCE(""NSE:""&amp;A22,""name"")"),"Aarti Pharmalabs Ltd")</f>
        <v>Aarti Pharmalabs Ltd</v>
      </c>
    </row>
    <row r="23">
      <c r="A23" s="1" t="s">
        <v>111</v>
      </c>
      <c r="B23" s="5" t="s">
        <v>112</v>
      </c>
      <c r="C23" s="3" t="s">
        <v>113</v>
      </c>
      <c r="D23" s="6" t="s">
        <v>114</v>
      </c>
      <c r="E23" s="7" t="s">
        <v>115</v>
      </c>
      <c r="F23" s="5" t="str">
        <f>IFERROR(__xludf.DUMMYFUNCTION("GOOGLEFINANCE(""NSE:""&amp;A23,""name"")"),"Aarti Surfactants Ltd")</f>
        <v>Aarti Surfactants Ltd</v>
      </c>
    </row>
    <row r="24">
      <c r="A24" s="1" t="s">
        <v>116</v>
      </c>
      <c r="B24" s="5" t="s">
        <v>117</v>
      </c>
      <c r="C24" s="3" t="s">
        <v>118</v>
      </c>
      <c r="D24" s="6" t="s">
        <v>119</v>
      </c>
      <c r="E24" s="7" t="s">
        <v>120</v>
      </c>
      <c r="F24" s="5" t="str">
        <f>IFERROR(__xludf.DUMMYFUNCTION("GOOGLEFINANCE(""NSE:""&amp;A24,""name"")"),"Aarvi Encon Ltd")</f>
        <v>Aarvi Encon Ltd</v>
      </c>
    </row>
    <row r="25">
      <c r="A25" s="1" t="s">
        <v>121</v>
      </c>
      <c r="B25" s="5" t="s">
        <v>122</v>
      </c>
      <c r="C25" s="3" t="s">
        <v>123</v>
      </c>
      <c r="D25" s="6" t="s">
        <v>124</v>
      </c>
      <c r="E25" s="7" t="s">
        <v>125</v>
      </c>
      <c r="F25" s="5" t="str">
        <f>IFERROR(__xludf.DUMMYFUNCTION("GOOGLEFINANCE(""NSE:""&amp;A25,""name"")"),"Aavas Financiers Ltd")</f>
        <v>Aavas Financiers Ltd</v>
      </c>
    </row>
    <row r="26">
      <c r="A26" s="1" t="s">
        <v>126</v>
      </c>
      <c r="B26" s="5" t="s">
        <v>127</v>
      </c>
      <c r="C26" s="3" t="s">
        <v>128</v>
      </c>
      <c r="D26" s="6" t="s">
        <v>129</v>
      </c>
      <c r="E26" s="7" t="s">
        <v>130</v>
      </c>
      <c r="F26" s="5" t="str">
        <f>IFERROR(__xludf.DUMMYFUNCTION("GOOGLEFINANCE(""NSE:""&amp;A26,""name"")"),"A B Cotspin India Ltd")</f>
        <v>A B Cotspin India Ltd</v>
      </c>
    </row>
    <row r="27">
      <c r="A27" s="1" t="s">
        <v>131</v>
      </c>
      <c r="B27" s="5" t="s">
        <v>132</v>
      </c>
      <c r="C27" s="3" t="s">
        <v>133</v>
      </c>
      <c r="D27" s="6" t="s">
        <v>134</v>
      </c>
      <c r="E27" s="7" t="s">
        <v>135</v>
      </c>
      <c r="F27" s="5" t="str">
        <f>IFERROR(__xludf.DUMMYFUNCTION("GOOGLEFINANCE(""NSE:""&amp;A27,""name"")"),"Aban Offshore Ltd Fully Paid Ord. Shrs")</f>
        <v>Aban Offshore Ltd Fully Paid Ord. Shrs</v>
      </c>
    </row>
    <row r="28">
      <c r="A28" s="1" t="s">
        <v>136</v>
      </c>
      <c r="B28" s="5" t="s">
        <v>137</v>
      </c>
      <c r="C28" s="3" t="s">
        <v>138</v>
      </c>
      <c r="D28" s="6" t="s">
        <v>139</v>
      </c>
      <c r="E28" s="7" t="s">
        <v>140</v>
      </c>
      <c r="F28" s="5" t="str">
        <f>IFERROR(__xludf.DUMMYFUNCTION("GOOGLEFINANCE(""NSE:""&amp;A28,""name"")"),"Abans Financial Services Ltd")</f>
        <v>Abans Financial Services Ltd</v>
      </c>
    </row>
    <row r="29">
      <c r="A29" s="1" t="s">
        <v>141</v>
      </c>
      <c r="B29" s="5" t="s">
        <v>142</v>
      </c>
      <c r="C29" s="3" t="s">
        <v>143</v>
      </c>
      <c r="D29" s="6" t="s">
        <v>144</v>
      </c>
      <c r="E29" s="7" t="s">
        <v>145</v>
      </c>
      <c r="F29" s="5" t="str">
        <f>IFERROR(__xludf.DUMMYFUNCTION("GOOGLEFINANCE(""NSE:""&amp;A29,""name"")"),"ABB India Ltd")</f>
        <v>ABB India Ltd</v>
      </c>
    </row>
    <row r="30">
      <c r="A30" s="1" t="s">
        <v>146</v>
      </c>
      <c r="B30" s="5" t="s">
        <v>147</v>
      </c>
      <c r="C30" s="3" t="s">
        <v>148</v>
      </c>
      <c r="D30" s="6" t="s">
        <v>149</v>
      </c>
      <c r="E30" s="7" t="s">
        <v>150</v>
      </c>
      <c r="F30" s="5" t="str">
        <f>IFERROR(__xludf.DUMMYFUNCTION("GOOGLEFINANCE(""NSE:""&amp;A30,""name"")"),"Abbott India Ltd")</f>
        <v>Abbott India Ltd</v>
      </c>
    </row>
    <row r="31">
      <c r="A31" s="1" t="s">
        <v>151</v>
      </c>
      <c r="B31" s="5" t="s">
        <v>152</v>
      </c>
      <c r="C31" s="3" t="s">
        <v>153</v>
      </c>
      <c r="D31" s="6" t="s">
        <v>154</v>
      </c>
      <c r="E31" s="7" t="s">
        <v>155</v>
      </c>
      <c r="F31" s="5" t="str">
        <f>IFERROR(__xludf.DUMMYFUNCTION("GOOGLEFINANCE(""NSE:""&amp;A31,""name"")"),"ACC Ltd")</f>
        <v>ACC Ltd</v>
      </c>
    </row>
    <row r="32">
      <c r="A32" s="1" t="s">
        <v>156</v>
      </c>
      <c r="B32" s="5" t="s">
        <v>157</v>
      </c>
      <c r="C32" s="3" t="s">
        <v>158</v>
      </c>
      <c r="D32" s="6" t="s">
        <v>159</v>
      </c>
      <c r="E32" s="7" t="s">
        <v>160</v>
      </c>
      <c r="F32" s="5" t="str">
        <f>IFERROR(__xludf.DUMMYFUNCTION("GOOGLEFINANCE(""NSE:""&amp;A32,""name"")"),"Accelya Solutions India Ltd")</f>
        <v>Accelya Solutions India Ltd</v>
      </c>
    </row>
    <row r="33">
      <c r="A33" s="1" t="s">
        <v>161</v>
      </c>
      <c r="B33" s="5" t="s">
        <v>162</v>
      </c>
      <c r="C33" s="3" t="s">
        <v>163</v>
      </c>
      <c r="D33" s="6" t="s">
        <v>164</v>
      </c>
      <c r="E33" s="7" t="s">
        <v>165</v>
      </c>
      <c r="F33" s="5" t="str">
        <f>IFERROR(__xludf.DUMMYFUNCTION("GOOGLEFINANCE(""NSE:""&amp;A33,""name"")"),"Accuracy Shipping Ltd")</f>
        <v>Accuracy Shipping Ltd</v>
      </c>
    </row>
    <row r="34">
      <c r="A34" s="1" t="s">
        <v>166</v>
      </c>
      <c r="B34" s="5" t="s">
        <v>167</v>
      </c>
      <c r="C34" s="3" t="s">
        <v>168</v>
      </c>
      <c r="D34" s="6" t="s">
        <v>169</v>
      </c>
      <c r="E34" s="7" t="s">
        <v>170</v>
      </c>
      <c r="F34" s="5" t="str">
        <f>IFERROR(__xludf.DUMMYFUNCTION("GOOGLEFINANCE(""NSE:""&amp;A34,""name"")"),"Ace Integrated Solutions Ltd")</f>
        <v>Ace Integrated Solutions Ltd</v>
      </c>
    </row>
    <row r="35">
      <c r="A35" s="1" t="s">
        <v>171</v>
      </c>
      <c r="B35" s="5" t="s">
        <v>172</v>
      </c>
      <c r="C35" s="3" t="s">
        <v>173</v>
      </c>
      <c r="D35" s="6" t="s">
        <v>174</v>
      </c>
      <c r="E35" s="7" t="s">
        <v>175</v>
      </c>
      <c r="F35" s="5" t="str">
        <f>IFERROR(__xludf.DUMMYFUNCTION("GOOGLEFINANCE(""NSE:""&amp;A35,""name"")"),"Acme Solar Holdings Ltd")</f>
        <v>Acme Solar Holdings Ltd</v>
      </c>
    </row>
    <row r="36">
      <c r="A36" s="1" t="s">
        <v>176</v>
      </c>
      <c r="B36" s="5" t="s">
        <v>177</v>
      </c>
      <c r="C36" s="3" t="s">
        <v>178</v>
      </c>
      <c r="D36" s="6" t="s">
        <v>179</v>
      </c>
      <c r="E36" s="7" t="s">
        <v>180</v>
      </c>
      <c r="F36" s="5" t="str">
        <f>IFERROR(__xludf.DUMMYFUNCTION("GOOGLEFINANCE(""NSE:""&amp;A36,""name"")"),"Action Construction Equipment Ltd")</f>
        <v>Action Construction Equipment Ltd</v>
      </c>
    </row>
    <row r="37">
      <c r="A37" s="1" t="s">
        <v>181</v>
      </c>
      <c r="B37" s="5" t="s">
        <v>182</v>
      </c>
      <c r="C37" s="3" t="s">
        <v>183</v>
      </c>
      <c r="D37" s="6" t="s">
        <v>184</v>
      </c>
      <c r="E37" s="7" t="s">
        <v>185</v>
      </c>
      <c r="F37" s="5" t="str">
        <f>IFERROR(__xludf.DUMMYFUNCTION("GOOGLEFINANCE(""NSE:""&amp;A37,""name"")"),"Acutaas Chemicals Ltd")</f>
        <v>Acutaas Chemicals Ltd</v>
      </c>
    </row>
    <row r="38">
      <c r="A38" s="1" t="s">
        <v>186</v>
      </c>
      <c r="B38" s="5" t="s">
        <v>187</v>
      </c>
      <c r="C38" s="3" t="s">
        <v>188</v>
      </c>
      <c r="D38" s="6" t="s">
        <v>189</v>
      </c>
      <c r="E38" s="7" t="s">
        <v>190</v>
      </c>
      <c r="F38" s="5" t="str">
        <f>IFERROR(__xludf.DUMMYFUNCTION("GOOGLEFINANCE(""NSE:""&amp;A38,""name"")"),"Adani Energy Solutions Ltd")</f>
        <v>Adani Energy Solutions Ltd</v>
      </c>
    </row>
    <row r="39">
      <c r="A39" s="1" t="s">
        <v>191</v>
      </c>
      <c r="B39" s="5" t="s">
        <v>192</v>
      </c>
      <c r="C39" s="3" t="s">
        <v>193</v>
      </c>
      <c r="D39" s="6" t="s">
        <v>194</v>
      </c>
      <c r="E39" s="7" t="s">
        <v>195</v>
      </c>
      <c r="F39" s="5" t="str">
        <f>IFERROR(__xludf.DUMMYFUNCTION("GOOGLEFINANCE(""NSE:""&amp;A39,""name"")"),"Adani Enterprises Ltd")</f>
        <v>Adani Enterprises Ltd</v>
      </c>
    </row>
    <row r="40">
      <c r="A40" s="1" t="s">
        <v>196</v>
      </c>
      <c r="B40" s="5" t="s">
        <v>197</v>
      </c>
      <c r="C40" s="3" t="s">
        <v>198</v>
      </c>
      <c r="D40" s="6" t="s">
        <v>199</v>
      </c>
      <c r="E40" s="7" t="s">
        <v>200</v>
      </c>
      <c r="F40" s="5" t="str">
        <f>IFERROR(__xludf.DUMMYFUNCTION("GOOGLEFINANCE(""NSE:""&amp;A40,""name"")"),"Adani Green Energy Ltd")</f>
        <v>Adani Green Energy Ltd</v>
      </c>
    </row>
    <row r="41">
      <c r="A41" s="1" t="s">
        <v>201</v>
      </c>
      <c r="B41" s="5" t="s">
        <v>202</v>
      </c>
      <c r="C41" s="3" t="s">
        <v>203</v>
      </c>
      <c r="D41" s="6" t="s">
        <v>204</v>
      </c>
      <c r="E41" s="7" t="s">
        <v>205</v>
      </c>
      <c r="F41" s="5" t="str">
        <f>IFERROR(__xludf.DUMMYFUNCTION("GOOGLEFINANCE(""NSE:""&amp;A41,""name"")"),"Adani Ports and Special Economic Zone Ld")</f>
        <v>Adani Ports and Special Economic Zone Ld</v>
      </c>
    </row>
    <row r="42">
      <c r="A42" s="1" t="s">
        <v>206</v>
      </c>
      <c r="B42" s="5" t="s">
        <v>207</v>
      </c>
      <c r="C42" s="3" t="s">
        <v>208</v>
      </c>
      <c r="D42" s="6" t="s">
        <v>209</v>
      </c>
      <c r="E42" s="7" t="s">
        <v>210</v>
      </c>
      <c r="F42" s="5" t="str">
        <f>IFERROR(__xludf.DUMMYFUNCTION("GOOGLEFINANCE(""NSE:""&amp;A42,""name"")"),"Adani Power Ltd")</f>
        <v>Adani Power Ltd</v>
      </c>
    </row>
    <row r="43">
      <c r="A43" s="1" t="s">
        <v>211</v>
      </c>
      <c r="B43" s="5" t="s">
        <v>212</v>
      </c>
      <c r="C43" s="3" t="s">
        <v>213</v>
      </c>
      <c r="D43" s="6" t="s">
        <v>214</v>
      </c>
      <c r="E43" s="7" t="s">
        <v>215</v>
      </c>
      <c r="F43" s="5" t="str">
        <f>IFERROR(__xludf.DUMMYFUNCTION("GOOGLEFINANCE(""NSE:""&amp;A43,""name"")"),"Adani Total Gas Ltd")</f>
        <v>Adani Total Gas Ltd</v>
      </c>
    </row>
    <row r="44">
      <c r="A44" s="1" t="s">
        <v>216</v>
      </c>
      <c r="B44" s="5" t="s">
        <v>217</v>
      </c>
      <c r="C44" s="3" t="s">
        <v>218</v>
      </c>
      <c r="D44" s="6" t="s">
        <v>219</v>
      </c>
      <c r="E44" s="7" t="s">
        <v>220</v>
      </c>
      <c r="F44" s="5" t="str">
        <f>IFERROR(__xludf.DUMMYFUNCTION("GOOGLEFINANCE(""NSE:""&amp;A44,""name"")"),"AWL Agri Business Ltd")</f>
        <v>AWL Agri Business Ltd</v>
      </c>
    </row>
    <row r="45">
      <c r="A45" s="1" t="s">
        <v>221</v>
      </c>
      <c r="B45" s="5" t="s">
        <v>222</v>
      </c>
      <c r="C45" s="3" t="s">
        <v>223</v>
      </c>
      <c r="D45" s="6" t="s">
        <v>224</v>
      </c>
      <c r="E45" s="7" t="s">
        <v>225</v>
      </c>
      <c r="F45" s="5" t="str">
        <f>IFERROR(__xludf.DUMMYFUNCTION("GOOGLEFINANCE(""NSE:""&amp;A45,""name"")"),"ADF Foods Ltd")</f>
        <v>ADF Foods Ltd</v>
      </c>
    </row>
    <row r="46">
      <c r="A46" s="1" t="s">
        <v>226</v>
      </c>
      <c r="B46" s="5" t="s">
        <v>227</v>
      </c>
      <c r="C46" s="3" t="s">
        <v>228</v>
      </c>
      <c r="D46" s="6" t="s">
        <v>229</v>
      </c>
      <c r="E46" s="7" t="s">
        <v>230</v>
      </c>
      <c r="F46" s="5" t="str">
        <f>IFERROR(__xludf.DUMMYFUNCTION("GOOGLEFINANCE(""NSE:""&amp;A46,""name"")"),"Aditya Birla Capital Ltd")</f>
        <v>Aditya Birla Capital Ltd</v>
      </c>
    </row>
    <row r="47">
      <c r="A47" s="1" t="s">
        <v>231</v>
      </c>
      <c r="B47" s="5" t="s">
        <v>232</v>
      </c>
      <c r="C47" s="3" t="s">
        <v>233</v>
      </c>
      <c r="D47" s="6" t="s">
        <v>234</v>
      </c>
      <c r="E47" s="7" t="s">
        <v>235</v>
      </c>
      <c r="F47" s="5" t="str">
        <f>IFERROR(__xludf.DUMMYFUNCTION("GOOGLEFINANCE(""NSE:""&amp;A47,""name"")"),"Aditya Birla Fashion and Retail Ltd")</f>
        <v>Aditya Birla Fashion and Retail Ltd</v>
      </c>
    </row>
    <row r="48">
      <c r="A48" s="1" t="s">
        <v>236</v>
      </c>
      <c r="B48" s="5" t="s">
        <v>237</v>
      </c>
      <c r="C48" s="3" t="s">
        <v>238</v>
      </c>
      <c r="D48" s="6" t="s">
        <v>239</v>
      </c>
      <c r="E48" s="7" t="s">
        <v>240</v>
      </c>
      <c r="F48" s="5" t="str">
        <f>IFERROR(__xludf.DUMMYFUNCTION("GOOGLEFINANCE(""NSE:""&amp;A48,""name"")"),"Aditya Birla Lifestyle Brands Ltd")</f>
        <v>Aditya Birla Lifestyle Brands Ltd</v>
      </c>
    </row>
    <row r="49">
      <c r="A49" s="1" t="s">
        <v>241</v>
      </c>
      <c r="B49" s="5" t="s">
        <v>242</v>
      </c>
      <c r="C49" s="3" t="s">
        <v>243</v>
      </c>
      <c r="D49" s="6" t="s">
        <v>244</v>
      </c>
      <c r="E49" s="7" t="s">
        <v>245</v>
      </c>
      <c r="F49" s="5" t="str">
        <f>IFERROR(__xludf.DUMMYFUNCTION("GOOGLEFINANCE(""NSE:""&amp;A49,""name"")"),"Aditya Birla Money Ltd")</f>
        <v>Aditya Birla Money Ltd</v>
      </c>
    </row>
    <row r="50">
      <c r="A50" s="1" t="s">
        <v>246</v>
      </c>
      <c r="B50" s="5" t="s">
        <v>247</v>
      </c>
      <c r="C50" s="3" t="s">
        <v>248</v>
      </c>
      <c r="D50" s="6" t="s">
        <v>249</v>
      </c>
      <c r="E50" s="7" t="s">
        <v>250</v>
      </c>
      <c r="F50" s="5" t="str">
        <f>IFERROR(__xludf.DUMMYFUNCTION("GOOGLEFINANCE(""NSE:""&amp;A50,""name"")"),"Aditya Birla Real Estate Ltd")</f>
        <v>Aditya Birla Real Estate Ltd</v>
      </c>
    </row>
    <row r="51">
      <c r="A51" s="1" t="s">
        <v>251</v>
      </c>
      <c r="B51" s="5" t="s">
        <v>252</v>
      </c>
      <c r="C51" s="3" t="s">
        <v>253</v>
      </c>
      <c r="D51" s="6" t="s">
        <v>254</v>
      </c>
      <c r="E51" s="7" t="s">
        <v>255</v>
      </c>
      <c r="F51" s="5" t="str">
        <f>IFERROR(__xludf.DUMMYFUNCTION("GOOGLEFINANCE(""NSE:""&amp;A51,""name"")"),"Aditya Birla Sun Life Crisil Liquid Overnight ETF")</f>
        <v>Aditya Birla Sun Life Crisil Liquid Overnight ETF</v>
      </c>
    </row>
    <row r="52">
      <c r="A52" s="1" t="s">
        <v>256</v>
      </c>
      <c r="B52" s="5" t="s">
        <v>257</v>
      </c>
      <c r="C52" s="3" t="s">
        <v>258</v>
      </c>
      <c r="D52" s="6" t="s">
        <v>259</v>
      </c>
      <c r="E52" s="7" t="s">
        <v>260</v>
      </c>
      <c r="F52" s="5" t="str">
        <f>IFERROR(__xludf.DUMMYFUNCTION("GOOGLEFINANCE(""NSE:""&amp;A52,""name"")"),"Aditya Birla Sun Life Amc Ltd")</f>
        <v>Aditya Birla Sun Life Amc Ltd</v>
      </c>
    </row>
    <row r="53">
      <c r="A53" s="1" t="s">
        <v>261</v>
      </c>
      <c r="B53" s="5" t="s">
        <v>262</v>
      </c>
      <c r="C53" s="3" t="s">
        <v>263</v>
      </c>
      <c r="D53" s="6" t="s">
        <v>264</v>
      </c>
      <c r="E53" s="7" t="s">
        <v>265</v>
      </c>
      <c r="F53" s="5" t="str">
        <f>IFERROR(__xludf.DUMMYFUNCTION("GOOGLEFINANCE(""NSE:""&amp;A53,""name"")"),"Aditya Birla Sun Life Nifty Bank ETF")</f>
        <v>Aditya Birla Sun Life Nifty Bank ETF</v>
      </c>
    </row>
    <row r="54">
      <c r="A54" s="1" t="s">
        <v>266</v>
      </c>
      <c r="B54" s="5" t="s">
        <v>267</v>
      </c>
      <c r="C54" s="3" t="s">
        <v>268</v>
      </c>
      <c r="D54" s="6" t="s">
        <v>269</v>
      </c>
      <c r="E54" s="7" t="s">
        <v>270</v>
      </c>
      <c r="F54" s="5" t="str">
        <f>IFERROR(__xludf.DUMMYFUNCTION("GOOGLEFINANCE(""NSE:""&amp;A54,""name"")"),"Aditya Birla Sun Life CRISIL 10 Year Gilt ETF")</f>
        <v>Aditya Birla Sun Life CRISIL 10 Year Gilt ETF</v>
      </c>
    </row>
    <row r="55">
      <c r="A55" s="1" t="s">
        <v>271</v>
      </c>
      <c r="B55" s="5" t="s">
        <v>272</v>
      </c>
      <c r="C55" s="3" t="s">
        <v>273</v>
      </c>
      <c r="D55" s="6" t="s">
        <v>274</v>
      </c>
      <c r="E55" s="7" t="s">
        <v>275</v>
      </c>
      <c r="F55" s="5" t="str">
        <f>IFERROR(__xludf.DUMMYFUNCTION("GOOGLEFINANCE(""NSE:""&amp;A55,""name"")"),"Aditya Birla Sun Life CRISIL Broad Based Gilt ETF")</f>
        <v>Aditya Birla Sun Life CRISIL Broad Based Gilt ETF</v>
      </c>
    </row>
    <row r="56">
      <c r="A56" s="1" t="s">
        <v>276</v>
      </c>
      <c r="B56" s="5" t="s">
        <v>277</v>
      </c>
      <c r="C56" s="3" t="s">
        <v>278</v>
      </c>
      <c r="D56" s="6" t="s">
        <v>279</v>
      </c>
      <c r="E56" s="7" t="s">
        <v>280</v>
      </c>
      <c r="F56" s="5" t="str">
        <f>IFERROR(__xludf.DUMMYFUNCTION("GOOGLEFINANCE(""NSE:""&amp;A56,""name"")"),"Aditya Birla Sun Life Gold ETF")</f>
        <v>Aditya Birla Sun Life Gold ETF</v>
      </c>
    </row>
    <row r="57">
      <c r="A57" s="1" t="s">
        <v>281</v>
      </c>
      <c r="B57" s="5" t="s">
        <v>282</v>
      </c>
      <c r="C57" s="3" t="s">
        <v>283</v>
      </c>
      <c r="D57" s="6" t="s">
        <v>284</v>
      </c>
      <c r="E57" s="7" t="s">
        <v>285</v>
      </c>
      <c r="F57" s="5" t="str">
        <f>IFERROR(__xludf.DUMMYFUNCTION("GOOGLEFINANCE(""NSE:""&amp;A57,""name"")"),"Aditya BSL Nifty 200 Momentum 30 ETF")</f>
        <v>Aditya BSL Nifty 200 Momentum 30 ETF</v>
      </c>
    </row>
    <row r="58">
      <c r="A58" s="1" t="s">
        <v>286</v>
      </c>
      <c r="B58" s="5" t="s">
        <v>287</v>
      </c>
      <c r="C58" s="3" t="s">
        <v>288</v>
      </c>
      <c r="D58" s="6" t="s">
        <v>289</v>
      </c>
      <c r="E58" s="7" t="s">
        <v>290</v>
      </c>
      <c r="F58" s="5" t="str">
        <f>IFERROR(__xludf.DUMMYFUNCTION("GOOGLEFINANCE(""NSE:""&amp;A58,""name"")"),"Aditya BSL Nifty 200 Quality 30 ETF")</f>
        <v>Aditya BSL Nifty 200 Quality 30 ETF</v>
      </c>
    </row>
    <row r="59">
      <c r="A59" s="1" t="s">
        <v>291</v>
      </c>
      <c r="B59" s="5" t="s">
        <v>292</v>
      </c>
      <c r="C59" s="3" t="s">
        <v>293</v>
      </c>
      <c r="D59" s="6" t="s">
        <v>294</v>
      </c>
      <c r="E59" s="7" t="s">
        <v>295</v>
      </c>
      <c r="F59" s="5" t="str">
        <f>IFERROR(__xludf.DUMMYFUNCTION("GOOGLEFINANCE(""NSE:""&amp;A59,""name"")"),"Aditya Birla Sun Life Nifty 50 ETF")</f>
        <v>Aditya Birla Sun Life Nifty 50 ETF</v>
      </c>
    </row>
    <row r="60">
      <c r="A60" s="1" t="s">
        <v>296</v>
      </c>
      <c r="B60" s="5" t="s">
        <v>297</v>
      </c>
      <c r="C60" s="3" t="s">
        <v>298</v>
      </c>
      <c r="D60" s="6" t="s">
        <v>299</v>
      </c>
      <c r="E60" s="7" t="s">
        <v>300</v>
      </c>
      <c r="F60" s="5" t="str">
        <f>IFERROR(__xludf.DUMMYFUNCTION("GOOGLEFINANCE(""NSE:""&amp;A60,""name"")"),"Aditya BSL Nifty Healthcare ETF")</f>
        <v>Aditya BSL Nifty Healthcare ETF</v>
      </c>
    </row>
    <row r="61">
      <c r="A61" s="1" t="s">
        <v>301</v>
      </c>
      <c r="B61" s="5" t="s">
        <v>302</v>
      </c>
      <c r="C61" s="3" t="s">
        <v>303</v>
      </c>
      <c r="D61" s="6" t="s">
        <v>304</v>
      </c>
      <c r="E61" s="7" t="s">
        <v>305</v>
      </c>
      <c r="F61" s="5" t="str">
        <f>IFERROR(__xludf.DUMMYFUNCTION("GOOGLEFINANCE(""NSE:""&amp;A61,""name"")"),"Aditya BSL Nifty IT ETF")</f>
        <v>Aditya BSL Nifty IT ETF</v>
      </c>
    </row>
    <row r="62">
      <c r="A62" s="1" t="s">
        <v>306</v>
      </c>
      <c r="B62" s="5" t="s">
        <v>307</v>
      </c>
      <c r="C62" s="3" t="s">
        <v>308</v>
      </c>
      <c r="D62" s="6" t="s">
        <v>309</v>
      </c>
      <c r="E62" s="7" t="s">
        <v>310</v>
      </c>
      <c r="F62" s="5" t="str">
        <f>IFERROR(__xludf.DUMMYFUNCTION("GOOGLEFINANCE(""NSE:""&amp;A62,""name"")"),"Aditya Birla Sun Life Nifty Next 50 ETF")</f>
        <v>Aditya Birla Sun Life Nifty Next 50 ETF</v>
      </c>
    </row>
    <row r="63">
      <c r="A63" s="1" t="s">
        <v>311</v>
      </c>
      <c r="B63" s="5" t="s">
        <v>312</v>
      </c>
      <c r="C63" s="3" t="s">
        <v>313</v>
      </c>
      <c r="D63" s="6" t="s">
        <v>314</v>
      </c>
      <c r="E63" s="7" t="s">
        <v>315</v>
      </c>
      <c r="F63" s="5" t="str">
        <f>IFERROR(__xludf.DUMMYFUNCTION("GOOGLEFINANCE(""NSE:""&amp;A63,""name"")"),"Aditya Birla Sun Life Nifty PSE ETF")</f>
        <v>Aditya Birla Sun Life Nifty PSE ETF</v>
      </c>
    </row>
    <row r="64">
      <c r="A64" s="1" t="s">
        <v>316</v>
      </c>
      <c r="B64" s="5" t="s">
        <v>317</v>
      </c>
      <c r="C64" s="3" t="s">
        <v>318</v>
      </c>
      <c r="D64" s="6" t="s">
        <v>319</v>
      </c>
      <c r="E64" s="7" t="s">
        <v>320</v>
      </c>
      <c r="F64" s="5" t="str">
        <f>IFERROR(__xludf.DUMMYFUNCTION("GOOGLEFINANCE(""NSE:""&amp;A64,""name"")"),"Aditya BSL Silver ETF")</f>
        <v>Aditya BSL Silver ETF</v>
      </c>
    </row>
    <row r="65">
      <c r="A65" s="1" t="s">
        <v>321</v>
      </c>
      <c r="B65" s="5" t="s">
        <v>322</v>
      </c>
      <c r="C65" s="3" t="s">
        <v>323</v>
      </c>
      <c r="D65" s="6" t="s">
        <v>324</v>
      </c>
      <c r="E65" s="7" t="s">
        <v>325</v>
      </c>
      <c r="F65" s="5" t="str">
        <f>IFERROR(__xludf.DUMMYFUNCTION("GOOGLEFINANCE(""NSE:""&amp;A65,""name"")"),"Aditya Infotech Ltd")</f>
        <v>Aditya Infotech Ltd</v>
      </c>
    </row>
    <row r="66">
      <c r="A66" s="1" t="s">
        <v>326</v>
      </c>
      <c r="B66" s="5" t="s">
        <v>327</v>
      </c>
      <c r="C66" s="3" t="s">
        <v>328</v>
      </c>
      <c r="D66" s="6" t="s">
        <v>329</v>
      </c>
      <c r="E66" s="7" t="s">
        <v>330</v>
      </c>
      <c r="F66" s="5" t="str">
        <f>IFERROR(__xludf.DUMMYFUNCTION("GOOGLEFINANCE(""NSE:""&amp;A66,""name"")"),"Aditya Vision Ltd")</f>
        <v>Aditya Vision Ltd</v>
      </c>
    </row>
    <row r="67">
      <c r="A67" s="1" t="s">
        <v>331</v>
      </c>
      <c r="B67" s="5" t="s">
        <v>332</v>
      </c>
      <c r="C67" s="3" t="s">
        <v>333</v>
      </c>
      <c r="D67" s="6" t="s">
        <v>334</v>
      </c>
      <c r="E67" s="7" t="s">
        <v>335</v>
      </c>
      <c r="F67" s="5" t="str">
        <f>IFERROR(__xludf.DUMMYFUNCTION("GOOGLEFINANCE(""NSE:""&amp;A67,""name"")"),"Ador Welding Ltd")</f>
        <v>Ador Welding Ltd</v>
      </c>
    </row>
    <row r="68">
      <c r="A68" s="1" t="s">
        <v>336</v>
      </c>
      <c r="B68" s="5" t="s">
        <v>337</v>
      </c>
      <c r="C68" s="3" t="s">
        <v>338</v>
      </c>
      <c r="D68" s="6" t="s">
        <v>339</v>
      </c>
      <c r="E68" s="7" t="s">
        <v>340</v>
      </c>
      <c r="F68" s="5" t="str">
        <f>IFERROR(__xludf.DUMMYFUNCTION("GOOGLEFINANCE(""NSE:""&amp;A68,""name"")"),"Adroit Infotech Ltd")</f>
        <v>Adroit Infotech Ltd</v>
      </c>
    </row>
    <row r="69">
      <c r="A69" s="1" t="s">
        <v>341</v>
      </c>
      <c r="B69" s="5" t="s">
        <v>342</v>
      </c>
      <c r="C69" s="3" t="s">
        <v>343</v>
      </c>
      <c r="D69" s="6" t="s">
        <v>344</v>
      </c>
      <c r="E69" s="7" t="s">
        <v>345</v>
      </c>
      <c r="F69" s="5" t="str">
        <f>IFERROR(__xludf.DUMMYFUNCTION("GOOGLEFINANCE(""NSE:""&amp;A69,""name"")"),"Advance Agrolife Ltd")</f>
        <v>Advance Agrolife Ltd</v>
      </c>
    </row>
    <row r="70">
      <c r="A70" s="1" t="s">
        <v>346</v>
      </c>
      <c r="B70" s="5" t="s">
        <v>347</v>
      </c>
      <c r="C70" s="3" t="s">
        <v>348</v>
      </c>
      <c r="D70" s="6" t="s">
        <v>349</v>
      </c>
      <c r="E70" s="7" t="s">
        <v>350</v>
      </c>
      <c r="F70" s="5" t="str">
        <f>IFERROR(__xludf.DUMMYFUNCTION("GOOGLEFINANCE(""NSE:""&amp;A70,""name"")"),"Advanced Enzyme Technologies Ltd")</f>
        <v>Advanced Enzyme Technologies Ltd</v>
      </c>
    </row>
    <row r="71">
      <c r="A71" s="1" t="s">
        <v>351</v>
      </c>
      <c r="B71" s="5" t="s">
        <v>352</v>
      </c>
      <c r="C71" s="3" t="s">
        <v>353</v>
      </c>
      <c r="D71" s="6" t="s">
        <v>354</v>
      </c>
      <c r="E71" s="7" t="s">
        <v>355</v>
      </c>
      <c r="F71" s="5" t="str">
        <f>IFERROR(__xludf.DUMMYFUNCTION("GOOGLEFINANCE(""NSE:""&amp;A71,""name"")"),"Advani Hotels and Resorts (India) Ltd")</f>
        <v>Advani Hotels and Resorts (India) Ltd</v>
      </c>
    </row>
    <row r="72">
      <c r="A72" s="1" t="s">
        <v>356</v>
      </c>
      <c r="B72" s="5" t="s">
        <v>357</v>
      </c>
      <c r="C72" s="3" t="s">
        <v>358</v>
      </c>
      <c r="D72" s="6" t="s">
        <v>359</v>
      </c>
      <c r="E72" s="7" t="s">
        <v>360</v>
      </c>
      <c r="F72" s="5" t="str">
        <f>IFERROR(__xludf.DUMMYFUNCTION("GOOGLEFINANCE(""NSE:""&amp;A72,""name"")"),"Advent Hotels International Ord Shs")</f>
        <v>Advent Hotels International Ord Shs</v>
      </c>
    </row>
    <row r="73">
      <c r="A73" s="1" t="s">
        <v>361</v>
      </c>
      <c r="B73" s="5" t="s">
        <v>362</v>
      </c>
      <c r="C73" s="3" t="s">
        <v>363</v>
      </c>
      <c r="D73" s="6" t="s">
        <v>364</v>
      </c>
      <c r="E73" s="7" t="s">
        <v>365</v>
      </c>
      <c r="F73" s="5" t="str">
        <f>IFERROR(__xludf.DUMMYFUNCTION("GOOGLEFINANCE(""NSE:""&amp;A73,""name"")"),"Aegis Logistics Ltd")</f>
        <v>Aegis Logistics Ltd</v>
      </c>
    </row>
    <row r="74">
      <c r="A74" s="1" t="s">
        <v>366</v>
      </c>
      <c r="B74" s="5" t="s">
        <v>367</v>
      </c>
      <c r="C74" s="3" t="s">
        <v>368</v>
      </c>
      <c r="D74" s="6" t="s">
        <v>369</v>
      </c>
      <c r="E74" s="7" t="s">
        <v>370</v>
      </c>
      <c r="F74" s="5" t="str">
        <f>IFERROR(__xludf.DUMMYFUNCTION("GOOGLEFINANCE(""NSE:""&amp;A74,""name"")"),"Aegis Vopak Terminals Ltd")</f>
        <v>Aegis Vopak Terminals Ltd</v>
      </c>
    </row>
    <row r="75">
      <c r="A75" s="1" t="s">
        <v>371</v>
      </c>
      <c r="B75" s="5" t="s">
        <v>372</v>
      </c>
      <c r="C75" s="3" t="s">
        <v>373</v>
      </c>
      <c r="D75" s="6" t="s">
        <v>374</v>
      </c>
      <c r="E75" s="7" t="s">
        <v>375</v>
      </c>
      <c r="F75" s="5" t="str">
        <f>IFERROR(__xludf.DUMMYFUNCTION("GOOGLEFINANCE(""NSE:""&amp;A75,""name"")"),"Aeroflex Enterprises Ltd")</f>
        <v>Aeroflex Enterprises Ltd</v>
      </c>
    </row>
    <row r="76">
      <c r="A76" s="1" t="s">
        <v>376</v>
      </c>
      <c r="B76" s="5" t="s">
        <v>377</v>
      </c>
      <c r="C76" s="3" t="s">
        <v>378</v>
      </c>
      <c r="D76" s="6" t="s">
        <v>379</v>
      </c>
      <c r="E76" s="7" t="s">
        <v>380</v>
      </c>
      <c r="F76" s="5" t="str">
        <f>IFERROR(__xludf.DUMMYFUNCTION("GOOGLEFINANCE(""NSE:""&amp;A76,""name"")"),"Aeroflex Industries Ltd")</f>
        <v>Aeroflex Industries Ltd</v>
      </c>
    </row>
    <row r="77">
      <c r="A77" s="1" t="s">
        <v>381</v>
      </c>
      <c r="B77" s="5" t="s">
        <v>382</v>
      </c>
      <c r="C77" s="3" t="s">
        <v>383</v>
      </c>
      <c r="D77" s="6" t="s">
        <v>384</v>
      </c>
      <c r="E77" s="7" t="s">
        <v>385</v>
      </c>
      <c r="F77" s="5" t="str">
        <f>IFERROR(__xludf.DUMMYFUNCTION("GOOGLEFINANCE(""NSE:""&amp;A77,""name"")"),"Aeroflex Neu Ltd")</f>
        <v>Aeroflex Neu Ltd</v>
      </c>
    </row>
    <row r="78">
      <c r="A78" s="1" t="s">
        <v>386</v>
      </c>
      <c r="B78" s="5" t="s">
        <v>387</v>
      </c>
      <c r="C78" s="3" t="s">
        <v>388</v>
      </c>
      <c r="D78" s="6" t="s">
        <v>389</v>
      </c>
      <c r="E78" s="7" t="s">
        <v>390</v>
      </c>
      <c r="F78" s="5" t="str">
        <f>IFERROR(__xludf.DUMMYFUNCTION("GOOGLEFINANCE(""NSE:""&amp;A78,""name"")"),"Aether Industries Ltd")</f>
        <v>Aether Industries Ltd</v>
      </c>
    </row>
    <row r="79">
      <c r="A79" s="1" t="s">
        <v>391</v>
      </c>
      <c r="B79" s="5" t="s">
        <v>392</v>
      </c>
      <c r="C79" s="3" t="s">
        <v>393</v>
      </c>
      <c r="D79" s="6" t="s">
        <v>394</v>
      </c>
      <c r="E79" s="7" t="s">
        <v>395</v>
      </c>
      <c r="F79" s="5" t="str">
        <f>IFERROR(__xludf.DUMMYFUNCTION("GOOGLEFINANCE(""NSE:""&amp;A79,""name"")"),"Afcons Infrastructure Limited")</f>
        <v>Afcons Infrastructure Limited</v>
      </c>
    </row>
    <row r="80">
      <c r="A80" s="1" t="s">
        <v>396</v>
      </c>
      <c r="B80" s="5" t="s">
        <v>397</v>
      </c>
      <c r="C80" s="3" t="s">
        <v>398</v>
      </c>
      <c r="D80" s="6" t="s">
        <v>399</v>
      </c>
      <c r="E80" s="7" t="s">
        <v>400</v>
      </c>
      <c r="F80" s="5" t="str">
        <f>IFERROR(__xludf.DUMMYFUNCTION("GOOGLEFINANCE(""NSE:""&amp;A80,""name"")"),"Affle 3i Ltd")</f>
        <v>Affle 3i Ltd</v>
      </c>
    </row>
    <row r="81">
      <c r="A81" s="1" t="s">
        <v>401</v>
      </c>
      <c r="B81" s="5" t="s">
        <v>402</v>
      </c>
      <c r="C81" s="3" t="s">
        <v>403</v>
      </c>
      <c r="D81" s="6" t="s">
        <v>404</v>
      </c>
      <c r="E81" s="7" t="s">
        <v>405</v>
      </c>
      <c r="F81" s="5" t="str">
        <f>IFERROR(__xludf.DUMMYFUNCTION("GOOGLEFINANCE(""NSE:""&amp;A81,""name"")"),"Affordable Robotic &amp; Automation Ltd")</f>
        <v>Affordable Robotic &amp; Automation Ltd</v>
      </c>
    </row>
    <row r="82">
      <c r="A82" s="1" t="s">
        <v>406</v>
      </c>
      <c r="B82" s="5" t="s">
        <v>407</v>
      </c>
      <c r="C82" s="3" t="s">
        <v>408</v>
      </c>
      <c r="D82" s="6" t="s">
        <v>409</v>
      </c>
      <c r="E82" s="7" t="s">
        <v>410</v>
      </c>
      <c r="F82" s="5" t="str">
        <f>IFERROR(__xludf.DUMMYFUNCTION("GOOGLEFINANCE(""NSE:""&amp;A82,""name"")"),"Agarwal Industrial Corporation Ltd")</f>
        <v>Agarwal Industrial Corporation Ltd</v>
      </c>
    </row>
    <row r="83">
      <c r="A83" s="1" t="s">
        <v>411</v>
      </c>
      <c r="B83" s="5" t="s">
        <v>412</v>
      </c>
      <c r="C83" s="3" t="s">
        <v>413</v>
      </c>
      <c r="D83" s="6" t="s">
        <v>414</v>
      </c>
      <c r="E83" s="7" t="s">
        <v>415</v>
      </c>
      <c r="F83" s="5" t="str">
        <f>IFERROR(__xludf.DUMMYFUNCTION("GOOGLEFINANCE(""NSE:""&amp;A83,""name"")"),"AGI Greenpac Ltd")</f>
        <v>AGI Greenpac Ltd</v>
      </c>
    </row>
    <row r="84">
      <c r="A84" s="1" t="s">
        <v>416</v>
      </c>
      <c r="B84" s="5" t="s">
        <v>417</v>
      </c>
      <c r="C84" s="3" t="s">
        <v>418</v>
      </c>
      <c r="D84" s="6" t="s">
        <v>419</v>
      </c>
      <c r="E84" s="7" t="s">
        <v>420</v>
      </c>
      <c r="F84" s="5" t="str">
        <f>IFERROR(__xludf.DUMMYFUNCTION("GOOGLEFINANCE(""NSE:""&amp;A84,""name"")"),"AGI Infra Ltd")</f>
        <v>AGI Infra Ltd</v>
      </c>
    </row>
    <row r="85">
      <c r="A85" s="1" t="s">
        <v>421</v>
      </c>
      <c r="B85" s="5" t="s">
        <v>422</v>
      </c>
      <c r="C85" s="3" t="s">
        <v>423</v>
      </c>
      <c r="D85" s="6" t="s">
        <v>424</v>
      </c>
      <c r="E85" s="7" t="s">
        <v>425</v>
      </c>
      <c r="F85" s="5" t="str">
        <f>IFERROR(__xludf.DUMMYFUNCTION("GOOGLEFINANCE(""NSE:""&amp;A85,""name"")"),"Agri-Tech (India) Ltd")</f>
        <v>Agri-Tech (India) Ltd</v>
      </c>
    </row>
    <row r="86">
      <c r="A86" s="1" t="s">
        <v>426</v>
      </c>
      <c r="B86" s="5" t="s">
        <v>427</v>
      </c>
      <c r="C86" s="3" t="s">
        <v>428</v>
      </c>
      <c r="D86" s="6" t="s">
        <v>429</v>
      </c>
      <c r="E86" s="7" t="s">
        <v>430</v>
      </c>
      <c r="F86" s="5" t="str">
        <f>IFERROR(__xludf.DUMMYFUNCTION("GOOGLEFINANCE(""NSE:""&amp;A86,""name"")"),"Agro Phos (India) Ltd")</f>
        <v>Agro Phos (India) Ltd</v>
      </c>
    </row>
    <row r="87">
      <c r="A87" s="1" t="s">
        <v>431</v>
      </c>
      <c r="B87" s="5" t="s">
        <v>432</v>
      </c>
      <c r="C87" s="3" t="s">
        <v>433</v>
      </c>
      <c r="D87" s="6" t="s">
        <v>434</v>
      </c>
      <c r="E87" s="7" t="s">
        <v>435</v>
      </c>
      <c r="F87" s="5" t="str">
        <f>IFERROR(__xludf.DUMMYFUNCTION("GOOGLEFINANCE(""NSE:""&amp;A87,""name"")"),"Ahlada Engineers Ltd")</f>
        <v>Ahlada Engineers Ltd</v>
      </c>
    </row>
    <row r="88">
      <c r="A88" s="1" t="s">
        <v>436</v>
      </c>
      <c r="B88" s="5" t="s">
        <v>437</v>
      </c>
      <c r="C88" s="3" t="s">
        <v>438</v>
      </c>
      <c r="D88" s="6" t="s">
        <v>439</v>
      </c>
      <c r="E88" s="7" t="s">
        <v>440</v>
      </c>
      <c r="F88" s="5" t="str">
        <f>IFERROR(__xludf.DUMMYFUNCTION("GOOGLEFINANCE(""NSE:""&amp;A88,""name"")"),"Ahluwalia Contracts (India) Ltd")</f>
        <v>Ahluwalia Contracts (India) Ltd</v>
      </c>
    </row>
    <row r="89">
      <c r="A89" s="1" t="s">
        <v>441</v>
      </c>
      <c r="B89" s="5" t="s">
        <v>442</v>
      </c>
      <c r="C89" s="3" t="s">
        <v>443</v>
      </c>
      <c r="D89" s="6" t="s">
        <v>444</v>
      </c>
      <c r="E89" s="7" t="s">
        <v>445</v>
      </c>
      <c r="F89" s="5" t="str">
        <f>IFERROR(__xludf.DUMMYFUNCTION("GOOGLEFINANCE(""NSE:""&amp;A89,""name"")"),"AIA Engineering Ltd")</f>
        <v>AIA Engineering Ltd</v>
      </c>
    </row>
    <row r="90">
      <c r="A90" s="1" t="s">
        <v>446</v>
      </c>
      <c r="B90" s="5" t="s">
        <v>447</v>
      </c>
      <c r="C90" s="3" t="s">
        <v>448</v>
      </c>
      <c r="D90" s="6" t="s">
        <v>449</v>
      </c>
      <c r="E90" s="7" t="s">
        <v>450</v>
      </c>
      <c r="F90" s="5" t="str">
        <f>IFERROR(__xludf.DUMMYFUNCTION("GOOGLEFINANCE(""NSE:""&amp;A90,""name"")"),"Airan Ltd")</f>
        <v>Airan Ltd</v>
      </c>
    </row>
    <row r="91">
      <c r="A91" s="1" t="s">
        <v>451</v>
      </c>
      <c r="B91" s="5" t="s">
        <v>452</v>
      </c>
      <c r="C91" s="3" t="s">
        <v>453</v>
      </c>
      <c r="D91" s="6" t="s">
        <v>454</v>
      </c>
      <c r="E91" s="7" t="s">
        <v>455</v>
      </c>
      <c r="F91" s="5" t="str">
        <f>IFERROR(__xludf.DUMMYFUNCTION("GOOGLEFINANCE(""NSE:""&amp;A91,""name"")"),"Airo Lam Ltd")</f>
        <v>Airo Lam Ltd</v>
      </c>
    </row>
    <row r="92">
      <c r="A92" s="1" t="s">
        <v>456</v>
      </c>
      <c r="B92" s="5" t="s">
        <v>457</v>
      </c>
      <c r="C92" s="3" t="s">
        <v>458</v>
      </c>
      <c r="D92" s="6" t="s">
        <v>459</v>
      </c>
      <c r="E92" s="7" t="s">
        <v>460</v>
      </c>
      <c r="F92" s="5" t="str">
        <f>IFERROR(__xludf.DUMMYFUNCTION("GOOGLEFINANCE(""NSE:""&amp;A92,""name"")"),"Ajanta Pharma Ltd")</f>
        <v>Ajanta Pharma Ltd</v>
      </c>
    </row>
    <row r="93">
      <c r="A93" s="1" t="s">
        <v>461</v>
      </c>
      <c r="B93" s="5" t="s">
        <v>462</v>
      </c>
      <c r="C93" s="3" t="s">
        <v>463</v>
      </c>
      <c r="D93" s="6" t="s">
        <v>464</v>
      </c>
      <c r="E93" s="7" t="s">
        <v>465</v>
      </c>
      <c r="F93" s="5" t="str">
        <f>IFERROR(__xludf.DUMMYFUNCTION("GOOGLEFINANCE(""NSE:""&amp;A93,""name"")"),"AJAX Engineering Ltd")</f>
        <v>AJAX Engineering Ltd</v>
      </c>
    </row>
    <row r="94">
      <c r="A94" s="1" t="s">
        <v>466</v>
      </c>
      <c r="B94" s="5" t="s">
        <v>467</v>
      </c>
      <c r="C94" s="3" t="s">
        <v>468</v>
      </c>
      <c r="D94" s="6" t="s">
        <v>469</v>
      </c>
      <c r="E94" s="7" t="s">
        <v>470</v>
      </c>
      <c r="F94" s="5" t="str">
        <f>IFERROR(__xludf.DUMMYFUNCTION("GOOGLEFINANCE(""NSE:""&amp;A94,""name"")"),"Ajmera Realty &amp; Infra India Ltd")</f>
        <v>Ajmera Realty &amp; Infra India Ltd</v>
      </c>
    </row>
    <row r="95">
      <c r="A95" s="1" t="s">
        <v>471</v>
      </c>
      <c r="B95" s="5" t="s">
        <v>472</v>
      </c>
      <c r="C95" s="3" t="s">
        <v>473</v>
      </c>
      <c r="D95" s="6" t="s">
        <v>474</v>
      </c>
      <c r="E95" s="7" t="s">
        <v>475</v>
      </c>
      <c r="F95" s="5" t="str">
        <f>IFERROR(__xludf.DUMMYFUNCTION("GOOGLEFINANCE(""NSE:""&amp;A95,""name"")"),"Akash Infra-Projects Ltd")</f>
        <v>Akash Infra-Projects Ltd</v>
      </c>
    </row>
    <row r="96">
      <c r="A96" s="1" t="s">
        <v>476</v>
      </c>
      <c r="B96" s="5" t="s">
        <v>477</v>
      </c>
      <c r="C96" s="3" t="s">
        <v>478</v>
      </c>
      <c r="D96" s="6" t="s">
        <v>479</v>
      </c>
      <c r="E96" s="7" t="s">
        <v>480</v>
      </c>
      <c r="F96" s="5" t="str">
        <f>IFERROR(__xludf.DUMMYFUNCTION("GOOGLEFINANCE(""NSE:""&amp;A96,""name"")"),"Akg Exim Ltd")</f>
        <v>Akg Exim Ltd</v>
      </c>
    </row>
    <row r="97">
      <c r="A97" s="1" t="s">
        <v>481</v>
      </c>
      <c r="B97" s="5" t="s">
        <v>482</v>
      </c>
      <c r="C97" s="3" t="s">
        <v>483</v>
      </c>
      <c r="D97" s="6" t="s">
        <v>484</v>
      </c>
      <c r="E97" s="7" t="s">
        <v>485</v>
      </c>
      <c r="F97" s="5" t="str">
        <f>IFERROR(__xludf.DUMMYFUNCTION("GOOGLEFINANCE(""NSE:""&amp;A97,""name"")"),"Aki India Ltd")</f>
        <v>Aki India Ltd</v>
      </c>
    </row>
    <row r="98">
      <c r="A98" s="1" t="s">
        <v>486</v>
      </c>
      <c r="B98" s="5" t="s">
        <v>487</v>
      </c>
      <c r="C98" s="3" t="s">
        <v>488</v>
      </c>
      <c r="D98" s="6" t="s">
        <v>489</v>
      </c>
      <c r="E98" s="7" t="s">
        <v>490</v>
      </c>
      <c r="F98" s="5" t="str">
        <f>IFERROR(__xludf.DUMMYFUNCTION("GOOGLEFINANCE(""NSE:""&amp;A98,""name"")"),"Akme Fintrade India Ltd")</f>
        <v>Akme Fintrade India Ltd</v>
      </c>
    </row>
    <row r="99">
      <c r="A99" s="1" t="s">
        <v>491</v>
      </c>
      <c r="B99" s="5" t="s">
        <v>492</v>
      </c>
      <c r="C99" s="3" t="s">
        <v>493</v>
      </c>
      <c r="D99" s="6" t="s">
        <v>494</v>
      </c>
      <c r="E99" s="7" t="s">
        <v>495</v>
      </c>
      <c r="F99" s="5" t="str">
        <f>IFERROR(__xludf.DUMMYFUNCTION("GOOGLEFINANCE(""NSE:""&amp;A99,""name"")"),"Aksh Optifibre Limited")</f>
        <v>Aksh Optifibre Limited</v>
      </c>
    </row>
    <row r="100">
      <c r="A100" s="1" t="s">
        <v>496</v>
      </c>
      <c r="B100" s="5" t="s">
        <v>497</v>
      </c>
      <c r="C100" s="3" t="s">
        <v>498</v>
      </c>
      <c r="D100" s="6" t="s">
        <v>499</v>
      </c>
      <c r="E100" s="7" t="s">
        <v>500</v>
      </c>
      <c r="F100" s="5" t="str">
        <f>IFERROR(__xludf.DUMMYFUNCTION("GOOGLEFINANCE(""NSE:""&amp;A100,""name"")"),"Aksharchem (India) Ltd")</f>
        <v>Aksharchem (India) Ltd</v>
      </c>
    </row>
    <row r="101">
      <c r="A101" s="1" t="s">
        <v>501</v>
      </c>
      <c r="B101" s="5" t="s">
        <v>502</v>
      </c>
      <c r="C101" s="3" t="s">
        <v>503</v>
      </c>
      <c r="D101" s="6" t="s">
        <v>504</v>
      </c>
      <c r="E101" s="7" t="s">
        <v>505</v>
      </c>
      <c r="F101" s="5" t="str">
        <f>IFERROR(__xludf.DUMMYFUNCTION("GOOGLEFINANCE(""NSE:""&amp;A101,""name"")"),"Akums Drugs and Pharmaceuticals Ltd")</f>
        <v>Akums Drugs and Pharmaceuticals Ltd</v>
      </c>
    </row>
    <row r="102">
      <c r="A102" s="1" t="s">
        <v>506</v>
      </c>
      <c r="B102" s="5" t="s">
        <v>507</v>
      </c>
      <c r="C102" s="3" t="s">
        <v>508</v>
      </c>
      <c r="D102" s="6" t="s">
        <v>509</v>
      </c>
      <c r="E102" s="7" t="s">
        <v>510</v>
      </c>
      <c r="F102" s="5" t="str">
        <f>IFERROR(__xludf.DUMMYFUNCTION("GOOGLEFINANCE(""NSE:""&amp;A102,""name"")"),"Akzo Nobel India Ltd")</f>
        <v>Akzo Nobel India Ltd</v>
      </c>
    </row>
    <row r="103">
      <c r="A103" s="1" t="s">
        <v>511</v>
      </c>
      <c r="B103" s="5" t="s">
        <v>512</v>
      </c>
      <c r="C103" s="3" t="s">
        <v>513</v>
      </c>
      <c r="D103" s="6" t="s">
        <v>514</v>
      </c>
      <c r="E103" s="7" t="s">
        <v>515</v>
      </c>
      <c r="F103" s="5" t="str">
        <f>IFERROR(__xludf.DUMMYFUNCTION("GOOGLEFINANCE(""NSE:""&amp;A103,""name"")"),"Alankit Ltd")</f>
        <v>Alankit Ltd</v>
      </c>
    </row>
    <row r="104">
      <c r="A104" s="1" t="s">
        <v>516</v>
      </c>
      <c r="B104" s="5" t="s">
        <v>517</v>
      </c>
      <c r="C104" s="3" t="s">
        <v>518</v>
      </c>
      <c r="D104" s="6" t="s">
        <v>519</v>
      </c>
      <c r="E104" s="7" t="s">
        <v>520</v>
      </c>
      <c r="F104" s="5" t="str">
        <f>IFERROR(__xludf.DUMMYFUNCTION("GOOGLEFINANCE(""NSE:""&amp;A104,""name"")"),"Albert David Ltd")</f>
        <v>Albert David Ltd</v>
      </c>
    </row>
    <row r="105">
      <c r="A105" s="1" t="s">
        <v>521</v>
      </c>
      <c r="B105" s="5" t="s">
        <v>522</v>
      </c>
      <c r="C105" s="3" t="s">
        <v>523</v>
      </c>
      <c r="D105" s="6" t="s">
        <v>524</v>
      </c>
      <c r="E105" s="7" t="s">
        <v>525</v>
      </c>
      <c r="F105" s="5" t="str">
        <f>IFERROR(__xludf.DUMMYFUNCTION("GOOGLEFINANCE(""NSE:""&amp;A105,""name"")"),"Alembic Ltd")</f>
        <v>Alembic Ltd</v>
      </c>
    </row>
    <row r="106">
      <c r="A106" s="1" t="s">
        <v>526</v>
      </c>
      <c r="B106" s="5" t="s">
        <v>527</v>
      </c>
      <c r="C106" s="3" t="s">
        <v>528</v>
      </c>
      <c r="D106" s="6" t="s">
        <v>529</v>
      </c>
      <c r="E106" s="7" t="s">
        <v>530</v>
      </c>
      <c r="F106" s="5" t="str">
        <f>IFERROR(__xludf.DUMMYFUNCTION("GOOGLEFINANCE(""NSE:""&amp;A106,""name"")"),"Alembic Pharmaceuticals Ltd")</f>
        <v>Alembic Pharmaceuticals Ltd</v>
      </c>
    </row>
    <row r="107">
      <c r="A107" s="1" t="s">
        <v>531</v>
      </c>
      <c r="B107" s="5" t="s">
        <v>532</v>
      </c>
      <c r="C107" s="3" t="s">
        <v>533</v>
      </c>
      <c r="D107" s="6" t="s">
        <v>534</v>
      </c>
      <c r="E107" s="7" t="s">
        <v>535</v>
      </c>
      <c r="F107" s="5" t="str">
        <f>IFERROR(__xludf.DUMMYFUNCTION("GOOGLEFINANCE(""NSE:""&amp;A107,""name"")"),"Alicon Castalloy Ltd")</f>
        <v>Alicon Castalloy Ltd</v>
      </c>
    </row>
    <row r="108">
      <c r="A108" s="1" t="s">
        <v>536</v>
      </c>
      <c r="B108" s="5" t="s">
        <v>537</v>
      </c>
      <c r="C108" s="3" t="s">
        <v>538</v>
      </c>
      <c r="D108" s="6" t="s">
        <v>539</v>
      </c>
      <c r="E108" s="7" t="s">
        <v>540</v>
      </c>
      <c r="F108" s="5" t="str">
        <f>IFERROR(__xludf.DUMMYFUNCTION("GOOGLEFINANCE(""NSE:""&amp;A108,""name"")"),"Alivus Life Sciences Ltd")</f>
        <v>Alivus Life Sciences Ltd</v>
      </c>
    </row>
    <row r="109">
      <c r="A109" s="1" t="s">
        <v>541</v>
      </c>
      <c r="B109" s="5" t="s">
        <v>542</v>
      </c>
      <c r="C109" s="3" t="s">
        <v>543</v>
      </c>
      <c r="D109" s="6" t="s">
        <v>544</v>
      </c>
      <c r="E109" s="7" t="s">
        <v>545</v>
      </c>
      <c r="F109" s="5" t="str">
        <f>IFERROR(__xludf.DUMMYFUNCTION("GOOGLEFINANCE(""NSE:""&amp;A109,""name"")"),"Alkali Metals Limited")</f>
        <v>Alkali Metals Limited</v>
      </c>
    </row>
    <row r="110">
      <c r="A110" s="1" t="s">
        <v>546</v>
      </c>
      <c r="B110" s="5" t="s">
        <v>547</v>
      </c>
      <c r="C110" s="3" t="s">
        <v>548</v>
      </c>
      <c r="D110" s="6" t="s">
        <v>549</v>
      </c>
      <c r="E110" s="7" t="s">
        <v>550</v>
      </c>
      <c r="F110" s="5" t="str">
        <f>IFERROR(__xludf.DUMMYFUNCTION("GOOGLEFINANCE(""NSE:""&amp;A110,""name"")"),"Alkem Laboratories Ltd")</f>
        <v>Alkem Laboratories Ltd</v>
      </c>
    </row>
    <row r="111">
      <c r="A111" s="1" t="s">
        <v>551</v>
      </c>
      <c r="B111" s="5" t="s">
        <v>552</v>
      </c>
      <c r="C111" s="3" t="s">
        <v>553</v>
      </c>
      <c r="D111" s="6" t="s">
        <v>554</v>
      </c>
      <c r="E111" s="7" t="s">
        <v>555</v>
      </c>
      <c r="F111" s="5" t="str">
        <f>IFERROR(__xludf.DUMMYFUNCTION("GOOGLEFINANCE(""NSE:""&amp;A111,""name"")"),"Alkyl Amines Chemicals Ltd")</f>
        <v>Alkyl Amines Chemicals Ltd</v>
      </c>
    </row>
    <row r="112">
      <c r="A112" s="1" t="s">
        <v>556</v>
      </c>
      <c r="B112" s="5" t="s">
        <v>557</v>
      </c>
      <c r="C112" s="3" t="s">
        <v>558</v>
      </c>
      <c r="D112" s="6" t="s">
        <v>559</v>
      </c>
      <c r="E112" s="7" t="s">
        <v>560</v>
      </c>
      <c r="F112" s="5" t="str">
        <f>IFERROR(__xludf.DUMMYFUNCTION("GOOGLEFINANCE(""NSE:""&amp;A112,""name"")"),"All Time Plastics Ltd")</f>
        <v>All Time Plastics Ltd</v>
      </c>
    </row>
    <row r="113">
      <c r="A113" s="1" t="s">
        <v>561</v>
      </c>
      <c r="B113" s="5" t="s">
        <v>562</v>
      </c>
      <c r="C113" s="3" t="s">
        <v>563</v>
      </c>
      <c r="D113" s="6" t="s">
        <v>564</v>
      </c>
      <c r="E113" s="7" t="s">
        <v>565</v>
      </c>
      <c r="F113" s="5" t="str">
        <f>IFERROR(__xludf.DUMMYFUNCTION("GOOGLEFINANCE(""NSE:""&amp;A113,""name"")"),"Allcargo Logistics Ltd")</f>
        <v>Allcargo Logistics Ltd</v>
      </c>
    </row>
    <row r="114">
      <c r="A114" s="1" t="s">
        <v>566</v>
      </c>
      <c r="B114" s="5" t="s">
        <v>567</v>
      </c>
      <c r="C114" s="3" t="s">
        <v>568</v>
      </c>
      <c r="D114" s="6" t="s">
        <v>569</v>
      </c>
      <c r="E114" s="7" t="s">
        <v>570</v>
      </c>
      <c r="F114" s="5" t="str">
        <f>IFERROR(__xludf.DUMMYFUNCTION("GOOGLEFINANCE(""NSE:""&amp;A114,""name"")"),"Allcargo Terminals Ltd")</f>
        <v>Allcargo Terminals Ltd</v>
      </c>
    </row>
    <row r="115">
      <c r="A115" s="1" t="s">
        <v>571</v>
      </c>
      <c r="B115" s="5" t="s">
        <v>572</v>
      </c>
      <c r="C115" s="3" t="s">
        <v>573</v>
      </c>
      <c r="D115" s="6" t="s">
        <v>574</v>
      </c>
      <c r="E115" s="7" t="s">
        <v>575</v>
      </c>
      <c r="F115" s="5" t="str">
        <f>IFERROR(__xludf.DUMMYFUNCTION("GOOGLEFINANCE(""NSE:""&amp;A115,""name"")"),"Alldigi Tech Ltd")</f>
        <v>Alldigi Tech Ltd</v>
      </c>
    </row>
    <row r="116">
      <c r="A116" s="1" t="s">
        <v>576</v>
      </c>
      <c r="B116" s="5" t="s">
        <v>577</v>
      </c>
      <c r="C116" s="3" t="s">
        <v>578</v>
      </c>
      <c r="D116" s="6" t="s">
        <v>579</v>
      </c>
      <c r="E116" s="7" t="s">
        <v>580</v>
      </c>
      <c r="F116" s="5" t="str">
        <f>IFERROR(__xludf.DUMMYFUNCTION("GOOGLEFINANCE(""NSE:""&amp;A116,""name"")"),"Allied Blenders and Distillers Ltd")</f>
        <v>Allied Blenders and Distillers Ltd</v>
      </c>
    </row>
    <row r="117">
      <c r="A117" s="1" t="s">
        <v>581</v>
      </c>
      <c r="B117" s="5" t="s">
        <v>582</v>
      </c>
      <c r="C117" s="3" t="s">
        <v>583</v>
      </c>
      <c r="D117" s="6" t="s">
        <v>584</v>
      </c>
      <c r="E117" s="7" t="s">
        <v>585</v>
      </c>
      <c r="F117" s="5" t="str">
        <f>IFERROR(__xludf.DUMMYFUNCTION("GOOGLEFINANCE(""NSE:""&amp;A117,""name"")"),"Allied Digital Services Ltd.")</f>
        <v>Allied Digital Services Ltd.</v>
      </c>
    </row>
    <row r="118">
      <c r="A118" s="1" t="s">
        <v>586</v>
      </c>
      <c r="B118" s="5" t="s">
        <v>587</v>
      </c>
      <c r="C118" s="3" t="s">
        <v>588</v>
      </c>
      <c r="D118" s="6" t="s">
        <v>589</v>
      </c>
      <c r="E118" s="7" t="s">
        <v>590</v>
      </c>
      <c r="F118" s="5" t="str">
        <f>IFERROR(__xludf.DUMMYFUNCTION("GOOGLEFINANCE(""NSE:""&amp;A118,""name"")"),"Almondz Global Securities Ltd")</f>
        <v>Almondz Global Securities Ltd</v>
      </c>
    </row>
    <row r="119">
      <c r="A119" s="1" t="s">
        <v>591</v>
      </c>
      <c r="B119" s="5" t="s">
        <v>592</v>
      </c>
      <c r="C119" s="3" t="s">
        <v>593</v>
      </c>
      <c r="D119" s="6" t="s">
        <v>594</v>
      </c>
      <c r="E119" s="7" t="s">
        <v>595</v>
      </c>
      <c r="F119" s="5" t="str">
        <f>IFERROR(__xludf.DUMMYFUNCTION("GOOGLEFINANCE(""NSE:""&amp;A119,""name"")"),"Alok Industries Ltd")</f>
        <v>Alok Industries Ltd</v>
      </c>
    </row>
    <row r="120">
      <c r="A120" s="1" t="s">
        <v>596</v>
      </c>
      <c r="B120" s="5" t="s">
        <v>597</v>
      </c>
      <c r="C120" s="3" t="s">
        <v>598</v>
      </c>
      <c r="D120" s="6" t="s">
        <v>599</v>
      </c>
      <c r="E120" s="7" t="s">
        <v>600</v>
      </c>
      <c r="F120" s="5" t="str">
        <f>IFERROR(__xludf.DUMMYFUNCTION("GOOGLEFINANCE(""NSE:""&amp;A120,""name"")"),"Alpa Laboratories Limited")</f>
        <v>Alpa Laboratories Limited</v>
      </c>
    </row>
    <row r="121">
      <c r="A121" s="1" t="s">
        <v>601</v>
      </c>
      <c r="B121" s="5" t="s">
        <v>602</v>
      </c>
      <c r="C121" s="3" t="s">
        <v>603</v>
      </c>
      <c r="D121" s="6" t="s">
        <v>604</v>
      </c>
      <c r="E121" s="7" t="s">
        <v>605</v>
      </c>
      <c r="F121" s="5" t="str">
        <f>IFERROR(__xludf.DUMMYFUNCTION("GOOGLEFINANCE(""NSE:""&amp;A121,""name"")"),"Alphageo (India) Ltd")</f>
        <v>Alphageo (India) Ltd</v>
      </c>
    </row>
    <row r="122">
      <c r="A122" s="1" t="s">
        <v>606</v>
      </c>
      <c r="B122" s="5" t="s">
        <v>607</v>
      </c>
      <c r="C122" s="3" t="s">
        <v>608</v>
      </c>
      <c r="D122" s="6" t="s">
        <v>609</v>
      </c>
      <c r="E122" s="7" t="s">
        <v>610</v>
      </c>
      <c r="F122" s="5" t="str">
        <f>IFERROR(__xludf.DUMMYFUNCTION("GOOGLEFINANCE(""NSE:""&amp;A122,""name"")"),"Amanta Healthcare Ltd")</f>
        <v>Amanta Healthcare Ltd</v>
      </c>
    </row>
    <row r="123">
      <c r="A123" s="1" t="s">
        <v>611</v>
      </c>
      <c r="B123" s="5" t="s">
        <v>612</v>
      </c>
      <c r="C123" s="3" t="s">
        <v>613</v>
      </c>
      <c r="D123" s="6" t="s">
        <v>614</v>
      </c>
      <c r="E123" s="7" t="s">
        <v>615</v>
      </c>
      <c r="F123" s="5" t="str">
        <f>IFERROR(__xludf.DUMMYFUNCTION("GOOGLEFINANCE(""NSE:""&amp;A123,""name"")"),"Amara Raja Energy &amp; Mobility Ltd")</f>
        <v>Amara Raja Energy &amp; Mobility Ltd</v>
      </c>
    </row>
    <row r="124">
      <c r="A124" s="1" t="s">
        <v>616</v>
      </c>
      <c r="B124" s="5" t="s">
        <v>617</v>
      </c>
      <c r="C124" s="3" t="s">
        <v>618</v>
      </c>
      <c r="D124" s="6" t="s">
        <v>619</v>
      </c>
      <c r="E124" s="7" t="s">
        <v>620</v>
      </c>
      <c r="F124" s="5" t="str">
        <f>IFERROR(__xludf.DUMMYFUNCTION("GOOGLEFINANCE(""NSE:""&amp;A124,""name"")"),"Amber Enterprises India Ltd")</f>
        <v>Amber Enterprises India Ltd</v>
      </c>
    </row>
    <row r="125">
      <c r="A125" s="1" t="s">
        <v>621</v>
      </c>
      <c r="B125" s="5" t="s">
        <v>622</v>
      </c>
      <c r="C125" s="3" t="s">
        <v>623</v>
      </c>
      <c r="D125" s="6" t="s">
        <v>624</v>
      </c>
      <c r="E125" s="7" t="s">
        <v>625</v>
      </c>
      <c r="F125" s="5" t="str">
        <f>IFERROR(__xludf.DUMMYFUNCTION("GOOGLEFINANCE(""NSE:""&amp;A125,""name"")"),"Ambica Agarbathies Aroma&amp;Industries Ltd")</f>
        <v>Ambica Agarbathies Aroma&amp;Industries Ltd</v>
      </c>
    </row>
    <row r="126">
      <c r="A126" s="1" t="s">
        <v>626</v>
      </c>
      <c r="B126" s="5" t="s">
        <v>627</v>
      </c>
      <c r="C126" s="3" t="s">
        <v>628</v>
      </c>
      <c r="D126" s="6" t="s">
        <v>629</v>
      </c>
      <c r="E126" s="7" t="s">
        <v>630</v>
      </c>
      <c r="F126" s="5" t="str">
        <f>IFERROR(__xludf.DUMMYFUNCTION("GOOGLEFINANCE(""NSE:""&amp;A126,""name"")"),"Ambika Cotton Mills Ltd")</f>
        <v>Ambika Cotton Mills Ltd</v>
      </c>
    </row>
    <row r="127">
      <c r="A127" s="1" t="s">
        <v>631</v>
      </c>
      <c r="B127" s="5" t="s">
        <v>632</v>
      </c>
      <c r="C127" s="3" t="s">
        <v>633</v>
      </c>
      <c r="D127" s="6" t="s">
        <v>634</v>
      </c>
      <c r="E127" s="7" t="s">
        <v>635</v>
      </c>
      <c r="F127" s="5" t="str">
        <f>IFERROR(__xludf.DUMMYFUNCTION("GOOGLEFINANCE(""NSE:""&amp;A127,""name"")"),"Ambuja Cements Ltd")</f>
        <v>Ambuja Cements Ltd</v>
      </c>
    </row>
    <row r="128">
      <c r="A128" s="1" t="s">
        <v>636</v>
      </c>
      <c r="B128" s="5" t="s">
        <v>637</v>
      </c>
      <c r="C128" s="3" t="s">
        <v>638</v>
      </c>
      <c r="D128" s="6" t="s">
        <v>639</v>
      </c>
      <c r="E128" s="7" t="s">
        <v>640</v>
      </c>
      <c r="F128" s="5" t="str">
        <f>IFERROR(__xludf.DUMMYFUNCTION("GOOGLEFINANCE(""NSE:""&amp;A128,""name"")"),"AMD Industries Ltd.")</f>
        <v>AMD Industries Ltd.</v>
      </c>
    </row>
    <row r="129">
      <c r="A129" s="1" t="s">
        <v>641</v>
      </c>
      <c r="B129" s="5" t="s">
        <v>642</v>
      </c>
      <c r="C129" s="3" t="s">
        <v>643</v>
      </c>
      <c r="D129" s="6" t="s">
        <v>644</v>
      </c>
      <c r="E129" s="7" t="s">
        <v>645</v>
      </c>
      <c r="F129" s="5" t="str">
        <f>IFERROR(__xludf.DUMMYFUNCTION("GOOGLEFINANCE(""NSE:""&amp;A129,""name"")"),"Amines and Plasticizers Ltd")</f>
        <v>Amines and Plasticizers Ltd</v>
      </c>
    </row>
    <row r="130">
      <c r="A130" s="1" t="s">
        <v>646</v>
      </c>
      <c r="B130" s="5" t="s">
        <v>647</v>
      </c>
      <c r="C130" s="3" t="s">
        <v>648</v>
      </c>
      <c r="D130" s="6" t="s">
        <v>649</v>
      </c>
      <c r="E130" s="7" t="s">
        <v>650</v>
      </c>
      <c r="F130" s="5" t="str">
        <f>IFERROR(__xludf.DUMMYFUNCTION("GOOGLEFINANCE(""NSE:""&amp;A130,""name"")"),"AMJ Land Holdings Ltd")</f>
        <v>AMJ Land Holdings Ltd</v>
      </c>
    </row>
    <row r="131">
      <c r="A131" s="1" t="s">
        <v>651</v>
      </c>
      <c r="B131" s="5" t="s">
        <v>652</v>
      </c>
      <c r="C131" s="3" t="s">
        <v>653</v>
      </c>
      <c r="D131" s="6" t="s">
        <v>654</v>
      </c>
      <c r="E131" s="7" t="s">
        <v>655</v>
      </c>
      <c r="F131" s="5" t="str">
        <f>IFERROR(__xludf.DUMMYFUNCTION("GOOGLEFINANCE(""NSE:""&amp;A131,""name"")"),"Amrutanjan Health Care Ltd")</f>
        <v>Amrutanjan Health Care Ltd</v>
      </c>
    </row>
    <row r="132">
      <c r="A132" s="1" t="s">
        <v>656</v>
      </c>
      <c r="B132" s="5" t="s">
        <v>657</v>
      </c>
      <c r="C132" s="3" t="s">
        <v>658</v>
      </c>
      <c r="D132" s="6" t="s">
        <v>659</v>
      </c>
      <c r="E132" s="7" t="s">
        <v>660</v>
      </c>
      <c r="F132" s="5" t="str">
        <f>IFERROR(__xludf.DUMMYFUNCTION("GOOGLEFINANCE(""NSE:""&amp;A132,""name"")"),"Anand Rathi Share and Stock Brokers Ltd")</f>
        <v>Anand Rathi Share and Stock Brokers Ltd</v>
      </c>
    </row>
    <row r="133">
      <c r="A133" s="1" t="s">
        <v>661</v>
      </c>
      <c r="B133" s="5" t="s">
        <v>662</v>
      </c>
      <c r="C133" s="3" t="s">
        <v>663</v>
      </c>
      <c r="D133" s="6" t="s">
        <v>664</v>
      </c>
      <c r="E133" s="7" t="s">
        <v>665</v>
      </c>
      <c r="F133" s="5" t="str">
        <f>IFERROR(__xludf.DUMMYFUNCTION("GOOGLEFINANCE(""NSE:""&amp;A133,""name"")"),"Anand Rathi Wealth Ltd")</f>
        <v>Anand Rathi Wealth Ltd</v>
      </c>
    </row>
    <row r="134">
      <c r="A134" s="1" t="s">
        <v>666</v>
      </c>
      <c r="B134" s="5" t="s">
        <v>667</v>
      </c>
      <c r="C134" s="3" t="s">
        <v>668</v>
      </c>
      <c r="D134" s="6" t="s">
        <v>669</v>
      </c>
      <c r="E134" s="7" t="s">
        <v>670</v>
      </c>
      <c r="F134" s="5" t="str">
        <f>IFERROR(__xludf.DUMMYFUNCTION("GOOGLEFINANCE(""NSE:""&amp;A134,""name"")"),"Tarc Ltd")</f>
        <v>Tarc Ltd</v>
      </c>
    </row>
    <row r="135">
      <c r="A135" s="1" t="s">
        <v>671</v>
      </c>
      <c r="B135" s="5" t="s">
        <v>672</v>
      </c>
      <c r="C135" s="3" t="s">
        <v>673</v>
      </c>
      <c r="D135" s="6" t="s">
        <v>674</v>
      </c>
      <c r="E135" s="7" t="s">
        <v>675</v>
      </c>
      <c r="F135" s="5" t="str">
        <f>IFERROR(__xludf.DUMMYFUNCTION("GOOGLEFINANCE(""NSE:""&amp;A135,""name"")"),"Anant Raj Ltd")</f>
        <v>Anant Raj Ltd</v>
      </c>
    </row>
    <row r="136">
      <c r="A136" s="1" t="s">
        <v>676</v>
      </c>
      <c r="B136" s="5" t="s">
        <v>677</v>
      </c>
      <c r="C136" s="3" t="s">
        <v>678</v>
      </c>
      <c r="D136" s="6" t="s">
        <v>679</v>
      </c>
      <c r="E136" s="7" t="s">
        <v>680</v>
      </c>
      <c r="F136" s="5" t="str">
        <f>IFERROR(__xludf.DUMMYFUNCTION("GOOGLEFINANCE(""NSE:""&amp;A136,""name"")"),"Andhra Cements Ltd")</f>
        <v>Andhra Cements Ltd</v>
      </c>
    </row>
    <row r="137">
      <c r="A137" s="1" t="s">
        <v>681</v>
      </c>
      <c r="B137" s="5" t="s">
        <v>682</v>
      </c>
      <c r="C137" s="3" t="s">
        <v>683</v>
      </c>
      <c r="D137" s="6" t="s">
        <v>684</v>
      </c>
      <c r="E137" s="7" t="s">
        <v>685</v>
      </c>
      <c r="F137" s="5" t="str">
        <f>IFERROR(__xludf.DUMMYFUNCTION("GOOGLEFINANCE(""NSE:""&amp;A137,""name"")"),"Andhra Paper Ltd")</f>
        <v>Andhra Paper Ltd</v>
      </c>
    </row>
    <row r="138">
      <c r="A138" s="1" t="s">
        <v>686</v>
      </c>
      <c r="B138" s="5" t="s">
        <v>687</v>
      </c>
      <c r="C138" s="3" t="s">
        <v>688</v>
      </c>
      <c r="D138" s="6" t="s">
        <v>689</v>
      </c>
      <c r="E138" s="7" t="s">
        <v>690</v>
      </c>
      <c r="F138" s="5" t="str">
        <f>IFERROR(__xludf.DUMMYFUNCTION("GOOGLEFINANCE(""NSE:""&amp;A138,""name"")"),"Angel One Gold ETF")</f>
        <v>Angel One Gold ETF</v>
      </c>
    </row>
    <row r="139">
      <c r="A139" s="1" t="s">
        <v>691</v>
      </c>
      <c r="B139" s="5" t="s">
        <v>692</v>
      </c>
      <c r="C139" s="3" t="s">
        <v>693</v>
      </c>
      <c r="D139" s="6" t="s">
        <v>694</v>
      </c>
      <c r="E139" s="7" t="s">
        <v>695</v>
      </c>
      <c r="F139" s="5" t="str">
        <f>IFERROR(__xludf.DUMMYFUNCTION("GOOGLEFINANCE(""NSE:""&amp;A139,""name"")"),"Angel One Ltd")</f>
        <v>Angel One Ltd</v>
      </c>
    </row>
    <row r="140">
      <c r="A140" s="1" t="s">
        <v>696</v>
      </c>
      <c r="B140" s="5" t="s">
        <v>697</v>
      </c>
      <c r="C140" s="3" t="s">
        <v>698</v>
      </c>
      <c r="D140" s="6" t="s">
        <v>699</v>
      </c>
      <c r="E140" s="7" t="s">
        <v>700</v>
      </c>
      <c r="F140" s="5" t="str">
        <f>IFERROR(__xludf.DUMMYFUNCTION("GOOGLEFINANCE(""NSE:""&amp;A140,""name"")"),"Angel One Nifty 1D Rate Liquid ETF - Growth")</f>
        <v>Angel One Nifty 1D Rate Liquid ETF - Growth</v>
      </c>
    </row>
    <row r="141">
      <c r="A141" s="1" t="s">
        <v>701</v>
      </c>
      <c r="B141" s="5" t="s">
        <v>702</v>
      </c>
      <c r="C141" s="3" t="s">
        <v>703</v>
      </c>
      <c r="D141" s="6" t="s">
        <v>704</v>
      </c>
      <c r="E141" s="7" t="s">
        <v>705</v>
      </c>
      <c r="F141" s="5" t="str">
        <f>IFERROR(__xludf.DUMMYFUNCTION("GOOGLEFINANCE(""NSE:""&amp;A141,""name"")"),"Angel One Nifty Total Market ETF")</f>
        <v>Angel One Nifty Total Market ETF</v>
      </c>
    </row>
    <row r="142">
      <c r="A142" s="1" t="s">
        <v>706</v>
      </c>
      <c r="B142" s="5" t="s">
        <v>707</v>
      </c>
      <c r="C142" s="3" t="s">
        <v>708</v>
      </c>
      <c r="D142" s="6" t="s">
        <v>709</v>
      </c>
      <c r="E142" s="7" t="s">
        <v>710</v>
      </c>
      <c r="F142" s="5" t="str">
        <f>IFERROR(__xludf.DUMMYFUNCTION("GOOGLEFINANCE(""NSE:""&amp;A142,""name"")"),"Angel One Nifty Total Market Momentum Quality 50 ETF")</f>
        <v>Angel One Nifty Total Market Momentum Quality 50 ETF</v>
      </c>
    </row>
    <row r="143">
      <c r="A143" s="1" t="s">
        <v>711</v>
      </c>
      <c r="B143" s="5" t="s">
        <v>712</v>
      </c>
      <c r="C143" s="3" t="s">
        <v>713</v>
      </c>
      <c r="D143" s="6" t="s">
        <v>714</v>
      </c>
      <c r="E143" s="7" t="s">
        <v>715</v>
      </c>
      <c r="F143" s="5" t="str">
        <f>IFERROR(__xludf.DUMMYFUNCTION("GOOGLEFINANCE(""NSE:""&amp;A143,""name"")"),"Anik Industries Ltd")</f>
        <v>Anik Industries Ltd</v>
      </c>
    </row>
    <row r="144">
      <c r="A144" s="1" t="s">
        <v>716</v>
      </c>
      <c r="B144" s="5" t="s">
        <v>717</v>
      </c>
      <c r="C144" s="3" t="s">
        <v>718</v>
      </c>
      <c r="D144" s="6" t="s">
        <v>719</v>
      </c>
      <c r="E144" s="7" t="s">
        <v>720</v>
      </c>
      <c r="F144" s="5" t="str">
        <f>IFERROR(__xludf.DUMMYFUNCTION("GOOGLEFINANCE(""NSE:""&amp;A144,""name"")"),"Anjani Portland Cement Ltd")</f>
        <v>Anjani Portland Cement Ltd</v>
      </c>
    </row>
    <row r="145">
      <c r="A145" s="1" t="s">
        <v>721</v>
      </c>
      <c r="B145" s="5" t="s">
        <v>722</v>
      </c>
      <c r="C145" s="3" t="s">
        <v>723</v>
      </c>
      <c r="D145" s="6" t="s">
        <v>724</v>
      </c>
      <c r="E145" s="7" t="s">
        <v>725</v>
      </c>
      <c r="F145" s="5" t="str">
        <f>IFERROR(__xludf.DUMMYFUNCTION("GOOGLEFINANCE(""NSE:""&amp;A145,""name"")"),"Anlon Healthcare Ltd")</f>
        <v>Anlon Healthcare Ltd</v>
      </c>
    </row>
    <row r="146">
      <c r="A146" s="1" t="s">
        <v>726</v>
      </c>
      <c r="B146" s="5" t="s">
        <v>727</v>
      </c>
      <c r="C146" s="3" t="s">
        <v>728</v>
      </c>
      <c r="D146" s="6" t="s">
        <v>729</v>
      </c>
      <c r="E146" s="7" t="s">
        <v>730</v>
      </c>
      <c r="F146" s="5" t="str">
        <f>IFERROR(__xludf.DUMMYFUNCTION("GOOGLEFINANCE(""NSE:""&amp;A146,""name"")"),"Anmol India Ltd")</f>
        <v>Anmol India Ltd</v>
      </c>
    </row>
    <row r="147">
      <c r="A147" s="1" t="s">
        <v>731</v>
      </c>
      <c r="B147" s="5" t="s">
        <v>732</v>
      </c>
      <c r="C147" s="3" t="s">
        <v>733</v>
      </c>
      <c r="D147" s="6" t="s">
        <v>734</v>
      </c>
      <c r="E147" s="7" t="s">
        <v>735</v>
      </c>
      <c r="F147" s="5" t="str">
        <f>IFERROR(__xludf.DUMMYFUNCTION("GOOGLEFINANCE(""NSE:""&amp;A147,""name"")"),"Antelopus Selan Energy Ltd")</f>
        <v>Antelopus Selan Energy Ltd</v>
      </c>
    </row>
    <row r="148">
      <c r="A148" s="1" t="s">
        <v>736</v>
      </c>
      <c r="B148" s="5" t="s">
        <v>737</v>
      </c>
      <c r="C148" s="3" t="s">
        <v>738</v>
      </c>
      <c r="D148" s="6" t="s">
        <v>739</v>
      </c>
      <c r="E148" s="7" t="s">
        <v>740</v>
      </c>
      <c r="F148" s="5" t="str">
        <f>IFERROR(__xludf.DUMMYFUNCTION("GOOGLEFINANCE(""NSE:""&amp;A148,""name"")"),"Anthem BioSciences Ltd")</f>
        <v>Anthem BioSciences Ltd</v>
      </c>
    </row>
    <row r="149">
      <c r="A149" s="1" t="s">
        <v>741</v>
      </c>
      <c r="B149" s="5" t="s">
        <v>742</v>
      </c>
      <c r="C149" s="3" t="s">
        <v>743</v>
      </c>
      <c r="D149" s="6" t="s">
        <v>744</v>
      </c>
      <c r="E149" s="7" t="s">
        <v>745</v>
      </c>
      <c r="F149" s="5" t="str">
        <f>IFERROR(__xludf.DUMMYFUNCTION("GOOGLEFINANCE(""NSE:""&amp;A149,""name"")"),"Antony Waste Handling Cell Ltd")</f>
        <v>Antony Waste Handling Cell Ltd</v>
      </c>
    </row>
    <row r="150">
      <c r="A150" s="1" t="s">
        <v>746</v>
      </c>
      <c r="B150" s="5" t="s">
        <v>747</v>
      </c>
      <c r="C150" s="3" t="s">
        <v>748</v>
      </c>
      <c r="D150" s="6" t="s">
        <v>749</v>
      </c>
      <c r="E150" s="7" t="s">
        <v>750</v>
      </c>
      <c r="F150" s="5" t="str">
        <f>IFERROR(__xludf.DUMMYFUNCTION("GOOGLEFINANCE(""NSE:""&amp;A150,""name"")"),"Anuh Pharma Ltd")</f>
        <v>Anuh Pharma Ltd</v>
      </c>
    </row>
    <row r="151">
      <c r="A151" s="1" t="s">
        <v>751</v>
      </c>
      <c r="B151" s="5" t="s">
        <v>752</v>
      </c>
      <c r="C151" s="3" t="s">
        <v>753</v>
      </c>
      <c r="D151" s="6" t="s">
        <v>754</v>
      </c>
      <c r="E151" s="7" t="s">
        <v>755</v>
      </c>
      <c r="F151" s="5" t="str">
        <f>IFERROR(__xludf.DUMMYFUNCTION("GOOGLEFINANCE(""NSE:""&amp;A151,""name"")"),"Anupam Rasayan India Ltd")</f>
        <v>Anupam Rasayan India Ltd</v>
      </c>
    </row>
    <row r="152">
      <c r="A152" s="1" t="s">
        <v>756</v>
      </c>
      <c r="B152" s="5" t="s">
        <v>756</v>
      </c>
      <c r="C152" s="3" t="s">
        <v>757</v>
      </c>
      <c r="D152" s="6" t="s">
        <v>758</v>
      </c>
      <c r="E152" s="7" t="s">
        <v>759</v>
      </c>
      <c r="F152" s="5" t="str">
        <f>IFERROR(__xludf.DUMMYFUNCTION("GOOGLEFINANCE(""NSE:""&amp;A152,""name"")"),"Angel One Nifty 50 ETF")</f>
        <v>Angel One Nifty 50 ETF</v>
      </c>
    </row>
    <row r="153">
      <c r="A153" s="1" t="s">
        <v>760</v>
      </c>
      <c r="B153" s="5" t="s">
        <v>761</v>
      </c>
      <c r="C153" s="3" t="s">
        <v>762</v>
      </c>
      <c r="D153" s="6" t="s">
        <v>763</v>
      </c>
      <c r="E153" s="7" t="s">
        <v>764</v>
      </c>
      <c r="F153" s="5" t="str">
        <f>IFERROR(__xludf.DUMMYFUNCTION("GOOGLEFINANCE(""NSE:""&amp;A153,""name"")"),"Apar Industries Ltd")</f>
        <v>Apar Industries Ltd</v>
      </c>
    </row>
    <row r="154">
      <c r="A154" s="1" t="s">
        <v>765</v>
      </c>
      <c r="B154" s="5" t="s">
        <v>766</v>
      </c>
      <c r="C154" s="3" t="s">
        <v>767</v>
      </c>
      <c r="D154" s="6" t="s">
        <v>768</v>
      </c>
      <c r="E154" s="7" t="s">
        <v>769</v>
      </c>
      <c r="F154" s="5" t="str">
        <f>IFERROR(__xludf.DUMMYFUNCTION("GOOGLEFINANCE(""NSE:""&amp;A154,""name"")"),"Apcotex Industries Ltd")</f>
        <v>Apcotex Industries Ltd</v>
      </c>
    </row>
    <row r="155">
      <c r="A155" s="1" t="s">
        <v>770</v>
      </c>
      <c r="B155" s="5" t="s">
        <v>771</v>
      </c>
      <c r="C155" s="3" t="s">
        <v>772</v>
      </c>
      <c r="D155" s="6" t="s">
        <v>773</v>
      </c>
      <c r="E155" s="7" t="s">
        <v>774</v>
      </c>
      <c r="F155" s="5" t="str">
        <f>IFERROR(__xludf.DUMMYFUNCTION("GOOGLEFINANCE(""NSE:""&amp;A155,""name"")"),"Apeejay Surrendra Park Hotels Ltd")</f>
        <v>Apeejay Surrendra Park Hotels Ltd</v>
      </c>
    </row>
    <row r="156">
      <c r="A156" s="1" t="s">
        <v>775</v>
      </c>
      <c r="B156" s="5" t="s">
        <v>776</v>
      </c>
      <c r="C156" s="3" t="s">
        <v>777</v>
      </c>
      <c r="D156" s="6" t="s">
        <v>778</v>
      </c>
      <c r="E156" s="7" t="s">
        <v>779</v>
      </c>
      <c r="F156" s="5" t="str">
        <f>IFERROR(__xludf.DUMMYFUNCTION("GOOGLEFINANCE(""NSE:""&amp;A156,""name"")"),"Apex Frozen Foods Ltd")</f>
        <v>Apex Frozen Foods Ltd</v>
      </c>
    </row>
    <row r="157">
      <c r="A157" s="1" t="s">
        <v>780</v>
      </c>
      <c r="B157" s="5" t="s">
        <v>781</v>
      </c>
      <c r="C157" s="3" t="s">
        <v>782</v>
      </c>
      <c r="D157" s="6" t="s">
        <v>783</v>
      </c>
      <c r="E157" s="7" t="s">
        <v>784</v>
      </c>
      <c r="F157" s="5" t="str">
        <f>IFERROR(__xludf.DUMMYFUNCTION("GOOGLEFINANCE(""NSE:""&amp;A157,""name"")"),"Apl Apollo Tubes Ltd")</f>
        <v>Apl Apollo Tubes Ltd</v>
      </c>
    </row>
    <row r="158">
      <c r="A158" s="1" t="s">
        <v>785</v>
      </c>
      <c r="B158" s="5" t="s">
        <v>786</v>
      </c>
      <c r="C158" s="3" t="s">
        <v>787</v>
      </c>
      <c r="D158" s="6" t="s">
        <v>788</v>
      </c>
      <c r="E158" s="7" t="s">
        <v>789</v>
      </c>
      <c r="F158" s="5" t="str">
        <f>IFERROR(__xludf.DUMMYFUNCTION("GOOGLEFINANCE(""NSE:""&amp;A158,""name"")"),"Apollo Hospitals Enterprise Ltd")</f>
        <v>Apollo Hospitals Enterprise Ltd</v>
      </c>
    </row>
    <row r="159">
      <c r="A159" s="1" t="s">
        <v>790</v>
      </c>
      <c r="B159" s="5" t="s">
        <v>791</v>
      </c>
      <c r="C159" s="3" t="s">
        <v>792</v>
      </c>
      <c r="D159" s="6" t="s">
        <v>793</v>
      </c>
      <c r="E159" s="7" t="s">
        <v>794</v>
      </c>
      <c r="F159" s="5" t="str">
        <f>IFERROR(__xludf.DUMMYFUNCTION("GOOGLEFINANCE(""NSE:""&amp;A159,""name"")"),"Apollo Micro Systems Ltd")</f>
        <v>Apollo Micro Systems Ltd</v>
      </c>
    </row>
    <row r="160">
      <c r="A160" s="1" t="s">
        <v>795</v>
      </c>
      <c r="B160" s="5" t="s">
        <v>796</v>
      </c>
      <c r="C160" s="3" t="s">
        <v>797</v>
      </c>
      <c r="D160" s="6" t="s">
        <v>798</v>
      </c>
      <c r="E160" s="7" t="s">
        <v>799</v>
      </c>
      <c r="F160" s="5" t="str">
        <f>IFERROR(__xludf.DUMMYFUNCTION("GOOGLEFINANCE(""NSE:""&amp;A160,""name"")"),"Apollo Pipes Ltd")</f>
        <v>Apollo Pipes Ltd</v>
      </c>
    </row>
    <row r="161">
      <c r="A161" s="1" t="s">
        <v>800</v>
      </c>
      <c r="B161" s="5" t="s">
        <v>801</v>
      </c>
      <c r="C161" s="3" t="s">
        <v>802</v>
      </c>
      <c r="D161" s="6" t="s">
        <v>803</v>
      </c>
      <c r="E161" s="7" t="s">
        <v>804</v>
      </c>
      <c r="F161" s="5" t="str">
        <f>IFERROR(__xludf.DUMMYFUNCTION("GOOGLEFINANCE(""NSE:""&amp;A161,""name"")"),"Apollo Sindoori Hotels Ltd")</f>
        <v>Apollo Sindoori Hotels Ltd</v>
      </c>
    </row>
    <row r="162">
      <c r="A162" s="1" t="s">
        <v>805</v>
      </c>
      <c r="B162" s="5" t="s">
        <v>806</v>
      </c>
      <c r="C162" s="3" t="s">
        <v>807</v>
      </c>
      <c r="D162" s="6" t="s">
        <v>808</v>
      </c>
      <c r="E162" s="7" t="s">
        <v>809</v>
      </c>
      <c r="F162" s="5" t="str">
        <f>IFERROR(__xludf.DUMMYFUNCTION("GOOGLEFINANCE(""NSE:""&amp;A162,""name"")"),"Apollo Tyres Ltd")</f>
        <v>Apollo Tyres Ltd</v>
      </c>
    </row>
    <row r="163">
      <c r="A163" s="1" t="s">
        <v>810</v>
      </c>
      <c r="B163" s="5" t="s">
        <v>811</v>
      </c>
      <c r="C163" s="3" t="s">
        <v>812</v>
      </c>
      <c r="D163" s="6" t="s">
        <v>813</v>
      </c>
      <c r="E163" s="7" t="s">
        <v>814</v>
      </c>
      <c r="F163" s="5" t="str">
        <f>IFERROR(__xludf.DUMMYFUNCTION("GOOGLEFINANCE(""NSE:""&amp;A163,""name"")"),"Aptech Ltd")</f>
        <v>Aptech Ltd</v>
      </c>
    </row>
    <row r="164">
      <c r="A164" s="1" t="s">
        <v>815</v>
      </c>
      <c r="B164" s="5" t="s">
        <v>816</v>
      </c>
      <c r="C164" s="3" t="s">
        <v>817</v>
      </c>
      <c r="D164" s="6" t="s">
        <v>818</v>
      </c>
      <c r="E164" s="7" t="s">
        <v>819</v>
      </c>
      <c r="F164" s="5" t="str">
        <f>IFERROR(__xludf.DUMMYFUNCTION("GOOGLEFINANCE(""NSE:""&amp;A164,""name"")"),"Aptus Value Housing Finance India Ltd")</f>
        <v>Aptus Value Housing Finance India Ltd</v>
      </c>
    </row>
    <row r="165">
      <c r="A165" s="1" t="s">
        <v>820</v>
      </c>
      <c r="B165" s="5" t="s">
        <v>821</v>
      </c>
      <c r="C165" s="3" t="s">
        <v>822</v>
      </c>
      <c r="D165" s="6" t="s">
        <v>823</v>
      </c>
      <c r="E165" s="7" t="s">
        <v>824</v>
      </c>
      <c r="F165" s="5" t="str">
        <f>IFERROR(__xludf.DUMMYFUNCTION("GOOGLEFINANCE(""NSE:""&amp;A165,""name"")"),"Archean Chemical Industries Ltd")</f>
        <v>Archean Chemical Industries Ltd</v>
      </c>
    </row>
    <row r="166">
      <c r="A166" s="1" t="s">
        <v>825</v>
      </c>
      <c r="B166" s="5" t="s">
        <v>826</v>
      </c>
      <c r="C166" s="3" t="s">
        <v>827</v>
      </c>
      <c r="D166" s="6" t="s">
        <v>828</v>
      </c>
      <c r="E166" s="7" t="s">
        <v>829</v>
      </c>
      <c r="F166" s="5" t="str">
        <f>IFERROR(__xludf.DUMMYFUNCTION("GOOGLEFINANCE(""NSE:""&amp;A166,""name"")"),"Archidply Decor Ltd")</f>
        <v>Archidply Decor Ltd</v>
      </c>
    </row>
    <row r="167">
      <c r="A167" s="1" t="s">
        <v>830</v>
      </c>
      <c r="B167" s="5" t="s">
        <v>831</v>
      </c>
      <c r="C167" s="3" t="s">
        <v>832</v>
      </c>
      <c r="D167" s="6" t="s">
        <v>833</v>
      </c>
      <c r="E167" s="7" t="s">
        <v>834</v>
      </c>
      <c r="F167" s="5" t="str">
        <f>IFERROR(__xludf.DUMMYFUNCTION("GOOGLEFINANCE(""NSE:""&amp;A167,""name"")"),"Archidply Industries Limited.")</f>
        <v>Archidply Industries Limited.</v>
      </c>
    </row>
    <row r="168">
      <c r="A168" s="1" t="s">
        <v>835</v>
      </c>
      <c r="B168" s="5" t="s">
        <v>836</v>
      </c>
      <c r="C168" s="3" t="s">
        <v>837</v>
      </c>
      <c r="D168" s="6" t="s">
        <v>838</v>
      </c>
      <c r="E168" s="7" t="s">
        <v>839</v>
      </c>
      <c r="F168" s="5" t="str">
        <f>IFERROR(__xludf.DUMMYFUNCTION("GOOGLEFINANCE(""NSE:""&amp;A168,""name"")"),"Archies Ltd")</f>
        <v>Archies Ltd</v>
      </c>
    </row>
    <row r="169">
      <c r="A169" s="1" t="s">
        <v>840</v>
      </c>
      <c r="B169" s="5" t="s">
        <v>841</v>
      </c>
      <c r="C169" s="3" t="s">
        <v>842</v>
      </c>
      <c r="D169" s="6" t="s">
        <v>843</v>
      </c>
      <c r="E169" s="7" t="s">
        <v>844</v>
      </c>
      <c r="F169" s="5" t="str">
        <f>IFERROR(__xludf.DUMMYFUNCTION("GOOGLEFINANCE(""NSE:""&amp;A169,""name"")"),"Arfin India Ltd")</f>
        <v>Arfin India Ltd</v>
      </c>
    </row>
    <row r="170">
      <c r="A170" s="1" t="s">
        <v>845</v>
      </c>
      <c r="B170" s="5" t="s">
        <v>846</v>
      </c>
      <c r="C170" s="3" t="s">
        <v>847</v>
      </c>
      <c r="D170" s="6" t="s">
        <v>848</v>
      </c>
      <c r="E170" s="7" t="s">
        <v>849</v>
      </c>
      <c r="F170" s="5" t="str">
        <f>IFERROR(__xludf.DUMMYFUNCTION("GOOGLEFINANCE(""NSE:""&amp;A170,""name"")"),"Aries Agro Ltd (CN)")</f>
        <v>Aries Agro Ltd (CN)</v>
      </c>
    </row>
    <row r="171">
      <c r="A171" s="1" t="s">
        <v>850</v>
      </c>
      <c r="B171" s="5" t="s">
        <v>851</v>
      </c>
      <c r="C171" s="3" t="s">
        <v>852</v>
      </c>
      <c r="D171" s="6" t="s">
        <v>853</v>
      </c>
      <c r="E171" s="7" t="s">
        <v>854</v>
      </c>
      <c r="F171" s="5" t="str">
        <f>IFERROR(__xludf.DUMMYFUNCTION("GOOGLEFINANCE(""NSE:""&amp;A171,""name"")"),"Arihant Capital Markets Ltd")</f>
        <v>Arihant Capital Markets Ltd</v>
      </c>
    </row>
    <row r="172">
      <c r="A172" s="1" t="s">
        <v>855</v>
      </c>
      <c r="B172" s="5" t="s">
        <v>856</v>
      </c>
      <c r="C172" s="3" t="s">
        <v>857</v>
      </c>
      <c r="D172" s="6" t="s">
        <v>858</v>
      </c>
      <c r="E172" s="7" t="s">
        <v>859</v>
      </c>
      <c r="F172" s="5" t="str">
        <f>IFERROR(__xludf.DUMMYFUNCTION("GOOGLEFINANCE(""NSE:""&amp;A172,""name"")"),"Arihant Superstructures Ltd")</f>
        <v>Arihant Superstructures Ltd</v>
      </c>
    </row>
    <row r="173">
      <c r="A173" s="1" t="s">
        <v>860</v>
      </c>
      <c r="B173" s="5" t="s">
        <v>861</v>
      </c>
      <c r="C173" s="3" t="s">
        <v>862</v>
      </c>
      <c r="D173" s="6" t="s">
        <v>863</v>
      </c>
      <c r="E173" s="7" t="s">
        <v>864</v>
      </c>
      <c r="F173" s="5" t="str">
        <f>IFERROR(__xludf.DUMMYFUNCTION("GOOGLEFINANCE(""NSE:""&amp;A173,""name"")"),"Arisinfra Solutions Ltd")</f>
        <v>Arisinfra Solutions Ltd</v>
      </c>
    </row>
    <row r="174">
      <c r="A174" s="1" t="s">
        <v>865</v>
      </c>
      <c r="B174" s="5" t="s">
        <v>866</v>
      </c>
      <c r="C174" s="3" t="s">
        <v>867</v>
      </c>
      <c r="D174" s="6" t="s">
        <v>868</v>
      </c>
      <c r="E174" s="7" t="s">
        <v>869</v>
      </c>
      <c r="F174" s="5" t="str">
        <f>IFERROR(__xludf.DUMMYFUNCTION("GOOGLEFINANCE(""NSE:""&amp;A174,""name"")"),"Arkade Developers Ltd")</f>
        <v>Arkade Developers Ltd</v>
      </c>
    </row>
    <row r="175">
      <c r="A175" s="1" t="s">
        <v>870</v>
      </c>
      <c r="B175" s="5" t="s">
        <v>871</v>
      </c>
      <c r="C175" s="3" t="s">
        <v>872</v>
      </c>
      <c r="D175" s="6" t="s">
        <v>873</v>
      </c>
      <c r="E175" s="7" t="s">
        <v>874</v>
      </c>
      <c r="F175" s="5" t="str">
        <f>IFERROR(__xludf.DUMMYFUNCTION("GOOGLEFINANCE(""NSE:""&amp;A175,""name"")"),"Arman Financial Services Ltd")</f>
        <v>Arman Financial Services Ltd</v>
      </c>
    </row>
    <row r="176">
      <c r="A176" s="1" t="s">
        <v>875</v>
      </c>
      <c r="B176" s="5" t="s">
        <v>876</v>
      </c>
      <c r="C176" s="3" t="s">
        <v>877</v>
      </c>
      <c r="D176" s="6" t="s">
        <v>878</v>
      </c>
      <c r="E176" s="7" t="s">
        <v>879</v>
      </c>
      <c r="F176" s="5" t="str">
        <f>IFERROR(__xludf.DUMMYFUNCTION("GOOGLEFINANCE(""NSE:""&amp;A176,""name"")"),"Aro Granite Industries Ltd")</f>
        <v>Aro Granite Industries Ltd</v>
      </c>
    </row>
    <row r="177">
      <c r="A177" s="1" t="s">
        <v>880</v>
      </c>
      <c r="B177" s="5" t="s">
        <v>881</v>
      </c>
      <c r="C177" s="3" t="s">
        <v>882</v>
      </c>
      <c r="D177" s="6" t="s">
        <v>883</v>
      </c>
      <c r="E177" s="7" t="s">
        <v>884</v>
      </c>
      <c r="F177" s="5" t="str">
        <f>IFERROR(__xludf.DUMMYFUNCTION("GOOGLEFINANCE(""NSE:""&amp;A177,""name"")"),"Arrow Greentech Ltd")</f>
        <v>Arrow Greentech Ltd</v>
      </c>
    </row>
    <row r="178">
      <c r="A178" s="1" t="s">
        <v>885</v>
      </c>
      <c r="B178" s="5" t="s">
        <v>886</v>
      </c>
      <c r="C178" s="3" t="s">
        <v>887</v>
      </c>
      <c r="D178" s="6" t="s">
        <v>888</v>
      </c>
      <c r="E178" s="7" t="s">
        <v>889</v>
      </c>
      <c r="F178" s="5" t="str">
        <f>IFERROR(__xludf.DUMMYFUNCTION("GOOGLEFINANCE(""NSE:""&amp;A178,""name"")"),"Art Nirman Ltd")</f>
        <v>Art Nirman Ltd</v>
      </c>
    </row>
    <row r="179">
      <c r="A179" s="1" t="s">
        <v>890</v>
      </c>
      <c r="B179" s="5" t="s">
        <v>891</v>
      </c>
      <c r="C179" s="3" t="s">
        <v>892</v>
      </c>
      <c r="D179" s="6" t="s">
        <v>893</v>
      </c>
      <c r="E179" s="7" t="s">
        <v>894</v>
      </c>
      <c r="F179" s="5" t="str">
        <f>IFERROR(__xludf.DUMMYFUNCTION("GOOGLEFINANCE(""NSE:""&amp;A179,""name"")"),"Artemis Medicare Services Ltd")</f>
        <v>Artemis Medicare Services Ltd</v>
      </c>
    </row>
    <row r="180">
      <c r="A180" s="1" t="s">
        <v>895</v>
      </c>
      <c r="B180" s="5" t="s">
        <v>896</v>
      </c>
      <c r="C180" s="3" t="s">
        <v>897</v>
      </c>
      <c r="D180" s="6" t="s">
        <v>898</v>
      </c>
      <c r="E180" s="7" t="s">
        <v>899</v>
      </c>
      <c r="F180" s="5" t="str">
        <f>IFERROR(__xludf.DUMMYFUNCTION("GOOGLEFINANCE(""NSE:""&amp;A180,""name"")"),"Arvee Laboratories (India) Ltd")</f>
        <v>Arvee Laboratories (India) Ltd</v>
      </c>
    </row>
    <row r="181">
      <c r="A181" s="1" t="s">
        <v>900</v>
      </c>
      <c r="B181" s="5" t="s">
        <v>901</v>
      </c>
      <c r="C181" s="3" t="s">
        <v>902</v>
      </c>
      <c r="D181" s="6" t="s">
        <v>903</v>
      </c>
      <c r="E181" s="7" t="s">
        <v>904</v>
      </c>
      <c r="F181" s="5" t="str">
        <f>IFERROR(__xludf.DUMMYFUNCTION("GOOGLEFINANCE(""NSE:""&amp;A181,""name"")"),"ARVIND FASHIONS LTD")</f>
        <v>ARVIND FASHIONS LTD</v>
      </c>
    </row>
    <row r="182">
      <c r="A182" s="1" t="s">
        <v>905</v>
      </c>
      <c r="B182" s="5" t="s">
        <v>906</v>
      </c>
      <c r="C182" s="3" t="s">
        <v>907</v>
      </c>
      <c r="D182" s="6" t="s">
        <v>908</v>
      </c>
      <c r="E182" s="7" t="s">
        <v>909</v>
      </c>
      <c r="F182" s="5" t="str">
        <f>IFERROR(__xludf.DUMMYFUNCTION("GOOGLEFINANCE(""NSE:""&amp;A182,""name"")"),"Arvind Ltd")</f>
        <v>Arvind Ltd</v>
      </c>
    </row>
    <row r="183">
      <c r="A183" s="1" t="s">
        <v>910</v>
      </c>
      <c r="B183" s="5" t="s">
        <v>911</v>
      </c>
      <c r="C183" s="3" t="s">
        <v>912</v>
      </c>
      <c r="D183" s="6" t="s">
        <v>913</v>
      </c>
      <c r="E183" s="7" t="s">
        <v>914</v>
      </c>
      <c r="F183" s="5" t="str">
        <f>IFERROR(__xludf.DUMMYFUNCTION("GOOGLEFINANCE(""NSE:""&amp;A183,""name"")"),"Arvind Smartspaces Ltd")</f>
        <v>Arvind Smartspaces Ltd</v>
      </c>
    </row>
    <row r="184">
      <c r="A184" s="1" t="s">
        <v>915</v>
      </c>
      <c r="B184" s="5" t="s">
        <v>916</v>
      </c>
      <c r="C184" s="3" t="s">
        <v>917</v>
      </c>
      <c r="D184" s="6" t="s">
        <v>918</v>
      </c>
      <c r="E184" s="7" t="s">
        <v>919</v>
      </c>
      <c r="F184" s="5" t="str">
        <f>IFERROR(__xludf.DUMMYFUNCTION("GOOGLEFINANCE(""NSE:""&amp;A184,""name"")"),"Asahi India Glass Ltd")</f>
        <v>Asahi India Glass Ltd</v>
      </c>
    </row>
    <row r="185">
      <c r="A185" s="1" t="s">
        <v>920</v>
      </c>
      <c r="B185" s="5" t="s">
        <v>921</v>
      </c>
      <c r="C185" s="3" t="s">
        <v>922</v>
      </c>
      <c r="D185" s="6" t="s">
        <v>923</v>
      </c>
      <c r="E185" s="7" t="s">
        <v>924</v>
      </c>
      <c r="F185" s="5" t="str">
        <f>IFERROR(__xludf.DUMMYFUNCTION("GOOGLEFINANCE(""NSE:""&amp;A185,""name"")"),"Asahi Songwon Colors Ltd")</f>
        <v>Asahi Songwon Colors Ltd</v>
      </c>
    </row>
    <row r="186">
      <c r="A186" s="1" t="s">
        <v>925</v>
      </c>
      <c r="B186" s="5" t="s">
        <v>926</v>
      </c>
      <c r="C186" s="3" t="s">
        <v>927</v>
      </c>
      <c r="D186" s="6" t="s">
        <v>928</v>
      </c>
      <c r="E186" s="7" t="s">
        <v>929</v>
      </c>
      <c r="F186" s="5" t="str">
        <f>IFERROR(__xludf.DUMMYFUNCTION("GOOGLEFINANCE(""NSE:""&amp;A186,""name"")"),"Ashapura Minechem Ltd")</f>
        <v>Ashapura Minechem Ltd</v>
      </c>
    </row>
    <row r="187">
      <c r="A187" s="1" t="s">
        <v>930</v>
      </c>
      <c r="B187" s="5" t="s">
        <v>931</v>
      </c>
      <c r="C187" s="3" t="s">
        <v>932</v>
      </c>
      <c r="D187" s="6" t="s">
        <v>933</v>
      </c>
      <c r="E187" s="7" t="s">
        <v>934</v>
      </c>
      <c r="F187" s="5" t="str">
        <f>IFERROR(__xludf.DUMMYFUNCTION("GOOGLEFINANCE(""NSE:""&amp;A187,""name"")"),"Ashiana Housing Ltd")</f>
        <v>Ashiana Housing Ltd</v>
      </c>
    </row>
    <row r="188">
      <c r="A188" s="1" t="s">
        <v>935</v>
      </c>
      <c r="B188" s="5" t="s">
        <v>936</v>
      </c>
      <c r="C188" s="3" t="s">
        <v>937</v>
      </c>
      <c r="D188" s="6" t="s">
        <v>938</v>
      </c>
      <c r="E188" s="7" t="s">
        <v>939</v>
      </c>
      <c r="F188" s="5" t="str">
        <f>IFERROR(__xludf.DUMMYFUNCTION("GOOGLEFINANCE(""NSE:""&amp;A188,""name"")"),"Ashima Ltd")</f>
        <v>Ashima Ltd</v>
      </c>
    </row>
    <row r="189">
      <c r="A189" s="1" t="s">
        <v>940</v>
      </c>
      <c r="B189" s="5" t="s">
        <v>941</v>
      </c>
      <c r="C189" s="3" t="s">
        <v>942</v>
      </c>
      <c r="D189" s="6" t="s">
        <v>943</v>
      </c>
      <c r="E189" s="7" t="s">
        <v>944</v>
      </c>
      <c r="F189" s="5" t="str">
        <f>IFERROR(__xludf.DUMMYFUNCTION("GOOGLEFINANCE(""NSE:""&amp;A189,""name"")"),"Ashok Leyland Ltd")</f>
        <v>Ashok Leyland Ltd</v>
      </c>
    </row>
    <row r="190">
      <c r="A190" s="1" t="s">
        <v>945</v>
      </c>
      <c r="B190" s="5" t="s">
        <v>946</v>
      </c>
      <c r="C190" s="3" t="s">
        <v>947</v>
      </c>
      <c r="D190" s="6" t="s">
        <v>948</v>
      </c>
      <c r="E190" s="7" t="s">
        <v>949</v>
      </c>
      <c r="F190" s="5" t="str">
        <f>IFERROR(__xludf.DUMMYFUNCTION("GOOGLEFINANCE(""NSE:""&amp;A190,""name"")"),"Ashoka Buildcon Ltd")</f>
        <v>Ashoka Buildcon Ltd</v>
      </c>
    </row>
    <row r="191">
      <c r="A191" s="1" t="s">
        <v>950</v>
      </c>
      <c r="B191" s="5" t="s">
        <v>951</v>
      </c>
      <c r="C191" s="3" t="s">
        <v>952</v>
      </c>
      <c r="D191" s="6" t="s">
        <v>953</v>
      </c>
      <c r="E191" s="7" t="s">
        <v>954</v>
      </c>
      <c r="F191" s="5" t="str">
        <f>IFERROR(__xludf.DUMMYFUNCTION("GOOGLEFINANCE(""NSE:""&amp;A191,""name"")"),"Ashoka Metcast Ltd")</f>
        <v>Ashoka Metcast Ltd</v>
      </c>
    </row>
    <row r="192">
      <c r="A192" s="1" t="s">
        <v>955</v>
      </c>
      <c r="B192" s="5" t="s">
        <v>956</v>
      </c>
      <c r="C192" s="3" t="s">
        <v>957</v>
      </c>
      <c r="D192" s="6" t="s">
        <v>958</v>
      </c>
      <c r="E192" s="7" t="s">
        <v>959</v>
      </c>
      <c r="F192" s="5" t="str">
        <f>IFERROR(__xludf.DUMMYFUNCTION("GOOGLEFINANCE(""NSE:""&amp;A192,""name"")"),"Asian Energy Services Ltd")</f>
        <v>Asian Energy Services Ltd</v>
      </c>
    </row>
    <row r="193">
      <c r="A193" s="1" t="s">
        <v>960</v>
      </c>
      <c r="B193" s="5" t="s">
        <v>961</v>
      </c>
      <c r="C193" s="3" t="s">
        <v>962</v>
      </c>
      <c r="D193" s="6" t="s">
        <v>963</v>
      </c>
      <c r="E193" s="7" t="s">
        <v>964</v>
      </c>
      <c r="F193" s="5" t="str">
        <f>IFERROR(__xludf.DUMMYFUNCTION("GOOGLEFINANCE(""NSE:""&amp;A193,""name"")"),"Asian Granito India Ltd")</f>
        <v>Asian Granito India Ltd</v>
      </c>
    </row>
    <row r="194">
      <c r="A194" s="1" t="s">
        <v>965</v>
      </c>
      <c r="B194" s="5" t="s">
        <v>966</v>
      </c>
      <c r="C194" s="3" t="s">
        <v>967</v>
      </c>
      <c r="D194" s="6" t="s">
        <v>968</v>
      </c>
      <c r="E194" s="7" t="s">
        <v>969</v>
      </c>
      <c r="F194" s="5" t="str">
        <f>IFERROR(__xludf.DUMMYFUNCTION("GOOGLEFINANCE(""NSE:""&amp;A194,""name"")"),"Asian Hotels (East) Ltd")</f>
        <v>Asian Hotels (East) Ltd</v>
      </c>
    </row>
    <row r="195">
      <c r="A195" s="1" t="s">
        <v>970</v>
      </c>
      <c r="B195" s="5" t="s">
        <v>971</v>
      </c>
      <c r="C195" s="3" t="s">
        <v>972</v>
      </c>
      <c r="D195" s="6" t="s">
        <v>973</v>
      </c>
      <c r="E195" s="7" t="s">
        <v>974</v>
      </c>
      <c r="F195" s="5" t="str">
        <f>IFERROR(__xludf.DUMMYFUNCTION("GOOGLEFINANCE(""NSE:""&amp;A195,""name"")"),"Asian Hotels (North) Ltd")</f>
        <v>Asian Hotels (North) Ltd</v>
      </c>
    </row>
    <row r="196">
      <c r="A196" s="1" t="s">
        <v>975</v>
      </c>
      <c r="B196" s="5" t="s">
        <v>976</v>
      </c>
      <c r="C196" s="3" t="s">
        <v>977</v>
      </c>
      <c r="D196" s="6" t="s">
        <v>978</v>
      </c>
      <c r="E196" s="7" t="s">
        <v>979</v>
      </c>
      <c r="F196" s="5" t="str">
        <f>IFERROR(__xludf.DUMMYFUNCTION("GOOGLEFINANCE(""NSE:""&amp;A196,""name"")"),"Asian Paints Ltd")</f>
        <v>Asian Paints Ltd</v>
      </c>
    </row>
    <row r="197">
      <c r="A197" s="1" t="s">
        <v>980</v>
      </c>
      <c r="B197" s="5" t="s">
        <v>981</v>
      </c>
      <c r="C197" s="3" t="s">
        <v>982</v>
      </c>
      <c r="D197" s="6" t="s">
        <v>983</v>
      </c>
      <c r="E197" s="7" t="s">
        <v>984</v>
      </c>
      <c r="F197" s="5" t="str">
        <f>IFERROR(__xludf.DUMMYFUNCTION("GOOGLEFINANCE(""NSE:""&amp;A197,""name"")"),"Ask Automotive Ltd")</f>
        <v>Ask Automotive Ltd</v>
      </c>
    </row>
    <row r="198">
      <c r="A198" s="1" t="s">
        <v>985</v>
      </c>
      <c r="B198" s="5" t="s">
        <v>986</v>
      </c>
      <c r="C198" s="3" t="s">
        <v>987</v>
      </c>
      <c r="D198" s="6" t="s">
        <v>988</v>
      </c>
      <c r="E198" s="7" t="s">
        <v>989</v>
      </c>
      <c r="F198" s="5" t="str">
        <f>IFERROR(__xludf.DUMMYFUNCTION("GOOGLEFINANCE(""NSE:""&amp;A198,""name"")"),"Aspinwall and Company Ltd")</f>
        <v>Aspinwall and Company Ltd</v>
      </c>
    </row>
    <row r="199">
      <c r="A199" s="1" t="s">
        <v>990</v>
      </c>
      <c r="B199" s="5" t="s">
        <v>991</v>
      </c>
      <c r="C199" s="3" t="s">
        <v>992</v>
      </c>
      <c r="D199" s="6" t="s">
        <v>993</v>
      </c>
      <c r="E199" s="7" t="s">
        <v>994</v>
      </c>
      <c r="F199" s="5" t="str">
        <f>IFERROR(__xludf.DUMMYFUNCTION("GOOGLEFINANCE(""NSE:""&amp;A199,""name"")"),"Associated Alcohols &amp; Breweries Ltd")</f>
        <v>Associated Alcohols &amp; Breweries Ltd</v>
      </c>
    </row>
    <row r="200">
      <c r="A200" s="1" t="s">
        <v>995</v>
      </c>
      <c r="B200" s="5" t="s">
        <v>996</v>
      </c>
      <c r="C200" s="3" t="s">
        <v>997</v>
      </c>
      <c r="D200" s="6" t="s">
        <v>998</v>
      </c>
      <c r="E200" s="7" t="s">
        <v>999</v>
      </c>
      <c r="F200" s="5" t="str">
        <f>IFERROR(__xludf.DUMMYFUNCTION("GOOGLEFINANCE(""NSE:""&amp;A200,""name"")"),"Astec LifeSciences Limited")</f>
        <v>Astec LifeSciences Limited</v>
      </c>
    </row>
    <row r="201">
      <c r="A201" s="1" t="s">
        <v>1000</v>
      </c>
      <c r="B201" s="5" t="s">
        <v>1001</v>
      </c>
      <c r="C201" s="3" t="s">
        <v>1002</v>
      </c>
      <c r="D201" s="6" t="s">
        <v>1003</v>
      </c>
      <c r="E201" s="7" t="s">
        <v>1004</v>
      </c>
      <c r="F201" s="5" t="str">
        <f>IFERROR(__xludf.DUMMYFUNCTION("GOOGLEFINANCE(""NSE:""&amp;A201,""name"")"),"Aster DM Healthcare Ltd")</f>
        <v>Aster DM Healthcare Ltd</v>
      </c>
    </row>
    <row r="202">
      <c r="A202" s="1" t="s">
        <v>1005</v>
      </c>
      <c r="B202" s="5" t="s">
        <v>1006</v>
      </c>
      <c r="C202" s="3" t="s">
        <v>1007</v>
      </c>
      <c r="D202" s="6" t="s">
        <v>1008</v>
      </c>
      <c r="E202" s="7" t="s">
        <v>1009</v>
      </c>
      <c r="F202" s="5" t="str">
        <f>IFERROR(__xludf.DUMMYFUNCTION("GOOGLEFINANCE(""NSE:""&amp;A202,""name"")"),"Astra Microwave Products Ltd")</f>
        <v>Astra Microwave Products Ltd</v>
      </c>
    </row>
    <row r="203">
      <c r="A203" s="1" t="s">
        <v>1010</v>
      </c>
      <c r="B203" s="5" t="s">
        <v>1011</v>
      </c>
      <c r="C203" s="3" t="s">
        <v>1012</v>
      </c>
      <c r="D203" s="6" t="s">
        <v>1013</v>
      </c>
      <c r="E203" s="7" t="s">
        <v>1014</v>
      </c>
      <c r="F203" s="5" t="str">
        <f>IFERROR(__xludf.DUMMYFUNCTION("GOOGLEFINANCE(""NSE:""&amp;A203,""name"")"),"Astral Ltd")</f>
        <v>Astral Ltd</v>
      </c>
    </row>
    <row r="204">
      <c r="A204" s="1" t="s">
        <v>1015</v>
      </c>
      <c r="B204" s="5" t="s">
        <v>1016</v>
      </c>
      <c r="C204" s="3" t="s">
        <v>1017</v>
      </c>
      <c r="D204" s="6" t="s">
        <v>1018</v>
      </c>
      <c r="E204" s="7" t="s">
        <v>1019</v>
      </c>
      <c r="F204" s="5" t="str">
        <f>IFERROR(__xludf.DUMMYFUNCTION("GOOGLEFINANCE(""NSE:""&amp;A204,""name"")"),"Astrazeneca Pharma India Ltd")</f>
        <v>Astrazeneca Pharma India Ltd</v>
      </c>
    </row>
    <row r="205">
      <c r="A205" s="1" t="s">
        <v>1020</v>
      </c>
      <c r="B205" s="5" t="s">
        <v>1021</v>
      </c>
      <c r="C205" s="3" t="s">
        <v>1022</v>
      </c>
      <c r="D205" s="6" t="s">
        <v>1023</v>
      </c>
      <c r="E205" s="7" t="s">
        <v>1024</v>
      </c>
      <c r="F205" s="5" t="str">
        <f>IFERROR(__xludf.DUMMYFUNCTION("GOOGLEFINANCE(""NSE:""&amp;A205,""name"")"),"Astron Paper &amp; Board Mill Ltd")</f>
        <v>Astron Paper &amp; Board Mill Ltd</v>
      </c>
    </row>
    <row r="206">
      <c r="A206" s="1" t="s">
        <v>1025</v>
      </c>
      <c r="B206" s="5" t="s">
        <v>1026</v>
      </c>
      <c r="C206" s="3" t="s">
        <v>1027</v>
      </c>
      <c r="D206" s="6" t="s">
        <v>1028</v>
      </c>
      <c r="E206" s="7" t="s">
        <v>1029</v>
      </c>
      <c r="F206" s="5" t="str">
        <f>IFERROR(__xludf.DUMMYFUNCTION("GOOGLEFINANCE(""NSE:""&amp;A206,""name"")"),"Atal Realtech Ltd")</f>
        <v>Atal Realtech Ltd</v>
      </c>
    </row>
    <row r="207">
      <c r="A207" s="1" t="s">
        <v>1030</v>
      </c>
      <c r="B207" s="5" t="s">
        <v>1031</v>
      </c>
      <c r="C207" s="3" t="s">
        <v>1032</v>
      </c>
      <c r="D207" s="6" t="s">
        <v>1033</v>
      </c>
      <c r="E207" s="7" t="s">
        <v>1034</v>
      </c>
      <c r="F207" s="5" t="str">
        <f>IFERROR(__xludf.DUMMYFUNCTION("GOOGLEFINANCE(""NSE:""&amp;A207,""name"")"),"Atam Valves Ltd")</f>
        <v>Atam Valves Ltd</v>
      </c>
    </row>
    <row r="208">
      <c r="A208" s="1" t="s">
        <v>1035</v>
      </c>
      <c r="B208" s="5" t="s">
        <v>1036</v>
      </c>
      <c r="C208" s="3" t="s">
        <v>1037</v>
      </c>
      <c r="D208" s="6" t="s">
        <v>1038</v>
      </c>
      <c r="E208" s="7" t="s">
        <v>1039</v>
      </c>
      <c r="F208" s="5" t="str">
        <f>IFERROR(__xludf.DUMMYFUNCTION("GOOGLEFINANCE(""NSE:""&amp;A208,""name"")"),"Ather Energy Ltd")</f>
        <v>Ather Energy Ltd</v>
      </c>
    </row>
    <row r="209">
      <c r="A209" s="1" t="s">
        <v>1040</v>
      </c>
      <c r="B209" s="5" t="s">
        <v>1041</v>
      </c>
      <c r="C209" s="3" t="s">
        <v>1042</v>
      </c>
      <c r="D209" s="6" t="s">
        <v>1043</v>
      </c>
      <c r="E209" s="7" t="s">
        <v>1044</v>
      </c>
      <c r="F209" s="5" t="str">
        <f>IFERROR(__xludf.DUMMYFUNCTION("GOOGLEFINANCE(""NSE:""&amp;A209,""name"")"),"Atlanta Electricals Ltd")</f>
        <v>Atlanta Electricals Ltd</v>
      </c>
    </row>
    <row r="210">
      <c r="A210" s="1" t="s">
        <v>1045</v>
      </c>
      <c r="B210" s="5" t="s">
        <v>1046</v>
      </c>
      <c r="C210" s="3" t="s">
        <v>1047</v>
      </c>
      <c r="D210" s="6" t="s">
        <v>1048</v>
      </c>
      <c r="E210" s="7" t="s">
        <v>1049</v>
      </c>
      <c r="F210" s="5" t="str">
        <f>IFERROR(__xludf.DUMMYFUNCTION("GOOGLEFINANCE(""NSE:""&amp;A210,""name"")"),"Atlantaa Ltd")</f>
        <v>Atlantaa Ltd</v>
      </c>
    </row>
    <row r="211">
      <c r="A211" s="1" t="s">
        <v>1050</v>
      </c>
      <c r="B211" s="5" t="s">
        <v>1051</v>
      </c>
      <c r="C211" s="3" t="s">
        <v>1052</v>
      </c>
      <c r="D211" s="6" t="s">
        <v>1053</v>
      </c>
      <c r="E211" s="7" t="s">
        <v>1054</v>
      </c>
      <c r="F211" s="5" t="str">
        <f>IFERROR(__xludf.DUMMYFUNCTION("GOOGLEFINANCE(""NSE:""&amp;A211,""name"")"),"Atlas Cycles (Haryana) Ltd")</f>
        <v>Atlas Cycles (Haryana) Ltd</v>
      </c>
    </row>
    <row r="212">
      <c r="A212" s="1" t="s">
        <v>1055</v>
      </c>
      <c r="B212" s="5" t="s">
        <v>1056</v>
      </c>
      <c r="C212" s="3" t="s">
        <v>1057</v>
      </c>
      <c r="D212" s="6" t="s">
        <v>1058</v>
      </c>
      <c r="E212" s="7" t="s">
        <v>1059</v>
      </c>
      <c r="F212" s="5" t="str">
        <f>IFERROR(__xludf.DUMMYFUNCTION("GOOGLEFINANCE(""NSE:""&amp;A212,""name"")"),"Atul Auto Ltd")</f>
        <v>Atul Auto Ltd</v>
      </c>
    </row>
    <row r="213">
      <c r="A213" s="1" t="s">
        <v>1060</v>
      </c>
      <c r="B213" s="5" t="s">
        <v>1061</v>
      </c>
      <c r="C213" s="3" t="s">
        <v>1062</v>
      </c>
      <c r="D213" s="6" t="s">
        <v>1063</v>
      </c>
      <c r="E213" s="7" t="s">
        <v>1064</v>
      </c>
      <c r="F213" s="5" t="str">
        <f>IFERROR(__xludf.DUMMYFUNCTION("GOOGLEFINANCE(""NSE:""&amp;A213,""name"")"),"Atul Ltd")</f>
        <v>Atul Ltd</v>
      </c>
    </row>
    <row r="214">
      <c r="A214" s="1" t="s">
        <v>1065</v>
      </c>
      <c r="B214" s="5" t="s">
        <v>1066</v>
      </c>
      <c r="C214" s="3" t="s">
        <v>1067</v>
      </c>
      <c r="D214" s="6" t="s">
        <v>1068</v>
      </c>
      <c r="E214" s="7" t="s">
        <v>1069</v>
      </c>
      <c r="F214" s="5" t="str">
        <f>IFERROR(__xludf.DUMMYFUNCTION("GOOGLEFINANCE(""NSE:""&amp;A214,""name"")"),"AU Small Finance Bank Ltd")</f>
        <v>AU Small Finance Bank Ltd</v>
      </c>
    </row>
    <row r="215">
      <c r="A215" s="1" t="s">
        <v>1070</v>
      </c>
      <c r="B215" s="5" t="s">
        <v>1071</v>
      </c>
      <c r="C215" s="3" t="s">
        <v>1072</v>
      </c>
      <c r="D215" s="6" t="s">
        <v>1073</v>
      </c>
      <c r="E215" s="7" t="s">
        <v>1074</v>
      </c>
      <c r="F215" s="5" t="str">
        <f>IFERROR(__xludf.DUMMYFUNCTION("GOOGLEFINANCE(""NSE:""&amp;A215,""name"")"),"Aurionpro Solutions Ltd")</f>
        <v>Aurionpro Solutions Ltd</v>
      </c>
    </row>
    <row r="216">
      <c r="A216" s="1" t="s">
        <v>1075</v>
      </c>
      <c r="B216" s="5" t="s">
        <v>1076</v>
      </c>
      <c r="C216" s="3" t="s">
        <v>1077</v>
      </c>
      <c r="D216" s="6" t="s">
        <v>1078</v>
      </c>
      <c r="E216" s="7" t="s">
        <v>1079</v>
      </c>
      <c r="F216" s="5" t="str">
        <f>IFERROR(__xludf.DUMMYFUNCTION("GOOGLEFINANCE(""NSE:""&amp;A216,""name"")"),"Aurobindo Pharma Ltd")</f>
        <v>Aurobindo Pharma Ltd</v>
      </c>
    </row>
    <row r="217">
      <c r="A217" s="1" t="s">
        <v>1080</v>
      </c>
      <c r="B217" s="5" t="s">
        <v>1081</v>
      </c>
      <c r="C217" s="3" t="s">
        <v>1082</v>
      </c>
      <c r="D217" s="6" t="s">
        <v>1083</v>
      </c>
      <c r="E217" s="7" t="s">
        <v>1084</v>
      </c>
      <c r="F217" s="5" t="str">
        <f>IFERROR(__xludf.DUMMYFUNCTION("GOOGLEFINANCE(""NSE:""&amp;A217,""name"")"),"Aurum Proptech Ltd")</f>
        <v>Aurum Proptech Ltd</v>
      </c>
    </row>
    <row r="218">
      <c r="A218" s="1" t="s">
        <v>1085</v>
      </c>
      <c r="B218" s="5" t="s">
        <v>1086</v>
      </c>
      <c r="C218" s="3" t="s">
        <v>1087</v>
      </c>
      <c r="D218" s="6" t="s">
        <v>1088</v>
      </c>
      <c r="E218" s="7" t="s">
        <v>1089</v>
      </c>
      <c r="F218" s="5" t="str">
        <f>IFERROR(__xludf.DUMMYFUNCTION("GOOGLEFINANCE(""NSE:""&amp;A218,""name"")"),"Ausom Enterprise Ltd")</f>
        <v>Ausom Enterprise Ltd</v>
      </c>
    </row>
    <row r="219">
      <c r="A219" s="1" t="s">
        <v>1090</v>
      </c>
      <c r="B219" s="5" t="s">
        <v>1091</v>
      </c>
      <c r="C219" s="3" t="s">
        <v>1092</v>
      </c>
      <c r="D219" s="6" t="s">
        <v>1093</v>
      </c>
      <c r="E219" s="7" t="s">
        <v>1094</v>
      </c>
      <c r="F219" s="5" t="str">
        <f>IFERROR(__xludf.DUMMYFUNCTION("GOOGLEFINANCE(""NSE:""&amp;A219,""name"")"),"Authum Investment &amp; Infrastructure Ltd")</f>
        <v>Authum Investment &amp; Infrastructure Ltd</v>
      </c>
    </row>
    <row r="220">
      <c r="A220" s="1" t="s">
        <v>1095</v>
      </c>
      <c r="B220" s="5" t="s">
        <v>1096</v>
      </c>
      <c r="C220" s="3" t="s">
        <v>1097</v>
      </c>
      <c r="D220" s="6" t="s">
        <v>1098</v>
      </c>
      <c r="E220" s="7" t="s">
        <v>1099</v>
      </c>
      <c r="F220" s="5" t="str">
        <f>IFERROR(__xludf.DUMMYFUNCTION("GOOGLEFINANCE(""NSE:""&amp;A220,""name"")"),"Autoline Industries Ltd")</f>
        <v>Autoline Industries Ltd</v>
      </c>
    </row>
    <row r="221">
      <c r="A221" s="1" t="s">
        <v>1100</v>
      </c>
      <c r="B221" s="5" t="s">
        <v>1101</v>
      </c>
      <c r="C221" s="3" t="s">
        <v>1102</v>
      </c>
      <c r="D221" s="6" t="s">
        <v>1103</v>
      </c>
      <c r="E221" s="7" t="s">
        <v>1104</v>
      </c>
      <c r="F221" s="5" t="str">
        <f>IFERROR(__xludf.DUMMYFUNCTION("GOOGLEFINANCE(""NSE:""&amp;A221,""name"")"),"Automotive Axles Ltd")</f>
        <v>Automotive Axles Ltd</v>
      </c>
    </row>
    <row r="222">
      <c r="A222" s="1" t="s">
        <v>1105</v>
      </c>
      <c r="B222" s="5" t="s">
        <v>1106</v>
      </c>
      <c r="C222" s="3" t="s">
        <v>1107</v>
      </c>
      <c r="D222" s="6" t="s">
        <v>1108</v>
      </c>
      <c r="E222" s="7" t="s">
        <v>1109</v>
      </c>
      <c r="F222" s="5" t="str">
        <f>IFERROR(__xludf.DUMMYFUNCTION("GOOGLEFINANCE(""NSE:""&amp;A222,""name"")"),"Automotive Stampings and Assemblies Ltd")</f>
        <v>Automotive Stampings and Assemblies Ltd</v>
      </c>
    </row>
    <row r="223">
      <c r="A223" s="1" t="s">
        <v>1110</v>
      </c>
      <c r="B223" s="5" t="s">
        <v>1111</v>
      </c>
      <c r="C223" s="3" t="s">
        <v>1112</v>
      </c>
      <c r="D223" s="6" t="s">
        <v>1113</v>
      </c>
      <c r="E223" s="7" t="s">
        <v>1114</v>
      </c>
      <c r="F223" s="5" t="str">
        <f>IFERROR(__xludf.DUMMYFUNCTION("GOOGLEFINANCE(""NSE:""&amp;A223,""name"")"),"Avadh Sugar &amp; Energy Ltd")</f>
        <v>Avadh Sugar &amp; Energy Ltd</v>
      </c>
    </row>
    <row r="224">
      <c r="A224" s="1" t="s">
        <v>1115</v>
      </c>
      <c r="B224" s="5" t="s">
        <v>1116</v>
      </c>
      <c r="C224" s="3" t="s">
        <v>1117</v>
      </c>
      <c r="D224" s="6" t="s">
        <v>1118</v>
      </c>
      <c r="E224" s="7" t="s">
        <v>1119</v>
      </c>
      <c r="F224" s="5" t="str">
        <f>IFERROR(__xludf.DUMMYFUNCTION("GOOGLEFINANCE(""NSE:""&amp;A224,""name"")"),"Avalon Technologies Ltd")</f>
        <v>Avalon Technologies Ltd</v>
      </c>
    </row>
    <row r="225">
      <c r="A225" s="1" t="s">
        <v>1120</v>
      </c>
      <c r="B225" s="5" t="s">
        <v>1121</v>
      </c>
      <c r="C225" s="3" t="s">
        <v>1122</v>
      </c>
      <c r="D225" s="6" t="s">
        <v>1123</v>
      </c>
      <c r="E225" s="7" t="s">
        <v>1124</v>
      </c>
      <c r="F225" s="5" t="str">
        <f>IFERROR(__xludf.DUMMYFUNCTION("GOOGLEFINANCE(""NSE:""&amp;A225,""name"")"),"Avantel Ltd")</f>
        <v>Avantel Ltd</v>
      </c>
    </row>
    <row r="226">
      <c r="A226" s="1" t="s">
        <v>1125</v>
      </c>
      <c r="B226" s="5" t="s">
        <v>1126</v>
      </c>
      <c r="C226" s="3" t="s">
        <v>1127</v>
      </c>
      <c r="D226" s="6" t="s">
        <v>1128</v>
      </c>
      <c r="E226" s="7" t="s">
        <v>1129</v>
      </c>
      <c r="F226" s="5" t="str">
        <f>IFERROR(__xludf.DUMMYFUNCTION("GOOGLEFINANCE(""NSE:""&amp;A226,""name"")"),"Avanti Feeds Ltd")</f>
        <v>Avanti Feeds Ltd</v>
      </c>
    </row>
    <row r="227">
      <c r="A227" s="1" t="s">
        <v>1130</v>
      </c>
      <c r="B227" s="5" t="s">
        <v>1131</v>
      </c>
      <c r="C227" s="3" t="s">
        <v>1132</v>
      </c>
      <c r="D227" s="6" t="s">
        <v>1133</v>
      </c>
      <c r="E227" s="7" t="s">
        <v>1134</v>
      </c>
      <c r="F227" s="5" t="str">
        <f>IFERROR(__xludf.DUMMYFUNCTION("GOOGLEFINANCE(""NSE:""&amp;A227,""name"")"),"Avenue Supermarts Ltd")</f>
        <v>Avenue Supermarts Ltd</v>
      </c>
    </row>
    <row r="228">
      <c r="A228" s="1" t="s">
        <v>1135</v>
      </c>
      <c r="B228" s="5" t="s">
        <v>1136</v>
      </c>
      <c r="C228" s="3" t="s">
        <v>1137</v>
      </c>
      <c r="D228" s="6" t="s">
        <v>1138</v>
      </c>
      <c r="E228" s="7" t="s">
        <v>1139</v>
      </c>
      <c r="F228" s="5" t="str">
        <f>IFERROR(__xludf.DUMMYFUNCTION("GOOGLEFINANCE(""NSE:""&amp;A228,""name"")"),"AVG Logistics Ltd")</f>
        <v>AVG Logistics Ltd</v>
      </c>
    </row>
    <row r="229">
      <c r="A229" s="1" t="s">
        <v>1140</v>
      </c>
      <c r="B229" s="5" t="s">
        <v>1141</v>
      </c>
      <c r="C229" s="3" t="s">
        <v>1142</v>
      </c>
      <c r="D229" s="6" t="s">
        <v>1143</v>
      </c>
      <c r="E229" s="7" t="s">
        <v>1144</v>
      </c>
      <c r="F229" s="5" t="str">
        <f>IFERROR(__xludf.DUMMYFUNCTION("GOOGLEFINANCE(""NSE:""&amp;A229,""name"")"),"Avonmore Capital &amp; Management Servcs Ltd")</f>
        <v>Avonmore Capital &amp; Management Servcs Ltd</v>
      </c>
    </row>
    <row r="230">
      <c r="A230" s="1" t="s">
        <v>1145</v>
      </c>
      <c r="B230" s="5" t="s">
        <v>1146</v>
      </c>
      <c r="C230" s="3" t="s">
        <v>1147</v>
      </c>
      <c r="D230" s="6" t="s">
        <v>1148</v>
      </c>
      <c r="E230" s="7" t="s">
        <v>1149</v>
      </c>
      <c r="F230" s="5" t="str">
        <f>IFERROR(__xludf.DUMMYFUNCTION("GOOGLEFINANCE(""NSE:""&amp;A230,""name"")"),"Avro India Ltd")</f>
        <v>Avro India Ltd</v>
      </c>
    </row>
    <row r="231">
      <c r="A231" s="1" t="s">
        <v>1150</v>
      </c>
      <c r="B231" s="5" t="s">
        <v>1151</v>
      </c>
      <c r="C231" s="3" t="s">
        <v>1152</v>
      </c>
      <c r="D231" s="6" t="s">
        <v>1153</v>
      </c>
      <c r="E231" s="7" t="s">
        <v>1154</v>
      </c>
      <c r="F231" s="5" t="str">
        <f>IFERROR(__xludf.DUMMYFUNCTION("GOOGLEFINANCE(""NSE:""&amp;A231,""name"")"),"Avt Natural Products Ltd")</f>
        <v>Avt Natural Products Ltd</v>
      </c>
    </row>
    <row r="232">
      <c r="A232" s="1" t="s">
        <v>1155</v>
      </c>
      <c r="B232" s="5" t="s">
        <v>1156</v>
      </c>
      <c r="C232" s="3" t="s">
        <v>1157</v>
      </c>
      <c r="D232" s="6" t="s">
        <v>1158</v>
      </c>
      <c r="E232" s="7" t="s">
        <v>1159</v>
      </c>
      <c r="F232" s="5" t="str">
        <f>IFERROR(__xludf.DUMMYFUNCTION("GOOGLEFINANCE(""NSE:""&amp;A232,""name"")"),"Awfis Space Solutions Ltd")</f>
        <v>Awfis Space Solutions Ltd</v>
      </c>
    </row>
    <row r="233">
      <c r="A233" s="1" t="s">
        <v>1160</v>
      </c>
      <c r="B233" s="5" t="s">
        <v>1161</v>
      </c>
      <c r="C233" s="3" t="s">
        <v>1162</v>
      </c>
      <c r="D233" s="6" t="s">
        <v>1163</v>
      </c>
      <c r="E233" s="7" t="s">
        <v>1164</v>
      </c>
      <c r="F233" s="5" t="str">
        <f>IFERROR(__xludf.DUMMYFUNCTION("GOOGLEFINANCE(""NSE:""&amp;A233,""name"")"),"Axis Nifty Aaa Bond Plus Sdl Apr 2026 50:50 Etf")</f>
        <v>Axis Nifty Aaa Bond Plus Sdl Apr 2026 50:50 Etf</v>
      </c>
    </row>
    <row r="234">
      <c r="A234" s="1" t="s">
        <v>1165</v>
      </c>
      <c r="B234" s="5" t="s">
        <v>1166</v>
      </c>
      <c r="C234" s="3" t="s">
        <v>1167</v>
      </c>
      <c r="D234" s="6" t="s">
        <v>1168</v>
      </c>
      <c r="E234" s="7" t="s">
        <v>1169</v>
      </c>
      <c r="F234" s="5" t="str">
        <f>IFERROR(__xludf.DUMMYFUNCTION("GOOGLEFINANCE(""NSE:""&amp;A234,""name"")"),"Axis Bank Ltd")</f>
        <v>Axis Bank Ltd</v>
      </c>
    </row>
    <row r="235">
      <c r="A235" s="1" t="s">
        <v>1170</v>
      </c>
      <c r="B235" s="5" t="s">
        <v>1171</v>
      </c>
      <c r="C235" s="3" t="s">
        <v>1172</v>
      </c>
      <c r="D235" s="6" t="s">
        <v>1173</v>
      </c>
      <c r="E235" s="7" t="s">
        <v>1174</v>
      </c>
      <c r="F235" s="5" t="str">
        <f>IFERROR(__xludf.DUMMYFUNCTION("GOOGLEFINANCE(""NSE:""&amp;A235,""name"")"),"Axis Nifty Bank Etf")</f>
        <v>Axis Nifty Bank Etf</v>
      </c>
    </row>
    <row r="236">
      <c r="A236" s="1" t="s">
        <v>1175</v>
      </c>
      <c r="B236" s="5" t="s">
        <v>1176</v>
      </c>
      <c r="C236" s="3" t="s">
        <v>1177</v>
      </c>
      <c r="D236" s="6" t="s">
        <v>1178</v>
      </c>
      <c r="E236" s="7" t="s">
        <v>1179</v>
      </c>
      <c r="F236" s="5" t="str">
        <f>IFERROR(__xludf.DUMMYFUNCTION("GOOGLEFINANCE(""NSE:""&amp;A236,""name"")"),"Axis Nifty India Consumption Etf")</f>
        <v>Axis Nifty India Consumption Etf</v>
      </c>
    </row>
    <row r="237">
      <c r="A237" s="1" t="s">
        <v>1180</v>
      </c>
      <c r="B237" s="5" t="s">
        <v>1181</v>
      </c>
      <c r="C237" s="3" t="s">
        <v>1182</v>
      </c>
      <c r="D237" s="6" t="s">
        <v>1183</v>
      </c>
      <c r="E237" s="7" t="s">
        <v>1184</v>
      </c>
      <c r="F237" s="5" t="str">
        <f>IFERROR(__xludf.DUMMYFUNCTION("GOOGLEFINANCE(""NSE:""&amp;A237,""name"")"),"Axis Gold ETF")</f>
        <v>Axis Gold ETF</v>
      </c>
    </row>
    <row r="238">
      <c r="A238" s="1" t="s">
        <v>1185</v>
      </c>
      <c r="B238" s="5" t="s">
        <v>1186</v>
      </c>
      <c r="C238" s="3" t="s">
        <v>1187</v>
      </c>
      <c r="D238" s="6" t="s">
        <v>1188</v>
      </c>
      <c r="E238" s="7" t="s">
        <v>1189</v>
      </c>
      <c r="F238" s="5" t="str">
        <f>IFERROR(__xludf.DUMMYFUNCTION("GOOGLEFINANCE(""NSE:""&amp;A238,""name"")"),"Axis Nifty Healthcare Etf")</f>
        <v>Axis Nifty Healthcare Etf</v>
      </c>
    </row>
    <row r="239">
      <c r="A239" s="1" t="s">
        <v>1190</v>
      </c>
      <c r="B239" s="5" t="s">
        <v>1191</v>
      </c>
      <c r="C239" s="3" t="s">
        <v>1192</v>
      </c>
      <c r="D239" s="6" t="s">
        <v>1193</v>
      </c>
      <c r="E239" s="7" t="s">
        <v>1194</v>
      </c>
      <c r="F239" s="5" t="str">
        <f>IFERROR(__xludf.DUMMYFUNCTION("GOOGLEFINANCE(""NSE:""&amp;A239,""name"")"),"Axis Nifty 50 Etf")</f>
        <v>Axis Nifty 50 Etf</v>
      </c>
    </row>
    <row r="240">
      <c r="A240" s="1" t="s">
        <v>1195</v>
      </c>
      <c r="B240" s="5" t="s">
        <v>1196</v>
      </c>
      <c r="C240" s="3" t="s">
        <v>1197</v>
      </c>
      <c r="D240" s="6" t="s">
        <v>1198</v>
      </c>
      <c r="E240" s="7" t="s">
        <v>1199</v>
      </c>
      <c r="F240" s="5" t="str">
        <f>IFERROR(__xludf.DUMMYFUNCTION("GOOGLEFINANCE(""NSE:""&amp;A240,""name"")"),"Axis Nifty500 Value 50 ETF")</f>
        <v>Axis Nifty500 Value 50 ETF</v>
      </c>
    </row>
    <row r="241">
      <c r="A241" s="1" t="s">
        <v>1200</v>
      </c>
      <c r="B241" s="5" t="s">
        <v>1201</v>
      </c>
      <c r="C241" s="3" t="s">
        <v>1202</v>
      </c>
      <c r="D241" s="6" t="s">
        <v>1203</v>
      </c>
      <c r="E241" s="7" t="s">
        <v>1204</v>
      </c>
      <c r="F241" s="5" t="str">
        <f>IFERROR(__xludf.DUMMYFUNCTION("GOOGLEFINANCE(""NSE:""&amp;A241,""name"")"),"Axis BSE Sensex ETF")</f>
        <v>Axis BSE Sensex ETF</v>
      </c>
    </row>
    <row r="242">
      <c r="A242" s="1" t="s">
        <v>1205</v>
      </c>
      <c r="B242" s="5" t="s">
        <v>1206</v>
      </c>
      <c r="C242" s="3" t="s">
        <v>1207</v>
      </c>
      <c r="D242" s="6" t="s">
        <v>1208</v>
      </c>
      <c r="E242" s="7" t="s">
        <v>1209</v>
      </c>
      <c r="F242" s="5" t="str">
        <f>IFERROR(__xludf.DUMMYFUNCTION("GOOGLEFINANCE(""NSE:""&amp;A242,""name"")"),"Axis Silver ETF")</f>
        <v>Axis Silver ETF</v>
      </c>
    </row>
    <row r="243">
      <c r="A243" s="1" t="s">
        <v>1210</v>
      </c>
      <c r="B243" s="5" t="s">
        <v>1211</v>
      </c>
      <c r="C243" s="3" t="s">
        <v>1212</v>
      </c>
      <c r="D243" s="6" t="s">
        <v>1213</v>
      </c>
      <c r="E243" s="7" t="s">
        <v>1214</v>
      </c>
      <c r="F243" s="5" t="str">
        <f>IFERROR(__xludf.DUMMYFUNCTION("GOOGLEFINANCE(""NSE:""&amp;A243,""name"")"),"Axis Nifty It Etf")</f>
        <v>Axis Nifty It Etf</v>
      </c>
    </row>
    <row r="244">
      <c r="A244" s="1" t="s">
        <v>1215</v>
      </c>
      <c r="B244" s="5" t="s">
        <v>1216</v>
      </c>
      <c r="C244" s="3" t="s">
        <v>1217</v>
      </c>
      <c r="D244" s="6" t="s">
        <v>1218</v>
      </c>
      <c r="E244" s="7" t="s">
        <v>1219</v>
      </c>
      <c r="F244" s="5" t="str">
        <f>IFERROR(__xludf.DUMMYFUNCTION("GOOGLEFINANCE(""NSE:""&amp;A244,""name"")"),"Axiscades Technologies Ltd")</f>
        <v>Axiscades Technologies Ltd</v>
      </c>
    </row>
    <row r="245">
      <c r="A245" s="1" t="s">
        <v>1220</v>
      </c>
      <c r="B245" s="5" t="s">
        <v>1221</v>
      </c>
      <c r="C245" s="3" t="s">
        <v>1222</v>
      </c>
      <c r="D245" s="6" t="s">
        <v>1223</v>
      </c>
      <c r="E245" s="7" t="s">
        <v>1224</v>
      </c>
      <c r="F245" s="5" t="str">
        <f>IFERROR(__xludf.DUMMYFUNCTION("GOOGLEFINANCE(""NSE:""&amp;A245,""name"")"),"Axita Cotton Ltd")</f>
        <v>Axita Cotton Ltd</v>
      </c>
    </row>
    <row r="246">
      <c r="A246" s="1" t="s">
        <v>1225</v>
      </c>
      <c r="B246" s="5" t="s">
        <v>1226</v>
      </c>
      <c r="C246" s="3" t="s">
        <v>1227</v>
      </c>
      <c r="D246" s="6" t="s">
        <v>1228</v>
      </c>
      <c r="E246" s="7" t="s">
        <v>1229</v>
      </c>
      <c r="F246" s="5" t="str">
        <f>IFERROR(__xludf.DUMMYFUNCTION("GOOGLEFINANCE(""NSE:""&amp;A246,""name"")"),"AYM Syntex Ltd")</f>
        <v>AYM Syntex Ltd</v>
      </c>
    </row>
    <row r="247">
      <c r="A247" s="1" t="s">
        <v>1230</v>
      </c>
      <c r="B247" s="5" t="s">
        <v>1231</v>
      </c>
      <c r="C247" s="3" t="s">
        <v>1232</v>
      </c>
      <c r="D247" s="6" t="s">
        <v>1233</v>
      </c>
      <c r="E247" s="7" t="s">
        <v>1234</v>
      </c>
      <c r="F247" s="5" t="str">
        <f>IFERROR(__xludf.DUMMYFUNCTION("GOOGLEFINANCE(""NSE:""&amp;A247,""name"")"),"Azad Engineering Ltd")</f>
        <v>Azad Engineering Ltd</v>
      </c>
    </row>
    <row r="248">
      <c r="A248" s="1" t="s">
        <v>1235</v>
      </c>
      <c r="B248" s="5" t="s">
        <v>1236</v>
      </c>
      <c r="C248" s="3" t="s">
        <v>1237</v>
      </c>
      <c r="D248" s="6" t="s">
        <v>1238</v>
      </c>
      <c r="E248" s="7" t="s">
        <v>1239</v>
      </c>
      <c r="F248" s="5" t="str">
        <f>IFERROR(__xludf.DUMMYFUNCTION("GOOGLEFINANCE(""NSE:""&amp;A248,""name"")"),"B L Kashyap and Sons Ltd")</f>
        <v>B L Kashyap and Sons Ltd</v>
      </c>
    </row>
    <row r="249">
      <c r="A249" s="1" t="s">
        <v>1240</v>
      </c>
      <c r="B249" s="5" t="s">
        <v>1241</v>
      </c>
      <c r="C249" s="3" t="s">
        <v>1242</v>
      </c>
      <c r="D249" s="6" t="s">
        <v>1243</v>
      </c>
      <c r="E249" s="7" t="s">
        <v>1244</v>
      </c>
      <c r="F249" s="5" t="str">
        <f>IFERROR(__xludf.DUMMYFUNCTION("GOOGLEFINANCE(""NSE:""&amp;A249,""name"")"),"B.A.G. Films and Media Ltd")</f>
        <v>B.A.G. Films and Media Ltd</v>
      </c>
    </row>
    <row r="250">
      <c r="A250" s="1" t="s">
        <v>1245</v>
      </c>
      <c r="B250" s="5" t="s">
        <v>1246</v>
      </c>
      <c r="C250" s="3" t="s">
        <v>1247</v>
      </c>
      <c r="D250" s="6" t="s">
        <v>1248</v>
      </c>
      <c r="E250" s="7" t="s">
        <v>1249</v>
      </c>
      <c r="F250" s="5" t="str">
        <f>IFERROR(__xludf.DUMMYFUNCTION("GOOGLEFINANCE(""NSE:""&amp;A250,""name"")"),"B&amp;B Triplewall Containers Ltd")</f>
        <v>B&amp;B Triplewall Containers Ltd</v>
      </c>
    </row>
    <row r="251">
      <c r="A251" s="1" t="s">
        <v>1250</v>
      </c>
      <c r="B251" s="5" t="s">
        <v>1251</v>
      </c>
      <c r="C251" s="3" t="s">
        <v>1252</v>
      </c>
      <c r="D251" s="6" t="s">
        <v>1253</v>
      </c>
      <c r="E251" s="7" t="s">
        <v>1254</v>
      </c>
      <c r="F251" s="5" t="str">
        <f>IFERROR(__xludf.DUMMYFUNCTION("GOOGLEFINANCE(""NSE:""&amp;A251,""name"")"),"Baazar Style Retail Ltd")</f>
        <v>Baazar Style Retail Ltd</v>
      </c>
    </row>
    <row r="252">
      <c r="A252" s="1" t="s">
        <v>1255</v>
      </c>
      <c r="B252" s="5" t="s">
        <v>1256</v>
      </c>
      <c r="C252" s="3" t="s">
        <v>1257</v>
      </c>
      <c r="D252" s="6" t="s">
        <v>1258</v>
      </c>
      <c r="E252" s="7" t="s">
        <v>1259</v>
      </c>
      <c r="F252" s="5" t="str">
        <f>IFERROR(__xludf.DUMMYFUNCTION("GOOGLEFINANCE(""NSE:""&amp;A252,""name"")"),"Bafna Pharmaceuticals Ltd")</f>
        <v>Bafna Pharmaceuticals Ltd</v>
      </c>
    </row>
    <row r="253">
      <c r="A253" s="1" t="s">
        <v>1260</v>
      </c>
      <c r="B253" s="5" t="s">
        <v>1261</v>
      </c>
      <c r="C253" s="3" t="s">
        <v>1262</v>
      </c>
      <c r="D253" s="6" t="s">
        <v>1263</v>
      </c>
      <c r="E253" s="7" t="s">
        <v>1264</v>
      </c>
      <c r="F253" s="5" t="str">
        <f>IFERROR(__xludf.DUMMYFUNCTION("GOOGLEFINANCE(""NSE:""&amp;A253,""name"")"),"Baid Finserv Ltd")</f>
        <v>Baid Finserv Ltd</v>
      </c>
    </row>
    <row r="254">
      <c r="A254" s="1" t="s">
        <v>1265</v>
      </c>
      <c r="B254" s="5" t="s">
        <v>1266</v>
      </c>
      <c r="C254" s="3" t="s">
        <v>1267</v>
      </c>
      <c r="D254" s="6" t="s">
        <v>1268</v>
      </c>
      <c r="E254" s="7" t="s">
        <v>1269</v>
      </c>
      <c r="F254" s="5" t="str">
        <f>IFERROR(__xludf.DUMMYFUNCTION("GOOGLEFINANCE(""NSE:""&amp;A254,""name"")"),"Bajaj Auto Ltd")</f>
        <v>Bajaj Auto Ltd</v>
      </c>
    </row>
    <row r="255">
      <c r="A255" s="1" t="s">
        <v>1270</v>
      </c>
      <c r="B255" s="5" t="s">
        <v>1271</v>
      </c>
      <c r="C255" s="3" t="s">
        <v>1272</v>
      </c>
      <c r="D255" s="6" t="s">
        <v>1273</v>
      </c>
      <c r="E255" s="7" t="s">
        <v>1274</v>
      </c>
      <c r="F255" s="5" t="str">
        <f>IFERROR(__xludf.DUMMYFUNCTION("GOOGLEFINANCE(""NSE:""&amp;A255,""name"")"),"Bajaj Consumer Care Ltd")</f>
        <v>Bajaj Consumer Care Ltd</v>
      </c>
    </row>
    <row r="256">
      <c r="A256" s="1" t="s">
        <v>1275</v>
      </c>
      <c r="B256" s="5" t="s">
        <v>1276</v>
      </c>
      <c r="C256" s="3" t="s">
        <v>1277</v>
      </c>
      <c r="D256" s="6" t="s">
        <v>1278</v>
      </c>
      <c r="E256" s="7" t="s">
        <v>1279</v>
      </c>
      <c r="F256" s="5" t="str">
        <f>IFERROR(__xludf.DUMMYFUNCTION("GOOGLEFINANCE(""NSE:""&amp;A256,""name"")"),"Bajaj Electricals Ltd")</f>
        <v>Bajaj Electricals Ltd</v>
      </c>
    </row>
    <row r="257">
      <c r="A257" s="1" t="s">
        <v>1280</v>
      </c>
      <c r="B257" s="5" t="s">
        <v>1281</v>
      </c>
      <c r="C257" s="3" t="s">
        <v>1282</v>
      </c>
      <c r="D257" s="6" t="s">
        <v>1283</v>
      </c>
      <c r="E257" s="7" t="s">
        <v>1284</v>
      </c>
      <c r="F257" s="5" t="str">
        <f>IFERROR(__xludf.DUMMYFUNCTION("GOOGLEFINANCE(""NSE:""&amp;A257,""name"")"),"Bajaj Finance Ltd")</f>
        <v>Bajaj Finance Ltd</v>
      </c>
    </row>
    <row r="258">
      <c r="A258" s="1" t="s">
        <v>1285</v>
      </c>
      <c r="B258" s="5" t="s">
        <v>1286</v>
      </c>
      <c r="C258" s="3" t="s">
        <v>1287</v>
      </c>
      <c r="D258" s="6" t="s">
        <v>1288</v>
      </c>
      <c r="E258" s="7" t="s">
        <v>1289</v>
      </c>
      <c r="F258" s="5" t="str">
        <f>IFERROR(__xludf.DUMMYFUNCTION("GOOGLEFINANCE(""NSE:""&amp;A258,""name"")"),"Bajaj Finserv Ltd")</f>
        <v>Bajaj Finserv Ltd</v>
      </c>
    </row>
    <row r="259">
      <c r="A259" s="1" t="s">
        <v>1290</v>
      </c>
      <c r="B259" s="5" t="s">
        <v>1291</v>
      </c>
      <c r="C259" s="3" t="s">
        <v>1292</v>
      </c>
      <c r="D259" s="6" t="s">
        <v>1293</v>
      </c>
      <c r="E259" s="7" t="s">
        <v>1294</v>
      </c>
      <c r="F259" s="5" t="str">
        <f>IFERROR(__xludf.DUMMYFUNCTION("GOOGLEFINANCE(""NSE:""&amp;A259,""name"")"),"Bajaj Finserv Nifty 1D Rate Liquid ETF - Growth")</f>
        <v>Bajaj Finserv Nifty 1D Rate Liquid ETF - Growth</v>
      </c>
    </row>
    <row r="260">
      <c r="A260" s="1" t="s">
        <v>1295</v>
      </c>
      <c r="B260" s="5" t="s">
        <v>1296</v>
      </c>
      <c r="C260" s="3" t="s">
        <v>1297</v>
      </c>
      <c r="D260" s="6" t="s">
        <v>1298</v>
      </c>
      <c r="E260" s="7" t="s">
        <v>1299</v>
      </c>
      <c r="F260" s="5" t="str">
        <f>IFERROR(__xludf.DUMMYFUNCTION("GOOGLEFINANCE(""NSE:""&amp;A260,""name"")"),"Bajaj Finserv Nifty 50 ETF")</f>
        <v>Bajaj Finserv Nifty 50 ETF</v>
      </c>
    </row>
    <row r="261">
      <c r="A261" s="1" t="s">
        <v>1300</v>
      </c>
      <c r="B261" s="5" t="s">
        <v>1301</v>
      </c>
      <c r="C261" s="3" t="s">
        <v>1302</v>
      </c>
      <c r="D261" s="6" t="s">
        <v>1303</v>
      </c>
      <c r="E261" s="7" t="s">
        <v>1304</v>
      </c>
      <c r="F261" s="5" t="str">
        <f>IFERROR(__xludf.DUMMYFUNCTION("GOOGLEFINANCE(""NSE:""&amp;A261,""name"")"),"Bajaj Finserv Nifty Bank ETF")</f>
        <v>Bajaj Finserv Nifty Bank ETF</v>
      </c>
    </row>
    <row r="262">
      <c r="A262" s="1" t="s">
        <v>1305</v>
      </c>
      <c r="B262" s="5" t="s">
        <v>1306</v>
      </c>
      <c r="C262" s="3" t="s">
        <v>1307</v>
      </c>
      <c r="D262" s="6" t="s">
        <v>1308</v>
      </c>
      <c r="E262" s="7" t="s">
        <v>1309</v>
      </c>
      <c r="F262" s="5" t="str">
        <f>IFERROR(__xludf.DUMMYFUNCTION("GOOGLEFINANCE(""NSE:""&amp;A262,""name"")"),"Bajaj Healthcare Ltd")</f>
        <v>Bajaj Healthcare Ltd</v>
      </c>
    </row>
    <row r="263">
      <c r="A263" s="1" t="s">
        <v>1310</v>
      </c>
      <c r="B263" s="5" t="s">
        <v>1311</v>
      </c>
      <c r="C263" s="3" t="s">
        <v>1312</v>
      </c>
      <c r="D263" s="6" t="s">
        <v>1313</v>
      </c>
      <c r="E263" s="7" t="s">
        <v>1314</v>
      </c>
      <c r="F263" s="5" t="str">
        <f>IFERROR(__xludf.DUMMYFUNCTION("GOOGLEFINANCE(""NSE:""&amp;A263,""name"")"),"Bajaj Hindusthan Sugar Ltd")</f>
        <v>Bajaj Hindusthan Sugar Ltd</v>
      </c>
    </row>
    <row r="264">
      <c r="A264" s="1" t="s">
        <v>1315</v>
      </c>
      <c r="B264" s="5" t="s">
        <v>1316</v>
      </c>
      <c r="C264" s="3" t="s">
        <v>1317</v>
      </c>
      <c r="D264" s="6" t="s">
        <v>1318</v>
      </c>
      <c r="E264" s="7" t="s">
        <v>1319</v>
      </c>
      <c r="F264" s="5" t="str">
        <f>IFERROR(__xludf.DUMMYFUNCTION("GOOGLEFINANCE(""NSE:""&amp;A264,""name"")"),"Bajaj Holdings And Investment Ltd")</f>
        <v>Bajaj Holdings And Investment Ltd</v>
      </c>
    </row>
    <row r="265">
      <c r="A265" s="1" t="s">
        <v>1320</v>
      </c>
      <c r="B265" s="5" t="s">
        <v>1321</v>
      </c>
      <c r="C265" s="3" t="s">
        <v>1322</v>
      </c>
      <c r="D265" s="6" t="s">
        <v>1323</v>
      </c>
      <c r="E265" s="7" t="s">
        <v>1324</v>
      </c>
      <c r="F265" s="5" t="str">
        <f>IFERROR(__xludf.DUMMYFUNCTION("GOOGLEFINANCE(""NSE:""&amp;A265,""name"")"),"Bajaj Housing Finance Ltd")</f>
        <v>Bajaj Housing Finance Ltd</v>
      </c>
    </row>
    <row r="266">
      <c r="A266" s="1" t="s">
        <v>1325</v>
      </c>
      <c r="B266" s="5" t="s">
        <v>1326</v>
      </c>
      <c r="C266" s="3" t="s">
        <v>1327</v>
      </c>
      <c r="D266" s="6" t="s">
        <v>1328</v>
      </c>
      <c r="E266" s="7" t="s">
        <v>1329</v>
      </c>
      <c r="F266" s="5" t="str">
        <f>IFERROR(__xludf.DUMMYFUNCTION("GOOGLEFINANCE(""NSE:""&amp;A266,""name"")"),"Bajel Projects Ltd")</f>
        <v>Bajel Projects Ltd</v>
      </c>
    </row>
    <row r="267">
      <c r="A267" s="1" t="s">
        <v>1330</v>
      </c>
      <c r="B267" s="5" t="s">
        <v>1331</v>
      </c>
      <c r="C267" s="3" t="s">
        <v>1332</v>
      </c>
      <c r="D267" s="6" t="s">
        <v>1333</v>
      </c>
      <c r="E267" s="7" t="s">
        <v>1334</v>
      </c>
      <c r="F267" s="5" t="str">
        <f>IFERROR(__xludf.DUMMYFUNCTION("GOOGLEFINANCE(""NSE:""&amp;A267,""name"")"),"Bal Pharma Ltd")</f>
        <v>Bal Pharma Ltd</v>
      </c>
    </row>
    <row r="268">
      <c r="A268" s="1" t="s">
        <v>1335</v>
      </c>
      <c r="B268" s="5" t="s">
        <v>1336</v>
      </c>
      <c r="C268" s="3" t="s">
        <v>1337</v>
      </c>
      <c r="D268" s="6" t="s">
        <v>1338</v>
      </c>
      <c r="E268" s="7" t="s">
        <v>1339</v>
      </c>
      <c r="F268" s="5" t="str">
        <f>IFERROR(__xludf.DUMMYFUNCTION("GOOGLEFINANCE(""NSE:""&amp;A268,""name"")"),"Balaji Amines Ltd")</f>
        <v>Balaji Amines Ltd</v>
      </c>
    </row>
    <row r="269">
      <c r="A269" s="1" t="s">
        <v>1340</v>
      </c>
      <c r="B269" s="5" t="s">
        <v>1341</v>
      </c>
      <c r="C269" s="3" t="s">
        <v>1342</v>
      </c>
      <c r="D269" s="6" t="s">
        <v>1343</v>
      </c>
      <c r="E269" s="7" t="s">
        <v>1344</v>
      </c>
      <c r="F269" s="5" t="str">
        <f>IFERROR(__xludf.DUMMYFUNCTION("GOOGLEFINANCE(""NSE:""&amp;A269,""name"")"),"Balaji Telefilms Ltd")</f>
        <v>Balaji Telefilms Ltd</v>
      </c>
    </row>
    <row r="270">
      <c r="A270" s="1" t="s">
        <v>1345</v>
      </c>
      <c r="B270" s="5" t="s">
        <v>1346</v>
      </c>
      <c r="C270" s="3" t="s">
        <v>1347</v>
      </c>
      <c r="D270" s="6" t="s">
        <v>1348</v>
      </c>
      <c r="E270" s="7" t="s">
        <v>1349</v>
      </c>
      <c r="F270" s="5" t="str">
        <f>IFERROR(__xludf.DUMMYFUNCTION("GOOGLEFINANCE(""NSE:""&amp;A270,""name"")"),"Balaxi Pharmaceuticals Ltd")</f>
        <v>Balaxi Pharmaceuticals Ltd</v>
      </c>
    </row>
    <row r="271">
      <c r="A271" s="1" t="s">
        <v>1350</v>
      </c>
      <c r="B271" s="5" t="s">
        <v>1351</v>
      </c>
      <c r="C271" s="3" t="s">
        <v>1352</v>
      </c>
      <c r="D271" s="6" t="s">
        <v>1353</v>
      </c>
      <c r="E271" s="7" t="s">
        <v>1354</v>
      </c>
      <c r="F271" s="5" t="str">
        <f>IFERROR(__xludf.DUMMYFUNCTION("GOOGLEFINANCE(""NSE:""&amp;A271,""name"")"),"Balkrishna Industries Ltd")</f>
        <v>Balkrishna Industries Ltd</v>
      </c>
    </row>
    <row r="272">
      <c r="A272" s="1" t="s">
        <v>1355</v>
      </c>
      <c r="B272" s="5" t="s">
        <v>1356</v>
      </c>
      <c r="C272" s="3" t="s">
        <v>1357</v>
      </c>
      <c r="D272" s="6" t="s">
        <v>1358</v>
      </c>
      <c r="E272" s="7" t="s">
        <v>1359</v>
      </c>
      <c r="F272" s="5" t="str">
        <f>IFERROR(__xludf.DUMMYFUNCTION("GOOGLEFINANCE(""NSE:""&amp;A272,""name"")"),"Balkrishna Paper Mills Ltd")</f>
        <v>Balkrishna Paper Mills Ltd</v>
      </c>
    </row>
    <row r="273">
      <c r="A273" s="1" t="s">
        <v>1360</v>
      </c>
      <c r="B273" s="5" t="s">
        <v>1361</v>
      </c>
      <c r="C273" s="3" t="s">
        <v>1362</v>
      </c>
      <c r="D273" s="6" t="s">
        <v>1363</v>
      </c>
      <c r="E273" s="7" t="s">
        <v>1364</v>
      </c>
      <c r="F273" s="5" t="str">
        <f>IFERROR(__xludf.DUMMYFUNCTION("GOOGLEFINANCE(""NSE:""&amp;A273,""name"")"),"Balmer Lawrie and Company Ltd")</f>
        <v>Balmer Lawrie and Company Ltd</v>
      </c>
    </row>
    <row r="274">
      <c r="A274" s="1" t="s">
        <v>1365</v>
      </c>
      <c r="B274" s="5" t="s">
        <v>1366</v>
      </c>
      <c r="C274" s="3" t="s">
        <v>1367</v>
      </c>
      <c r="D274" s="6" t="s">
        <v>1368</v>
      </c>
      <c r="E274" s="7" t="s">
        <v>1369</v>
      </c>
      <c r="F274" s="5" t="str">
        <f>IFERROR(__xludf.DUMMYFUNCTION("GOOGLEFINANCE(""NSE:""&amp;A274,""name"")"),"Balrampur Chini Mills Ltd")</f>
        <v>Balrampur Chini Mills Ltd</v>
      </c>
    </row>
    <row r="275">
      <c r="A275" s="1" t="s">
        <v>1370</v>
      </c>
      <c r="B275" s="5" t="s">
        <v>1371</v>
      </c>
      <c r="C275" s="3" t="s">
        <v>1372</v>
      </c>
      <c r="D275" s="6" t="s">
        <v>1373</v>
      </c>
      <c r="E275" s="7" t="s">
        <v>1374</v>
      </c>
      <c r="F275" s="5" t="str">
        <f>IFERROR(__xludf.DUMMYFUNCTION("GOOGLEFINANCE(""NSE:""&amp;A275,""name"")"),"Balu Forge Industries Ltd")</f>
        <v>Balu Forge Industries Ltd</v>
      </c>
    </row>
    <row r="276">
      <c r="A276" s="1" t="s">
        <v>1375</v>
      </c>
      <c r="B276" s="5" t="s">
        <v>1376</v>
      </c>
      <c r="C276" s="3" t="s">
        <v>1377</v>
      </c>
      <c r="D276" s="6" t="s">
        <v>1378</v>
      </c>
      <c r="E276" s="7" t="s">
        <v>1379</v>
      </c>
      <c r="F276" s="5" t="str">
        <f>IFERROR(__xludf.DUMMYFUNCTION("GOOGLEFINANCE(""NSE:""&amp;A276,""name"")"),"Banaras Beads Ltd")</f>
        <v>Banaras Beads Ltd</v>
      </c>
    </row>
    <row r="277">
      <c r="A277" s="1" t="s">
        <v>1380</v>
      </c>
      <c r="B277" s="5" t="s">
        <v>1381</v>
      </c>
      <c r="C277" s="3" t="s">
        <v>1382</v>
      </c>
      <c r="D277" s="6" t="s">
        <v>1383</v>
      </c>
      <c r="E277" s="7" t="s">
        <v>1384</v>
      </c>
      <c r="F277" s="5" t="str">
        <f>IFERROR(__xludf.DUMMYFUNCTION("GOOGLEFINANCE(""NSE:""&amp;A277,""name"")"),"Banco Products (India) Ltd")</f>
        <v>Banco Products (India) Ltd</v>
      </c>
    </row>
    <row r="278">
      <c r="A278" s="1" t="s">
        <v>1385</v>
      </c>
      <c r="B278" s="5" t="s">
        <v>1386</v>
      </c>
      <c r="C278" s="3" t="s">
        <v>1387</v>
      </c>
      <c r="D278" s="6" t="s">
        <v>1388</v>
      </c>
      <c r="E278" s="7" t="s">
        <v>1389</v>
      </c>
      <c r="F278" s="5" t="str">
        <f>IFERROR(__xludf.DUMMYFUNCTION("GOOGLEFINANCE(""NSE:""&amp;A278,""name"")"),"Bandhan Bank Ltd")</f>
        <v>Bandhan Bank Ltd</v>
      </c>
    </row>
    <row r="279">
      <c r="A279" s="1" t="s">
        <v>1390</v>
      </c>
      <c r="B279" s="5" t="s">
        <v>1391</v>
      </c>
      <c r="C279" s="3" t="s">
        <v>1392</v>
      </c>
      <c r="D279" s="6" t="s">
        <v>1393</v>
      </c>
      <c r="E279" s="7" t="s">
        <v>1394</v>
      </c>
      <c r="F279" s="5" t="str">
        <f>IFERROR(__xludf.DUMMYFUNCTION("GOOGLEFINANCE(""NSE:""&amp;A279,""name"")"),"Bandhan Nifty 50 ETF")</f>
        <v>Bandhan Nifty 50 ETF</v>
      </c>
    </row>
    <row r="280">
      <c r="A280" s="1" t="s">
        <v>1395</v>
      </c>
      <c r="B280" s="5" t="s">
        <v>1396</v>
      </c>
      <c r="C280" s="3" t="s">
        <v>1397</v>
      </c>
      <c r="D280" s="6" t="s">
        <v>1398</v>
      </c>
      <c r="E280" s="7" t="s">
        <v>1399</v>
      </c>
      <c r="F280" s="5" t="str">
        <f>IFERROR(__xludf.DUMMYFUNCTION("GOOGLEFINANCE(""NSE:""&amp;A280,""name"")"),"Bang Overseas Ltd")</f>
        <v>Bang Overseas Ltd</v>
      </c>
    </row>
    <row r="281">
      <c r="A281" s="1" t="s">
        <v>1400</v>
      </c>
      <c r="B281" s="5" t="s">
        <v>1401</v>
      </c>
      <c r="C281" s="3" t="s">
        <v>1402</v>
      </c>
      <c r="D281" s="6" t="s">
        <v>1403</v>
      </c>
      <c r="E281" s="7" t="s">
        <v>1404</v>
      </c>
      <c r="F281" s="5" t="str">
        <f>IFERROR(__xludf.DUMMYFUNCTION("GOOGLEFINANCE(""NSE:""&amp;A281,""name"")"),"Bank of Baroda Ltd")</f>
        <v>Bank of Baroda Ltd</v>
      </c>
    </row>
    <row r="282">
      <c r="A282" s="1" t="s">
        <v>1405</v>
      </c>
      <c r="B282" s="5" t="s">
        <v>1406</v>
      </c>
      <c r="C282" s="3" t="s">
        <v>1407</v>
      </c>
      <c r="D282" s="6" t="s">
        <v>1408</v>
      </c>
      <c r="E282" s="7" t="s">
        <v>1409</v>
      </c>
      <c r="F282" s="5" t="str">
        <f>IFERROR(__xludf.DUMMYFUNCTION("GOOGLEFINANCE(""NSE:""&amp;A282,""name"")"),"Bank of India Ltd")</f>
        <v>Bank of India Ltd</v>
      </c>
    </row>
    <row r="283">
      <c r="A283" s="1" t="s">
        <v>1410</v>
      </c>
      <c r="B283" s="5" t="s">
        <v>1411</v>
      </c>
      <c r="C283" s="3" t="s">
        <v>1412</v>
      </c>
      <c r="D283" s="6" t="s">
        <v>1413</v>
      </c>
      <c r="E283" s="7" t="s">
        <v>1414</v>
      </c>
      <c r="F283" s="5" t="str">
        <f>IFERROR(__xludf.DUMMYFUNCTION("GOOGLEFINANCE(""NSE:""&amp;A283,""name"")"),"Bank of Maharashtra Ltd")</f>
        <v>Bank of Maharashtra Ltd</v>
      </c>
    </row>
    <row r="284">
      <c r="A284" s="1" t="s">
        <v>1415</v>
      </c>
      <c r="B284" s="5" t="s">
        <v>1416</v>
      </c>
      <c r="C284" s="3" t="s">
        <v>1417</v>
      </c>
      <c r="D284" s="6" t="s">
        <v>1418</v>
      </c>
      <c r="E284" s="7" t="s">
        <v>1419</v>
      </c>
      <c r="F284" s="5" t="str">
        <f>IFERROR(__xludf.DUMMYFUNCTION("GOOGLEFINANCE(""NSE:""&amp;A284,""name"")"),"Banka BioLoo Ltd")</f>
        <v>Banka BioLoo Ltd</v>
      </c>
    </row>
    <row r="285">
      <c r="A285" s="1" t="s">
        <v>1420</v>
      </c>
      <c r="B285" s="5" t="s">
        <v>1420</v>
      </c>
      <c r="C285" s="3" t="s">
        <v>1421</v>
      </c>
      <c r="D285" s="6" t="s">
        <v>1422</v>
      </c>
      <c r="E285" s="7" t="s">
        <v>1423</v>
      </c>
      <c r="F285" s="5" t="str">
        <f>IFERROR(__xludf.DUMMYFUNCTION("GOOGLEFINANCE(""NSE:""&amp;A285,""name"")"),"#N/A")</f>
        <v>#N/A</v>
      </c>
    </row>
    <row r="286">
      <c r="A286" s="1" t="s">
        <v>1424</v>
      </c>
      <c r="B286" s="5" t="s">
        <v>1424</v>
      </c>
      <c r="C286" s="3" t="s">
        <v>1425</v>
      </c>
      <c r="D286" s="6" t="s">
        <v>1426</v>
      </c>
      <c r="E286" s="7" t="s">
        <v>1427</v>
      </c>
      <c r="F286" s="5" t="str">
        <f>IFERROR(__xludf.DUMMYFUNCTION("GOOGLEFINANCE(""NSE:""&amp;A286,""name"")"),"Kotak Nifty Bank ETF")</f>
        <v>Kotak Nifty Bank ETF</v>
      </c>
    </row>
    <row r="287">
      <c r="A287" s="1" t="s">
        <v>1428</v>
      </c>
      <c r="B287" s="5" t="s">
        <v>1429</v>
      </c>
      <c r="C287" s="3" t="s">
        <v>1430</v>
      </c>
      <c r="D287" s="6" t="s">
        <v>1431</v>
      </c>
      <c r="E287" s="7" t="s">
        <v>1432</v>
      </c>
      <c r="F287" s="5" t="str">
        <f>IFERROR(__xludf.DUMMYFUNCTION("GOOGLEFINANCE(""NSE:""&amp;A287,""name"")"),"Bannari Amman Spinning Mills Ltd")</f>
        <v>Bannari Amman Spinning Mills Ltd</v>
      </c>
    </row>
    <row r="288">
      <c r="A288" s="1" t="s">
        <v>1433</v>
      </c>
      <c r="B288" s="5" t="s">
        <v>1434</v>
      </c>
      <c r="C288" s="3" t="s">
        <v>1435</v>
      </c>
      <c r="D288" s="6" t="s">
        <v>1436</v>
      </c>
      <c r="E288" s="7" t="s">
        <v>1437</v>
      </c>
      <c r="F288" s="5" t="str">
        <f>IFERROR(__xludf.DUMMYFUNCTION("GOOGLEFINANCE(""NSE:""&amp;A288,""name"")"),"Bannari Amman Sugars Ltd")</f>
        <v>Bannari Amman Sugars Ltd</v>
      </c>
    </row>
    <row r="289">
      <c r="A289" s="1" t="s">
        <v>1438</v>
      </c>
      <c r="B289" s="5" t="s">
        <v>1439</v>
      </c>
      <c r="C289" s="3" t="s">
        <v>1440</v>
      </c>
      <c r="D289" s="6" t="s">
        <v>1441</v>
      </c>
      <c r="E289" s="7" t="s">
        <v>1442</v>
      </c>
      <c r="F289" s="5" t="str">
        <f>IFERROR(__xludf.DUMMYFUNCTION("GOOGLEFINANCE(""NSE:""&amp;A289,""name"")"),"Bansal Wire Industries Ltd")</f>
        <v>Bansal Wire Industries Ltd</v>
      </c>
    </row>
    <row r="290">
      <c r="A290" s="1" t="s">
        <v>1443</v>
      </c>
      <c r="B290" s="5" t="s">
        <v>1444</v>
      </c>
      <c r="C290" s="3" t="s">
        <v>1445</v>
      </c>
      <c r="D290" s="6" t="s">
        <v>1446</v>
      </c>
      <c r="E290" s="7" t="s">
        <v>1447</v>
      </c>
      <c r="F290" s="5" t="str">
        <f>IFERROR(__xludf.DUMMYFUNCTION("GOOGLEFINANCE(""NSE:""&amp;A290,""name"")"),"Banswara Syntex Ltd")</f>
        <v>Banswara Syntex Ltd</v>
      </c>
    </row>
    <row r="291">
      <c r="A291" s="1" t="s">
        <v>1448</v>
      </c>
      <c r="B291" s="5" t="s">
        <v>1449</v>
      </c>
      <c r="C291" s="3" t="s">
        <v>1450</v>
      </c>
      <c r="D291" s="6" t="s">
        <v>1451</v>
      </c>
      <c r="E291" s="7" t="s">
        <v>1452</v>
      </c>
      <c r="F291" s="5" t="str">
        <f>IFERROR(__xludf.DUMMYFUNCTION("GOOGLEFINANCE(""NSE:""&amp;A291,""name"")"),"Barak Valley Cements Ltd")</f>
        <v>Barak Valley Cements Ltd</v>
      </c>
    </row>
    <row r="292">
      <c r="A292" s="1" t="s">
        <v>1453</v>
      </c>
      <c r="B292" s="5" t="s">
        <v>1454</v>
      </c>
      <c r="C292" s="3" t="s">
        <v>1455</v>
      </c>
      <c r="D292" s="6" t="s">
        <v>1456</v>
      </c>
      <c r="E292" s="7" t="s">
        <v>1457</v>
      </c>
      <c r="F292" s="5" t="str">
        <f>IFERROR(__xludf.DUMMYFUNCTION("GOOGLEFINANCE(""NSE:""&amp;A292,""name"")"),"Baroda BNP Paribas Gold ETF")</f>
        <v>Baroda BNP Paribas Gold ETF</v>
      </c>
    </row>
    <row r="293">
      <c r="A293" s="1" t="s">
        <v>1458</v>
      </c>
      <c r="B293" s="5" t="s">
        <v>1459</v>
      </c>
      <c r="C293" s="3" t="s">
        <v>1460</v>
      </c>
      <c r="D293" s="6" t="s">
        <v>1461</v>
      </c>
      <c r="E293" s="7" t="s">
        <v>1462</v>
      </c>
      <c r="F293" s="5" t="str">
        <f>IFERROR(__xludf.DUMMYFUNCTION("GOOGLEFINANCE(""NSE:""&amp;A293,""name"")"),"Baroda Bnp Paribas Nifty Bank ETF")</f>
        <v>Baroda Bnp Paribas Nifty Bank ETF</v>
      </c>
    </row>
    <row r="294">
      <c r="A294" s="1" t="s">
        <v>1463</v>
      </c>
      <c r="B294" s="5" t="s">
        <v>1464</v>
      </c>
      <c r="C294" s="3" t="s">
        <v>1465</v>
      </c>
      <c r="D294" s="6" t="s">
        <v>1466</v>
      </c>
      <c r="E294" s="7" t="s">
        <v>1467</v>
      </c>
      <c r="F294" s="5" t="str">
        <f>IFERROR(__xludf.DUMMYFUNCTION("GOOGLEFINANCE(""NSE:""&amp;A294,""name"")"),"Bartronics India Ltd")</f>
        <v>Bartronics India Ltd</v>
      </c>
    </row>
    <row r="295">
      <c r="A295" s="1" t="s">
        <v>1468</v>
      </c>
      <c r="B295" s="5" t="s">
        <v>1469</v>
      </c>
      <c r="C295" s="3" t="s">
        <v>1470</v>
      </c>
      <c r="D295" s="6" t="s">
        <v>1471</v>
      </c>
      <c r="E295" s="7" t="s">
        <v>1472</v>
      </c>
      <c r="F295" s="5" t="str">
        <f>IFERROR(__xludf.DUMMYFUNCTION("GOOGLEFINANCE(""NSE:""&amp;A295,""name"")"),"BASF India Ltd")</f>
        <v>BASF India Ltd</v>
      </c>
    </row>
    <row r="296">
      <c r="A296" s="1" t="s">
        <v>1473</v>
      </c>
      <c r="B296" s="5" t="s">
        <v>1474</v>
      </c>
      <c r="C296" s="3" t="s">
        <v>1475</v>
      </c>
      <c r="D296" s="6" t="s">
        <v>1476</v>
      </c>
      <c r="E296" s="7" t="s">
        <v>1477</v>
      </c>
      <c r="F296" s="5" t="str">
        <f>IFERROR(__xludf.DUMMYFUNCTION("GOOGLEFINANCE(""NSE:""&amp;A296,""name"")"),"Bata India Ltd")</f>
        <v>Bata India Ltd</v>
      </c>
    </row>
    <row r="297">
      <c r="A297" s="1" t="s">
        <v>1478</v>
      </c>
      <c r="B297" s="5" t="s">
        <v>1479</v>
      </c>
      <c r="C297" s="3" t="s">
        <v>1480</v>
      </c>
      <c r="D297" s="6" t="s">
        <v>1481</v>
      </c>
      <c r="E297" s="7" t="s">
        <v>1482</v>
      </c>
      <c r="F297" s="5" t="str">
        <f>IFERROR(__xludf.DUMMYFUNCTION("GOOGLEFINANCE(""NSE:""&amp;A297,""name"")"),"Bayer CropScience Ltd")</f>
        <v>Bayer CropScience Ltd</v>
      </c>
    </row>
    <row r="298">
      <c r="A298" s="1" t="s">
        <v>1483</v>
      </c>
      <c r="B298" s="5" t="s">
        <v>1484</v>
      </c>
      <c r="C298" s="3" t="s">
        <v>1485</v>
      </c>
      <c r="D298" s="6" t="s">
        <v>1486</v>
      </c>
      <c r="E298" s="7" t="s">
        <v>1487</v>
      </c>
      <c r="F298" s="5" t="str">
        <f>IFERROR(__xludf.DUMMYFUNCTION("GOOGLEFINANCE(""NSE:""&amp;A298,""name"")"),"BCL Industries Ltd")</f>
        <v>BCL Industries Ltd</v>
      </c>
    </row>
    <row r="299">
      <c r="A299" s="1" t="s">
        <v>1488</v>
      </c>
      <c r="B299" s="5" t="s">
        <v>1489</v>
      </c>
      <c r="C299" s="3" t="s">
        <v>1490</v>
      </c>
      <c r="D299" s="6" t="s">
        <v>1491</v>
      </c>
      <c r="E299" s="7" t="s">
        <v>1492</v>
      </c>
      <c r="F299" s="5" t="str">
        <f>IFERROR(__xludf.DUMMYFUNCTION("GOOGLEFINANCE(""NSE:""&amp;A299,""name"")"),"Beardsell Ltd")</f>
        <v>Beardsell Ltd</v>
      </c>
    </row>
    <row r="300">
      <c r="A300" s="1" t="s">
        <v>1493</v>
      </c>
      <c r="B300" s="5" t="s">
        <v>1494</v>
      </c>
      <c r="C300" s="3" t="s">
        <v>1495</v>
      </c>
      <c r="D300" s="6" t="s">
        <v>1496</v>
      </c>
      <c r="E300" s="7" t="s">
        <v>1497</v>
      </c>
      <c r="F300" s="5" t="str">
        <f>IFERROR(__xludf.DUMMYFUNCTION("GOOGLEFINANCE(""NSE:""&amp;A300,""name"")"),"Bedmutha Industries Ltd")</f>
        <v>Bedmutha Industries Ltd</v>
      </c>
    </row>
    <row r="301">
      <c r="A301" s="1" t="s">
        <v>1498</v>
      </c>
      <c r="B301" s="5" t="s">
        <v>1499</v>
      </c>
      <c r="C301" s="3" t="s">
        <v>1500</v>
      </c>
      <c r="D301" s="6" t="s">
        <v>1501</v>
      </c>
      <c r="E301" s="7" t="s">
        <v>1502</v>
      </c>
      <c r="F301" s="5" t="str">
        <f>IFERROR(__xludf.DUMMYFUNCTION("GOOGLEFINANCE(""NSE:""&amp;A301,""name"")"),"Bella Casa Fashion &amp; Retail Ltd")</f>
        <v>Bella Casa Fashion &amp; Retail Ltd</v>
      </c>
    </row>
    <row r="302">
      <c r="A302" s="1" t="s">
        <v>1503</v>
      </c>
      <c r="B302" s="5" t="s">
        <v>1503</v>
      </c>
      <c r="C302" s="3" t="s">
        <v>1504</v>
      </c>
      <c r="D302" s="6" t="s">
        <v>1505</v>
      </c>
      <c r="E302" s="7" t="s">
        <v>1506</v>
      </c>
      <c r="F302" s="5" t="str">
        <f>IFERROR(__xludf.DUMMYFUNCTION("GOOGLEFINANCE(""NSE:""&amp;A302,""name"")"),"Belrise Industries Ltd")</f>
        <v>Belrise Industries Ltd</v>
      </c>
    </row>
    <row r="303">
      <c r="A303" s="1" t="s">
        <v>1507</v>
      </c>
      <c r="B303" s="5" t="s">
        <v>1508</v>
      </c>
      <c r="C303" s="3" t="s">
        <v>1509</v>
      </c>
      <c r="D303" s="6" t="s">
        <v>1510</v>
      </c>
      <c r="E303" s="7" t="s">
        <v>1511</v>
      </c>
      <c r="F303" s="5" t="str">
        <f>IFERROR(__xludf.DUMMYFUNCTION("GOOGLEFINANCE(""NSE:""&amp;A303,""name"")"),"BEML Land Assets Ltd")</f>
        <v>BEML Land Assets Ltd</v>
      </c>
    </row>
    <row r="304">
      <c r="A304" s="1" t="s">
        <v>1512</v>
      </c>
      <c r="B304" s="5" t="s">
        <v>1513</v>
      </c>
      <c r="C304" s="3" t="s">
        <v>1514</v>
      </c>
      <c r="D304" s="6" t="s">
        <v>1515</v>
      </c>
      <c r="E304" s="7" t="s">
        <v>1516</v>
      </c>
      <c r="F304" s="5" t="str">
        <f>IFERROR(__xludf.DUMMYFUNCTION("GOOGLEFINANCE(""NSE:""&amp;A304,""name"")"),"BEML Ltd")</f>
        <v>BEML Ltd</v>
      </c>
    </row>
    <row r="305">
      <c r="A305" s="1" t="s">
        <v>1517</v>
      </c>
      <c r="B305" s="5" t="s">
        <v>1518</v>
      </c>
      <c r="C305" s="3" t="s">
        <v>1519</v>
      </c>
      <c r="D305" s="6" t="s">
        <v>1520</v>
      </c>
      <c r="E305" s="7" t="s">
        <v>1521</v>
      </c>
      <c r="F305" s="5" t="str">
        <f>IFERROR(__xludf.DUMMYFUNCTION("GOOGLEFINANCE(""NSE:""&amp;A305,""name"")"),"Berger Paints India Ltd")</f>
        <v>Berger Paints India Ltd</v>
      </c>
    </row>
    <row r="306">
      <c r="A306" s="1" t="s">
        <v>1522</v>
      </c>
      <c r="B306" s="5" t="s">
        <v>1523</v>
      </c>
      <c r="C306" s="3" t="s">
        <v>1524</v>
      </c>
      <c r="D306" s="6" t="s">
        <v>1525</v>
      </c>
      <c r="E306" s="7" t="s">
        <v>1526</v>
      </c>
      <c r="F306" s="5" t="str">
        <f>IFERROR(__xludf.DUMMYFUNCTION("GOOGLEFINANCE(""NSE:""&amp;A306,""name"")"),"Best Agrolife Ltd")</f>
        <v>Best Agrolife Ltd</v>
      </c>
    </row>
    <row r="307">
      <c r="A307" s="1" t="s">
        <v>1527</v>
      </c>
      <c r="B307" s="5" t="s">
        <v>1528</v>
      </c>
      <c r="C307" s="3" t="s">
        <v>1529</v>
      </c>
      <c r="D307" s="6" t="s">
        <v>1530</v>
      </c>
      <c r="E307" s="7" t="s">
        <v>1531</v>
      </c>
      <c r="F307" s="5" t="str">
        <f>IFERROR(__xludf.DUMMYFUNCTION("GOOGLEFINANCE(""NSE:""&amp;A307,""name"")"),"Beta Drugs Ltd")</f>
        <v>Beta Drugs Ltd</v>
      </c>
    </row>
    <row r="308">
      <c r="A308" s="1" t="s">
        <v>1532</v>
      </c>
      <c r="B308" s="5" t="s">
        <v>1533</v>
      </c>
      <c r="C308" s="3" t="s">
        <v>1534</v>
      </c>
      <c r="D308" s="6" t="s">
        <v>1535</v>
      </c>
      <c r="E308" s="7" t="s">
        <v>1536</v>
      </c>
      <c r="F308" s="5" t="str">
        <f>IFERROR(__xludf.DUMMYFUNCTION("GOOGLEFINANCE(""NSE:""&amp;A308,""name"")"),"BF Investment Ltd")</f>
        <v>BF Investment Ltd</v>
      </c>
    </row>
    <row r="309">
      <c r="A309" s="1" t="s">
        <v>1537</v>
      </c>
      <c r="B309" s="5" t="s">
        <v>1538</v>
      </c>
      <c r="C309" s="3" t="s">
        <v>1539</v>
      </c>
      <c r="D309" s="6" t="s">
        <v>1540</v>
      </c>
      <c r="E309" s="7" t="s">
        <v>1541</v>
      </c>
      <c r="F309" s="5" t="str">
        <f>IFERROR(__xludf.DUMMYFUNCTION("GOOGLEFINANCE(""NSE:""&amp;A309,""name"")"),"BF Utilities Ltd")</f>
        <v>BF Utilities Ltd</v>
      </c>
    </row>
    <row r="310">
      <c r="A310" s="1" t="s">
        <v>1542</v>
      </c>
      <c r="B310" s="5" t="s">
        <v>1543</v>
      </c>
      <c r="C310" s="3" t="s">
        <v>1544</v>
      </c>
      <c r="D310" s="6" t="s">
        <v>1545</v>
      </c>
      <c r="E310" s="7" t="s">
        <v>1546</v>
      </c>
      <c r="F310" s="5" t="str">
        <f>IFERROR(__xludf.DUMMYFUNCTION("GOOGLEFINANCE(""NSE:""&amp;A310,""name"")"),"BGR Energy Systems Ltd")</f>
        <v>BGR Energy Systems Ltd</v>
      </c>
    </row>
    <row r="311">
      <c r="A311" s="1" t="s">
        <v>1547</v>
      </c>
      <c r="B311" s="5" t="s">
        <v>1548</v>
      </c>
      <c r="C311" s="3" t="s">
        <v>1549</v>
      </c>
      <c r="D311" s="6" t="s">
        <v>1550</v>
      </c>
      <c r="E311" s="7" t="s">
        <v>1551</v>
      </c>
      <c r="F311" s="5" t="str">
        <f>IFERROR(__xludf.DUMMYFUNCTION("GOOGLEFINANCE(""NSE:""&amp;A311,""name"")"),"Bhageria Industries Ltd")</f>
        <v>Bhageria Industries Ltd</v>
      </c>
    </row>
    <row r="312">
      <c r="A312" s="1" t="s">
        <v>1552</v>
      </c>
      <c r="B312" s="5" t="s">
        <v>1553</v>
      </c>
      <c r="C312" s="3" t="s">
        <v>1554</v>
      </c>
      <c r="D312" s="6" t="s">
        <v>1555</v>
      </c>
      <c r="E312" s="7" t="s">
        <v>1556</v>
      </c>
      <c r="F312" s="5" t="str">
        <f>IFERROR(__xludf.DUMMYFUNCTION("GOOGLEFINANCE(""NSE:""&amp;A312,""name"")"),"Bhagiradha Chemicals and Industries Ltd")</f>
        <v>Bhagiradha Chemicals and Industries Ltd</v>
      </c>
    </row>
    <row r="313">
      <c r="A313" s="1" t="s">
        <v>1557</v>
      </c>
      <c r="B313" s="5" t="s">
        <v>1558</v>
      </c>
      <c r="C313" s="3" t="s">
        <v>1559</v>
      </c>
      <c r="D313" s="6" t="s">
        <v>1560</v>
      </c>
      <c r="E313" s="7" t="s">
        <v>1561</v>
      </c>
      <c r="F313" s="5" t="str">
        <f>IFERROR(__xludf.DUMMYFUNCTION("GOOGLEFINANCE(""NSE:""&amp;A313,""name"")"),"Bhagyanagar India Ltd")</f>
        <v>Bhagyanagar India Ltd</v>
      </c>
    </row>
    <row r="314">
      <c r="A314" s="1" t="s">
        <v>1562</v>
      </c>
      <c r="B314" s="5" t="s">
        <v>1563</v>
      </c>
      <c r="C314" s="3" t="s">
        <v>1564</v>
      </c>
      <c r="D314" s="6" t="s">
        <v>1565</v>
      </c>
      <c r="E314" s="7" t="s">
        <v>1566</v>
      </c>
      <c r="F314" s="5" t="str">
        <f>IFERROR(__xludf.DUMMYFUNCTION("GOOGLEFINANCE(""NSE:""&amp;A314,""name"")"),"Bhansali Engineering Polymers Ltd")</f>
        <v>Bhansali Engineering Polymers Ltd</v>
      </c>
    </row>
    <row r="315">
      <c r="A315" s="1" t="s">
        <v>1567</v>
      </c>
      <c r="B315" s="5" t="s">
        <v>1568</v>
      </c>
      <c r="C315" s="3" t="s">
        <v>1569</v>
      </c>
      <c r="D315" s="6" t="s">
        <v>1570</v>
      </c>
      <c r="E315" s="7" t="s">
        <v>1571</v>
      </c>
      <c r="F315" s="5" t="str">
        <f>IFERROR(__xludf.DUMMYFUNCTION("GOOGLEFINANCE(""NSE:""&amp;A315,""name"")"),"Bharat 22 ETF")</f>
        <v>Bharat 22 ETF</v>
      </c>
    </row>
    <row r="316">
      <c r="A316" s="1" t="s">
        <v>1572</v>
      </c>
      <c r="B316" s="5" t="s">
        <v>1573</v>
      </c>
      <c r="C316" s="3" t="s">
        <v>1574</v>
      </c>
      <c r="D316" s="6" t="s">
        <v>1575</v>
      </c>
      <c r="E316" s="7" t="s">
        <v>1576</v>
      </c>
      <c r="F316" s="5" t="str">
        <f>IFERROR(__xludf.DUMMYFUNCTION("GOOGLEFINANCE(""NSE:""&amp;A316,""name"")"),"Bharat Bijlee Ltd")</f>
        <v>Bharat Bijlee Ltd</v>
      </c>
    </row>
    <row r="317">
      <c r="A317" s="1" t="s">
        <v>1577</v>
      </c>
      <c r="B317" s="5" t="s">
        <v>1578</v>
      </c>
      <c r="C317" s="3" t="s">
        <v>1579</v>
      </c>
      <c r="D317" s="6" t="s">
        <v>1580</v>
      </c>
      <c r="E317" s="7" t="s">
        <v>1581</v>
      </c>
      <c r="F317" s="5" t="str">
        <f>IFERROR(__xludf.DUMMYFUNCTION("GOOGLEFINANCE(""NSE:""&amp;A317,""name"")"),"BHARAT Bond ETF-April 2030-Growth")</f>
        <v>BHARAT Bond ETF-April 2030-Growth</v>
      </c>
    </row>
    <row r="318">
      <c r="A318" s="1" t="s">
        <v>1582</v>
      </c>
      <c r="B318" s="5" t="s">
        <v>1583</v>
      </c>
      <c r="C318" s="3" t="s">
        <v>1584</v>
      </c>
      <c r="D318" s="6" t="s">
        <v>1585</v>
      </c>
      <c r="E318" s="7" t="s">
        <v>1586</v>
      </c>
      <c r="F318" s="5" t="str">
        <f>IFERROR(__xludf.DUMMYFUNCTION("GOOGLEFINANCE(""NSE:""&amp;A318,""name"")"),"BHARAT Bond ETF-April 2031-Growth")</f>
        <v>BHARAT Bond ETF-April 2031-Growth</v>
      </c>
    </row>
    <row r="319">
      <c r="A319" s="1" t="s">
        <v>1587</v>
      </c>
      <c r="B319" s="5" t="s">
        <v>1588</v>
      </c>
      <c r="C319" s="3" t="s">
        <v>1589</v>
      </c>
      <c r="D319" s="6" t="s">
        <v>1590</v>
      </c>
      <c r="E319" s="7" t="s">
        <v>1591</v>
      </c>
      <c r="F319" s="5" t="str">
        <f>IFERROR(__xludf.DUMMYFUNCTION("GOOGLEFINANCE(""NSE:""&amp;A319,""name"")"),"BHARAT Bond ETF-April 2032")</f>
        <v>BHARAT Bond ETF-April 2032</v>
      </c>
    </row>
    <row r="320">
      <c r="A320" s="1" t="s">
        <v>1592</v>
      </c>
      <c r="B320" s="5" t="s">
        <v>1593</v>
      </c>
      <c r="C320" s="3" t="s">
        <v>1594</v>
      </c>
      <c r="D320" s="6" t="s">
        <v>1595</v>
      </c>
      <c r="E320" s="7" t="s">
        <v>1596</v>
      </c>
      <c r="F320" s="5" t="str">
        <f>IFERROR(__xludf.DUMMYFUNCTION("GOOGLEFINANCE(""NSE:""&amp;A320,""name"")"),"BHARAT Bond ETF - April 2033")</f>
        <v>BHARAT Bond ETF - April 2033</v>
      </c>
    </row>
    <row r="321">
      <c r="A321" s="1" t="s">
        <v>1597</v>
      </c>
      <c r="B321" s="5" t="s">
        <v>1598</v>
      </c>
      <c r="C321" s="3" t="s">
        <v>1599</v>
      </c>
      <c r="D321" s="6" t="s">
        <v>1600</v>
      </c>
      <c r="E321" s="7" t="s">
        <v>1601</v>
      </c>
      <c r="F321" s="5" t="str">
        <f>IFERROR(__xludf.DUMMYFUNCTION("GOOGLEFINANCE(""NSE:""&amp;A321,""name"")"),"Bharat Dynamics Ltd")</f>
        <v>Bharat Dynamics Ltd</v>
      </c>
    </row>
    <row r="322">
      <c r="A322" s="1" t="s">
        <v>1602</v>
      </c>
      <c r="B322" s="5" t="s">
        <v>1603</v>
      </c>
      <c r="C322" s="3" t="s">
        <v>1604</v>
      </c>
      <c r="D322" s="6" t="s">
        <v>1605</v>
      </c>
      <c r="E322" s="7" t="s">
        <v>1606</v>
      </c>
      <c r="F322" s="5" t="str">
        <f>IFERROR(__xludf.DUMMYFUNCTION("GOOGLEFINANCE(""NSE:""&amp;A322,""name"")"),"Bharat Electronics Ltd")</f>
        <v>Bharat Electronics Ltd</v>
      </c>
    </row>
    <row r="323">
      <c r="A323" s="1" t="s">
        <v>1607</v>
      </c>
      <c r="B323" s="5" t="s">
        <v>1608</v>
      </c>
      <c r="C323" s="3" t="s">
        <v>1609</v>
      </c>
      <c r="D323" s="6" t="s">
        <v>1610</v>
      </c>
      <c r="E323" s="7" t="s">
        <v>1611</v>
      </c>
      <c r="F323" s="5" t="str">
        <f>IFERROR(__xludf.DUMMYFUNCTION("GOOGLEFINANCE(""NSE:""&amp;A323,""name"")"),"Bharat Forge Ltd")</f>
        <v>Bharat Forge Ltd</v>
      </c>
    </row>
    <row r="324">
      <c r="A324" s="1" t="s">
        <v>1612</v>
      </c>
      <c r="B324" s="5" t="s">
        <v>1613</v>
      </c>
      <c r="C324" s="3" t="s">
        <v>1614</v>
      </c>
      <c r="D324" s="6" t="s">
        <v>1615</v>
      </c>
      <c r="E324" s="7" t="s">
        <v>1616</v>
      </c>
      <c r="F324" s="5" t="str">
        <f>IFERROR(__xludf.DUMMYFUNCTION("GOOGLEFINANCE(""NSE:""&amp;A324,""name"")"),"Bharat Gears Ltd")</f>
        <v>Bharat Gears Ltd</v>
      </c>
    </row>
    <row r="325">
      <c r="A325" s="1" t="s">
        <v>1617</v>
      </c>
      <c r="B325" s="5" t="s">
        <v>1618</v>
      </c>
      <c r="C325" s="3" t="s">
        <v>1619</v>
      </c>
      <c r="D325" s="6" t="s">
        <v>1620</v>
      </c>
      <c r="E325" s="7" t="s">
        <v>1621</v>
      </c>
      <c r="F325" s="5" t="str">
        <f>IFERROR(__xludf.DUMMYFUNCTION("GOOGLEFINANCE(""NSE:""&amp;A325,""name"")"),"Bharat Heavy Electricals Ltd")</f>
        <v>Bharat Heavy Electricals Ltd</v>
      </c>
    </row>
    <row r="326">
      <c r="A326" s="1" t="s">
        <v>1622</v>
      </c>
      <c r="B326" s="5" t="s">
        <v>1623</v>
      </c>
      <c r="C326" s="3" t="s">
        <v>1624</v>
      </c>
      <c r="D326" s="6" t="s">
        <v>1625</v>
      </c>
      <c r="E326" s="7" t="s">
        <v>1626</v>
      </c>
      <c r="F326" s="5" t="str">
        <f>IFERROR(__xludf.DUMMYFUNCTION("GOOGLEFINANCE(""NSE:""&amp;A326,""name"")"),"Bharat Petroleum Corporation Ltd")</f>
        <v>Bharat Petroleum Corporation Ltd</v>
      </c>
    </row>
    <row r="327">
      <c r="A327" s="1" t="s">
        <v>1627</v>
      </c>
      <c r="B327" s="5" t="s">
        <v>1628</v>
      </c>
      <c r="C327" s="3" t="s">
        <v>1629</v>
      </c>
      <c r="D327" s="6" t="s">
        <v>1630</v>
      </c>
      <c r="E327" s="7" t="s">
        <v>1631</v>
      </c>
      <c r="F327" s="5" t="str">
        <f>IFERROR(__xludf.DUMMYFUNCTION("GOOGLEFINANCE(""NSE:""&amp;A327,""name"")"),"Bharat Rasayan Ltd")</f>
        <v>Bharat Rasayan Ltd</v>
      </c>
    </row>
    <row r="328">
      <c r="A328" s="1" t="s">
        <v>1632</v>
      </c>
      <c r="B328" s="5" t="s">
        <v>1633</v>
      </c>
      <c r="C328" s="3" t="s">
        <v>1634</v>
      </c>
      <c r="D328" s="6" t="s">
        <v>1635</v>
      </c>
      <c r="E328" s="7" t="s">
        <v>1636</v>
      </c>
      <c r="F328" s="5" t="str">
        <f>IFERROR(__xludf.DUMMYFUNCTION("GOOGLEFINANCE(""NSE:""&amp;A328,""name"")"),"Bharat Road Network Ltd")</f>
        <v>Bharat Road Network Ltd</v>
      </c>
    </row>
    <row r="329">
      <c r="A329" s="1" t="s">
        <v>1637</v>
      </c>
      <c r="B329" s="5" t="s">
        <v>1638</v>
      </c>
      <c r="C329" s="3" t="s">
        <v>1639</v>
      </c>
      <c r="D329" s="6" t="s">
        <v>1640</v>
      </c>
      <c r="E329" s="7" t="s">
        <v>1641</v>
      </c>
      <c r="F329" s="5" t="str">
        <f>IFERROR(__xludf.DUMMYFUNCTION("GOOGLEFINANCE(""NSE:""&amp;A329,""name"")"),"Bharat Seats Ltd")</f>
        <v>Bharat Seats Ltd</v>
      </c>
    </row>
    <row r="330">
      <c r="A330" s="1" t="s">
        <v>1642</v>
      </c>
      <c r="B330" s="5" t="s">
        <v>1643</v>
      </c>
      <c r="C330" s="3" t="s">
        <v>1644</v>
      </c>
      <c r="D330" s="6" t="s">
        <v>1645</v>
      </c>
      <c r="E330" s="7" t="s">
        <v>1646</v>
      </c>
      <c r="F330" s="5" t="str">
        <f>IFERROR(__xludf.DUMMYFUNCTION("GOOGLEFINANCE(""NSE:""&amp;A330,""name"")"),"Bharat Wire Ropes Ltd")</f>
        <v>Bharat Wire Ropes Ltd</v>
      </c>
    </row>
    <row r="331">
      <c r="A331" s="1" t="s">
        <v>1647</v>
      </c>
      <c r="B331" s="5" t="s">
        <v>1647</v>
      </c>
      <c r="C331" s="3" t="s">
        <v>1648</v>
      </c>
      <c r="D331" s="6" t="s">
        <v>1649</v>
      </c>
      <c r="E331" s="7" t="s">
        <v>1650</v>
      </c>
      <c r="F331" s="5" t="str">
        <f>IFERROR(__xludf.DUMMYFUNCTION("GOOGLEFINANCE(""NSE:""&amp;A331,""name"")"),"#N/A")</f>
        <v>#N/A</v>
      </c>
    </row>
    <row r="332">
      <c r="A332" s="1" t="s">
        <v>1651</v>
      </c>
      <c r="B332" s="5" t="s">
        <v>1651</v>
      </c>
      <c r="C332" s="3" t="s">
        <v>1652</v>
      </c>
      <c r="D332" s="6" t="s">
        <v>1653</v>
      </c>
      <c r="E332" s="7" t="s">
        <v>1654</v>
      </c>
      <c r="F332" s="5" t="str">
        <f>IFERROR(__xludf.DUMMYFUNCTION("GOOGLEFINANCE(""NSE:""&amp;A332,""name"")"),"#N/A")</f>
        <v>#N/A</v>
      </c>
    </row>
    <row r="333">
      <c r="A333" s="1" t="s">
        <v>1655</v>
      </c>
      <c r="B333" s="5" t="s">
        <v>1655</v>
      </c>
      <c r="C333" s="3" t="s">
        <v>1656</v>
      </c>
      <c r="D333" s="6" t="s">
        <v>1657</v>
      </c>
      <c r="E333" s="7" t="s">
        <v>1658</v>
      </c>
      <c r="F333" s="5" t="str">
        <f>IFERROR(__xludf.DUMMYFUNCTION("GOOGLEFINANCE(""NSE:""&amp;A333,""name"")"),"#N/A")</f>
        <v>#N/A</v>
      </c>
    </row>
    <row r="334">
      <c r="A334" s="1" t="s">
        <v>1659</v>
      </c>
      <c r="B334" s="5" t="s">
        <v>1659</v>
      </c>
      <c r="C334" s="3" t="s">
        <v>1660</v>
      </c>
      <c r="D334" s="6" t="s">
        <v>1661</v>
      </c>
      <c r="E334" s="7" t="s">
        <v>1662</v>
      </c>
      <c r="F334" s="5" t="str">
        <f>IFERROR(__xludf.DUMMYFUNCTION("GOOGLEFINANCE(""NSE:""&amp;A334,""name"")"),"#N/A")</f>
        <v>#N/A</v>
      </c>
    </row>
    <row r="335">
      <c r="A335" s="1" t="s">
        <v>1663</v>
      </c>
      <c r="B335" s="5" t="s">
        <v>1664</v>
      </c>
      <c r="C335" s="3" t="s">
        <v>1665</v>
      </c>
      <c r="D335" s="6" t="s">
        <v>1666</v>
      </c>
      <c r="E335" s="7" t="s">
        <v>1667</v>
      </c>
      <c r="F335" s="5" t="str">
        <f>IFERROR(__xludf.DUMMYFUNCTION("GOOGLEFINANCE(""NSE:""&amp;A335,""name"")"),"Bharti Airtel Ltd")</f>
        <v>Bharti Airtel Ltd</v>
      </c>
    </row>
    <row r="336">
      <c r="A336" s="1" t="s">
        <v>1668</v>
      </c>
      <c r="B336" s="5" t="s">
        <v>1669</v>
      </c>
      <c r="C336" s="3" t="s">
        <v>1670</v>
      </c>
      <c r="D336" s="6" t="s">
        <v>1671</v>
      </c>
      <c r="E336" s="7" t="s">
        <v>1672</v>
      </c>
      <c r="F336" s="5" t="str">
        <f>IFERROR(__xludf.DUMMYFUNCTION("GOOGLEFINANCE(""NSE:""&amp;A336,""name"")"),"Bharti Hexacom Ltd")</f>
        <v>Bharti Hexacom Ltd</v>
      </c>
    </row>
    <row r="337">
      <c r="A337" s="1" t="s">
        <v>1673</v>
      </c>
      <c r="B337" s="5" t="s">
        <v>1674</v>
      </c>
      <c r="C337" s="3" t="s">
        <v>1675</v>
      </c>
      <c r="D337" s="6" t="s">
        <v>1676</v>
      </c>
      <c r="E337" s="7" t="s">
        <v>1677</v>
      </c>
      <c r="F337" s="5" t="str">
        <f>IFERROR(__xludf.DUMMYFUNCTION("GOOGLEFINANCE(""NSE:""&amp;A337,""name"")"),"Bhartiya International Ltd")</f>
        <v>Bhartiya International Ltd</v>
      </c>
    </row>
    <row r="338">
      <c r="A338" s="1" t="s">
        <v>1678</v>
      </c>
      <c r="B338" s="5" t="s">
        <v>1679</v>
      </c>
      <c r="C338" s="3" t="s">
        <v>1680</v>
      </c>
      <c r="D338" s="6" t="s">
        <v>1681</v>
      </c>
      <c r="E338" s="7" t="s">
        <v>1682</v>
      </c>
      <c r="F338" s="5" t="str">
        <f>IFERROR(__xludf.DUMMYFUNCTION("GOOGLEFINANCE(""NSE:""&amp;A338,""name"")"),"Bigbloc Construction Ltd")</f>
        <v>Bigbloc Construction Ltd</v>
      </c>
    </row>
    <row r="339">
      <c r="A339" s="1" t="s">
        <v>1683</v>
      </c>
      <c r="B339" s="5" t="s">
        <v>1684</v>
      </c>
      <c r="C339" s="3" t="s">
        <v>1685</v>
      </c>
      <c r="D339" s="6" t="s">
        <v>1686</v>
      </c>
      <c r="E339" s="7" t="s">
        <v>1687</v>
      </c>
      <c r="F339" s="5" t="str">
        <f>IFERROR(__xludf.DUMMYFUNCTION("GOOGLEFINANCE(""NSE:""&amp;A339,""name"")"),"Bikaji Foods International Ltd")</f>
        <v>Bikaji Foods International Ltd</v>
      </c>
    </row>
    <row r="340">
      <c r="A340" s="1" t="s">
        <v>1688</v>
      </c>
      <c r="B340" s="5" t="s">
        <v>1689</v>
      </c>
      <c r="C340" s="3" t="s">
        <v>1690</v>
      </c>
      <c r="D340" s="6" t="s">
        <v>1691</v>
      </c>
      <c r="E340" s="7" t="s">
        <v>1692</v>
      </c>
      <c r="F340" s="5" t="str">
        <f>IFERROR(__xludf.DUMMYFUNCTION("GOOGLEFINANCE(""NSE:""&amp;A340,""name"")"),"BIL Vyapar Limited")</f>
        <v>BIL Vyapar Limited</v>
      </c>
    </row>
    <row r="341">
      <c r="A341" s="1" t="s">
        <v>1693</v>
      </c>
      <c r="B341" s="5" t="s">
        <v>1694</v>
      </c>
      <c r="C341" s="3" t="s">
        <v>1695</v>
      </c>
      <c r="D341" s="6" t="s">
        <v>1696</v>
      </c>
      <c r="E341" s="7" t="s">
        <v>1697</v>
      </c>
      <c r="F341" s="5" t="str">
        <f>IFERROR(__xludf.DUMMYFUNCTION("GOOGLEFINANCE(""NSE:""&amp;A341,""name"")"),"Biocon Ltd")</f>
        <v>Biocon Ltd</v>
      </c>
    </row>
    <row r="342">
      <c r="A342" s="1" t="s">
        <v>1698</v>
      </c>
      <c r="B342" s="5" t="s">
        <v>1699</v>
      </c>
      <c r="C342" s="3" t="s">
        <v>1700</v>
      </c>
      <c r="D342" s="6" t="s">
        <v>1701</v>
      </c>
      <c r="E342" s="7" t="s">
        <v>1702</v>
      </c>
      <c r="F342" s="5" t="str">
        <f>IFERROR(__xludf.DUMMYFUNCTION("GOOGLEFINANCE(""NSE:""&amp;A342,""name"")"),"Biofil Chemicals and Pharmaceuticals Ltd")</f>
        <v>Biofil Chemicals and Pharmaceuticals Ltd</v>
      </c>
    </row>
    <row r="343">
      <c r="A343" s="1" t="s">
        <v>1703</v>
      </c>
      <c r="B343" s="5" t="s">
        <v>1704</v>
      </c>
      <c r="C343" s="3" t="s">
        <v>1705</v>
      </c>
      <c r="D343" s="6" t="s">
        <v>1706</v>
      </c>
      <c r="E343" s="7" t="s">
        <v>1707</v>
      </c>
      <c r="F343" s="5" t="str">
        <f>IFERROR(__xludf.DUMMYFUNCTION("GOOGLEFINANCE(""NSE:""&amp;A343,""name"")"),"Birla Cable Ltd")</f>
        <v>Birla Cable Ltd</v>
      </c>
    </row>
    <row r="344">
      <c r="A344" s="1" t="s">
        <v>1708</v>
      </c>
      <c r="B344" s="5" t="s">
        <v>1709</v>
      </c>
      <c r="C344" s="3" t="s">
        <v>1710</v>
      </c>
      <c r="D344" s="6" t="s">
        <v>1711</v>
      </c>
      <c r="E344" s="7" t="s">
        <v>1712</v>
      </c>
      <c r="F344" s="5" t="str">
        <f>IFERROR(__xludf.DUMMYFUNCTION("GOOGLEFINANCE(""NSE:""&amp;A344,""name"")"),"Birla Corporation Ltd")</f>
        <v>Birla Corporation Ltd</v>
      </c>
    </row>
    <row r="345">
      <c r="A345" s="1" t="s">
        <v>1713</v>
      </c>
      <c r="B345" s="5" t="s">
        <v>1714</v>
      </c>
      <c r="C345" s="3" t="s">
        <v>1715</v>
      </c>
      <c r="D345" s="6" t="s">
        <v>1716</v>
      </c>
      <c r="E345" s="7" t="s">
        <v>1717</v>
      </c>
      <c r="F345" s="5" t="str">
        <f>IFERROR(__xludf.DUMMYFUNCTION("GOOGLEFINANCE(""NSE:""&amp;A345,""name"")"),"Aditya Birla Sun Life BSE Sensex ETF")</f>
        <v>Aditya Birla Sun Life BSE Sensex ETF</v>
      </c>
    </row>
    <row r="346">
      <c r="A346" s="1" t="s">
        <v>1718</v>
      </c>
      <c r="B346" s="5" t="s">
        <v>1719</v>
      </c>
      <c r="C346" s="3" t="s">
        <v>1720</v>
      </c>
      <c r="D346" s="6" t="s">
        <v>1721</v>
      </c>
      <c r="E346" s="7" t="s">
        <v>1722</v>
      </c>
      <c r="F346" s="5" t="str">
        <f>IFERROR(__xludf.DUMMYFUNCTION("GOOGLEFINANCE(""NSE:""&amp;A346,""name"")"),"Birlanu Ltd")</f>
        <v>Birlanu Ltd</v>
      </c>
    </row>
    <row r="347">
      <c r="A347" s="1" t="s">
        <v>1723</v>
      </c>
      <c r="B347" s="5" t="s">
        <v>1724</v>
      </c>
      <c r="C347" s="3" t="s">
        <v>1725</v>
      </c>
      <c r="D347" s="6" t="s">
        <v>1726</v>
      </c>
      <c r="E347" s="7" t="s">
        <v>1727</v>
      </c>
      <c r="F347" s="5" t="str">
        <f>IFERROR(__xludf.DUMMYFUNCTION("GOOGLEFINANCE(""NSE:""&amp;A347,""name"")"),"Birlasoft Ltd")</f>
        <v>Birlasoft Ltd</v>
      </c>
    </row>
    <row r="348">
      <c r="A348" s="1" t="s">
        <v>1728</v>
      </c>
      <c r="B348" s="5" t="s">
        <v>1729</v>
      </c>
      <c r="C348" s="3" t="s">
        <v>1730</v>
      </c>
      <c r="D348" s="6" t="s">
        <v>1731</v>
      </c>
      <c r="E348" s="7" t="s">
        <v>1732</v>
      </c>
      <c r="F348" s="5" t="str">
        <f>IFERROR(__xludf.DUMMYFUNCTION("GOOGLEFINANCE(""NSE:""&amp;A348,""name"")"),"Black Box Ltd")</f>
        <v>Black Box Ltd</v>
      </c>
    </row>
    <row r="349">
      <c r="A349" s="1" t="s">
        <v>1733</v>
      </c>
      <c r="B349" s="5" t="s">
        <v>1734</v>
      </c>
      <c r="C349" s="3" t="s">
        <v>1735</v>
      </c>
      <c r="D349" s="6" t="s">
        <v>1736</v>
      </c>
      <c r="E349" s="7" t="s">
        <v>1737</v>
      </c>
      <c r="F349" s="5" t="str">
        <f>IFERROR(__xludf.DUMMYFUNCTION("GOOGLEFINANCE(""NSE:""&amp;A349,""name"")"),"BLB Ltd")</f>
        <v>BLB Ltd</v>
      </c>
    </row>
    <row r="350">
      <c r="A350" s="1" t="s">
        <v>1738</v>
      </c>
      <c r="B350" s="5" t="s">
        <v>1739</v>
      </c>
      <c r="C350" s="3" t="s">
        <v>1740</v>
      </c>
      <c r="D350" s="6" t="s">
        <v>1741</v>
      </c>
      <c r="E350" s="7" t="s">
        <v>1742</v>
      </c>
      <c r="F350" s="5" t="str">
        <f>IFERROR(__xludf.DUMMYFUNCTION("GOOGLEFINANCE(""NSE:""&amp;A350,""name"")"),"Bliss GVS Pharma Ltd")</f>
        <v>Bliss GVS Pharma Ltd</v>
      </c>
    </row>
    <row r="351">
      <c r="A351" s="1" t="s">
        <v>1743</v>
      </c>
      <c r="B351" s="5" t="s">
        <v>1744</v>
      </c>
      <c r="C351" s="3" t="s">
        <v>1745</v>
      </c>
      <c r="D351" s="6" t="s">
        <v>1746</v>
      </c>
      <c r="E351" s="7" t="s">
        <v>1747</v>
      </c>
      <c r="F351" s="5" t="str">
        <f>IFERROR(__xludf.DUMMYFUNCTION("GOOGLEFINANCE(""NSE:""&amp;A351,""name"")"),"BLS E-Services Ltd")</f>
        <v>BLS E-Services Ltd</v>
      </c>
    </row>
    <row r="352">
      <c r="A352" s="1" t="s">
        <v>1748</v>
      </c>
      <c r="B352" s="5" t="s">
        <v>1749</v>
      </c>
      <c r="C352" s="3" t="s">
        <v>1750</v>
      </c>
      <c r="D352" s="6" t="s">
        <v>1751</v>
      </c>
      <c r="E352" s="7" t="s">
        <v>1752</v>
      </c>
      <c r="F352" s="5" t="str">
        <f>IFERROR(__xludf.DUMMYFUNCTION("GOOGLEFINANCE(""NSE:""&amp;A352,""name"")"),"BLS International Services Ltd")</f>
        <v>BLS International Services Ltd</v>
      </c>
    </row>
    <row r="353">
      <c r="A353" s="1" t="s">
        <v>1753</v>
      </c>
      <c r="B353" s="5" t="s">
        <v>1754</v>
      </c>
      <c r="C353" s="3" t="s">
        <v>1755</v>
      </c>
      <c r="D353" s="6" t="s">
        <v>1756</v>
      </c>
      <c r="E353" s="7" t="s">
        <v>1757</v>
      </c>
      <c r="F353" s="5" t="str">
        <f>IFERROR(__xludf.DUMMYFUNCTION("GOOGLEFINANCE(""NSE:""&amp;A353,""name"")"),"Blue Coast Hotels Ltd")</f>
        <v>Blue Coast Hotels Ltd</v>
      </c>
    </row>
    <row r="354">
      <c r="A354" s="1" t="s">
        <v>1758</v>
      </c>
      <c r="B354" s="5" t="s">
        <v>1759</v>
      </c>
      <c r="C354" s="3" t="s">
        <v>1760</v>
      </c>
      <c r="D354" s="6" t="s">
        <v>1761</v>
      </c>
      <c r="E354" s="7" t="s">
        <v>1762</v>
      </c>
      <c r="F354" s="5" t="str">
        <f>IFERROR(__xludf.DUMMYFUNCTION("GOOGLEFINANCE(""NSE:""&amp;A354,""name"")"),"Blue Dart Express Ltd")</f>
        <v>Blue Dart Express Ltd</v>
      </c>
    </row>
    <row r="355">
      <c r="A355" s="1" t="s">
        <v>1763</v>
      </c>
      <c r="B355" s="5" t="s">
        <v>1764</v>
      </c>
      <c r="C355" s="3" t="s">
        <v>1765</v>
      </c>
      <c r="D355" s="6" t="s">
        <v>1766</v>
      </c>
      <c r="E355" s="7" t="s">
        <v>1767</v>
      </c>
      <c r="F355" s="5" t="str">
        <f>IFERROR(__xludf.DUMMYFUNCTION("GOOGLEFINANCE(""NSE:""&amp;A355,""name"")"),"Blue Jet Healthcare Ltd")</f>
        <v>Blue Jet Healthcare Ltd</v>
      </c>
    </row>
    <row r="356">
      <c r="A356" s="1" t="s">
        <v>1768</v>
      </c>
      <c r="B356" s="5" t="s">
        <v>1769</v>
      </c>
      <c r="C356" s="3" t="s">
        <v>1770</v>
      </c>
      <c r="D356" s="6" t="s">
        <v>1771</v>
      </c>
      <c r="E356" s="7" t="s">
        <v>1772</v>
      </c>
      <c r="F356" s="5" t="str">
        <f>IFERROR(__xludf.DUMMYFUNCTION("GOOGLEFINANCE(""NSE:""&amp;A356,""name"")"),"Blue Star Ltd")</f>
        <v>Blue Star Ltd</v>
      </c>
    </row>
    <row r="357">
      <c r="A357" s="1" t="s">
        <v>1773</v>
      </c>
      <c r="B357" s="5" t="s">
        <v>1773</v>
      </c>
      <c r="C357" s="3" t="s">
        <v>1774</v>
      </c>
      <c r="D357" s="6" t="s">
        <v>1775</v>
      </c>
      <c r="E357" s="7" t="s">
        <v>1776</v>
      </c>
      <c r="F357" s="5" t="str">
        <f>IFERROR(__xludf.DUMMYFUNCTION("GOOGLEFINANCE(""NSE:""&amp;A357,""name"")"),"Bluestone Jewellery and Lifestyle Ltd")</f>
        <v>Bluestone Jewellery and Lifestyle Ltd</v>
      </c>
    </row>
    <row r="358">
      <c r="A358" s="1" t="s">
        <v>1777</v>
      </c>
      <c r="B358" s="5" t="s">
        <v>1778</v>
      </c>
      <c r="C358" s="3" t="s">
        <v>1779</v>
      </c>
      <c r="D358" s="6" t="s">
        <v>1780</v>
      </c>
      <c r="E358" s="7" t="s">
        <v>1781</v>
      </c>
      <c r="F358" s="5" t="str">
        <f>IFERROR(__xludf.DUMMYFUNCTION("GOOGLEFINANCE(""NSE:""&amp;A358,""name"")"),"Bluspring Enterprises Ltd")</f>
        <v>Bluspring Enterprises Ltd</v>
      </c>
    </row>
    <row r="359">
      <c r="A359" s="1" t="s">
        <v>1782</v>
      </c>
      <c r="B359" s="5" t="s">
        <v>1783</v>
      </c>
      <c r="C359" s="3" t="s">
        <v>1784</v>
      </c>
      <c r="D359" s="6" t="s">
        <v>1785</v>
      </c>
      <c r="E359" s="7" t="s">
        <v>1786</v>
      </c>
      <c r="F359" s="5" t="str">
        <f>IFERROR(__xludf.DUMMYFUNCTION("GOOGLEFINANCE(""NSE:""&amp;A359,""name"")"),"BMW Ventures Ltd")</f>
        <v>BMW Ventures Ltd</v>
      </c>
    </row>
    <row r="360">
      <c r="A360" s="1" t="s">
        <v>1787</v>
      </c>
      <c r="B360" s="5" t="s">
        <v>1788</v>
      </c>
      <c r="C360" s="3" t="s">
        <v>1789</v>
      </c>
      <c r="D360" s="6" t="s">
        <v>1790</v>
      </c>
      <c r="E360" s="7" t="s">
        <v>1791</v>
      </c>
      <c r="F360" s="5" t="str">
        <f>IFERROR(__xludf.DUMMYFUNCTION("GOOGLEFINANCE(""NSE:""&amp;A360,""name"")"),"Bodal Chemicals Ltd")</f>
        <v>Bodal Chemicals Ltd</v>
      </c>
    </row>
    <row r="361">
      <c r="A361" s="1" t="s">
        <v>1792</v>
      </c>
      <c r="B361" s="5" t="s">
        <v>1793</v>
      </c>
      <c r="C361" s="3" t="s">
        <v>1794</v>
      </c>
      <c r="D361" s="6" t="s">
        <v>1795</v>
      </c>
      <c r="E361" s="7" t="s">
        <v>1796</v>
      </c>
      <c r="F361" s="5" t="str">
        <f>IFERROR(__xludf.DUMMYFUNCTION("GOOGLEFINANCE(""NSE:""&amp;A361,""name"")"),"Bodhi Tree Multimedia Ltd")</f>
        <v>Bodhi Tree Multimedia Ltd</v>
      </c>
    </row>
    <row r="362">
      <c r="A362" s="1" t="s">
        <v>1797</v>
      </c>
      <c r="B362" s="5" t="s">
        <v>1798</v>
      </c>
      <c r="C362" s="3" t="s">
        <v>1799</v>
      </c>
      <c r="D362" s="6" t="s">
        <v>1800</v>
      </c>
      <c r="E362" s="7" t="s">
        <v>1801</v>
      </c>
      <c r="F362" s="5" t="str">
        <f>IFERROR(__xludf.DUMMYFUNCTION("GOOGLEFINANCE(""NSE:""&amp;A362,""name"")"),"Bohra Industries Ltd")</f>
        <v>Bohra Industries Ltd</v>
      </c>
    </row>
    <row r="363">
      <c r="A363" s="1" t="s">
        <v>1802</v>
      </c>
      <c r="B363" s="5" t="s">
        <v>1803</v>
      </c>
      <c r="C363" s="3" t="s">
        <v>1804</v>
      </c>
      <c r="D363" s="6" t="s">
        <v>1805</v>
      </c>
      <c r="E363" s="7" t="s">
        <v>1806</v>
      </c>
      <c r="F363" s="5" t="str">
        <f>IFERROR(__xludf.DUMMYFUNCTION("GOOGLEFINANCE(""NSE:""&amp;A363,""name"")"),"Bombay Burmah Trading Corporation, Ltd")</f>
        <v>Bombay Burmah Trading Corporation, Ltd</v>
      </c>
    </row>
    <row r="364">
      <c r="A364" s="1" t="s">
        <v>1807</v>
      </c>
      <c r="B364" s="5" t="s">
        <v>1808</v>
      </c>
      <c r="C364" s="3" t="s">
        <v>1809</v>
      </c>
      <c r="D364" s="6" t="s">
        <v>1810</v>
      </c>
      <c r="E364" s="7" t="s">
        <v>1811</v>
      </c>
      <c r="F364" s="5" t="str">
        <f>IFERROR(__xludf.DUMMYFUNCTION("GOOGLEFINANCE(""NSE:""&amp;A364,""name"")"),"Bombay Dyeing and Mfg Co Ltd")</f>
        <v>Bombay Dyeing and Mfg Co Ltd</v>
      </c>
    </row>
    <row r="365">
      <c r="A365" s="1" t="s">
        <v>1812</v>
      </c>
      <c r="B365" s="5" t="s">
        <v>1813</v>
      </c>
      <c r="C365" s="3" t="s">
        <v>1814</v>
      </c>
      <c r="D365" s="6" t="s">
        <v>1815</v>
      </c>
      <c r="E365" s="7" t="s">
        <v>1816</v>
      </c>
      <c r="F365" s="5" t="str">
        <f>IFERROR(__xludf.DUMMYFUNCTION("GOOGLEFINANCE(""NSE:""&amp;A365,""name"")"),"Bombay Super Hybrid Seeds Ltd")</f>
        <v>Bombay Super Hybrid Seeds Ltd</v>
      </c>
    </row>
    <row r="366">
      <c r="A366" s="1" t="s">
        <v>1817</v>
      </c>
      <c r="B366" s="5" t="s">
        <v>1817</v>
      </c>
      <c r="C366" s="3" t="s">
        <v>1818</v>
      </c>
      <c r="D366" s="6" t="s">
        <v>1819</v>
      </c>
      <c r="E366" s="7" t="s">
        <v>1820</v>
      </c>
      <c r="F366" s="5" t="str">
        <f>IFERROR(__xludf.DUMMYFUNCTION("GOOGLEFINANCE(""NSE:""&amp;A366,""name"")"),"Borana Weaves Ltd")</f>
        <v>Borana Weaves Ltd</v>
      </c>
    </row>
    <row r="367">
      <c r="A367" s="1" t="s">
        <v>1821</v>
      </c>
      <c r="B367" s="5" t="s">
        <v>1822</v>
      </c>
      <c r="C367" s="3" t="s">
        <v>1823</v>
      </c>
      <c r="D367" s="6" t="s">
        <v>1824</v>
      </c>
      <c r="E367" s="7" t="s">
        <v>1825</v>
      </c>
      <c r="F367" s="5" t="str">
        <f>IFERROR(__xludf.DUMMYFUNCTION("GOOGLEFINANCE(""NSE:""&amp;A367,""name"")"),"Borosil Ltd")</f>
        <v>Borosil Ltd</v>
      </c>
    </row>
    <row r="368">
      <c r="A368" s="1" t="s">
        <v>1826</v>
      </c>
      <c r="B368" s="5" t="s">
        <v>1827</v>
      </c>
      <c r="C368" s="3" t="s">
        <v>1828</v>
      </c>
      <c r="D368" s="6" t="s">
        <v>1829</v>
      </c>
      <c r="E368" s="7" t="s">
        <v>1830</v>
      </c>
      <c r="F368" s="5" t="str">
        <f>IFERROR(__xludf.DUMMYFUNCTION("GOOGLEFINANCE(""NSE:""&amp;A368,""name"")"),"Borosil Renewables Ltd")</f>
        <v>Borosil Renewables Ltd</v>
      </c>
    </row>
    <row r="369">
      <c r="A369" s="1" t="s">
        <v>1831</v>
      </c>
      <c r="B369" s="5" t="s">
        <v>1832</v>
      </c>
      <c r="C369" s="3" t="s">
        <v>1833</v>
      </c>
      <c r="D369" s="6" t="s">
        <v>1834</v>
      </c>
      <c r="E369" s="7" t="s">
        <v>1835</v>
      </c>
      <c r="F369" s="5" t="str">
        <f>IFERROR(__xludf.DUMMYFUNCTION("GOOGLEFINANCE(""NSE:""&amp;A369,""name"")"),"Borosil Scientific Ltd")</f>
        <v>Borosil Scientific Ltd</v>
      </c>
    </row>
    <row r="370">
      <c r="A370" s="1" t="s">
        <v>1836</v>
      </c>
      <c r="B370" s="5" t="s">
        <v>1837</v>
      </c>
      <c r="C370" s="3" t="s">
        <v>1838</v>
      </c>
      <c r="D370" s="6" t="s">
        <v>1839</v>
      </c>
      <c r="E370" s="7" t="s">
        <v>1840</v>
      </c>
      <c r="F370" s="5" t="str">
        <f>IFERROR(__xludf.DUMMYFUNCTION("GOOGLEFINANCE(""NSE:""&amp;A370,""name"")"),"Bosch Ltd")</f>
        <v>Bosch Ltd</v>
      </c>
    </row>
    <row r="371">
      <c r="A371" s="1" t="s">
        <v>1841</v>
      </c>
      <c r="B371" s="5" t="s">
        <v>1842</v>
      </c>
      <c r="C371" s="3" t="s">
        <v>1843</v>
      </c>
      <c r="D371" s="6" t="s">
        <v>1844</v>
      </c>
      <c r="E371" s="7" t="s">
        <v>1845</v>
      </c>
      <c r="F371" s="5" t="str">
        <f>IFERROR(__xludf.DUMMYFUNCTION("GOOGLEFINANCE(""NSE:""&amp;A371,""name"")"),"BPL Ltd")</f>
        <v>BPL Ltd</v>
      </c>
    </row>
    <row r="372">
      <c r="A372" s="1" t="s">
        <v>1846</v>
      </c>
      <c r="B372" s="5" t="s">
        <v>1847</v>
      </c>
      <c r="C372" s="3" t="s">
        <v>1848</v>
      </c>
      <c r="D372" s="6" t="s">
        <v>1849</v>
      </c>
      <c r="E372" s="7" t="s">
        <v>1850</v>
      </c>
      <c r="F372" s="5" t="str">
        <f>IFERROR(__xludf.DUMMYFUNCTION("GOOGLEFINANCE(""NSE:""&amp;A372,""name"")"),"Brainbees Solutions Ltd")</f>
        <v>Brainbees Solutions Ltd</v>
      </c>
    </row>
    <row r="373">
      <c r="A373" s="1" t="s">
        <v>1851</v>
      </c>
      <c r="B373" s="5" t="s">
        <v>1852</v>
      </c>
      <c r="C373" s="3" t="s">
        <v>1853</v>
      </c>
      <c r="D373" s="6" t="s">
        <v>1854</v>
      </c>
      <c r="E373" s="7" t="s">
        <v>1855</v>
      </c>
      <c r="F373" s="5" t="str">
        <f>IFERROR(__xludf.DUMMYFUNCTION("GOOGLEFINANCE(""NSE:""&amp;A373,""name"")"),"Brand Concepts Ltd")</f>
        <v>Brand Concepts Ltd</v>
      </c>
    </row>
    <row r="374">
      <c r="A374" s="1" t="s">
        <v>1856</v>
      </c>
      <c r="B374" s="5" t="s">
        <v>1857</v>
      </c>
      <c r="C374" s="3" t="s">
        <v>1858</v>
      </c>
      <c r="D374" s="6" t="s">
        <v>1859</v>
      </c>
      <c r="E374" s="7" t="s">
        <v>1860</v>
      </c>
      <c r="F374" s="5" t="str">
        <f>IFERROR(__xludf.DUMMYFUNCTION("GOOGLEFINANCE(""NSE:""&amp;A374,""name"")"),"Brigade Enterprises Limited")</f>
        <v>Brigade Enterprises Limited</v>
      </c>
    </row>
    <row r="375">
      <c r="A375" s="1" t="s">
        <v>1861</v>
      </c>
      <c r="B375" s="5" t="s">
        <v>1862</v>
      </c>
      <c r="C375" s="3" t="s">
        <v>1863</v>
      </c>
      <c r="D375" s="6" t="s">
        <v>1864</v>
      </c>
      <c r="E375" s="7" t="s">
        <v>1865</v>
      </c>
      <c r="F375" s="5" t="str">
        <f>IFERROR(__xludf.DUMMYFUNCTION("GOOGLEFINANCE(""NSE:""&amp;A375,""name"")"),"Brigade Hotel Ventures Ltd")</f>
        <v>Brigade Hotel Ventures Ltd</v>
      </c>
    </row>
    <row r="376">
      <c r="A376" s="1" t="s">
        <v>1866</v>
      </c>
      <c r="B376" s="5" t="s">
        <v>1867</v>
      </c>
      <c r="C376" s="3" t="s">
        <v>1868</v>
      </c>
      <c r="D376" s="6" t="s">
        <v>1869</v>
      </c>
      <c r="E376" s="7" t="s">
        <v>1870</v>
      </c>
      <c r="F376" s="5" t="str">
        <f>IFERROR(__xludf.DUMMYFUNCTION("GOOGLEFINANCE(""NSE:""&amp;A376,""name"")"),"Brightcom Group Ltd")</f>
        <v>Brightcom Group Ltd</v>
      </c>
    </row>
    <row r="377">
      <c r="A377" s="1" t="s">
        <v>1871</v>
      </c>
      <c r="B377" s="5" t="s">
        <v>1872</v>
      </c>
      <c r="C377" s="3" t="s">
        <v>1873</v>
      </c>
      <c r="D377" s="6" t="s">
        <v>1874</v>
      </c>
      <c r="E377" s="7" t="s">
        <v>1875</v>
      </c>
      <c r="F377" s="5" t="str">
        <f>IFERROR(__xludf.DUMMYFUNCTION("GOOGLEFINANCE(""NSE:""&amp;A377,""name"")"),"Britannia Industries Ltd")</f>
        <v>Britannia Industries Ltd</v>
      </c>
    </row>
    <row r="378">
      <c r="A378" s="1" t="s">
        <v>1876</v>
      </c>
      <c r="B378" s="5" t="s">
        <v>1877</v>
      </c>
      <c r="C378" s="3" t="s">
        <v>1878</v>
      </c>
      <c r="D378" s="6" t="s">
        <v>1879</v>
      </c>
      <c r="E378" s="7" t="s">
        <v>1880</v>
      </c>
      <c r="F378" s="5" t="str">
        <f>IFERROR(__xludf.DUMMYFUNCTION("GOOGLEFINANCE(""NSE:""&amp;A378,""name"")"),"Brooks Laboratories Ltd")</f>
        <v>Brooks Laboratories Ltd</v>
      </c>
    </row>
    <row r="379">
      <c r="A379" s="1" t="s">
        <v>1881</v>
      </c>
      <c r="B379" s="5" t="s">
        <v>1882</v>
      </c>
      <c r="C379" s="3" t="s">
        <v>1883</v>
      </c>
      <c r="D379" s="6" t="s">
        <v>1884</v>
      </c>
      <c r="E379" s="7" t="s">
        <v>1885</v>
      </c>
      <c r="F379" s="5" t="str">
        <f>IFERROR(__xludf.DUMMYFUNCTION("GOOGLEFINANCE(""NSE:""&amp;A379,""name"")"),"BSE Ltd")</f>
        <v>BSE Ltd</v>
      </c>
    </row>
    <row r="380">
      <c r="A380" s="1" t="s">
        <v>1886</v>
      </c>
      <c r="B380" s="5" t="s">
        <v>1887</v>
      </c>
      <c r="C380" s="3" t="s">
        <v>1888</v>
      </c>
      <c r="D380" s="6" t="s">
        <v>1889</v>
      </c>
      <c r="E380" s="7" t="s">
        <v>1890</v>
      </c>
      <c r="F380" s="5" t="str">
        <f>IFERROR(__xludf.DUMMYFUNCTION("GOOGLEFINANCE(""NSE:""&amp;A380,""name"")"),"BSL Ltd")</f>
        <v>BSL Ltd</v>
      </c>
    </row>
    <row r="381">
      <c r="A381" s="1" t="s">
        <v>1891</v>
      </c>
      <c r="B381" s="5" t="s">
        <v>1892</v>
      </c>
      <c r="C381" s="3" t="s">
        <v>1893</v>
      </c>
      <c r="D381" s="6" t="s">
        <v>1894</v>
      </c>
      <c r="E381" s="7" t="s">
        <v>1895</v>
      </c>
      <c r="F381" s="5" t="str">
        <f>IFERROR(__xludf.DUMMYFUNCTION("GOOGLEFINANCE(""NSE:""&amp;A381,""name"")"),"Butterfly Gandhimathi Appliances Ltd")</f>
        <v>Butterfly Gandhimathi Appliances Ltd</v>
      </c>
    </row>
    <row r="382">
      <c r="A382" s="1" t="s">
        <v>1896</v>
      </c>
      <c r="B382" s="5" t="s">
        <v>1897</v>
      </c>
      <c r="C382" s="3" t="s">
        <v>1898</v>
      </c>
      <c r="D382" s="6" t="s">
        <v>1899</v>
      </c>
      <c r="E382" s="7" t="s">
        <v>1900</v>
      </c>
      <c r="F382" s="5" t="str">
        <f>IFERROR(__xludf.DUMMYFUNCTION("GOOGLEFINANCE(""NSE:""&amp;A382,""name"")"),"CE Info Systems Ltd")</f>
        <v>CE Info Systems Ltd</v>
      </c>
    </row>
    <row r="383">
      <c r="A383" s="1" t="s">
        <v>1901</v>
      </c>
      <c r="B383" s="5" t="s">
        <v>1902</v>
      </c>
      <c r="C383" s="3" t="s">
        <v>1903</v>
      </c>
      <c r="D383" s="6" t="s">
        <v>1904</v>
      </c>
      <c r="E383" s="7" t="s">
        <v>1905</v>
      </c>
      <c r="F383" s="5" t="str">
        <f>IFERROR(__xludf.DUMMYFUNCTION("GOOGLEFINANCE(""NSE:""&amp;A383,""name"")"),"California Software Company Ltd")</f>
        <v>California Software Company Ltd</v>
      </c>
    </row>
    <row r="384">
      <c r="A384" s="1" t="s">
        <v>1906</v>
      </c>
      <c r="B384" s="5" t="s">
        <v>1907</v>
      </c>
      <c r="C384" s="3" t="s">
        <v>1908</v>
      </c>
      <c r="D384" s="6" t="s">
        <v>1909</v>
      </c>
      <c r="E384" s="7" t="s">
        <v>1910</v>
      </c>
      <c r="F384" s="5" t="str">
        <f>IFERROR(__xludf.DUMMYFUNCTION("GOOGLEFINANCE(""NSE:""&amp;A384,""name"")"),"Cambridge Technology Enterprises Limited")</f>
        <v>Cambridge Technology Enterprises Limited</v>
      </c>
    </row>
    <row r="385">
      <c r="A385" s="1" t="s">
        <v>1911</v>
      </c>
      <c r="B385" s="5" t="s">
        <v>1912</v>
      </c>
      <c r="C385" s="3" t="s">
        <v>1913</v>
      </c>
      <c r="D385" s="6" t="s">
        <v>1914</v>
      </c>
      <c r="E385" s="7" t="s">
        <v>1915</v>
      </c>
      <c r="F385" s="5" t="str">
        <f>IFERROR(__xludf.DUMMYFUNCTION("GOOGLEFINANCE(""NSE:""&amp;A385,""name"")"),"Camlin Fine Sciences Ltd")</f>
        <v>Camlin Fine Sciences Ltd</v>
      </c>
    </row>
    <row r="386">
      <c r="A386" s="1" t="s">
        <v>1916</v>
      </c>
      <c r="B386" s="5" t="s">
        <v>1917</v>
      </c>
      <c r="C386" s="3" t="s">
        <v>1918</v>
      </c>
      <c r="D386" s="6" t="s">
        <v>1919</v>
      </c>
      <c r="E386" s="7" t="s">
        <v>1920</v>
      </c>
      <c r="F386" s="5" t="str">
        <f>IFERROR(__xludf.DUMMYFUNCTION("GOOGLEFINANCE(""NSE:""&amp;A386,""name"")"),"Campus Activewear Ltd")</f>
        <v>Campus Activewear Ltd</v>
      </c>
    </row>
    <row r="387">
      <c r="A387" s="1" t="s">
        <v>1921</v>
      </c>
      <c r="B387" s="5" t="s">
        <v>1922</v>
      </c>
      <c r="C387" s="3" t="s">
        <v>1923</v>
      </c>
      <c r="D387" s="6" t="s">
        <v>1924</v>
      </c>
      <c r="E387" s="7" t="s">
        <v>1925</v>
      </c>
      <c r="F387" s="5" t="str">
        <f>IFERROR(__xludf.DUMMYFUNCTION("GOOGLEFINANCE(""NSE:""&amp;A387,""name"")"),"Can Fin Homes Ltd")</f>
        <v>Can Fin Homes Ltd</v>
      </c>
    </row>
    <row r="388">
      <c r="A388" s="1" t="s">
        <v>1926</v>
      </c>
      <c r="B388" s="5" t="s">
        <v>1927</v>
      </c>
      <c r="C388" s="3" t="s">
        <v>1928</v>
      </c>
      <c r="D388" s="6" t="s">
        <v>1929</v>
      </c>
      <c r="E388" s="7" t="s">
        <v>1930</v>
      </c>
      <c r="F388" s="5" t="str">
        <f>IFERROR(__xludf.DUMMYFUNCTION("GOOGLEFINANCE(""NSE:""&amp;A388,""name"")"),"Canara Bank Ltd")</f>
        <v>Canara Bank Ltd</v>
      </c>
    </row>
    <row r="389">
      <c r="A389" s="1" t="s">
        <v>1931</v>
      </c>
      <c r="B389" s="5" t="s">
        <v>1932</v>
      </c>
      <c r="C389" s="3" t="s">
        <v>1933</v>
      </c>
      <c r="D389" s="6" t="s">
        <v>1934</v>
      </c>
      <c r="E389" s="7" t="s">
        <v>1935</v>
      </c>
      <c r="F389" s="5" t="str">
        <f>IFERROR(__xludf.DUMMYFUNCTION("GOOGLEFINANCE(""NSE:""&amp;A389,""name"")"),"Canara HSBC Life Insurance Company Ltd")</f>
        <v>Canara HSBC Life Insurance Company Ltd</v>
      </c>
    </row>
    <row r="390">
      <c r="A390" s="1" t="s">
        <v>1936</v>
      </c>
      <c r="B390" s="5" t="s">
        <v>1937</v>
      </c>
      <c r="C390" s="3" t="s">
        <v>1938</v>
      </c>
      <c r="D390" s="6" t="s">
        <v>1939</v>
      </c>
      <c r="E390" s="7" t="s">
        <v>1940</v>
      </c>
      <c r="F390" s="5" t="str">
        <f>IFERROR(__xludf.DUMMYFUNCTION("GOOGLEFINANCE(""NSE:""&amp;A390,""name"")"),"Canara Robeco Asset Management Cmpny Ltd")</f>
        <v>Canara Robeco Asset Management Cmpny Ltd</v>
      </c>
    </row>
    <row r="391">
      <c r="A391" s="1" t="s">
        <v>1941</v>
      </c>
      <c r="B391" s="5" t="s">
        <v>1942</v>
      </c>
      <c r="C391" s="3" t="s">
        <v>1943</v>
      </c>
      <c r="D391" s="6" t="s">
        <v>1944</v>
      </c>
      <c r="E391" s="7" t="s">
        <v>1945</v>
      </c>
      <c r="F391" s="5" t="str">
        <f>IFERROR(__xludf.DUMMYFUNCTION("GOOGLEFINANCE(""NSE:""&amp;A391,""name"")"),"Cantabil Retail India Limited")</f>
        <v>Cantabil Retail India Limited</v>
      </c>
    </row>
    <row r="392">
      <c r="A392" s="1" t="s">
        <v>1946</v>
      </c>
      <c r="B392" s="5" t="s">
        <v>1947</v>
      </c>
      <c r="C392" s="3" t="s">
        <v>1948</v>
      </c>
      <c r="D392" s="6" t="s">
        <v>1949</v>
      </c>
      <c r="E392" s="7" t="s">
        <v>1950</v>
      </c>
      <c r="F392" s="5" t="str">
        <f>IFERROR(__xludf.DUMMYFUNCTION("GOOGLEFINANCE(""NSE:""&amp;A392,""name"")"),"Capacite Infraprojects Ltd")</f>
        <v>Capacite Infraprojects Ltd</v>
      </c>
    </row>
    <row r="393">
      <c r="A393" s="1" t="s">
        <v>1951</v>
      </c>
      <c r="B393" s="5" t="s">
        <v>1952</v>
      </c>
      <c r="C393" s="3" t="s">
        <v>1953</v>
      </c>
      <c r="D393" s="6" t="s">
        <v>1954</v>
      </c>
      <c r="E393" s="7" t="s">
        <v>1955</v>
      </c>
      <c r="F393" s="5" t="str">
        <f>IFERROR(__xludf.DUMMYFUNCTION("GOOGLEFINANCE(""NSE:""&amp;A393,""name"")"),"Capillary Technologies India Ltd")</f>
        <v>Capillary Technologies India Ltd</v>
      </c>
    </row>
    <row r="394">
      <c r="A394" s="1" t="s">
        <v>1956</v>
      </c>
      <c r="B394" s="5" t="s">
        <v>1957</v>
      </c>
      <c r="C394" s="3" t="s">
        <v>1958</v>
      </c>
      <c r="D394" s="6" t="s">
        <v>1959</v>
      </c>
      <c r="E394" s="7" t="s">
        <v>1960</v>
      </c>
      <c r="F394" s="5" t="str">
        <f>IFERROR(__xludf.DUMMYFUNCTION("GOOGLEFINANCE(""NSE:""&amp;A394,""name"")"),"Capital India Finance Ltd")</f>
        <v>Capital India Finance Ltd</v>
      </c>
    </row>
    <row r="395">
      <c r="A395" s="1" t="s">
        <v>1961</v>
      </c>
      <c r="B395" s="5" t="s">
        <v>1962</v>
      </c>
      <c r="C395" s="3" t="s">
        <v>1963</v>
      </c>
      <c r="D395" s="6" t="s">
        <v>1964</v>
      </c>
      <c r="E395" s="7" t="s">
        <v>1965</v>
      </c>
      <c r="F395" s="5" t="str">
        <f>IFERROR(__xludf.DUMMYFUNCTION("GOOGLEFINANCE(""NSE:""&amp;A395,""name"")"),"Capital Small Finance Bank Ltd")</f>
        <v>Capital Small Finance Bank Ltd</v>
      </c>
    </row>
    <row r="396">
      <c r="A396" s="1" t="s">
        <v>1966</v>
      </c>
      <c r="B396" s="5" t="s">
        <v>1967</v>
      </c>
      <c r="C396" s="3" t="s">
        <v>1968</v>
      </c>
      <c r="D396" s="6" t="s">
        <v>1969</v>
      </c>
      <c r="E396" s="7" t="s">
        <v>1970</v>
      </c>
      <c r="F396" s="5" t="str">
        <f>IFERROR(__xludf.DUMMYFUNCTION("GOOGLEFINANCE(""NSE:""&amp;A396,""name"")"),"Capital Trust Ltd")</f>
        <v>Capital Trust Ltd</v>
      </c>
    </row>
    <row r="397">
      <c r="A397" s="1" t="s">
        <v>1971</v>
      </c>
      <c r="B397" s="5" t="s">
        <v>1972</v>
      </c>
      <c r="C397" s="3" t="s">
        <v>1973</v>
      </c>
      <c r="D397" s="6" t="s">
        <v>1974</v>
      </c>
      <c r="E397" s="7" t="s">
        <v>1975</v>
      </c>
      <c r="F397" s="5" t="str">
        <f>IFERROR(__xludf.DUMMYFUNCTION("GOOGLEFINANCE(""NSE:""&amp;A397,""name"")"),"Caplin Point Laboratories Ltd")</f>
        <v>Caplin Point Laboratories Ltd</v>
      </c>
    </row>
    <row r="398">
      <c r="A398" s="1" t="s">
        <v>1976</v>
      </c>
      <c r="B398" s="5" t="s">
        <v>1977</v>
      </c>
      <c r="C398" s="3" t="s">
        <v>1978</v>
      </c>
      <c r="D398" s="6" t="s">
        <v>1979</v>
      </c>
      <c r="E398" s="7" t="s">
        <v>1980</v>
      </c>
      <c r="F398" s="5" t="str">
        <f>IFERROR(__xludf.DUMMYFUNCTION("GOOGLEFINANCE(""NSE:""&amp;A398,""name"")"),"Capri Global Capital Ltd")</f>
        <v>Capri Global Capital Ltd</v>
      </c>
    </row>
    <row r="399">
      <c r="A399" s="1" t="s">
        <v>1981</v>
      </c>
      <c r="B399" s="5" t="s">
        <v>1982</v>
      </c>
      <c r="C399" s="3" t="s">
        <v>1983</v>
      </c>
      <c r="D399" s="6" t="s">
        <v>1984</v>
      </c>
      <c r="E399" s="7" t="s">
        <v>1985</v>
      </c>
      <c r="F399" s="5" t="str">
        <f>IFERROR(__xludf.DUMMYFUNCTION("GOOGLEFINANCE(""NSE:""&amp;A399,""name"")"),"Carborundum Universal Ltd")</f>
        <v>Carborundum Universal Ltd</v>
      </c>
    </row>
    <row r="400">
      <c r="A400" s="1" t="s">
        <v>1986</v>
      </c>
      <c r="B400" s="5" t="s">
        <v>1987</v>
      </c>
      <c r="C400" s="3" t="s">
        <v>1988</v>
      </c>
      <c r="D400" s="6" t="s">
        <v>1989</v>
      </c>
      <c r="E400" s="7" t="s">
        <v>1990</v>
      </c>
      <c r="F400" s="5" t="str">
        <f>IFERROR(__xludf.DUMMYFUNCTION("GOOGLEFINANCE(""NSE:""&amp;A400,""name"")"),"Career Point Edutech Ord Shs")</f>
        <v>Career Point Edutech Ord Shs</v>
      </c>
    </row>
    <row r="401">
      <c r="A401" s="1" t="s">
        <v>1991</v>
      </c>
      <c r="B401" s="5" t="s">
        <v>1991</v>
      </c>
      <c r="C401" s="3" t="s">
        <v>1992</v>
      </c>
      <c r="D401" s="6" t="s">
        <v>1993</v>
      </c>
      <c r="E401" s="7" t="s">
        <v>1994</v>
      </c>
      <c r="F401" s="5" t="str">
        <f>IFERROR(__xludf.DUMMYFUNCTION("GOOGLEFINANCE(""NSE:""&amp;A401,""name"")"),"Carraro India Ltd")</f>
        <v>Carraro India Ltd</v>
      </c>
    </row>
    <row r="402">
      <c r="A402" s="1" t="s">
        <v>1995</v>
      </c>
      <c r="B402" s="5" t="s">
        <v>1996</v>
      </c>
      <c r="C402" s="3" t="s">
        <v>1997</v>
      </c>
      <c r="D402" s="6" t="s">
        <v>1998</v>
      </c>
      <c r="E402" s="7" t="s">
        <v>1999</v>
      </c>
      <c r="F402" s="5" t="str">
        <f>IFERROR(__xludf.DUMMYFUNCTION("GOOGLEFINANCE(""NSE:""&amp;A402,""name"")"),"Cartrade Tech Ltd")</f>
        <v>Cartrade Tech Ltd</v>
      </c>
    </row>
    <row r="403">
      <c r="A403" s="1" t="s">
        <v>2000</v>
      </c>
      <c r="B403" s="5" t="s">
        <v>2001</v>
      </c>
      <c r="C403" s="3" t="s">
        <v>2002</v>
      </c>
      <c r="D403" s="6" t="s">
        <v>2003</v>
      </c>
      <c r="E403" s="7" t="s">
        <v>2004</v>
      </c>
      <c r="F403" s="5" t="str">
        <f>IFERROR(__xludf.DUMMYFUNCTION("GOOGLEFINANCE(""NSE:""&amp;A403,""name"")"),"Carysil Ltd")</f>
        <v>Carysil Ltd</v>
      </c>
    </row>
    <row r="404">
      <c r="A404" s="1" t="s">
        <v>2005</v>
      </c>
      <c r="B404" s="5" t="s">
        <v>2006</v>
      </c>
      <c r="C404" s="3" t="s">
        <v>2007</v>
      </c>
      <c r="D404" s="6" t="s">
        <v>2008</v>
      </c>
      <c r="E404" s="7" t="s">
        <v>2009</v>
      </c>
      <c r="F404" s="5" t="str">
        <f>IFERROR(__xludf.DUMMYFUNCTION("GOOGLEFINANCE(""NSE:""&amp;A404,""name"")"),"Castrol India Ltd")</f>
        <v>Castrol India Ltd</v>
      </c>
    </row>
    <row r="405">
      <c r="A405" s="1" t="s">
        <v>2010</v>
      </c>
      <c r="B405" s="5" t="s">
        <v>2011</v>
      </c>
      <c r="C405" s="3" t="s">
        <v>2012</v>
      </c>
      <c r="D405" s="6" t="s">
        <v>2013</v>
      </c>
      <c r="E405" s="7" t="s">
        <v>2014</v>
      </c>
      <c r="F405" s="5" t="str">
        <f>IFERROR(__xludf.DUMMYFUNCTION("GOOGLEFINANCE(""NSE:""&amp;A405,""name"")"),"CCL Products (India) Ltd")</f>
        <v>CCL Products (India) Ltd</v>
      </c>
    </row>
    <row r="406">
      <c r="A406" s="1" t="s">
        <v>2015</v>
      </c>
      <c r="B406" s="5" t="s">
        <v>2016</v>
      </c>
      <c r="C406" s="3" t="s">
        <v>2017</v>
      </c>
      <c r="D406" s="6" t="s">
        <v>2018</v>
      </c>
      <c r="E406" s="7" t="s">
        <v>2019</v>
      </c>
      <c r="F406" s="5" t="str">
        <f>IFERROR(__xludf.DUMMYFUNCTION("GOOGLEFINANCE(""NSE:""&amp;A406,""name"")"),"CEAT Ltd")</f>
        <v>CEAT Ltd</v>
      </c>
    </row>
    <row r="407">
      <c r="A407" s="1" t="s">
        <v>2020</v>
      </c>
      <c r="B407" s="5" t="s">
        <v>2021</v>
      </c>
      <c r="C407" s="3" t="s">
        <v>2022</v>
      </c>
      <c r="D407" s="6" t="s">
        <v>2023</v>
      </c>
      <c r="E407" s="7" t="s">
        <v>2024</v>
      </c>
      <c r="F407" s="5" t="str">
        <f>IFERROR(__xludf.DUMMYFUNCTION("GOOGLEFINANCE(""NSE:""&amp;A407,""name"")"),"Ceigall India Ltd")</f>
        <v>Ceigall India Ltd</v>
      </c>
    </row>
    <row r="408">
      <c r="A408" s="1" t="s">
        <v>2025</v>
      </c>
      <c r="B408" s="5" t="s">
        <v>2026</v>
      </c>
      <c r="C408" s="3" t="s">
        <v>2027</v>
      </c>
      <c r="D408" s="6" t="s">
        <v>2028</v>
      </c>
      <c r="E408" s="7" t="s">
        <v>2029</v>
      </c>
      <c r="F408" s="5" t="str">
        <f>IFERROR(__xludf.DUMMYFUNCTION("GOOGLEFINANCE(""NSE:""&amp;A408,""name"")"),"Celebrity Fashions Ltd")</f>
        <v>Celebrity Fashions Ltd</v>
      </c>
    </row>
    <row r="409">
      <c r="A409" s="1" t="s">
        <v>2030</v>
      </c>
      <c r="B409" s="5" t="s">
        <v>2031</v>
      </c>
      <c r="C409" s="3" t="s">
        <v>2032</v>
      </c>
      <c r="D409" s="6" t="s">
        <v>2033</v>
      </c>
      <c r="E409" s="7" t="s">
        <v>2034</v>
      </c>
      <c r="F409" s="5" t="str">
        <f>IFERROR(__xludf.DUMMYFUNCTION("GOOGLEFINANCE(""NSE:""&amp;A409,""name"")"),"Cello World Ltd")</f>
        <v>Cello World Ltd</v>
      </c>
    </row>
    <row r="410">
      <c r="A410" s="1" t="s">
        <v>2035</v>
      </c>
      <c r="B410" s="5" t="s">
        <v>2036</v>
      </c>
      <c r="C410" s="3" t="s">
        <v>2037</v>
      </c>
      <c r="D410" s="6" t="s">
        <v>2038</v>
      </c>
      <c r="E410" s="7" t="s">
        <v>2039</v>
      </c>
      <c r="F410" s="5" t="str">
        <f>IFERROR(__xludf.DUMMYFUNCTION("GOOGLEFINANCE(""NSE:""&amp;A410,""name"")"),"Cemindia Projects Ltd")</f>
        <v>Cemindia Projects Ltd</v>
      </c>
    </row>
    <row r="411">
      <c r="A411" s="1" t="s">
        <v>2040</v>
      </c>
      <c r="B411" s="5" t="s">
        <v>2041</v>
      </c>
      <c r="C411" s="3" t="s">
        <v>2042</v>
      </c>
      <c r="D411" s="6" t="s">
        <v>2043</v>
      </c>
      <c r="E411" s="7" t="s">
        <v>2044</v>
      </c>
      <c r="F411" s="5" t="str">
        <f>IFERROR(__xludf.DUMMYFUNCTION("GOOGLEFINANCE(""NSE:""&amp;A411,""name"")"),"Central Bank of India Ltd")</f>
        <v>Central Bank of India Ltd</v>
      </c>
    </row>
    <row r="412">
      <c r="A412" s="1" t="s">
        <v>2045</v>
      </c>
      <c r="B412" s="5" t="s">
        <v>2046</v>
      </c>
      <c r="C412" s="3" t="s">
        <v>2047</v>
      </c>
      <c r="D412" s="6" t="s">
        <v>2048</v>
      </c>
      <c r="E412" s="7" t="s">
        <v>2049</v>
      </c>
      <c r="F412" s="5" t="str">
        <f>IFERROR(__xludf.DUMMYFUNCTION("GOOGLEFINANCE(""NSE:""&amp;A412,""name"")"),"Central Depository Services (India) Ltd")</f>
        <v>Central Depository Services (India) Ltd</v>
      </c>
    </row>
    <row r="413">
      <c r="A413" s="1" t="s">
        <v>2050</v>
      </c>
      <c r="B413" s="5" t="s">
        <v>2051</v>
      </c>
      <c r="C413" s="3" t="s">
        <v>2052</v>
      </c>
      <c r="D413" s="6" t="s">
        <v>2053</v>
      </c>
      <c r="E413" s="7" t="s">
        <v>2054</v>
      </c>
      <c r="F413" s="5" t="str">
        <f>IFERROR(__xludf.DUMMYFUNCTION("GOOGLEFINANCE(""NSE:""&amp;A413,""name"")"),"Centrum Capital Ltd")</f>
        <v>Centrum Capital Ltd</v>
      </c>
    </row>
    <row r="414">
      <c r="A414" s="1" t="s">
        <v>2055</v>
      </c>
      <c r="B414" s="5" t="s">
        <v>2056</v>
      </c>
      <c r="C414" s="3" t="s">
        <v>2057</v>
      </c>
      <c r="D414" s="6" t="s">
        <v>2058</v>
      </c>
      <c r="E414" s="7" t="s">
        <v>2059</v>
      </c>
      <c r="F414" s="5" t="str">
        <f>IFERROR(__xludf.DUMMYFUNCTION("GOOGLEFINANCE(""NSE:""&amp;A414,""name"")"),"Centum Electronics Ltd")</f>
        <v>Centum Electronics Ltd</v>
      </c>
    </row>
    <row r="415">
      <c r="A415" s="1" t="s">
        <v>2060</v>
      </c>
      <c r="B415" s="5" t="s">
        <v>2061</v>
      </c>
      <c r="C415" s="3" t="s">
        <v>2062</v>
      </c>
      <c r="D415" s="6" t="s">
        <v>2063</v>
      </c>
      <c r="E415" s="7" t="s">
        <v>2064</v>
      </c>
      <c r="F415" s="5" t="str">
        <f>IFERROR(__xludf.DUMMYFUNCTION("GOOGLEFINANCE(""NSE:""&amp;A415,""name"")"),"Century Enka Ltd")</f>
        <v>Century Enka Ltd</v>
      </c>
    </row>
    <row r="416">
      <c r="A416" s="1" t="s">
        <v>2065</v>
      </c>
      <c r="B416" s="5" t="s">
        <v>2066</v>
      </c>
      <c r="C416" s="3" t="s">
        <v>2067</v>
      </c>
      <c r="D416" s="6" t="s">
        <v>2068</v>
      </c>
      <c r="E416" s="7" t="s">
        <v>2069</v>
      </c>
      <c r="F416" s="5" t="str">
        <f>IFERROR(__xludf.DUMMYFUNCTION("GOOGLEFINANCE(""NSE:""&amp;A416,""name"")"),"Century Extrusions Ltd")</f>
        <v>Century Extrusions Ltd</v>
      </c>
    </row>
    <row r="417">
      <c r="A417" s="1" t="s">
        <v>2070</v>
      </c>
      <c r="B417" s="5" t="s">
        <v>2071</v>
      </c>
      <c r="C417" s="3" t="s">
        <v>2072</v>
      </c>
      <c r="D417" s="6" t="s">
        <v>2073</v>
      </c>
      <c r="E417" s="7" t="s">
        <v>2074</v>
      </c>
      <c r="F417" s="5" t="str">
        <f>IFERROR(__xludf.DUMMYFUNCTION("GOOGLEFINANCE(""NSE:""&amp;A417,""name"")"),"Century Plyboards (India) Ltd")</f>
        <v>Century Plyboards (India) Ltd</v>
      </c>
    </row>
    <row r="418">
      <c r="A418" s="1" t="s">
        <v>2075</v>
      </c>
      <c r="B418" s="5" t="s">
        <v>2076</v>
      </c>
      <c r="C418" s="3" t="s">
        <v>2077</v>
      </c>
      <c r="D418" s="6" t="s">
        <v>2078</v>
      </c>
      <c r="E418" s="7" t="s">
        <v>2079</v>
      </c>
      <c r="F418" s="5" t="str">
        <f>IFERROR(__xludf.DUMMYFUNCTION("GOOGLEFINANCE(""NSE:""&amp;A418,""name"")"),"Cera Sanitaryware Ltd")</f>
        <v>Cera Sanitaryware Ltd</v>
      </c>
    </row>
    <row r="419">
      <c r="A419" s="1" t="s">
        <v>2080</v>
      </c>
      <c r="B419" s="5" t="s">
        <v>2081</v>
      </c>
      <c r="C419" s="3" t="s">
        <v>2082</v>
      </c>
      <c r="D419" s="6" t="s">
        <v>2083</v>
      </c>
      <c r="E419" s="7" t="s">
        <v>2084</v>
      </c>
      <c r="F419" s="5" t="str">
        <f>IFERROR(__xludf.DUMMYFUNCTION("GOOGLEFINANCE(""NSE:""&amp;A419,""name"")"),"Cerebra Integrated Technologies Ltd")</f>
        <v>Cerebra Integrated Technologies Ltd</v>
      </c>
    </row>
    <row r="420">
      <c r="A420" s="1" t="s">
        <v>2085</v>
      </c>
      <c r="B420" s="5" t="s">
        <v>2086</v>
      </c>
      <c r="C420" s="3" t="s">
        <v>2087</v>
      </c>
      <c r="D420" s="6" t="s">
        <v>2088</v>
      </c>
      <c r="E420" s="7" t="s">
        <v>2089</v>
      </c>
      <c r="F420" s="5" t="str">
        <f>IFERROR(__xludf.DUMMYFUNCTION("GOOGLEFINANCE(""NSE:""&amp;A420,""name"")"),"CESC Ltd")</f>
        <v>CESC Ltd</v>
      </c>
    </row>
    <row r="421">
      <c r="A421" s="1" t="s">
        <v>2090</v>
      </c>
      <c r="B421" s="5" t="s">
        <v>2091</v>
      </c>
      <c r="C421" s="3" t="s">
        <v>2092</v>
      </c>
      <c r="D421" s="6" t="s">
        <v>2093</v>
      </c>
      <c r="E421" s="7" t="s">
        <v>2094</v>
      </c>
      <c r="F421" s="5" t="str">
        <f>IFERROR(__xludf.DUMMYFUNCTION("GOOGLEFINANCE(""NSE:""&amp;A421,""name"")"),"CG Power and Industrial Solutions Ltd")</f>
        <v>CG Power and Industrial Solutions Ltd</v>
      </c>
    </row>
    <row r="422">
      <c r="A422" s="1" t="s">
        <v>2095</v>
      </c>
      <c r="B422" s="5" t="s">
        <v>2096</v>
      </c>
      <c r="C422" s="3" t="s">
        <v>2097</v>
      </c>
      <c r="D422" s="6" t="s">
        <v>2098</v>
      </c>
      <c r="E422" s="7" t="s">
        <v>2099</v>
      </c>
      <c r="F422" s="5" t="str">
        <f>IFERROR(__xludf.DUMMYFUNCTION("GOOGLEFINANCE(""NSE:""&amp;A422,""name"")"),"Chalet Hotels Ltd")</f>
        <v>Chalet Hotels Ltd</v>
      </c>
    </row>
    <row r="423">
      <c r="A423" s="1" t="s">
        <v>2100</v>
      </c>
      <c r="B423" s="5" t="s">
        <v>2101</v>
      </c>
      <c r="C423" s="3" t="s">
        <v>2102</v>
      </c>
      <c r="D423" s="6" t="s">
        <v>2103</v>
      </c>
      <c r="E423" s="7" t="s">
        <v>2104</v>
      </c>
      <c r="F423" s="5" t="str">
        <f>IFERROR(__xludf.DUMMYFUNCTION("GOOGLEFINANCE(""NSE:""&amp;A423,""name"")"),"Chaman Lal Setia Exports Ltd")</f>
        <v>Chaman Lal Setia Exports Ltd</v>
      </c>
    </row>
    <row r="424">
      <c r="A424" s="1" t="s">
        <v>2105</v>
      </c>
      <c r="B424" s="5" t="s">
        <v>2106</v>
      </c>
      <c r="C424" s="3" t="s">
        <v>2107</v>
      </c>
      <c r="D424" s="6" t="s">
        <v>2108</v>
      </c>
      <c r="E424" s="7" t="s">
        <v>2109</v>
      </c>
      <c r="F424" s="5" t="str">
        <f>IFERROR(__xludf.DUMMYFUNCTION("GOOGLEFINANCE(""NSE:""&amp;A424,""name"")"),"Chambal Fertilisers and Chemicals Ltd")</f>
        <v>Chambal Fertilisers and Chemicals Ltd</v>
      </c>
    </row>
    <row r="425">
      <c r="A425" s="1" t="s">
        <v>2110</v>
      </c>
      <c r="B425" s="5" t="s">
        <v>2111</v>
      </c>
      <c r="C425" s="3" t="s">
        <v>2112</v>
      </c>
      <c r="D425" s="6" t="s">
        <v>2113</v>
      </c>
      <c r="E425" s="7" t="s">
        <v>2114</v>
      </c>
      <c r="F425" s="5" t="str">
        <f>IFERROR(__xludf.DUMMYFUNCTION("GOOGLEFINANCE(""NSE:""&amp;A425,""name"")"),"Chembond Chemicals Ltd")</f>
        <v>Chembond Chemicals Ltd</v>
      </c>
    </row>
    <row r="426">
      <c r="A426" s="1" t="s">
        <v>2115</v>
      </c>
      <c r="B426" s="5" t="s">
        <v>2116</v>
      </c>
      <c r="C426" s="3" t="s">
        <v>2117</v>
      </c>
      <c r="D426" s="6" t="s">
        <v>2118</v>
      </c>
      <c r="E426" s="7" t="s">
        <v>2119</v>
      </c>
      <c r="F426" s="5" t="str">
        <f>IFERROR(__xludf.DUMMYFUNCTION("GOOGLEFINANCE(""NSE:""&amp;A426,""name"")"),"Chembond Material Technologies Ltd")</f>
        <v>Chembond Material Technologies Ltd</v>
      </c>
    </row>
    <row r="427">
      <c r="A427" s="1" t="s">
        <v>2120</v>
      </c>
      <c r="B427" s="5" t="s">
        <v>2121</v>
      </c>
      <c r="C427" s="3" t="s">
        <v>2122</v>
      </c>
      <c r="D427" s="6" t="s">
        <v>2123</v>
      </c>
      <c r="E427" s="7" t="s">
        <v>2124</v>
      </c>
      <c r="F427" s="5" t="str">
        <f>IFERROR(__xludf.DUMMYFUNCTION("GOOGLEFINANCE(""NSE:""&amp;A427,""name"")"),"Chemcon Speciality Chemicals Ltd")</f>
        <v>Chemcon Speciality Chemicals Ltd</v>
      </c>
    </row>
    <row r="428">
      <c r="A428" s="1" t="s">
        <v>2125</v>
      </c>
      <c r="B428" s="5" t="s">
        <v>2126</v>
      </c>
      <c r="C428" s="3" t="s">
        <v>2127</v>
      </c>
      <c r="D428" s="6" t="s">
        <v>2128</v>
      </c>
      <c r="E428" s="7" t="s">
        <v>2129</v>
      </c>
      <c r="F428" s="5" t="str">
        <f>IFERROR(__xludf.DUMMYFUNCTION("GOOGLEFINANCE(""NSE:""&amp;A428,""name"")"),"Chemfab Alkalis Ltd")</f>
        <v>Chemfab Alkalis Ltd</v>
      </c>
    </row>
    <row r="429">
      <c r="A429" s="1" t="s">
        <v>2130</v>
      </c>
      <c r="B429" s="5" t="s">
        <v>2131</v>
      </c>
      <c r="C429" s="3" t="s">
        <v>2132</v>
      </c>
      <c r="D429" s="6" t="s">
        <v>2133</v>
      </c>
      <c r="E429" s="7" t="s">
        <v>2134</v>
      </c>
      <c r="F429" s="5" t="str">
        <f>IFERROR(__xludf.DUMMYFUNCTION("GOOGLEFINANCE(""NSE:""&amp;A429,""name"")"),"Chemplast Sanmar Ltd")</f>
        <v>Chemplast Sanmar Ltd</v>
      </c>
    </row>
    <row r="430">
      <c r="A430" s="1" t="s">
        <v>2135</v>
      </c>
      <c r="B430" s="5" t="s">
        <v>2136</v>
      </c>
      <c r="C430" s="3" t="s">
        <v>2137</v>
      </c>
      <c r="D430" s="6" t="s">
        <v>2138</v>
      </c>
      <c r="E430" s="7" t="s">
        <v>2139</v>
      </c>
      <c r="F430" s="5" t="str">
        <f>IFERROR(__xludf.DUMMYFUNCTION("GOOGLEFINANCE(""NSE:""&amp;A430,""name"")"),"Chennai Petroleum Corporation Ltd")</f>
        <v>Chennai Petroleum Corporation Ltd</v>
      </c>
    </row>
    <row r="431">
      <c r="A431" s="1" t="s">
        <v>2140</v>
      </c>
      <c r="B431" s="5" t="s">
        <v>2141</v>
      </c>
      <c r="C431" s="3" t="s">
        <v>2142</v>
      </c>
      <c r="D431" s="6" t="s">
        <v>2143</v>
      </c>
      <c r="E431" s="7" t="s">
        <v>2144</v>
      </c>
      <c r="F431" s="5" t="str">
        <f>IFERROR(__xludf.DUMMYFUNCTION("GOOGLEFINANCE(""NSE:""&amp;A431,""name"")"),"Cheviot Co Ltd")</f>
        <v>Cheviot Co Ltd</v>
      </c>
    </row>
    <row r="432">
      <c r="A432" s="1" t="s">
        <v>2145</v>
      </c>
      <c r="B432" s="5" t="s">
        <v>2146</v>
      </c>
      <c r="C432" s="3" t="s">
        <v>2147</v>
      </c>
      <c r="D432" s="6" t="s">
        <v>2148</v>
      </c>
      <c r="E432" s="7" t="s">
        <v>2149</v>
      </c>
      <c r="F432" s="5" t="str">
        <f>IFERROR(__xludf.DUMMYFUNCTION("GOOGLEFINANCE(""NSE:""&amp;A432,""name"")"),"Choice Gold ETF")</f>
        <v>Choice Gold ETF</v>
      </c>
    </row>
    <row r="433">
      <c r="A433" s="1" t="s">
        <v>2150</v>
      </c>
      <c r="B433" s="5" t="s">
        <v>2151</v>
      </c>
      <c r="C433" s="3" t="s">
        <v>2152</v>
      </c>
      <c r="D433" s="6" t="s">
        <v>2153</v>
      </c>
      <c r="E433" s="7" t="s">
        <v>2154</v>
      </c>
      <c r="F433" s="5" t="str">
        <f>IFERROR(__xludf.DUMMYFUNCTION("GOOGLEFINANCE(""NSE:""&amp;A433,""name"")"),"Choice International Ltd")</f>
        <v>Choice International Ltd</v>
      </c>
    </row>
    <row r="434">
      <c r="A434" s="1" t="s">
        <v>2155</v>
      </c>
      <c r="B434" s="5" t="s">
        <v>2156</v>
      </c>
      <c r="C434" s="3" t="s">
        <v>2157</v>
      </c>
      <c r="D434" s="6" t="s">
        <v>2158</v>
      </c>
      <c r="E434" s="7" t="s">
        <v>2159</v>
      </c>
      <c r="F434" s="5" t="str">
        <f>IFERROR(__xludf.DUMMYFUNCTION("GOOGLEFINANCE(""NSE:""&amp;A434,""name"")"),"Cholamandalam Financial Holdings Ltd")</f>
        <v>Cholamandalam Financial Holdings Ltd</v>
      </c>
    </row>
    <row r="435">
      <c r="A435" s="1" t="s">
        <v>2160</v>
      </c>
      <c r="B435" s="5" t="s">
        <v>2161</v>
      </c>
      <c r="C435" s="3" t="s">
        <v>2162</v>
      </c>
      <c r="D435" s="6" t="s">
        <v>2163</v>
      </c>
      <c r="E435" s="7" t="s">
        <v>2164</v>
      </c>
      <c r="F435" s="5" t="str">
        <f>IFERROR(__xludf.DUMMYFUNCTION("GOOGLEFINANCE(""NSE:""&amp;A435,""name"")"),"Cholamandalam Investment and Fin Co Ltd")</f>
        <v>Cholamandalam Investment and Fin Co Ltd</v>
      </c>
    </row>
    <row r="436">
      <c r="A436" s="1" t="s">
        <v>2165</v>
      </c>
      <c r="B436" s="5" t="s">
        <v>2166</v>
      </c>
      <c r="C436" s="3" t="s">
        <v>2167</v>
      </c>
      <c r="D436" s="6" t="s">
        <v>2168</v>
      </c>
      <c r="E436" s="7" t="s">
        <v>2169</v>
      </c>
      <c r="F436" s="5" t="str">
        <f>IFERROR(__xludf.DUMMYFUNCTION("GOOGLEFINANCE(""NSE:""&amp;A436,""name"")"),"CIE Automotive India Ltd")</f>
        <v>CIE Automotive India Ltd</v>
      </c>
    </row>
    <row r="437">
      <c r="A437" s="1" t="s">
        <v>2170</v>
      </c>
      <c r="B437" s="5" t="s">
        <v>2171</v>
      </c>
      <c r="C437" s="3" t="s">
        <v>2172</v>
      </c>
      <c r="D437" s="6" t="s">
        <v>2173</v>
      </c>
      <c r="E437" s="7" t="s">
        <v>2174</v>
      </c>
      <c r="F437" s="5" t="str">
        <f>IFERROR(__xludf.DUMMYFUNCTION("GOOGLEFINANCE(""NSE:""&amp;A437,""name"")"),"Cigniti Technologies Ltd")</f>
        <v>Cigniti Technologies Ltd</v>
      </c>
    </row>
    <row r="438">
      <c r="A438" s="1" t="s">
        <v>2175</v>
      </c>
      <c r="B438" s="5" t="s">
        <v>2176</v>
      </c>
      <c r="C438" s="3" t="s">
        <v>2177</v>
      </c>
      <c r="D438" s="6" t="s">
        <v>2178</v>
      </c>
      <c r="E438" s="7" t="s">
        <v>2179</v>
      </c>
      <c r="F438" s="5" t="str">
        <f>IFERROR(__xludf.DUMMYFUNCTION("GOOGLEFINANCE(""NSE:""&amp;A438,""name"")"),"Cineline India Ltd")</f>
        <v>Cineline India Ltd</v>
      </c>
    </row>
    <row r="439">
      <c r="A439" s="1" t="s">
        <v>2180</v>
      </c>
      <c r="B439" s="5" t="s">
        <v>2181</v>
      </c>
      <c r="C439" s="3" t="s">
        <v>2182</v>
      </c>
      <c r="D439" s="6" t="s">
        <v>2183</v>
      </c>
      <c r="E439" s="7" t="s">
        <v>2184</v>
      </c>
      <c r="F439" s="5" t="str">
        <f>IFERROR(__xludf.DUMMYFUNCTION("GOOGLEFINANCE(""NSE:""&amp;A439,""name"")"),"Cinevista Ltd")</f>
        <v>Cinevista Ltd</v>
      </c>
    </row>
    <row r="440">
      <c r="A440" s="1" t="s">
        <v>2185</v>
      </c>
      <c r="B440" s="5" t="s">
        <v>2186</v>
      </c>
      <c r="C440" s="3" t="s">
        <v>2187</v>
      </c>
      <c r="D440" s="6" t="s">
        <v>2188</v>
      </c>
      <c r="E440" s="7" t="s">
        <v>2189</v>
      </c>
      <c r="F440" s="5" t="str">
        <f>IFERROR(__xludf.DUMMYFUNCTION("GOOGLEFINANCE(""NSE:""&amp;A440,""name"")"),"Cipla Ltd")</f>
        <v>Cipla Ltd</v>
      </c>
    </row>
    <row r="441">
      <c r="A441" s="1" t="s">
        <v>2190</v>
      </c>
      <c r="B441" s="5" t="s">
        <v>2191</v>
      </c>
      <c r="C441" s="3" t="s">
        <v>2192</v>
      </c>
      <c r="D441" s="6" t="s">
        <v>2193</v>
      </c>
      <c r="E441" s="7" t="s">
        <v>2194</v>
      </c>
      <c r="F441" s="5" t="str">
        <f>IFERROR(__xludf.DUMMYFUNCTION("GOOGLEFINANCE(""NSE:""&amp;A441,""name"")"),"City Union Bank Ltd")</f>
        <v>City Union Bank Ltd</v>
      </c>
    </row>
    <row r="442">
      <c r="A442" s="1" t="s">
        <v>2195</v>
      </c>
      <c r="B442" s="5" t="s">
        <v>2196</v>
      </c>
      <c r="C442" s="3" t="s">
        <v>2197</v>
      </c>
      <c r="D442" s="6" t="s">
        <v>2198</v>
      </c>
      <c r="E442" s="7" t="s">
        <v>2199</v>
      </c>
      <c r="F442" s="5" t="str">
        <f>IFERROR(__xludf.DUMMYFUNCTION("GOOGLEFINANCE(""NSE:""&amp;A442,""name"")"),"CL Educate Ltd")</f>
        <v>CL Educate Ltd</v>
      </c>
    </row>
    <row r="443">
      <c r="A443" s="1" t="s">
        <v>2200</v>
      </c>
      <c r="B443" s="5" t="s">
        <v>2201</v>
      </c>
      <c r="C443" s="3" t="s">
        <v>2202</v>
      </c>
      <c r="D443" s="6" t="s">
        <v>2203</v>
      </c>
      <c r="E443" s="7" t="s">
        <v>2204</v>
      </c>
      <c r="F443" s="5" t="str">
        <f>IFERROR(__xludf.DUMMYFUNCTION("GOOGLEFINANCE(""NSE:""&amp;A443,""name"")"),"Clean Science and Technology Ltd")</f>
        <v>Clean Science and Technology Ltd</v>
      </c>
    </row>
    <row r="444">
      <c r="A444" s="1" t="s">
        <v>2205</v>
      </c>
      <c r="B444" s="5" t="s">
        <v>2206</v>
      </c>
      <c r="C444" s="3" t="s">
        <v>2207</v>
      </c>
      <c r="D444" s="6" t="s">
        <v>2208</v>
      </c>
      <c r="E444" s="7" t="s">
        <v>2209</v>
      </c>
      <c r="F444" s="5" t="str">
        <f>IFERROR(__xludf.DUMMYFUNCTION("GOOGLEFINANCE(""NSE:""&amp;A444,""name"")"),"Cms Info Systems Ltd")</f>
        <v>Cms Info Systems Ltd</v>
      </c>
    </row>
    <row r="445">
      <c r="A445" s="1" t="s">
        <v>2210</v>
      </c>
      <c r="B445" s="5" t="s">
        <v>2210</v>
      </c>
      <c r="C445" s="3" t="s">
        <v>2211</v>
      </c>
      <c r="D445" s="6" t="s">
        <v>2212</v>
      </c>
      <c r="E445" s="7" t="s">
        <v>2213</v>
      </c>
      <c r="F445" s="5" t="str">
        <f>IFERROR(__xludf.DUMMYFUNCTION("GOOGLEFINANCE(""NSE:""&amp;A445,""name"")"),"#N/A")</f>
        <v>#N/A</v>
      </c>
    </row>
    <row r="446">
      <c r="A446" s="1" t="s">
        <v>2214</v>
      </c>
      <c r="B446" s="5" t="s">
        <v>2214</v>
      </c>
      <c r="C446" s="3" t="s">
        <v>2215</v>
      </c>
      <c r="D446" s="6" t="s">
        <v>2216</v>
      </c>
      <c r="E446" s="7" t="s">
        <v>2217</v>
      </c>
      <c r="F446" s="5" t="str">
        <f>IFERROR(__xludf.DUMMYFUNCTION("GOOGLEFINANCE(""NSE:""&amp;A446,""name"")"),"#N/A")</f>
        <v>#N/A</v>
      </c>
    </row>
    <row r="447">
      <c r="A447" s="1" t="s">
        <v>2218</v>
      </c>
      <c r="B447" s="5" t="s">
        <v>2218</v>
      </c>
      <c r="C447" s="3" t="s">
        <v>2219</v>
      </c>
      <c r="D447" s="6" t="s">
        <v>2220</v>
      </c>
      <c r="E447" s="7" t="s">
        <v>2221</v>
      </c>
      <c r="F447" s="5" t="str">
        <f>IFERROR(__xludf.DUMMYFUNCTION("GOOGLEFINANCE(""NSE:""&amp;A447,""name"")"),"#N/A")</f>
        <v>#N/A</v>
      </c>
    </row>
    <row r="448">
      <c r="A448" s="1" t="s">
        <v>2222</v>
      </c>
      <c r="B448" s="5" t="s">
        <v>2222</v>
      </c>
      <c r="C448" s="3" t="s">
        <v>2223</v>
      </c>
      <c r="D448" s="6" t="s">
        <v>2224</v>
      </c>
      <c r="E448" s="7" t="s">
        <v>2225</v>
      </c>
      <c r="F448" s="5" t="str">
        <f>IFERROR(__xludf.DUMMYFUNCTION("GOOGLEFINANCE(""NSE:""&amp;A448,""name"")"),"#N/A")</f>
        <v>#N/A</v>
      </c>
    </row>
    <row r="449">
      <c r="A449" s="1" t="s">
        <v>2226</v>
      </c>
      <c r="B449" s="5" t="s">
        <v>2226</v>
      </c>
      <c r="C449" s="3" t="s">
        <v>2227</v>
      </c>
      <c r="D449" s="6" t="s">
        <v>2228</v>
      </c>
      <c r="E449" s="7" t="s">
        <v>2229</v>
      </c>
      <c r="F449" s="5" t="str">
        <f>IFERROR(__xludf.DUMMYFUNCTION("GOOGLEFINANCE(""NSE:""&amp;A449,""name"")"),"#N/A")</f>
        <v>#N/A</v>
      </c>
    </row>
    <row r="450">
      <c r="A450" s="1" t="s">
        <v>2230</v>
      </c>
      <c r="B450" s="5" t="s">
        <v>2230</v>
      </c>
      <c r="C450" s="3" t="s">
        <v>2231</v>
      </c>
      <c r="D450" s="6" t="s">
        <v>2232</v>
      </c>
      <c r="E450" s="7" t="s">
        <v>2233</v>
      </c>
      <c r="F450" s="5" t="str">
        <f>IFERROR(__xludf.DUMMYFUNCTION("GOOGLEFINANCE(""NSE:""&amp;A450,""name"")"),"#N/A")</f>
        <v>#N/A</v>
      </c>
    </row>
    <row r="451">
      <c r="A451" s="1" t="s">
        <v>2234</v>
      </c>
      <c r="B451" s="5" t="s">
        <v>2234</v>
      </c>
      <c r="C451" s="3" t="s">
        <v>2235</v>
      </c>
      <c r="D451" s="6" t="s">
        <v>2236</v>
      </c>
      <c r="E451" s="7" t="s">
        <v>2237</v>
      </c>
      <c r="F451" s="5" t="str">
        <f>IFERROR(__xludf.DUMMYFUNCTION("GOOGLEFINANCE(""NSE:""&amp;A451,""name"")"),"#N/A")</f>
        <v>#N/A</v>
      </c>
    </row>
    <row r="452">
      <c r="A452" s="1" t="s">
        <v>2238</v>
      </c>
      <c r="B452" s="5" t="s">
        <v>2238</v>
      </c>
      <c r="C452" s="3" t="s">
        <v>2239</v>
      </c>
      <c r="D452" s="6" t="s">
        <v>2240</v>
      </c>
      <c r="E452" s="7" t="s">
        <v>2241</v>
      </c>
      <c r="F452" s="5" t="str">
        <f>IFERROR(__xludf.DUMMYFUNCTION("GOOGLEFINANCE(""NSE:""&amp;A452,""name"")"),"#N/A")</f>
        <v>#N/A</v>
      </c>
    </row>
    <row r="453">
      <c r="A453" s="1" t="s">
        <v>2242</v>
      </c>
      <c r="B453" s="5" t="s">
        <v>2242</v>
      </c>
      <c r="C453" s="3" t="s">
        <v>2243</v>
      </c>
      <c r="D453" s="6" t="s">
        <v>2244</v>
      </c>
      <c r="E453" s="7" t="s">
        <v>2245</v>
      </c>
      <c r="F453" s="5" t="str">
        <f>IFERROR(__xludf.DUMMYFUNCTION("GOOGLEFINANCE(""NSE:""&amp;A453,""name"")"),"#N/A")</f>
        <v>#N/A</v>
      </c>
    </row>
    <row r="454">
      <c r="A454" s="1" t="s">
        <v>2246</v>
      </c>
      <c r="B454" s="5" t="s">
        <v>2247</v>
      </c>
      <c r="C454" s="3" t="s">
        <v>2248</v>
      </c>
      <c r="D454" s="6" t="s">
        <v>2249</v>
      </c>
      <c r="E454" s="7" t="s">
        <v>2250</v>
      </c>
      <c r="F454" s="5" t="str">
        <f>IFERROR(__xludf.DUMMYFUNCTION("GOOGLEFINANCE(""NSE:""&amp;A454,""name"")"),"Coal India Ltd")</f>
        <v>Coal India Ltd</v>
      </c>
    </row>
    <row r="455">
      <c r="A455" s="1" t="s">
        <v>2251</v>
      </c>
      <c r="B455" s="5" t="s">
        <v>2252</v>
      </c>
      <c r="C455" s="3" t="s">
        <v>2253</v>
      </c>
      <c r="D455" s="6" t="s">
        <v>2254</v>
      </c>
      <c r="E455" s="7" t="s">
        <v>2255</v>
      </c>
      <c r="F455" s="5" t="str">
        <f>IFERROR(__xludf.DUMMYFUNCTION("GOOGLEFINANCE(""NSE:""&amp;A455,""name"")"),"Coastal Corporation Ltd")</f>
        <v>Coastal Corporation Ltd</v>
      </c>
    </row>
    <row r="456">
      <c r="A456" s="1" t="s">
        <v>2256</v>
      </c>
      <c r="B456" s="5" t="s">
        <v>2257</v>
      </c>
      <c r="C456" s="3" t="s">
        <v>2258</v>
      </c>
      <c r="D456" s="6" t="s">
        <v>2259</v>
      </c>
      <c r="E456" s="7" t="s">
        <v>2260</v>
      </c>
      <c r="F456" s="5" t="str">
        <f>IFERROR(__xludf.DUMMYFUNCTION("GOOGLEFINANCE(""NSE:""&amp;A456,""name"")"),"Cochin Shipyard Ltd")</f>
        <v>Cochin Shipyard Ltd</v>
      </c>
    </row>
    <row r="457">
      <c r="A457" s="1" t="s">
        <v>2261</v>
      </c>
      <c r="B457" s="5" t="s">
        <v>2262</v>
      </c>
      <c r="C457" s="3" t="s">
        <v>2263</v>
      </c>
      <c r="D457" s="6" t="s">
        <v>2264</v>
      </c>
      <c r="E457" s="7" t="s">
        <v>2265</v>
      </c>
      <c r="F457" s="5" t="str">
        <f>IFERROR(__xludf.DUMMYFUNCTION("GOOGLEFINANCE(""NSE:""&amp;A457,""name"")"),"Coffee Day Enterprises Ltd")</f>
        <v>Coffee Day Enterprises Ltd</v>
      </c>
    </row>
    <row r="458">
      <c r="A458" s="1" t="s">
        <v>2266</v>
      </c>
      <c r="B458" s="5" t="s">
        <v>2267</v>
      </c>
      <c r="C458" s="3" t="s">
        <v>2268</v>
      </c>
      <c r="D458" s="6" t="s">
        <v>2269</v>
      </c>
      <c r="E458" s="7" t="s">
        <v>2270</v>
      </c>
      <c r="F458" s="5" t="str">
        <f>IFERROR(__xludf.DUMMYFUNCTION("GOOGLEFINANCE(""NSE:""&amp;A458,""name"")"),"Coforge Ltd")</f>
        <v>Coforge Ltd</v>
      </c>
    </row>
    <row r="459">
      <c r="A459" s="1" t="s">
        <v>2271</v>
      </c>
      <c r="B459" s="5" t="s">
        <v>2272</v>
      </c>
      <c r="C459" s="3" t="s">
        <v>2273</v>
      </c>
      <c r="D459" s="6" t="s">
        <v>2274</v>
      </c>
      <c r="E459" s="7" t="s">
        <v>2275</v>
      </c>
      <c r="F459" s="5" t="str">
        <f>IFERROR(__xludf.DUMMYFUNCTION("GOOGLEFINANCE(""NSE:""&amp;A459,""name"")"),"Cohance Lifesciences Ltd")</f>
        <v>Cohance Lifesciences Ltd</v>
      </c>
    </row>
    <row r="460">
      <c r="A460" s="1" t="s">
        <v>2276</v>
      </c>
      <c r="B460" s="5" t="s">
        <v>2277</v>
      </c>
      <c r="C460" s="3" t="s">
        <v>2278</v>
      </c>
      <c r="D460" s="6" t="s">
        <v>2279</v>
      </c>
      <c r="E460" s="7" t="s">
        <v>2280</v>
      </c>
      <c r="F460" s="5" t="str">
        <f>IFERROR(__xludf.DUMMYFUNCTION("GOOGLEFINANCE(""NSE:""&amp;A460,""name"")"),"Colgate-Palmolive (India) Ltd")</f>
        <v>Colgate-Palmolive (India) Ltd</v>
      </c>
    </row>
    <row r="461">
      <c r="A461" s="1" t="s">
        <v>2281</v>
      </c>
      <c r="B461" s="5" t="s">
        <v>2282</v>
      </c>
      <c r="C461" s="3" t="s">
        <v>2283</v>
      </c>
      <c r="D461" s="6" t="s">
        <v>2284</v>
      </c>
      <c r="E461" s="7" t="s">
        <v>2285</v>
      </c>
      <c r="F461" s="5" t="str">
        <f>IFERROR(__xludf.DUMMYFUNCTION("GOOGLEFINANCE(""NSE:""&amp;A461,""name"")"),"Commercial Syn Bags Ltd")</f>
        <v>Commercial Syn Bags Ltd</v>
      </c>
    </row>
    <row r="462">
      <c r="A462" s="1" t="s">
        <v>2286</v>
      </c>
      <c r="B462" s="5" t="s">
        <v>2287</v>
      </c>
      <c r="C462" s="3" t="s">
        <v>2288</v>
      </c>
      <c r="D462" s="6" t="s">
        <v>2289</v>
      </c>
      <c r="E462" s="7" t="s">
        <v>2290</v>
      </c>
      <c r="F462" s="5" t="str">
        <f>IFERROR(__xludf.DUMMYFUNCTION("GOOGLEFINANCE(""NSE:""&amp;A462,""name"")"),"Compucom Software Ltd")</f>
        <v>Compucom Software Ltd</v>
      </c>
    </row>
    <row r="463">
      <c r="A463" s="1" t="s">
        <v>2291</v>
      </c>
      <c r="B463" s="5" t="s">
        <v>2292</v>
      </c>
      <c r="C463" s="3" t="s">
        <v>2293</v>
      </c>
      <c r="D463" s="6" t="s">
        <v>2294</v>
      </c>
      <c r="E463" s="7" t="s">
        <v>2295</v>
      </c>
      <c r="F463" s="5" t="str">
        <f>IFERROR(__xludf.DUMMYFUNCTION("GOOGLEFINANCE(""NSE:""&amp;A463,""name"")"),"Computer Age Management Services Ltd")</f>
        <v>Computer Age Management Services Ltd</v>
      </c>
    </row>
    <row r="464">
      <c r="A464" s="1" t="s">
        <v>2296</v>
      </c>
      <c r="B464" s="5" t="s">
        <v>2297</v>
      </c>
      <c r="C464" s="3" t="s">
        <v>2298</v>
      </c>
      <c r="D464" s="6" t="s">
        <v>2299</v>
      </c>
      <c r="E464" s="7" t="s">
        <v>2300</v>
      </c>
      <c r="F464" s="5" t="str">
        <f>IFERROR(__xludf.DUMMYFUNCTION("GOOGLEFINANCE(""NSE:""&amp;A464,""name"")"),"Concord Biotech Ltd")</f>
        <v>Concord Biotech Ltd</v>
      </c>
    </row>
    <row r="465">
      <c r="A465" s="1" t="s">
        <v>2301</v>
      </c>
      <c r="B465" s="5" t="s">
        <v>2302</v>
      </c>
      <c r="C465" s="3" t="s">
        <v>2303</v>
      </c>
      <c r="D465" s="6" t="s">
        <v>2304</v>
      </c>
      <c r="E465" s="7" t="s">
        <v>2305</v>
      </c>
      <c r="F465" s="5" t="str">
        <f>IFERROR(__xludf.DUMMYFUNCTION("GOOGLEFINANCE(""NSE:""&amp;A465,""name"")"),"Concord Enviro Systems Ltd")</f>
        <v>Concord Enviro Systems Ltd</v>
      </c>
    </row>
    <row r="466">
      <c r="A466" s="1" t="s">
        <v>2306</v>
      </c>
      <c r="B466" s="5" t="s">
        <v>2307</v>
      </c>
      <c r="C466" s="3" t="s">
        <v>2308</v>
      </c>
      <c r="D466" s="6" t="s">
        <v>2309</v>
      </c>
      <c r="E466" s="7" t="s">
        <v>2310</v>
      </c>
      <c r="F466" s="5" t="str">
        <f>IFERROR(__xludf.DUMMYFUNCTION("GOOGLEFINANCE(""NSE:""&amp;A466,""name"")"),"Confidence Petroleum India Ltd")</f>
        <v>Confidence Petroleum India Ltd</v>
      </c>
    </row>
    <row r="467">
      <c r="A467" s="1" t="s">
        <v>2311</v>
      </c>
      <c r="B467" s="5" t="s">
        <v>2312</v>
      </c>
      <c r="C467" s="3" t="s">
        <v>2313</v>
      </c>
      <c r="D467" s="6" t="s">
        <v>2314</v>
      </c>
      <c r="E467" s="7" t="s">
        <v>2315</v>
      </c>
      <c r="F467" s="5" t="str">
        <f>IFERROR(__xludf.DUMMYFUNCTION("GOOGLEFINANCE(""NSE:""&amp;A467,""name"")"),"Consolidated Construction Consortium Ltd")</f>
        <v>Consolidated Construction Consortium Ltd</v>
      </c>
    </row>
    <row r="468">
      <c r="A468" s="1" t="s">
        <v>2316</v>
      </c>
      <c r="B468" s="5" t="s">
        <v>2317</v>
      </c>
      <c r="C468" s="3" t="s">
        <v>2318</v>
      </c>
      <c r="D468" s="6" t="s">
        <v>2319</v>
      </c>
      <c r="E468" s="7" t="s">
        <v>2320</v>
      </c>
      <c r="F468" s="5" t="str">
        <f>IFERROR(__xludf.DUMMYFUNCTION("GOOGLEFINANCE(""NSE:""&amp;A468,""name"")"),"Consolidated Finvest &amp; Holdings Ltd")</f>
        <v>Consolidated Finvest &amp; Holdings Ltd</v>
      </c>
    </row>
    <row r="469">
      <c r="A469" s="1" t="s">
        <v>2321</v>
      </c>
      <c r="B469" s="5" t="s">
        <v>2322</v>
      </c>
      <c r="C469" s="3" t="s">
        <v>2323</v>
      </c>
      <c r="D469" s="6" t="s">
        <v>2324</v>
      </c>
      <c r="E469" s="7" t="s">
        <v>2325</v>
      </c>
      <c r="F469" s="5" t="str">
        <f>IFERROR(__xludf.DUMMYFUNCTION("GOOGLEFINANCE(""NSE:""&amp;A469,""name"")"),"Container Corporation of India Ltd")</f>
        <v>Container Corporation of India Ltd</v>
      </c>
    </row>
    <row r="470">
      <c r="A470" s="1" t="s">
        <v>2326</v>
      </c>
      <c r="B470" s="5" t="s">
        <v>2327</v>
      </c>
      <c r="C470" s="3" t="s">
        <v>2328</v>
      </c>
      <c r="D470" s="6" t="s">
        <v>2329</v>
      </c>
      <c r="E470" s="7" t="s">
        <v>2330</v>
      </c>
      <c r="F470" s="5" t="str">
        <f>IFERROR(__xludf.DUMMYFUNCTION("GOOGLEFINANCE(""NSE:""&amp;A470,""name"")"),"Control Print Ltd")</f>
        <v>Control Print Ltd</v>
      </c>
    </row>
    <row r="471">
      <c r="A471" s="1" t="s">
        <v>2331</v>
      </c>
      <c r="B471" s="5" t="s">
        <v>2332</v>
      </c>
      <c r="C471" s="3" t="s">
        <v>2333</v>
      </c>
      <c r="D471" s="6" t="s">
        <v>2334</v>
      </c>
      <c r="E471" s="7" t="s">
        <v>2335</v>
      </c>
      <c r="F471" s="5" t="str">
        <f>IFERROR(__xludf.DUMMYFUNCTION("GOOGLEFINANCE(""NSE:""&amp;A471,""name"")"),"Coral India Finance and Housing Ltd")</f>
        <v>Coral India Finance and Housing Ltd</v>
      </c>
    </row>
    <row r="472">
      <c r="A472" s="1" t="s">
        <v>2336</v>
      </c>
      <c r="B472" s="5" t="s">
        <v>2337</v>
      </c>
      <c r="C472" s="3" t="s">
        <v>2338</v>
      </c>
      <c r="D472" s="6" t="s">
        <v>2339</v>
      </c>
      <c r="E472" s="7" t="s">
        <v>2340</v>
      </c>
      <c r="F472" s="5" t="str">
        <f>IFERROR(__xludf.DUMMYFUNCTION("GOOGLEFINANCE(""NSE:""&amp;A472,""name"")"),"Cords Cable Industries Ltd.")</f>
        <v>Cords Cable Industries Ltd.</v>
      </c>
    </row>
    <row r="473">
      <c r="A473" s="1" t="s">
        <v>2341</v>
      </c>
      <c r="B473" s="5" t="s">
        <v>2342</v>
      </c>
      <c r="C473" s="3" t="s">
        <v>2343</v>
      </c>
      <c r="D473" s="6" t="s">
        <v>2344</v>
      </c>
      <c r="E473" s="7" t="s">
        <v>2345</v>
      </c>
      <c r="F473" s="5" t="str">
        <f>IFERROR(__xludf.DUMMYFUNCTION("GOOGLEFINANCE(""NSE:""&amp;A473,""name"")"),"Coromandel International Ltd")</f>
        <v>Coromandel International Ltd</v>
      </c>
    </row>
    <row r="474">
      <c r="A474" s="1" t="s">
        <v>2346</v>
      </c>
      <c r="B474" s="5" t="s">
        <v>2347</v>
      </c>
      <c r="C474" s="3" t="s">
        <v>2348</v>
      </c>
      <c r="D474" s="6" t="s">
        <v>2349</v>
      </c>
      <c r="E474" s="7" t="s">
        <v>2350</v>
      </c>
      <c r="F474" s="5" t="str">
        <f>IFERROR(__xludf.DUMMYFUNCTION("GOOGLEFINANCE(""NSE:""&amp;A474,""name"")"),"Cosmo First Ltd")</f>
        <v>Cosmo First Ltd</v>
      </c>
    </row>
    <row r="475">
      <c r="A475" s="1" t="s">
        <v>2351</v>
      </c>
      <c r="B475" s="5" t="s">
        <v>2352</v>
      </c>
      <c r="C475" s="3" t="s">
        <v>2353</v>
      </c>
      <c r="D475" s="6" t="s">
        <v>2354</v>
      </c>
      <c r="E475" s="7" t="s">
        <v>2355</v>
      </c>
      <c r="F475" s="5" t="str">
        <f>IFERROR(__xludf.DUMMYFUNCTION("GOOGLEFINANCE(""NSE:""&amp;A475,""name"")"),"Country Club Hospitality &amp; Holidays Ltd")</f>
        <v>Country Club Hospitality &amp; Holidays Ltd</v>
      </c>
    </row>
    <row r="476">
      <c r="A476" s="1" t="s">
        <v>2356</v>
      </c>
      <c r="B476" s="5" t="s">
        <v>2357</v>
      </c>
      <c r="C476" s="3" t="s">
        <v>2358</v>
      </c>
      <c r="D476" s="6" t="s">
        <v>2359</v>
      </c>
      <c r="E476" s="7" t="s">
        <v>2360</v>
      </c>
      <c r="F476" s="5" t="str">
        <f>IFERROR(__xludf.DUMMYFUNCTION("GOOGLEFINANCE(""NSE:""&amp;A476,""name"")"),"Country Condo's Ltd")</f>
        <v>Country Condo's Ltd</v>
      </c>
    </row>
    <row r="477">
      <c r="A477" s="1" t="s">
        <v>2361</v>
      </c>
      <c r="B477" s="5" t="s">
        <v>2362</v>
      </c>
      <c r="C477" s="3" t="s">
        <v>2363</v>
      </c>
      <c r="D477" s="6" t="s">
        <v>2364</v>
      </c>
      <c r="E477" s="7" t="s">
        <v>2365</v>
      </c>
      <c r="F477" s="5" t="str">
        <f>IFERROR(__xludf.DUMMYFUNCTION("GOOGLEFINANCE(""NSE:""&amp;A477,""name"")"),"CP Capital Ltd")</f>
        <v>CP Capital Ltd</v>
      </c>
    </row>
    <row r="478">
      <c r="A478" s="1" t="s">
        <v>2366</v>
      </c>
      <c r="B478" s="5" t="s">
        <v>2367</v>
      </c>
      <c r="C478" s="3" t="s">
        <v>2368</v>
      </c>
      <c r="D478" s="6" t="s">
        <v>2369</v>
      </c>
      <c r="E478" s="7" t="s">
        <v>2370</v>
      </c>
      <c r="F478" s="5" t="str">
        <f>IFERROR(__xludf.DUMMYFUNCTION("GOOGLEFINANCE(""NSE:""&amp;A478,""name"")"),"Cpse Etf")</f>
        <v>Cpse Etf</v>
      </c>
    </row>
    <row r="479">
      <c r="A479" s="1" t="s">
        <v>2371</v>
      </c>
      <c r="B479" s="5" t="s">
        <v>2372</v>
      </c>
      <c r="C479" s="3" t="s">
        <v>2373</v>
      </c>
      <c r="D479" s="6" t="s">
        <v>2374</v>
      </c>
      <c r="E479" s="7" t="s">
        <v>2375</v>
      </c>
      <c r="F479" s="5" t="str">
        <f>IFERROR(__xludf.DUMMYFUNCTION("GOOGLEFINANCE(""NSE:""&amp;A479,""name"")"),"Craftsman Automation Ltd")</f>
        <v>Craftsman Automation Ltd</v>
      </c>
    </row>
    <row r="480">
      <c r="A480" s="1" t="s">
        <v>2376</v>
      </c>
      <c r="B480" s="5" t="s">
        <v>2377</v>
      </c>
      <c r="C480" s="3" t="s">
        <v>2378</v>
      </c>
      <c r="D480" s="6" t="s">
        <v>2379</v>
      </c>
      <c r="E480" s="7" t="s">
        <v>2380</v>
      </c>
      <c r="F480" s="5" t="str">
        <f>IFERROR(__xludf.DUMMYFUNCTION("GOOGLEFINANCE(""NSE:""&amp;A480,""name"")"),"Creative Eye Ltd")</f>
        <v>Creative Eye Ltd</v>
      </c>
    </row>
    <row r="481">
      <c r="A481" s="1" t="s">
        <v>2381</v>
      </c>
      <c r="B481" s="5" t="s">
        <v>2382</v>
      </c>
      <c r="C481" s="3" t="s">
        <v>2383</v>
      </c>
      <c r="D481" s="6" t="s">
        <v>2384</v>
      </c>
      <c r="E481" s="7" t="s">
        <v>2385</v>
      </c>
      <c r="F481" s="5" t="str">
        <f>IFERROR(__xludf.DUMMYFUNCTION("GOOGLEFINANCE(""NSE:""&amp;A481,""name"")"),"CARE Ratings Ltd")</f>
        <v>CARE Ratings Ltd</v>
      </c>
    </row>
    <row r="482">
      <c r="A482" s="1" t="s">
        <v>2386</v>
      </c>
      <c r="B482" s="5" t="s">
        <v>2387</v>
      </c>
      <c r="C482" s="3" t="s">
        <v>2388</v>
      </c>
      <c r="D482" s="6" t="s">
        <v>2389</v>
      </c>
      <c r="E482" s="7" t="s">
        <v>2390</v>
      </c>
      <c r="F482" s="5" t="str">
        <f>IFERROR(__xludf.DUMMYFUNCTION("GOOGLEFINANCE(""NSE:""&amp;A482,""name"")"),"CreditAccess Grameen Ltd")</f>
        <v>CreditAccess Grameen Ltd</v>
      </c>
    </row>
    <row r="483">
      <c r="A483" s="1" t="s">
        <v>2391</v>
      </c>
      <c r="B483" s="5" t="s">
        <v>2392</v>
      </c>
      <c r="C483" s="3" t="s">
        <v>2393</v>
      </c>
      <c r="D483" s="6" t="s">
        <v>2394</v>
      </c>
      <c r="E483" s="7" t="s">
        <v>2395</v>
      </c>
      <c r="F483" s="5" t="str">
        <f>IFERROR(__xludf.DUMMYFUNCTION("GOOGLEFINANCE(""NSE:""&amp;A483,""name"")"),"Credo Brands Marketing Ltd")</f>
        <v>Credo Brands Marketing Ltd</v>
      </c>
    </row>
    <row r="484">
      <c r="A484" s="1" t="s">
        <v>2396</v>
      </c>
      <c r="B484" s="5" t="s">
        <v>2397</v>
      </c>
      <c r="C484" s="3" t="s">
        <v>2398</v>
      </c>
      <c r="D484" s="6" t="s">
        <v>2399</v>
      </c>
      <c r="E484" s="7" t="s">
        <v>2400</v>
      </c>
      <c r="F484" s="5" t="str">
        <f>IFERROR(__xludf.DUMMYFUNCTION("GOOGLEFINANCE(""NSE:""&amp;A484,""name"")"),"Crest Ventures Ltd")</f>
        <v>Crest Ventures Ltd</v>
      </c>
    </row>
    <row r="485">
      <c r="A485" s="1" t="s">
        <v>2401</v>
      </c>
      <c r="B485" s="5" t="s">
        <v>2402</v>
      </c>
      <c r="C485" s="3" t="s">
        <v>2403</v>
      </c>
      <c r="D485" s="6" t="s">
        <v>2404</v>
      </c>
      <c r="E485" s="7" t="s">
        <v>2405</v>
      </c>
      <c r="F485" s="5" t="str">
        <f>IFERROR(__xludf.DUMMYFUNCTION("GOOGLEFINANCE(""NSE:""&amp;A485,""name"")"),"Crisil Ltd")</f>
        <v>Crisil Ltd</v>
      </c>
    </row>
    <row r="486">
      <c r="A486" s="1" t="s">
        <v>2406</v>
      </c>
      <c r="B486" s="5" t="s">
        <v>2407</v>
      </c>
      <c r="C486" s="3" t="s">
        <v>2408</v>
      </c>
      <c r="D486" s="6" t="s">
        <v>2409</v>
      </c>
      <c r="E486" s="7" t="s">
        <v>2410</v>
      </c>
      <c r="F486" s="5" t="str">
        <f>IFERROR(__xludf.DUMMYFUNCTION("GOOGLEFINANCE(""NSE:""&amp;A486,""name"")"),"Crizac Ltd")</f>
        <v>Crizac Ltd</v>
      </c>
    </row>
    <row r="487">
      <c r="A487" s="1" t="s">
        <v>2411</v>
      </c>
      <c r="B487" s="5" t="s">
        <v>2412</v>
      </c>
      <c r="C487" s="3" t="s">
        <v>2413</v>
      </c>
      <c r="D487" s="6" t="s">
        <v>2414</v>
      </c>
      <c r="E487" s="7" t="s">
        <v>2415</v>
      </c>
      <c r="F487" s="5" t="str">
        <f>IFERROR(__xludf.DUMMYFUNCTION("GOOGLEFINANCE(""NSE:""&amp;A487,""name"")"),"Crompton Greaves Consumer Electricls Ltd")</f>
        <v>Crompton Greaves Consumer Electricls Ltd</v>
      </c>
    </row>
    <row r="488">
      <c r="A488" s="1" t="s">
        <v>2416</v>
      </c>
      <c r="B488" s="5" t="s">
        <v>2417</v>
      </c>
      <c r="C488" s="3" t="s">
        <v>2418</v>
      </c>
      <c r="D488" s="6" t="s">
        <v>2419</v>
      </c>
      <c r="E488" s="7" t="s">
        <v>2420</v>
      </c>
      <c r="F488" s="5" t="str">
        <f>IFERROR(__xludf.DUMMYFUNCTION("GOOGLEFINANCE(""NSE:""&amp;A488,""name"")"),"Crown Lifters Ltd")</f>
        <v>Crown Lifters Ltd</v>
      </c>
    </row>
    <row r="489">
      <c r="A489" s="1" t="s">
        <v>2421</v>
      </c>
      <c r="B489" s="5" t="s">
        <v>2422</v>
      </c>
      <c r="C489" s="3" t="s">
        <v>2423</v>
      </c>
      <c r="D489" s="6" t="s">
        <v>2424</v>
      </c>
      <c r="E489" s="7" t="s">
        <v>2425</v>
      </c>
      <c r="F489" s="5" t="str">
        <f>IFERROR(__xludf.DUMMYFUNCTION("GOOGLEFINANCE(""NSE:""&amp;A489,""name"")"),"CSB Bank Ltd")</f>
        <v>CSB Bank Ltd</v>
      </c>
    </row>
    <row r="490">
      <c r="A490" s="1" t="s">
        <v>2426</v>
      </c>
      <c r="B490" s="5" t="s">
        <v>2427</v>
      </c>
      <c r="C490" s="3" t="s">
        <v>2428</v>
      </c>
      <c r="D490" s="6" t="s">
        <v>2429</v>
      </c>
      <c r="E490" s="7" t="s">
        <v>2430</v>
      </c>
      <c r="F490" s="5" t="str">
        <f>IFERROR(__xludf.DUMMYFUNCTION("GOOGLEFINANCE(""NSE:""&amp;A490,""name"")"),"CSL Finance Ltd")</f>
        <v>CSL Finance Ltd</v>
      </c>
    </row>
    <row r="491">
      <c r="A491" s="1" t="s">
        <v>2431</v>
      </c>
      <c r="B491" s="5" t="s">
        <v>2432</v>
      </c>
      <c r="C491" s="3" t="s">
        <v>2433</v>
      </c>
      <c r="D491" s="6" t="s">
        <v>2434</v>
      </c>
      <c r="E491" s="7" t="s">
        <v>2435</v>
      </c>
      <c r="F491" s="5" t="str">
        <f>IFERROR(__xludf.DUMMYFUNCTION("GOOGLEFINANCE(""NSE:""&amp;A491,""name"")"),"Cubex Tubings Ltd")</f>
        <v>Cubex Tubings Ltd</v>
      </c>
    </row>
    <row r="492">
      <c r="A492" s="1" t="s">
        <v>2436</v>
      </c>
      <c r="B492" s="5" t="s">
        <v>2437</v>
      </c>
      <c r="C492" s="3" t="s">
        <v>2438</v>
      </c>
      <c r="D492" s="6" t="s">
        <v>2439</v>
      </c>
      <c r="E492" s="7" t="s">
        <v>2440</v>
      </c>
      <c r="F492" s="5" t="str">
        <f>IFERROR(__xludf.DUMMYFUNCTION("GOOGLEFINANCE(""NSE:""&amp;A492,""name"")"),"Cummins India Ltd")</f>
        <v>Cummins India Ltd</v>
      </c>
    </row>
    <row r="493">
      <c r="A493" s="1" t="s">
        <v>2441</v>
      </c>
      <c r="B493" s="5" t="s">
        <v>2442</v>
      </c>
      <c r="C493" s="3" t="s">
        <v>2443</v>
      </c>
      <c r="D493" s="6" t="s">
        <v>2444</v>
      </c>
      <c r="E493" s="7" t="s">
        <v>2445</v>
      </c>
      <c r="F493" s="5" t="str">
        <f>IFERROR(__xludf.DUMMYFUNCTION("GOOGLEFINANCE(""NSE:""&amp;A493,""name"")"),"Cupid Ltd")</f>
        <v>Cupid Ltd</v>
      </c>
    </row>
    <row r="494">
      <c r="A494" s="1" t="s">
        <v>2446</v>
      </c>
      <c r="B494" s="5" t="s">
        <v>2447</v>
      </c>
      <c r="C494" s="3" t="s">
        <v>2448</v>
      </c>
      <c r="D494" s="6" t="s">
        <v>2449</v>
      </c>
      <c r="E494" s="7" t="s">
        <v>2450</v>
      </c>
      <c r="F494" s="5" t="str">
        <f>IFERROR(__xludf.DUMMYFUNCTION("GOOGLEFINANCE(""NSE:""&amp;A494,""name"")"),"Cura Technologies Ltd")</f>
        <v>Cura Technologies Ltd</v>
      </c>
    </row>
    <row r="495">
      <c r="A495" s="1" t="s">
        <v>2451</v>
      </c>
      <c r="B495" s="5" t="s">
        <v>2452</v>
      </c>
      <c r="C495" s="3" t="s">
        <v>2453</v>
      </c>
      <c r="D495" s="6" t="s">
        <v>2454</v>
      </c>
      <c r="E495" s="7" t="s">
        <v>2455</v>
      </c>
      <c r="F495" s="5" t="str">
        <f>IFERROR(__xludf.DUMMYFUNCTION("GOOGLEFINANCE(""NSE:""&amp;A495,""name"")"),"Cyber Media (India) Ltd")</f>
        <v>Cyber Media (India) Ltd</v>
      </c>
    </row>
    <row r="496">
      <c r="A496" s="1" t="s">
        <v>2456</v>
      </c>
      <c r="B496" s="5" t="s">
        <v>2457</v>
      </c>
      <c r="C496" s="3" t="s">
        <v>2458</v>
      </c>
      <c r="D496" s="6" t="s">
        <v>2459</v>
      </c>
      <c r="E496" s="7" t="s">
        <v>2460</v>
      </c>
      <c r="F496" s="5" t="str">
        <f>IFERROR(__xludf.DUMMYFUNCTION("GOOGLEFINANCE(""NSE:""&amp;A496,""name"")"),"Cybertech Systems and Software Ltd")</f>
        <v>Cybertech Systems and Software Ltd</v>
      </c>
    </row>
    <row r="497">
      <c r="A497" s="1" t="s">
        <v>2461</v>
      </c>
      <c r="B497" s="5" t="s">
        <v>2462</v>
      </c>
      <c r="C497" s="3" t="s">
        <v>2463</v>
      </c>
      <c r="D497" s="6" t="s">
        <v>2464</v>
      </c>
      <c r="E497" s="7" t="s">
        <v>2465</v>
      </c>
      <c r="F497" s="5" t="str">
        <f>IFERROR(__xludf.DUMMYFUNCTION("GOOGLEFINANCE(""NSE:""&amp;A497,""name"")"),"Cyient DLM Ltd")</f>
        <v>Cyient DLM Ltd</v>
      </c>
    </row>
    <row r="498">
      <c r="A498" s="1" t="s">
        <v>2466</v>
      </c>
      <c r="B498" s="5" t="s">
        <v>2467</v>
      </c>
      <c r="C498" s="3" t="s">
        <v>2468</v>
      </c>
      <c r="D498" s="6" t="s">
        <v>2469</v>
      </c>
      <c r="E498" s="7" t="s">
        <v>2470</v>
      </c>
      <c r="F498" s="5" t="str">
        <f>IFERROR(__xludf.DUMMYFUNCTION("GOOGLEFINANCE(""NSE:""&amp;A498,""name"")"),"Cyient Ltd")</f>
        <v>Cyient Ltd</v>
      </c>
    </row>
    <row r="499">
      <c r="A499" s="1" t="s">
        <v>2471</v>
      </c>
      <c r="B499" s="5" t="s">
        <v>2472</v>
      </c>
      <c r="C499" s="3" t="s">
        <v>2473</v>
      </c>
      <c r="D499" s="6" t="s">
        <v>2474</v>
      </c>
      <c r="E499" s="7" t="s">
        <v>2475</v>
      </c>
      <c r="F499" s="5" t="str">
        <f>IFERROR(__xludf.DUMMYFUNCTION("GOOGLEFINANCE(""NSE:""&amp;A499,""name"")"),"Valor Estate Ltd")</f>
        <v>Valor Estate Ltd</v>
      </c>
    </row>
    <row r="500">
      <c r="A500" s="1" t="s">
        <v>2476</v>
      </c>
      <c r="B500" s="5" t="s">
        <v>2477</v>
      </c>
      <c r="C500" s="3" t="s">
        <v>2478</v>
      </c>
      <c r="D500" s="6" t="s">
        <v>2479</v>
      </c>
      <c r="E500" s="7" t="s">
        <v>2480</v>
      </c>
      <c r="F500" s="5" t="str">
        <f>IFERROR(__xludf.DUMMYFUNCTION("GOOGLEFINANCE(""NSE:""&amp;A500,""name"")"),"D P Wires Ltd")</f>
        <v>D P Wires Ltd</v>
      </c>
    </row>
    <row r="501">
      <c r="A501" s="1" t="s">
        <v>2481</v>
      </c>
      <c r="B501" s="5" t="s">
        <v>2482</v>
      </c>
      <c r="C501" s="3" t="s">
        <v>2483</v>
      </c>
      <c r="D501" s="6" t="s">
        <v>2484</v>
      </c>
      <c r="E501" s="7" t="s">
        <v>2485</v>
      </c>
      <c r="F501" s="5" t="str">
        <f>IFERROR(__xludf.DUMMYFUNCTION("GOOGLEFINANCE(""NSE:""&amp;A501,""name"")"),"D Link (India) Limited")</f>
        <v>D Link (India) Limited</v>
      </c>
    </row>
    <row r="502">
      <c r="A502" s="1" t="s">
        <v>2486</v>
      </c>
      <c r="B502" s="5" t="s">
        <v>2487</v>
      </c>
      <c r="C502" s="3" t="s">
        <v>2488</v>
      </c>
      <c r="D502" s="6" t="s">
        <v>2489</v>
      </c>
      <c r="E502" s="7" t="s">
        <v>2490</v>
      </c>
      <c r="F502" s="5" t="str">
        <f>IFERROR(__xludf.DUMMYFUNCTION("GOOGLEFINANCE(""NSE:""&amp;A502,""name"")"),"DB Corp Ltd")</f>
        <v>DB Corp Ltd</v>
      </c>
    </row>
    <row r="503">
      <c r="A503" s="1" t="s">
        <v>2491</v>
      </c>
      <c r="B503" s="5" t="s">
        <v>2492</v>
      </c>
      <c r="C503" s="3" t="s">
        <v>2493</v>
      </c>
      <c r="D503" s="6" t="s">
        <v>2494</v>
      </c>
      <c r="E503" s="7" t="s">
        <v>2495</v>
      </c>
      <c r="F503" s="5" t="str">
        <f>IFERROR(__xludf.DUMMYFUNCTION("GOOGLEFINANCE(""NSE:""&amp;A503,""name"")"),"D P Abhushan Ltd")</f>
        <v>D P Abhushan Ltd</v>
      </c>
    </row>
    <row r="504">
      <c r="A504" s="1" t="s">
        <v>2496</v>
      </c>
      <c r="B504" s="5" t="s">
        <v>2497</v>
      </c>
      <c r="C504" s="3" t="s">
        <v>2498</v>
      </c>
      <c r="D504" s="6" t="s">
        <v>2499</v>
      </c>
      <c r="E504" s="7" t="s">
        <v>2500</v>
      </c>
      <c r="F504" s="5" t="str">
        <f>IFERROR(__xludf.DUMMYFUNCTION("GOOGLEFINANCE(""NSE:""&amp;A504,""name"")"),"Dabur India Ltd")</f>
        <v>Dabur India Ltd</v>
      </c>
    </row>
    <row r="505">
      <c r="A505" s="1" t="s">
        <v>2501</v>
      </c>
      <c r="B505" s="5" t="s">
        <v>2502</v>
      </c>
      <c r="C505" s="3" t="s">
        <v>2503</v>
      </c>
      <c r="D505" s="6" t="s">
        <v>2504</v>
      </c>
      <c r="E505" s="7" t="s">
        <v>2505</v>
      </c>
      <c r="F505" s="5" t="str">
        <f>IFERROR(__xludf.DUMMYFUNCTION("GOOGLEFINANCE(""NSE:""&amp;A505,""name"")"),"Dalmia Bharat Ltd")</f>
        <v>Dalmia Bharat Ltd</v>
      </c>
    </row>
    <row r="506">
      <c r="A506" s="1" t="s">
        <v>2506</v>
      </c>
      <c r="B506" s="5" t="s">
        <v>2507</v>
      </c>
      <c r="C506" s="3" t="s">
        <v>2508</v>
      </c>
      <c r="D506" s="6" t="s">
        <v>2509</v>
      </c>
      <c r="E506" s="7" t="s">
        <v>2510</v>
      </c>
      <c r="F506" s="5" t="str">
        <f>IFERROR(__xludf.DUMMYFUNCTION("GOOGLEFINANCE(""NSE:""&amp;A506,""name"")"),"Dalmia Bharat Sugar and Industries Ltd")</f>
        <v>Dalmia Bharat Sugar and Industries Ltd</v>
      </c>
    </row>
    <row r="507">
      <c r="A507" s="1" t="s">
        <v>2511</v>
      </c>
      <c r="B507" s="5" t="s">
        <v>2512</v>
      </c>
      <c r="C507" s="3" t="s">
        <v>2513</v>
      </c>
      <c r="D507" s="6" t="s">
        <v>2514</v>
      </c>
      <c r="E507" s="7" t="s">
        <v>2515</v>
      </c>
      <c r="F507" s="5" t="str">
        <f>IFERROR(__xludf.DUMMYFUNCTION("GOOGLEFINANCE(""NSE:""&amp;A507,""name"")"),"DAM Capital Advisors Ltd")</f>
        <v>DAM Capital Advisors Ltd</v>
      </c>
    </row>
    <row r="508">
      <c r="A508" s="1" t="s">
        <v>2516</v>
      </c>
      <c r="B508" s="5" t="s">
        <v>2517</v>
      </c>
      <c r="C508" s="3" t="s">
        <v>2518</v>
      </c>
      <c r="D508" s="6" t="s">
        <v>2519</v>
      </c>
      <c r="E508" s="7" t="s">
        <v>2520</v>
      </c>
      <c r="F508" s="5" t="str">
        <f>IFERROR(__xludf.DUMMYFUNCTION("GOOGLEFINANCE(""NSE:""&amp;A508,""name"")"),"Damodar Industries Ltd")</f>
        <v>Damodar Industries Ltd</v>
      </c>
    </row>
    <row r="509">
      <c r="A509" s="1" t="s">
        <v>2521</v>
      </c>
      <c r="B509" s="5" t="s">
        <v>2522</v>
      </c>
      <c r="C509" s="3" t="s">
        <v>2523</v>
      </c>
      <c r="D509" s="6" t="s">
        <v>2524</v>
      </c>
      <c r="E509" s="7" t="s">
        <v>2525</v>
      </c>
      <c r="F509" s="5" t="str">
        <f>IFERROR(__xludf.DUMMYFUNCTION("GOOGLEFINANCE(""NSE:""&amp;A509,""name"")"),"Data Patterns (India) Ltd")</f>
        <v>Data Patterns (India) Ltd</v>
      </c>
    </row>
    <row r="510">
      <c r="A510" s="1" t="s">
        <v>2526</v>
      </c>
      <c r="B510" s="5" t="s">
        <v>2527</v>
      </c>
      <c r="C510" s="3" t="s">
        <v>2528</v>
      </c>
      <c r="D510" s="6" t="s">
        <v>2529</v>
      </c>
      <c r="E510" s="7" t="s">
        <v>2530</v>
      </c>
      <c r="F510" s="5" t="str">
        <f>IFERROR(__xludf.DUMMYFUNCTION("GOOGLEFINANCE(""NSE:""&amp;A510,""name"")"),"Datamatics Global Services Ltd")</f>
        <v>Datamatics Global Services Ltd</v>
      </c>
    </row>
    <row r="511">
      <c r="A511" s="1" t="s">
        <v>2531</v>
      </c>
      <c r="B511" s="5" t="s">
        <v>2532</v>
      </c>
      <c r="C511" s="3" t="s">
        <v>2533</v>
      </c>
      <c r="D511" s="6" t="s">
        <v>2534</v>
      </c>
      <c r="E511" s="7" t="s">
        <v>2535</v>
      </c>
      <c r="F511" s="5" t="str">
        <f>IFERROR(__xludf.DUMMYFUNCTION("GOOGLEFINANCE(""NSE:""&amp;A511,""name"")"),"DB (International) Stock Brokers Ltd")</f>
        <v>DB (International) Stock Brokers Ltd</v>
      </c>
    </row>
    <row r="512">
      <c r="A512" s="1" t="s">
        <v>2536</v>
      </c>
      <c r="B512" s="5" t="s">
        <v>2537</v>
      </c>
      <c r="C512" s="3" t="s">
        <v>2538</v>
      </c>
      <c r="D512" s="6" t="s">
        <v>2539</v>
      </c>
      <c r="E512" s="7" t="s">
        <v>2540</v>
      </c>
      <c r="F512" s="5" t="str">
        <f>IFERROR(__xludf.DUMMYFUNCTION("GOOGLEFINANCE(""NSE:""&amp;A512,""name"")"),"Dc Infotech And Communication Ltd")</f>
        <v>Dc Infotech And Communication Ltd</v>
      </c>
    </row>
    <row r="513">
      <c r="A513" s="1" t="s">
        <v>2541</v>
      </c>
      <c r="B513" s="5" t="s">
        <v>2542</v>
      </c>
      <c r="C513" s="3" t="s">
        <v>2543</v>
      </c>
      <c r="D513" s="6" t="s">
        <v>2544</v>
      </c>
      <c r="E513" s="7" t="s">
        <v>2545</v>
      </c>
      <c r="F513" s="5" t="str">
        <f>IFERROR(__xludf.DUMMYFUNCTION("GOOGLEFINANCE(""NSE:""&amp;A513,""name"")"),"DCB Bank Ltd")</f>
        <v>DCB Bank Ltd</v>
      </c>
    </row>
    <row r="514">
      <c r="A514" s="1" t="s">
        <v>2546</v>
      </c>
      <c r="B514" s="5" t="s">
        <v>2547</v>
      </c>
      <c r="C514" s="3" t="s">
        <v>2548</v>
      </c>
      <c r="D514" s="6" t="s">
        <v>2549</v>
      </c>
      <c r="E514" s="7" t="s">
        <v>2550</v>
      </c>
      <c r="F514" s="5" t="str">
        <f>IFERROR(__xludf.DUMMYFUNCTION("GOOGLEFINANCE(""NSE:""&amp;A514,""name"")"),"DCM Ltd")</f>
        <v>DCM Ltd</v>
      </c>
    </row>
    <row r="515">
      <c r="A515" s="1" t="s">
        <v>2551</v>
      </c>
      <c r="B515" s="5" t="s">
        <v>2552</v>
      </c>
      <c r="C515" s="3" t="s">
        <v>2553</v>
      </c>
      <c r="D515" s="6" t="s">
        <v>2554</v>
      </c>
      <c r="E515" s="7" t="s">
        <v>2555</v>
      </c>
      <c r="F515" s="5" t="str">
        <f>IFERROR(__xludf.DUMMYFUNCTION("GOOGLEFINANCE(""NSE:""&amp;A515,""name"")"),"DCM Nouvelle Ltd")</f>
        <v>DCM Nouvelle Ltd</v>
      </c>
    </row>
    <row r="516">
      <c r="A516" s="1" t="s">
        <v>2556</v>
      </c>
      <c r="B516" s="5" t="s">
        <v>2557</v>
      </c>
      <c r="C516" s="3" t="s">
        <v>2558</v>
      </c>
      <c r="D516" s="6" t="s">
        <v>2559</v>
      </c>
      <c r="E516" s="7" t="s">
        <v>2560</v>
      </c>
      <c r="F516" s="5" t="str">
        <f>IFERROR(__xludf.DUMMYFUNCTION("GOOGLEFINANCE(""NSE:""&amp;A516,""name"")"),"DCM Shriram Industries Ltd")</f>
        <v>DCM Shriram Industries Ltd</v>
      </c>
    </row>
    <row r="517">
      <c r="A517" s="1" t="s">
        <v>2561</v>
      </c>
      <c r="B517" s="5" t="s">
        <v>2562</v>
      </c>
      <c r="C517" s="3" t="s">
        <v>2563</v>
      </c>
      <c r="D517" s="6" t="s">
        <v>2564</v>
      </c>
      <c r="E517" s="7" t="s">
        <v>2565</v>
      </c>
      <c r="F517" s="5" t="str">
        <f>IFERROR(__xludf.DUMMYFUNCTION("GOOGLEFINANCE(""NSE:""&amp;A517,""name"")"),"DCM Shriram Ltd")</f>
        <v>DCM Shriram Ltd</v>
      </c>
    </row>
    <row r="518">
      <c r="A518" s="1" t="s">
        <v>2566</v>
      </c>
      <c r="B518" s="5" t="s">
        <v>2567</v>
      </c>
      <c r="C518" s="3" t="s">
        <v>2568</v>
      </c>
      <c r="D518" s="6" t="s">
        <v>2569</v>
      </c>
      <c r="E518" s="7" t="s">
        <v>2570</v>
      </c>
      <c r="F518" s="5" t="str">
        <f>IFERROR(__xludf.DUMMYFUNCTION("GOOGLEFINANCE(""NSE:""&amp;A518,""name"")"),"DCW Ltd")</f>
        <v>DCW Ltd</v>
      </c>
    </row>
    <row r="519">
      <c r="A519" s="1" t="s">
        <v>2571</v>
      </c>
      <c r="B519" s="5" t="s">
        <v>2572</v>
      </c>
      <c r="C519" s="3" t="s">
        <v>2573</v>
      </c>
      <c r="D519" s="6" t="s">
        <v>2574</v>
      </c>
      <c r="E519" s="7" t="s">
        <v>2575</v>
      </c>
      <c r="F519" s="5" t="str">
        <f>IFERROR(__xludf.DUMMYFUNCTION("GOOGLEFINANCE(""NSE:""&amp;A519,""name"")"),"DCX Systems Ltd")</f>
        <v>DCX Systems Ltd</v>
      </c>
    </row>
    <row r="520">
      <c r="A520" s="1" t="s">
        <v>2576</v>
      </c>
      <c r="B520" s="5" t="s">
        <v>2577</v>
      </c>
      <c r="C520" s="3" t="s">
        <v>2578</v>
      </c>
      <c r="D520" s="6" t="s">
        <v>2579</v>
      </c>
      <c r="E520" s="7" t="s">
        <v>2580</v>
      </c>
      <c r="F520" s="5" t="str">
        <f>IFERROR(__xludf.DUMMYFUNCTION("GOOGLEFINANCE(""NSE:""&amp;A520,""name"")"),"Ddev Plastiks Industries Ltd")</f>
        <v>Ddev Plastiks Industries Ltd</v>
      </c>
    </row>
    <row r="521">
      <c r="A521" s="1" t="s">
        <v>2581</v>
      </c>
      <c r="B521" s="5" t="s">
        <v>2582</v>
      </c>
      <c r="C521" s="3" t="s">
        <v>2583</v>
      </c>
      <c r="D521" s="6" t="s">
        <v>2584</v>
      </c>
      <c r="E521" s="7" t="s">
        <v>2585</v>
      </c>
      <c r="F521" s="5" t="str">
        <f>IFERROR(__xludf.DUMMYFUNCTION("GOOGLEFINANCE(""NSE:""&amp;A521,""name"")"),"De Nora India Ltd")</f>
        <v>De Nora India Ltd</v>
      </c>
    </row>
    <row r="522">
      <c r="A522" s="1" t="s">
        <v>2586</v>
      </c>
      <c r="B522" s="5" t="s">
        <v>2587</v>
      </c>
      <c r="C522" s="3" t="s">
        <v>2588</v>
      </c>
      <c r="D522" s="6" t="s">
        <v>2589</v>
      </c>
      <c r="E522" s="7" t="s">
        <v>2590</v>
      </c>
      <c r="F522" s="5" t="str">
        <f>IFERROR(__xludf.DUMMYFUNCTION("GOOGLEFINANCE(""NSE:""&amp;A522,""name"")"),"Deccan Cements Ltd")</f>
        <v>Deccan Cements Ltd</v>
      </c>
    </row>
    <row r="523">
      <c r="A523" s="1" t="s">
        <v>2591</v>
      </c>
      <c r="B523" s="5" t="s">
        <v>2592</v>
      </c>
      <c r="C523" s="3" t="s">
        <v>2593</v>
      </c>
      <c r="D523" s="6" t="s">
        <v>2594</v>
      </c>
      <c r="E523" s="7" t="s">
        <v>2595</v>
      </c>
      <c r="F523" s="5" t="str">
        <f>IFERROR(__xludf.DUMMYFUNCTION("GOOGLEFINANCE(""NSE:""&amp;A523,""name"")"),"DEE Development Engineers Ltd")</f>
        <v>DEE Development Engineers Ltd</v>
      </c>
    </row>
    <row r="524">
      <c r="A524" s="1" t="s">
        <v>2596</v>
      </c>
      <c r="B524" s="5" t="s">
        <v>2597</v>
      </c>
      <c r="C524" s="3" t="s">
        <v>2598</v>
      </c>
      <c r="D524" s="6" t="s">
        <v>2599</v>
      </c>
      <c r="E524" s="7" t="s">
        <v>2600</v>
      </c>
      <c r="F524" s="5" t="str">
        <f>IFERROR(__xludf.DUMMYFUNCTION("GOOGLEFINANCE(""NSE:""&amp;A524,""name"")"),"Deep Industries Ltd")</f>
        <v>Deep Industries Ltd</v>
      </c>
    </row>
    <row r="525">
      <c r="A525" s="1" t="s">
        <v>2601</v>
      </c>
      <c r="B525" s="5" t="s">
        <v>2602</v>
      </c>
      <c r="C525" s="3" t="s">
        <v>2603</v>
      </c>
      <c r="D525" s="6" t="s">
        <v>2604</v>
      </c>
      <c r="E525" s="7" t="s">
        <v>2605</v>
      </c>
      <c r="F525" s="5" t="str">
        <f>IFERROR(__xludf.DUMMYFUNCTION("GOOGLEFINANCE(""NSE:""&amp;A525,""name"")"),"Deepak Builders &amp; Engineers India Ltd")</f>
        <v>Deepak Builders &amp; Engineers India Ltd</v>
      </c>
    </row>
    <row r="526">
      <c r="A526" s="1" t="s">
        <v>2606</v>
      </c>
      <c r="B526" s="5" t="s">
        <v>2607</v>
      </c>
      <c r="C526" s="3" t="s">
        <v>2608</v>
      </c>
      <c r="D526" s="6" t="s">
        <v>2609</v>
      </c>
      <c r="E526" s="7" t="s">
        <v>2610</v>
      </c>
      <c r="F526" s="5" t="str">
        <f>IFERROR(__xludf.DUMMYFUNCTION("GOOGLEFINANCE(""NSE:""&amp;A526,""name"")"),"Deepak Frtlsrs and Ptrchmcls Corp Ltd")</f>
        <v>Deepak Frtlsrs and Ptrchmcls Corp Ltd</v>
      </c>
    </row>
    <row r="527">
      <c r="A527" s="1" t="s">
        <v>2611</v>
      </c>
      <c r="B527" s="5" t="s">
        <v>2612</v>
      </c>
      <c r="C527" s="3" t="s">
        <v>2613</v>
      </c>
      <c r="D527" s="6" t="s">
        <v>2614</v>
      </c>
      <c r="E527" s="7" t="s">
        <v>2615</v>
      </c>
      <c r="F527" s="5" t="str">
        <f>IFERROR(__xludf.DUMMYFUNCTION("GOOGLEFINANCE(""NSE:""&amp;A527,""name"")"),"Deepak Nitrite Ltd")</f>
        <v>Deepak Nitrite Ltd</v>
      </c>
    </row>
    <row r="528">
      <c r="A528" s="1" t="s">
        <v>2616</v>
      </c>
      <c r="B528" s="5" t="s">
        <v>2617</v>
      </c>
      <c r="C528" s="3" t="s">
        <v>2618</v>
      </c>
      <c r="D528" s="6" t="s">
        <v>2619</v>
      </c>
      <c r="E528" s="7" t="s">
        <v>2620</v>
      </c>
      <c r="F528" s="5" t="str">
        <f>IFERROR(__xludf.DUMMYFUNCTION("GOOGLEFINANCE(""NSE:""&amp;A528,""name"")"),"Delhivery")</f>
        <v>Delhivery</v>
      </c>
    </row>
    <row r="529">
      <c r="A529" s="1" t="s">
        <v>2621</v>
      </c>
      <c r="B529" s="5" t="s">
        <v>2622</v>
      </c>
      <c r="C529" s="3" t="s">
        <v>2623</v>
      </c>
      <c r="D529" s="6" t="s">
        <v>2624</v>
      </c>
      <c r="E529" s="7" t="s">
        <v>2625</v>
      </c>
      <c r="F529" s="5" t="str">
        <f>IFERROR(__xludf.DUMMYFUNCTION("GOOGLEFINANCE(""NSE:""&amp;A529,""name"")"),"Delphi World Money Ltd")</f>
        <v>Delphi World Money Ltd</v>
      </c>
    </row>
    <row r="530">
      <c r="A530" s="1" t="s">
        <v>2626</v>
      </c>
      <c r="B530" s="5" t="s">
        <v>2627</v>
      </c>
      <c r="C530" s="3" t="s">
        <v>2628</v>
      </c>
      <c r="D530" s="6" t="s">
        <v>2629</v>
      </c>
      <c r="E530" s="7" t="s">
        <v>2630</v>
      </c>
      <c r="F530" s="5" t="str">
        <f>IFERROR(__xludf.DUMMYFUNCTION("GOOGLEFINANCE(""NSE:""&amp;A530,""name"")"),"Delta Corp Ltd")</f>
        <v>Delta Corp Ltd</v>
      </c>
    </row>
    <row r="531">
      <c r="A531" s="1" t="s">
        <v>2631</v>
      </c>
      <c r="B531" s="5" t="s">
        <v>2632</v>
      </c>
      <c r="C531" s="3" t="s">
        <v>2633</v>
      </c>
      <c r="D531" s="6" t="s">
        <v>2634</v>
      </c>
      <c r="E531" s="7" t="s">
        <v>2635</v>
      </c>
      <c r="F531" s="5" t="str">
        <f>IFERROR(__xludf.DUMMYFUNCTION("GOOGLEFINANCE(""NSE:""&amp;A531,""name"")"),"Delta Manufacturing Ltd")</f>
        <v>Delta Manufacturing Ltd</v>
      </c>
    </row>
    <row r="532">
      <c r="A532" s="1" t="s">
        <v>2636</v>
      </c>
      <c r="B532" s="5" t="s">
        <v>2637</v>
      </c>
      <c r="C532" s="3" t="s">
        <v>2638</v>
      </c>
      <c r="D532" s="6" t="s">
        <v>2639</v>
      </c>
      <c r="E532" s="7" t="s">
        <v>2640</v>
      </c>
      <c r="F532" s="5" t="str">
        <f>IFERROR(__xludf.DUMMYFUNCTION("GOOGLEFINANCE(""NSE:""&amp;A532,""name"")"),"DEN Networks Ltd")</f>
        <v>DEN Networks Ltd</v>
      </c>
    </row>
    <row r="533">
      <c r="A533" s="1" t="s">
        <v>2641</v>
      </c>
      <c r="B533" s="5" t="s">
        <v>2642</v>
      </c>
      <c r="C533" s="3" t="s">
        <v>2643</v>
      </c>
      <c r="D533" s="6" t="s">
        <v>2644</v>
      </c>
      <c r="E533" s="7" t="s">
        <v>2645</v>
      </c>
      <c r="F533" s="5" t="str">
        <f>IFERROR(__xludf.DUMMYFUNCTION("GOOGLEFINANCE(""NSE:""&amp;A533,""name"")"),"Denta Water and Infra Solutions Ltd")</f>
        <v>Denta Water and Infra Solutions Ltd</v>
      </c>
    </row>
    <row r="534">
      <c r="A534" s="1" t="s">
        <v>2646</v>
      </c>
      <c r="B534" s="5" t="s">
        <v>2647</v>
      </c>
      <c r="C534" s="3" t="s">
        <v>2648</v>
      </c>
      <c r="D534" s="6" t="s">
        <v>2649</v>
      </c>
      <c r="E534" s="7" t="s">
        <v>2650</v>
      </c>
      <c r="F534" s="5" t="str">
        <f>IFERROR(__xludf.DUMMYFUNCTION("GOOGLEFINANCE(""NSE:""&amp;A534,""name"")"),"Dev Accelerator Ltd")</f>
        <v>Dev Accelerator Ltd</v>
      </c>
    </row>
    <row r="535">
      <c r="A535" s="1" t="s">
        <v>2651</v>
      </c>
      <c r="B535" s="5" t="s">
        <v>2652</v>
      </c>
      <c r="C535" s="3" t="s">
        <v>2653</v>
      </c>
      <c r="D535" s="6" t="s">
        <v>2654</v>
      </c>
      <c r="E535" s="7" t="s">
        <v>2655</v>
      </c>
      <c r="F535" s="5" t="str">
        <f>IFERROR(__xludf.DUMMYFUNCTION("GOOGLEFINANCE(""NSE:""&amp;A535,""name"")"),"Dev Information Technology Ltd")</f>
        <v>Dev Information Technology Ltd</v>
      </c>
    </row>
    <row r="536">
      <c r="A536" s="1" t="s">
        <v>2656</v>
      </c>
      <c r="B536" s="5" t="s">
        <v>2657</v>
      </c>
      <c r="C536" s="3" t="s">
        <v>2658</v>
      </c>
      <c r="D536" s="6" t="s">
        <v>2659</v>
      </c>
      <c r="E536" s="7" t="s">
        <v>2660</v>
      </c>
      <c r="F536" s="5" t="str">
        <f>IFERROR(__xludf.DUMMYFUNCTION("GOOGLEFINANCE(""NSE:""&amp;A536,""name"")"),"Devyani International Ltd")</f>
        <v>Devyani International Ltd</v>
      </c>
    </row>
    <row r="537">
      <c r="A537" s="1" t="s">
        <v>2661</v>
      </c>
      <c r="B537" s="5" t="s">
        <v>2662</v>
      </c>
      <c r="C537" s="3" t="s">
        <v>2663</v>
      </c>
      <c r="D537" s="6" t="s">
        <v>2664</v>
      </c>
      <c r="E537" s="7" t="s">
        <v>2665</v>
      </c>
      <c r="F537" s="5" t="str">
        <f>IFERROR(__xludf.DUMMYFUNCTION("GOOGLEFINANCE(""NSE:""&amp;A537,""name"")"),"Dhampur Bio Organics Ltd")</f>
        <v>Dhampur Bio Organics Ltd</v>
      </c>
    </row>
    <row r="538">
      <c r="A538" s="1" t="s">
        <v>2666</v>
      </c>
      <c r="B538" s="5" t="s">
        <v>2667</v>
      </c>
      <c r="C538" s="3" t="s">
        <v>2668</v>
      </c>
      <c r="D538" s="6" t="s">
        <v>2669</v>
      </c>
      <c r="E538" s="7" t="s">
        <v>2670</v>
      </c>
      <c r="F538" s="5" t="str">
        <f>IFERROR(__xludf.DUMMYFUNCTION("GOOGLEFINANCE(""NSE:""&amp;A538,""name"")"),"Dhampur Sugar Mills Ltd")</f>
        <v>Dhampur Sugar Mills Ltd</v>
      </c>
    </row>
    <row r="539">
      <c r="A539" s="1" t="s">
        <v>2671</v>
      </c>
      <c r="B539" s="5" t="s">
        <v>2672</v>
      </c>
      <c r="C539" s="3" t="s">
        <v>2673</v>
      </c>
      <c r="D539" s="6" t="s">
        <v>2674</v>
      </c>
      <c r="E539" s="7" t="s">
        <v>2675</v>
      </c>
      <c r="F539" s="5" t="str">
        <f>IFERROR(__xludf.DUMMYFUNCTION("GOOGLEFINANCE(""NSE:""&amp;A539,""name"")"),"Dhanlaxmi Bank Ltd")</f>
        <v>Dhanlaxmi Bank Ltd</v>
      </c>
    </row>
    <row r="540">
      <c r="A540" s="1" t="s">
        <v>2676</v>
      </c>
      <c r="B540" s="5" t="s">
        <v>2677</v>
      </c>
      <c r="C540" s="3" t="s">
        <v>2678</v>
      </c>
      <c r="D540" s="6" t="s">
        <v>2679</v>
      </c>
      <c r="E540" s="7" t="s">
        <v>2680</v>
      </c>
      <c r="F540" s="5" t="str">
        <f>IFERROR(__xludf.DUMMYFUNCTION("GOOGLEFINANCE(""NSE:""&amp;A540,""name"")"),"Dhanuka Agritech Ltd")</f>
        <v>Dhanuka Agritech Ltd</v>
      </c>
    </row>
    <row r="541">
      <c r="A541" s="1" t="s">
        <v>2681</v>
      </c>
      <c r="B541" s="5" t="s">
        <v>2682</v>
      </c>
      <c r="C541" s="3" t="s">
        <v>2683</v>
      </c>
      <c r="D541" s="6" t="s">
        <v>2684</v>
      </c>
      <c r="E541" s="7" t="s">
        <v>2685</v>
      </c>
      <c r="F541" s="5" t="str">
        <f>IFERROR(__xludf.DUMMYFUNCTION("GOOGLEFINANCE(""NSE:""&amp;A541,""name"")"),"Dharmaj Crop Guard Ltd")</f>
        <v>Dharmaj Crop Guard Ltd</v>
      </c>
    </row>
    <row r="542">
      <c r="A542" s="1" t="s">
        <v>2686</v>
      </c>
      <c r="B542" s="5" t="s">
        <v>2687</v>
      </c>
      <c r="C542" s="3" t="s">
        <v>2688</v>
      </c>
      <c r="D542" s="6" t="s">
        <v>2689</v>
      </c>
      <c r="E542" s="7" t="s">
        <v>2690</v>
      </c>
      <c r="F542" s="5" t="str">
        <f>IFERROR(__xludf.DUMMYFUNCTION("GOOGLEFINANCE(""NSE:""&amp;A542,""name"")"),"Dhruv Consultancy Services Ltd")</f>
        <v>Dhruv Consultancy Services Ltd</v>
      </c>
    </row>
    <row r="543">
      <c r="A543" s="1" t="s">
        <v>2691</v>
      </c>
      <c r="B543" s="5" t="s">
        <v>2692</v>
      </c>
      <c r="C543" s="3" t="s">
        <v>2693</v>
      </c>
      <c r="D543" s="6" t="s">
        <v>2694</v>
      </c>
      <c r="E543" s="7" t="s">
        <v>2695</v>
      </c>
      <c r="F543" s="5" t="str">
        <f>IFERROR(__xludf.DUMMYFUNCTION("GOOGLEFINANCE(""NSE:""&amp;A543,""name"")"),"Dhunseri Investments Ltd")</f>
        <v>Dhunseri Investments Ltd</v>
      </c>
    </row>
    <row r="544">
      <c r="A544" s="1" t="s">
        <v>2696</v>
      </c>
      <c r="B544" s="5" t="s">
        <v>2697</v>
      </c>
      <c r="C544" s="3" t="s">
        <v>2698</v>
      </c>
      <c r="D544" s="6" t="s">
        <v>2699</v>
      </c>
      <c r="E544" s="7" t="s">
        <v>2700</v>
      </c>
      <c r="F544" s="5" t="str">
        <f>IFERROR(__xludf.DUMMYFUNCTION("GOOGLEFINANCE(""NSE:""&amp;A544,""name"")"),"Dhunseri Tea &amp; Industries Ltd")</f>
        <v>Dhunseri Tea &amp; Industries Ltd</v>
      </c>
    </row>
    <row r="545">
      <c r="A545" s="1" t="s">
        <v>2701</v>
      </c>
      <c r="B545" s="5" t="s">
        <v>2702</v>
      </c>
      <c r="C545" s="3" t="s">
        <v>2703</v>
      </c>
      <c r="D545" s="6" t="s">
        <v>2704</v>
      </c>
      <c r="E545" s="7" t="s">
        <v>2705</v>
      </c>
      <c r="F545" s="5" t="str">
        <f>IFERROR(__xludf.DUMMYFUNCTION("GOOGLEFINANCE(""NSE:""&amp;A545,""name"")"),"Dhunseri Ventures Ltd")</f>
        <v>Dhunseri Ventures Ltd</v>
      </c>
    </row>
    <row r="546">
      <c r="A546" s="1" t="s">
        <v>2706</v>
      </c>
      <c r="B546" s="5" t="s">
        <v>2707</v>
      </c>
      <c r="C546" s="3" t="s">
        <v>2708</v>
      </c>
      <c r="D546" s="6" t="s">
        <v>2709</v>
      </c>
      <c r="E546" s="7" t="s">
        <v>2710</v>
      </c>
      <c r="F546" s="5" t="str">
        <f>IFERROR(__xludf.DUMMYFUNCTION("GOOGLEFINANCE(""NSE:""&amp;A546,""name"")"),"Diamines And Chemicals Ltd")</f>
        <v>Diamines And Chemicals Ltd</v>
      </c>
    </row>
    <row r="547">
      <c r="A547" s="1" t="s">
        <v>2711</v>
      </c>
      <c r="B547" s="5" t="s">
        <v>2712</v>
      </c>
      <c r="C547" s="3" t="s">
        <v>2713</v>
      </c>
      <c r="D547" s="6" t="s">
        <v>2714</v>
      </c>
      <c r="E547" s="7" t="s">
        <v>2715</v>
      </c>
      <c r="F547" s="5" t="str">
        <f>IFERROR(__xludf.DUMMYFUNCTION("GOOGLEFINANCE(""NSE:""&amp;A547,""name"")"),"Diamond Power Infrastructure Ltd")</f>
        <v>Diamond Power Infrastructure Ltd</v>
      </c>
    </row>
    <row r="548">
      <c r="A548" s="1" t="s">
        <v>2716</v>
      </c>
      <c r="B548" s="5" t="s">
        <v>2717</v>
      </c>
      <c r="C548" s="3" t="s">
        <v>2718</v>
      </c>
      <c r="D548" s="6" t="s">
        <v>2719</v>
      </c>
      <c r="E548" s="7" t="s">
        <v>2720</v>
      </c>
      <c r="F548" s="5" t="str">
        <f>IFERROR(__xludf.DUMMYFUNCTION("GOOGLEFINANCE(""NSE:""&amp;A548,""name"")"),"DIC India Ltd")</f>
        <v>DIC India Ltd</v>
      </c>
    </row>
    <row r="549">
      <c r="A549" s="1" t="s">
        <v>2721</v>
      </c>
      <c r="B549" s="5" t="s">
        <v>2722</v>
      </c>
      <c r="C549" s="3" t="s">
        <v>2723</v>
      </c>
      <c r="D549" s="6" t="s">
        <v>2724</v>
      </c>
      <c r="E549" s="7" t="s">
        <v>2725</v>
      </c>
      <c r="F549" s="5" t="str">
        <f>IFERROR(__xludf.DUMMYFUNCTION("GOOGLEFINANCE(""NSE:""&amp;A549,""name"")"),"Diffusion Engineers Ltd")</f>
        <v>Diffusion Engineers Ltd</v>
      </c>
    </row>
    <row r="550">
      <c r="A550" s="1" t="s">
        <v>2726</v>
      </c>
      <c r="B550" s="5" t="s">
        <v>2727</v>
      </c>
      <c r="C550" s="3" t="s">
        <v>2728</v>
      </c>
      <c r="D550" s="6" t="s">
        <v>2729</v>
      </c>
      <c r="E550" s="7" t="s">
        <v>2730</v>
      </c>
      <c r="F550" s="5" t="str">
        <f>IFERROR(__xludf.DUMMYFUNCTION("GOOGLEFINANCE(""NSE:""&amp;A550,""name"")"),"Digicontent Ltd")</f>
        <v>Digicontent Ltd</v>
      </c>
    </row>
    <row r="551">
      <c r="A551" s="1" t="s">
        <v>2731</v>
      </c>
      <c r="B551" s="5" t="s">
        <v>2732</v>
      </c>
      <c r="C551" s="3" t="s">
        <v>2733</v>
      </c>
      <c r="D551" s="6" t="s">
        <v>2734</v>
      </c>
      <c r="E551" s="7" t="s">
        <v>2735</v>
      </c>
      <c r="F551" s="5" t="str">
        <f>IFERROR(__xludf.DUMMYFUNCTION("GOOGLEFINANCE(""NSE:""&amp;A551,""name"")"),"Digidrive Distributors Ltd")</f>
        <v>Digidrive Distributors Ltd</v>
      </c>
    </row>
    <row r="552">
      <c r="A552" s="1" t="s">
        <v>2736</v>
      </c>
      <c r="B552" s="5" t="s">
        <v>2737</v>
      </c>
      <c r="C552" s="3" t="s">
        <v>2738</v>
      </c>
      <c r="D552" s="6" t="s">
        <v>2739</v>
      </c>
      <c r="E552" s="7" t="s">
        <v>2740</v>
      </c>
      <c r="F552" s="5" t="str">
        <f>IFERROR(__xludf.DUMMYFUNCTION("GOOGLEFINANCE(""NSE:""&amp;A552,""name"")"),"Digispice Technologies Ltd")</f>
        <v>Digispice Technologies Ltd</v>
      </c>
    </row>
    <row r="553">
      <c r="A553" s="1" t="s">
        <v>2741</v>
      </c>
      <c r="B553" s="5" t="s">
        <v>2742</v>
      </c>
      <c r="C553" s="3" t="s">
        <v>2743</v>
      </c>
      <c r="D553" s="6" t="s">
        <v>2744</v>
      </c>
      <c r="E553" s="7" t="s">
        <v>2745</v>
      </c>
      <c r="F553" s="5" t="str">
        <f>IFERROR(__xludf.DUMMYFUNCTION("GOOGLEFINANCE(""NSE:""&amp;A553,""name"")"),"Digitide Solutions Ltd")</f>
        <v>Digitide Solutions Ltd</v>
      </c>
    </row>
    <row r="554">
      <c r="A554" s="1" t="s">
        <v>2746</v>
      </c>
      <c r="B554" s="5" t="s">
        <v>2747</v>
      </c>
      <c r="C554" s="3" t="s">
        <v>2748</v>
      </c>
      <c r="D554" s="6" t="s">
        <v>2749</v>
      </c>
      <c r="E554" s="7" t="s">
        <v>2750</v>
      </c>
      <c r="F554" s="5" t="str">
        <f>IFERROR(__xludf.DUMMYFUNCTION("GOOGLEFINANCE(""NSE:""&amp;A554,""name"")"),"Digjam Ltd")</f>
        <v>Digjam Ltd</v>
      </c>
    </row>
    <row r="555">
      <c r="A555" s="1" t="s">
        <v>2751</v>
      </c>
      <c r="B555" s="5" t="s">
        <v>2752</v>
      </c>
      <c r="C555" s="3" t="s">
        <v>2753</v>
      </c>
      <c r="D555" s="6" t="s">
        <v>2754</v>
      </c>
      <c r="E555" s="7" t="s">
        <v>2755</v>
      </c>
      <c r="F555" s="5" t="str">
        <f>IFERROR(__xludf.DUMMYFUNCTION("GOOGLEFINANCE(""NSE:""&amp;A555,""name"")"),"Dilip Buildcon Ltd")</f>
        <v>Dilip Buildcon Ltd</v>
      </c>
    </row>
    <row r="556">
      <c r="A556" s="1" t="s">
        <v>2756</v>
      </c>
      <c r="B556" s="5" t="s">
        <v>2757</v>
      </c>
      <c r="C556" s="3" t="s">
        <v>2758</v>
      </c>
      <c r="D556" s="6" t="s">
        <v>2759</v>
      </c>
      <c r="E556" s="7" t="s">
        <v>2760</v>
      </c>
      <c r="F556" s="5" t="str">
        <f>IFERROR(__xludf.DUMMYFUNCTION("GOOGLEFINANCE(""NSE:""&amp;A556,""name"")"),"Dishman Carbogen Amcis Ltd")</f>
        <v>Dishman Carbogen Amcis Ltd</v>
      </c>
    </row>
    <row r="557">
      <c r="A557" s="1" t="s">
        <v>2761</v>
      </c>
      <c r="B557" s="5" t="s">
        <v>2762</v>
      </c>
      <c r="C557" s="3" t="s">
        <v>2763</v>
      </c>
      <c r="D557" s="6" t="s">
        <v>2764</v>
      </c>
      <c r="E557" s="7" t="s">
        <v>2765</v>
      </c>
      <c r="F557" s="5" t="str">
        <f>IFERROR(__xludf.DUMMYFUNCTION("GOOGLEFINANCE(""NSE:""&amp;A557,""name"")"),"Divgi TorqTransfer Systems Ltd")</f>
        <v>Divgi TorqTransfer Systems Ltd</v>
      </c>
    </row>
    <row r="558">
      <c r="A558" s="1" t="s">
        <v>2766</v>
      </c>
      <c r="B558" s="5" t="s">
        <v>2767</v>
      </c>
      <c r="C558" s="3" t="s">
        <v>2768</v>
      </c>
      <c r="D558" s="6" t="s">
        <v>2769</v>
      </c>
      <c r="E558" s="7" t="s">
        <v>2770</v>
      </c>
      <c r="F558" s="5" t="str">
        <f>IFERROR(__xludf.DUMMYFUNCTION("GOOGLEFINANCE(""NSE:""&amp;A558,""name"")"),"Divi's Laboratories Ltd")</f>
        <v>Divi's Laboratories Ltd</v>
      </c>
    </row>
    <row r="559">
      <c r="A559" s="1" t="s">
        <v>2771</v>
      </c>
      <c r="B559" s="5" t="s">
        <v>2772</v>
      </c>
      <c r="C559" s="3" t="s">
        <v>2773</v>
      </c>
      <c r="D559" s="6" t="s">
        <v>2774</v>
      </c>
      <c r="E559" s="7" t="s">
        <v>2775</v>
      </c>
      <c r="F559" s="5" t="str">
        <f>IFERROR(__xludf.DUMMYFUNCTION("GOOGLEFINANCE(""NSE:""&amp;A559,""name"")"),"Dixon Technologies (India) Ltd")</f>
        <v>Dixon Technologies (India) Ltd</v>
      </c>
    </row>
    <row r="560">
      <c r="A560" s="1" t="s">
        <v>2776</v>
      </c>
      <c r="B560" s="5" t="s">
        <v>2777</v>
      </c>
      <c r="C560" s="3" t="s">
        <v>2778</v>
      </c>
      <c r="D560" s="6" t="s">
        <v>2779</v>
      </c>
      <c r="E560" s="7" t="s">
        <v>2780</v>
      </c>
      <c r="F560" s="5" t="str">
        <f>IFERROR(__xludf.DUMMYFUNCTION("GOOGLEFINANCE(""NSE:""&amp;A560,""name"")"),"DJ Mediaprint &amp; Logistics Ltd")</f>
        <v>DJ Mediaprint &amp; Logistics Ltd</v>
      </c>
    </row>
    <row r="561">
      <c r="A561" s="1" t="s">
        <v>2781</v>
      </c>
      <c r="B561" s="5" t="s">
        <v>2782</v>
      </c>
      <c r="C561" s="3" t="s">
        <v>2783</v>
      </c>
      <c r="D561" s="6" t="s">
        <v>2784</v>
      </c>
      <c r="E561" s="7" t="s">
        <v>2785</v>
      </c>
      <c r="F561" s="5" t="str">
        <f>IFERROR(__xludf.DUMMYFUNCTION("GOOGLEFINANCE(""NSE:""&amp;A561,""name"")"),"DLF Ltd")</f>
        <v>DLF Ltd</v>
      </c>
    </row>
    <row r="562">
      <c r="A562" s="1" t="s">
        <v>2786</v>
      </c>
      <c r="B562" s="5" t="s">
        <v>2787</v>
      </c>
      <c r="C562" s="3" t="s">
        <v>2788</v>
      </c>
      <c r="D562" s="6" t="s">
        <v>2789</v>
      </c>
      <c r="E562" s="7" t="s">
        <v>2790</v>
      </c>
      <c r="F562" s="5" t="str">
        <f>IFERROR(__xludf.DUMMYFUNCTION("GOOGLEFINANCE(""NSE:""&amp;A562,""name"")"),"DMCC Speciality Chemicals Ltd")</f>
        <v>DMCC Speciality Chemicals Ltd</v>
      </c>
    </row>
    <row r="563">
      <c r="A563" s="1" t="s">
        <v>2791</v>
      </c>
      <c r="B563" s="5" t="s">
        <v>2792</v>
      </c>
      <c r="C563" s="3" t="s">
        <v>2793</v>
      </c>
      <c r="D563" s="6" t="s">
        <v>2794</v>
      </c>
      <c r="E563" s="7" t="s">
        <v>2795</v>
      </c>
      <c r="F563" s="5" t="str">
        <f>IFERROR(__xludf.DUMMYFUNCTION("GOOGLEFINANCE(""NSE:""&amp;A563,""name"")"),"Dodla Dairy Ltd")</f>
        <v>Dodla Dairy Ltd</v>
      </c>
    </row>
    <row r="564">
      <c r="A564" s="1" t="s">
        <v>2796</v>
      </c>
      <c r="B564" s="5" t="s">
        <v>2797</v>
      </c>
      <c r="C564" s="3" t="s">
        <v>2798</v>
      </c>
      <c r="D564" s="6" t="s">
        <v>2799</v>
      </c>
      <c r="E564" s="7" t="s">
        <v>2800</v>
      </c>
      <c r="F564" s="5" t="str">
        <f>IFERROR(__xludf.DUMMYFUNCTION("GOOGLEFINANCE(""NSE:""&amp;A564,""name"")"),"Dolat Algotech Ltd")</f>
        <v>Dolat Algotech Ltd</v>
      </c>
    </row>
    <row r="565">
      <c r="A565" s="1" t="s">
        <v>2801</v>
      </c>
      <c r="B565" s="5" t="s">
        <v>2802</v>
      </c>
      <c r="C565" s="3" t="s">
        <v>2803</v>
      </c>
      <c r="D565" s="6" t="s">
        <v>2804</v>
      </c>
      <c r="E565" s="7" t="s">
        <v>2805</v>
      </c>
      <c r="F565" s="5" t="str">
        <f>IFERROR(__xludf.DUMMYFUNCTION("GOOGLEFINANCE(""NSE:""&amp;A565,""name"")"),"Dollar Industries Ltd")</f>
        <v>Dollar Industries Ltd</v>
      </c>
    </row>
    <row r="566">
      <c r="A566" s="1" t="s">
        <v>2806</v>
      </c>
      <c r="B566" s="5" t="s">
        <v>2807</v>
      </c>
      <c r="C566" s="3" t="s">
        <v>2808</v>
      </c>
      <c r="D566" s="6" t="s">
        <v>2809</v>
      </c>
      <c r="E566" s="7" t="s">
        <v>2810</v>
      </c>
      <c r="F566" s="5" t="str">
        <f>IFERROR(__xludf.DUMMYFUNCTION("GOOGLEFINANCE(""NSE:""&amp;A566,""name"")"),"Dolphin Offshore Enterprises (India) Ltd")</f>
        <v>Dolphin Offshore Enterprises (India) Ltd</v>
      </c>
    </row>
    <row r="567">
      <c r="A567" s="1" t="s">
        <v>2811</v>
      </c>
      <c r="B567" s="5" t="s">
        <v>2812</v>
      </c>
      <c r="C567" s="3" t="s">
        <v>2813</v>
      </c>
      <c r="D567" s="6" t="s">
        <v>2814</v>
      </c>
      <c r="E567" s="7" t="s">
        <v>2815</v>
      </c>
      <c r="F567" s="5" t="str">
        <f>IFERROR(__xludf.DUMMYFUNCTION("GOOGLEFINANCE(""NSE:""&amp;A567,""name"")"),"Doms Industries Ltd")</f>
        <v>Doms Industries Ltd</v>
      </c>
    </row>
    <row r="568">
      <c r="A568" s="1" t="s">
        <v>2816</v>
      </c>
      <c r="B568" s="5" t="s">
        <v>2817</v>
      </c>
      <c r="C568" s="3" t="s">
        <v>2818</v>
      </c>
      <c r="D568" s="6" t="s">
        <v>2819</v>
      </c>
      <c r="E568" s="7" t="s">
        <v>2820</v>
      </c>
      <c r="F568" s="5" t="str">
        <f>IFERROR(__xludf.DUMMYFUNCTION("GOOGLEFINANCE(""NSE:""&amp;A568,""name"")"),"Donear Industries Ltd")</f>
        <v>Donear Industries Ltd</v>
      </c>
    </row>
    <row r="569">
      <c r="A569" s="1" t="s">
        <v>2821</v>
      </c>
      <c r="B569" s="5" t="s">
        <v>2822</v>
      </c>
      <c r="C569" s="3" t="s">
        <v>2823</v>
      </c>
      <c r="D569" s="6" t="s">
        <v>2824</v>
      </c>
      <c r="E569" s="7" t="s">
        <v>2825</v>
      </c>
      <c r="F569" s="5" t="str">
        <f>IFERROR(__xludf.DUMMYFUNCTION("GOOGLEFINANCE(""NSE:""&amp;A569,""name"")"),"India Power Corporation Ltd")</f>
        <v>India Power Corporation Ltd</v>
      </c>
    </row>
    <row r="570">
      <c r="A570" s="1" t="s">
        <v>2826</v>
      </c>
      <c r="B570" s="5" t="s">
        <v>2827</v>
      </c>
      <c r="C570" s="3" t="s">
        <v>2828</v>
      </c>
      <c r="D570" s="6" t="s">
        <v>2829</v>
      </c>
      <c r="E570" s="7" t="s">
        <v>2830</v>
      </c>
      <c r="F570" s="5" t="str">
        <f>IFERROR(__xludf.DUMMYFUNCTION("GOOGLEFINANCE(""NSE:""&amp;A570,""name"")"),"Dr. Agarwal's Health Care Ltd")</f>
        <v>Dr. Agarwal's Health Care Ltd</v>
      </c>
    </row>
    <row r="571">
      <c r="A571" s="1" t="s">
        <v>2831</v>
      </c>
      <c r="B571" s="5" t="s">
        <v>2832</v>
      </c>
      <c r="C571" s="3" t="s">
        <v>2833</v>
      </c>
      <c r="D571" s="6" t="s">
        <v>2834</v>
      </c>
      <c r="E571" s="7" t="s">
        <v>2835</v>
      </c>
      <c r="F571" s="5" t="str">
        <f>IFERROR(__xludf.DUMMYFUNCTION("GOOGLEFINANCE(""NSE:""&amp;A571,""name"")"),"Dr. Lal PathLabs Ltd")</f>
        <v>Dr. Lal PathLabs Ltd</v>
      </c>
    </row>
    <row r="572">
      <c r="A572" s="1" t="s">
        <v>2836</v>
      </c>
      <c r="B572" s="5" t="s">
        <v>2837</v>
      </c>
      <c r="C572" s="3" t="s">
        <v>2838</v>
      </c>
      <c r="D572" s="6" t="s">
        <v>2839</v>
      </c>
      <c r="E572" s="7" t="s">
        <v>2840</v>
      </c>
      <c r="F572" s="5" t="str">
        <f>IFERROR(__xludf.DUMMYFUNCTION("GOOGLEFINANCE(""NSE:""&amp;A572,""name"")"),"Dr Reddy's Laboratories Ltd")</f>
        <v>Dr Reddy's Laboratories Ltd</v>
      </c>
    </row>
    <row r="573">
      <c r="A573" s="1" t="s">
        <v>2841</v>
      </c>
      <c r="B573" s="5" t="s">
        <v>2842</v>
      </c>
      <c r="C573" s="3" t="s">
        <v>2843</v>
      </c>
      <c r="D573" s="6" t="s">
        <v>2844</v>
      </c>
      <c r="E573" s="7" t="s">
        <v>2845</v>
      </c>
      <c r="F573" s="5" t="str">
        <f>IFERROR(__xludf.DUMMYFUNCTION("GOOGLEFINANCE(""NSE:""&amp;A573,""name"")"),"DRC Systems India Ltd")</f>
        <v>DRC Systems India Ltd</v>
      </c>
    </row>
    <row r="574">
      <c r="A574" s="1" t="s">
        <v>2846</v>
      </c>
      <c r="B574" s="5" t="s">
        <v>2847</v>
      </c>
      <c r="C574" s="3" t="s">
        <v>2848</v>
      </c>
      <c r="D574" s="6" t="s">
        <v>2849</v>
      </c>
      <c r="E574" s="7" t="s">
        <v>2850</v>
      </c>
      <c r="F574" s="5" t="str">
        <f>IFERROR(__xludf.DUMMYFUNCTION("GOOGLEFINANCE(""NSE:""&amp;A574,""name"")"),"Dreamfolks Services Ltd")</f>
        <v>Dreamfolks Services Ltd</v>
      </c>
    </row>
    <row r="575">
      <c r="A575" s="1" t="s">
        <v>2851</v>
      </c>
      <c r="B575" s="5" t="s">
        <v>2852</v>
      </c>
      <c r="C575" s="3" t="s">
        <v>2853</v>
      </c>
      <c r="D575" s="6" t="s">
        <v>2854</v>
      </c>
      <c r="E575" s="7" t="s">
        <v>2855</v>
      </c>
      <c r="F575" s="5" t="str">
        <f>IFERROR(__xludf.DUMMYFUNCTION("GOOGLEFINANCE(""NSE:""&amp;A575,""name"")"),"Dredging Corporation of India Ltd")</f>
        <v>Dredging Corporation of India Ltd</v>
      </c>
    </row>
    <row r="576">
      <c r="A576" s="1" t="s">
        <v>2856</v>
      </c>
      <c r="B576" s="5" t="s">
        <v>2857</v>
      </c>
      <c r="C576" s="3" t="s">
        <v>2858</v>
      </c>
      <c r="D576" s="6" t="s">
        <v>2859</v>
      </c>
      <c r="E576" s="7" t="s">
        <v>2860</v>
      </c>
      <c r="F576" s="5" t="str">
        <f>IFERROR(__xludf.DUMMYFUNCTION("GOOGLEFINANCE(""NSE:""&amp;A576,""name"")"),"Dsp Nifty 1D Rate Liquid Etf")</f>
        <v>Dsp Nifty 1D Rate Liquid Etf</v>
      </c>
    </row>
    <row r="577">
      <c r="A577" s="1" t="s">
        <v>2861</v>
      </c>
      <c r="B577" s="5" t="s">
        <v>2862</v>
      </c>
      <c r="C577" s="3" t="s">
        <v>2863</v>
      </c>
      <c r="D577" s="6" t="s">
        <v>2864</v>
      </c>
      <c r="E577" s="7" t="s">
        <v>2865</v>
      </c>
      <c r="F577" s="5" t="str">
        <f>IFERROR(__xludf.DUMMYFUNCTION("GOOGLEFINANCE(""NSE:""&amp;A577,""name"")"),"DSP BSE Sensex Next 30 ETF")</f>
        <v>DSP BSE Sensex Next 30 ETF</v>
      </c>
    </row>
    <row r="578">
      <c r="A578" s="1" t="s">
        <v>2866</v>
      </c>
      <c r="B578" s="5" t="s">
        <v>2867</v>
      </c>
      <c r="C578" s="3" t="s">
        <v>2868</v>
      </c>
      <c r="D578" s="6" t="s">
        <v>2869</v>
      </c>
      <c r="E578" s="7" t="s">
        <v>2870</v>
      </c>
      <c r="F578" s="5" t="str">
        <f>IFERROR(__xludf.DUMMYFUNCTION("GOOGLEFINANCE(""NSE:""&amp;A578,""name"")"),"DSP MSCI India ETF")</f>
        <v>DSP MSCI India ETF</v>
      </c>
    </row>
    <row r="579">
      <c r="A579" s="1" t="s">
        <v>2871</v>
      </c>
      <c r="B579" s="5" t="s">
        <v>2872</v>
      </c>
      <c r="C579" s="3" t="s">
        <v>2873</v>
      </c>
      <c r="D579" s="6" t="s">
        <v>2874</v>
      </c>
      <c r="E579" s="7" t="s">
        <v>2875</v>
      </c>
      <c r="F579" s="5" t="str">
        <f>IFERROR(__xludf.DUMMYFUNCTION("GOOGLEFINANCE(""NSE:""&amp;A579,""name"")"),"DSP Nifty 50 Equal Weight ETF")</f>
        <v>DSP Nifty 50 Equal Weight ETF</v>
      </c>
    </row>
    <row r="580">
      <c r="A580" s="1" t="s">
        <v>2876</v>
      </c>
      <c r="B580" s="5" t="s">
        <v>2877</v>
      </c>
      <c r="C580" s="3" t="s">
        <v>2878</v>
      </c>
      <c r="D580" s="6" t="s">
        <v>2879</v>
      </c>
      <c r="E580" s="7" t="s">
        <v>2880</v>
      </c>
      <c r="F580" s="5" t="str">
        <f>IFERROR(__xludf.DUMMYFUNCTION("GOOGLEFINANCE(""NSE:""&amp;A580,""name"")"),"DSP Nifty Healthcare ETF")</f>
        <v>DSP Nifty Healthcare ETF</v>
      </c>
    </row>
    <row r="581">
      <c r="A581" s="1" t="s">
        <v>2881</v>
      </c>
      <c r="B581" s="5" t="s">
        <v>2882</v>
      </c>
      <c r="C581" s="3" t="s">
        <v>2883</v>
      </c>
      <c r="D581" s="6" t="s">
        <v>2884</v>
      </c>
      <c r="E581" s="7" t="s">
        <v>2885</v>
      </c>
      <c r="F581" s="5" t="str">
        <f>IFERROR(__xludf.DUMMYFUNCTION("GOOGLEFINANCE(""NSE:""&amp;A581,""name"")"),"DSP Nifty Midcap 150 Quality 50 ETF")</f>
        <v>DSP Nifty Midcap 150 Quality 50 ETF</v>
      </c>
    </row>
    <row r="582">
      <c r="A582" s="1" t="s">
        <v>2886</v>
      </c>
      <c r="B582" s="5" t="s">
        <v>2887</v>
      </c>
      <c r="C582" s="3" t="s">
        <v>2888</v>
      </c>
      <c r="D582" s="6" t="s">
        <v>2889</v>
      </c>
      <c r="E582" s="7" t="s">
        <v>2890</v>
      </c>
      <c r="F582" s="5" t="str">
        <f>IFERROR(__xludf.DUMMYFUNCTION("GOOGLEFINANCE(""NSE:""&amp;A582,""name"")"),"DSP Nifty Private Bank ETF")</f>
        <v>DSP Nifty Private Bank ETF</v>
      </c>
    </row>
    <row r="583">
      <c r="A583" s="1" t="s">
        <v>2891</v>
      </c>
      <c r="B583" s="5" t="s">
        <v>2892</v>
      </c>
      <c r="C583" s="3" t="s">
        <v>2893</v>
      </c>
      <c r="D583" s="6" t="s">
        <v>2894</v>
      </c>
      <c r="E583" s="7" t="s">
        <v>2895</v>
      </c>
      <c r="F583" s="5" t="str">
        <f>IFERROR(__xludf.DUMMYFUNCTION("GOOGLEFINANCE(""NSE:""&amp;A583,""name"")"),"DSP Nifty PSU Bank ETF")</f>
        <v>DSP Nifty PSU Bank ETF</v>
      </c>
    </row>
    <row r="584">
      <c r="A584" s="1" t="s">
        <v>2896</v>
      </c>
      <c r="B584" s="5" t="s">
        <v>2897</v>
      </c>
      <c r="C584" s="3" t="s">
        <v>2898</v>
      </c>
      <c r="D584" s="6" t="s">
        <v>2899</v>
      </c>
      <c r="E584" s="7" t="s">
        <v>2900</v>
      </c>
      <c r="F584" s="5" t="str">
        <f>IFERROR(__xludf.DUMMYFUNCTION("GOOGLEFINANCE(""NSE:""&amp;A584,""name"")"),"DSP Nifty Top 10 Equal Weight ETF")</f>
        <v>DSP Nifty Top 10 Equal Weight ETF</v>
      </c>
    </row>
    <row r="585">
      <c r="A585" s="1" t="s">
        <v>2901</v>
      </c>
      <c r="B585" s="5" t="s">
        <v>2902</v>
      </c>
      <c r="C585" s="3" t="s">
        <v>2903</v>
      </c>
      <c r="D585" s="6" t="s">
        <v>2904</v>
      </c>
      <c r="E585" s="7" t="s">
        <v>2905</v>
      </c>
      <c r="F585" s="5" t="str">
        <f>IFERROR(__xludf.DUMMYFUNCTION("GOOGLEFINANCE(""NSE:""&amp;A585,""name"")"),"DSP Nifty500 Flexicap Quality 30 ETF")</f>
        <v>DSP Nifty500 Flexicap Quality 30 ETF</v>
      </c>
    </row>
    <row r="586">
      <c r="A586" s="1" t="s">
        <v>2906</v>
      </c>
      <c r="B586" s="5" t="s">
        <v>2907</v>
      </c>
      <c r="C586" s="3" t="s">
        <v>2908</v>
      </c>
      <c r="D586" s="6" t="s">
        <v>2909</v>
      </c>
      <c r="E586" s="7" t="s">
        <v>2910</v>
      </c>
      <c r="F586" s="5" t="str">
        <f>IFERROR(__xludf.DUMMYFUNCTION("GOOGLEFINANCE(""NSE:""&amp;A586,""name"")"),"DSP BSE Liquid Rate ETF")</f>
        <v>DSP BSE Liquid Rate ETF</v>
      </c>
    </row>
    <row r="587">
      <c r="A587" s="1" t="s">
        <v>2911</v>
      </c>
      <c r="B587" s="5" t="s">
        <v>2912</v>
      </c>
      <c r="C587" s="3" t="s">
        <v>2913</v>
      </c>
      <c r="D587" s="6" t="s">
        <v>2914</v>
      </c>
      <c r="E587" s="7" t="s">
        <v>2915</v>
      </c>
      <c r="F587" s="5" t="str">
        <f>IFERROR(__xludf.DUMMYFUNCTION("GOOGLEFINANCE(""NSE:""&amp;A587,""name"")"),"DSP BSE Sensex ETF")</f>
        <v>DSP BSE Sensex ETF</v>
      </c>
    </row>
    <row r="588">
      <c r="A588" s="1" t="s">
        <v>2916</v>
      </c>
      <c r="B588" s="5" t="s">
        <v>2917</v>
      </c>
      <c r="C588" s="3" t="s">
        <v>2918</v>
      </c>
      <c r="D588" s="6" t="s">
        <v>2919</v>
      </c>
      <c r="E588" s="7" t="s">
        <v>2920</v>
      </c>
      <c r="F588" s="5" t="str">
        <f>IFERROR(__xludf.DUMMYFUNCTION("GOOGLEFINANCE(""NSE:""&amp;A588,""name"")"),"DSP Silver ETF")</f>
        <v>DSP Silver ETF</v>
      </c>
    </row>
    <row r="589">
      <c r="A589" s="1" t="s">
        <v>2921</v>
      </c>
      <c r="B589" s="5" t="s">
        <v>2922</v>
      </c>
      <c r="C589" s="3" t="s">
        <v>2923</v>
      </c>
      <c r="D589" s="6" t="s">
        <v>2924</v>
      </c>
      <c r="E589" s="7" t="s">
        <v>2925</v>
      </c>
      <c r="F589" s="5" t="str">
        <f>IFERROR(__xludf.DUMMYFUNCTION("GOOGLEFINANCE(""NSE:""&amp;A589,""name"")"),"Dwarikesh Sugar Industries Ltd")</f>
        <v>Dwarikesh Sugar Industries Ltd</v>
      </c>
    </row>
    <row r="590">
      <c r="A590" s="1" t="s">
        <v>2926</v>
      </c>
      <c r="B590" s="5" t="s">
        <v>2927</v>
      </c>
      <c r="C590" s="3" t="s">
        <v>2928</v>
      </c>
      <c r="D590" s="6" t="s">
        <v>2929</v>
      </c>
      <c r="E590" s="7" t="s">
        <v>2930</v>
      </c>
      <c r="F590" s="5" t="str">
        <f>IFERROR(__xludf.DUMMYFUNCTION("GOOGLEFINANCE(""NSE:""&amp;A590,""name"")"),"Dynacons Systems and Solutions Ltd")</f>
        <v>Dynacons Systems and Solutions Ltd</v>
      </c>
    </row>
    <row r="591">
      <c r="A591" s="1" t="s">
        <v>2931</v>
      </c>
      <c r="B591" s="5" t="s">
        <v>2932</v>
      </c>
      <c r="C591" s="3" t="s">
        <v>2933</v>
      </c>
      <c r="D591" s="6" t="s">
        <v>2934</v>
      </c>
      <c r="E591" s="7" t="s">
        <v>2935</v>
      </c>
      <c r="F591" s="5" t="str">
        <f>IFERROR(__xludf.DUMMYFUNCTION("GOOGLEFINANCE(""NSE:""&amp;A591,""name"")"),"Dynamatic Technologies Ltd")</f>
        <v>Dynamatic Technologies Ltd</v>
      </c>
    </row>
    <row r="592">
      <c r="A592" s="1" t="s">
        <v>2936</v>
      </c>
      <c r="B592" s="5" t="s">
        <v>2937</v>
      </c>
      <c r="C592" s="3" t="s">
        <v>2938</v>
      </c>
      <c r="D592" s="6" t="s">
        <v>2939</v>
      </c>
      <c r="E592" s="7" t="s">
        <v>2940</v>
      </c>
      <c r="F592" s="5" t="str">
        <f>IFERROR(__xludf.DUMMYFUNCTION("GOOGLEFINANCE(""NSE:""&amp;A592,""name"")"),"Dynamic Cables Ltd")</f>
        <v>Dynamic Cables Ltd</v>
      </c>
    </row>
    <row r="593">
      <c r="A593" s="1" t="s">
        <v>2941</v>
      </c>
      <c r="B593" s="5" t="s">
        <v>2942</v>
      </c>
      <c r="C593" s="3" t="s">
        <v>2943</v>
      </c>
      <c r="D593" s="6" t="s">
        <v>2944</v>
      </c>
      <c r="E593" s="7" t="s">
        <v>2945</v>
      </c>
      <c r="F593" s="5" t="str">
        <f>IFERROR(__xludf.DUMMYFUNCTION("GOOGLEFINANCE(""NSE:""&amp;A593,""name"")"),"Dynemic Products Ltd")</f>
        <v>Dynemic Products Ltd</v>
      </c>
    </row>
    <row r="594">
      <c r="A594" s="1" t="s">
        <v>2946</v>
      </c>
      <c r="B594" s="5" t="s">
        <v>2947</v>
      </c>
      <c r="C594" s="3" t="s">
        <v>2948</v>
      </c>
      <c r="D594" s="6" t="s">
        <v>2949</v>
      </c>
      <c r="E594" s="7" t="s">
        <v>2950</v>
      </c>
      <c r="F594" s="5" t="str">
        <f>IFERROR(__xludf.DUMMYFUNCTION("GOOGLEFINANCE(""NSE:""&amp;A594,""name"")"),"E2E Networks Ltd")</f>
        <v>E2E Networks Ltd</v>
      </c>
    </row>
    <row r="595">
      <c r="A595" s="1" t="s">
        <v>2951</v>
      </c>
      <c r="B595" s="5" t="s">
        <v>2952</v>
      </c>
      <c r="C595" s="3" t="s">
        <v>2953</v>
      </c>
      <c r="D595" s="6" t="s">
        <v>2954</v>
      </c>
      <c r="E595" s="7" t="s">
        <v>2955</v>
      </c>
      <c r="F595" s="5" t="str">
        <f>IFERROR(__xludf.DUMMYFUNCTION("GOOGLEFINANCE(""NSE:""&amp;A595,""name"")"),"Eastern Silk Industries Ltd")</f>
        <v>Eastern Silk Industries Ltd</v>
      </c>
    </row>
    <row r="596">
      <c r="A596" s="1" t="s">
        <v>2956</v>
      </c>
      <c r="B596" s="5" t="s">
        <v>2957</v>
      </c>
      <c r="C596" s="3" t="s">
        <v>2958</v>
      </c>
      <c r="D596" s="6" t="s">
        <v>2959</v>
      </c>
      <c r="E596" s="7" t="s">
        <v>2960</v>
      </c>
      <c r="F596" s="5" t="str">
        <f>IFERROR(__xludf.DUMMYFUNCTION("GOOGLEFINANCE(""NSE:""&amp;A596,""name"")"),"Easy Trip Planners Ltd")</f>
        <v>Easy Trip Planners Ltd</v>
      </c>
    </row>
    <row r="597">
      <c r="A597" s="1" t="s">
        <v>2961</v>
      </c>
      <c r="B597" s="5" t="s">
        <v>2962</v>
      </c>
      <c r="C597" s="3" t="s">
        <v>2963</v>
      </c>
      <c r="D597" s="6" t="s">
        <v>2964</v>
      </c>
      <c r="E597" s="7" t="s">
        <v>2965</v>
      </c>
      <c r="F597" s="5" t="str">
        <f>IFERROR(__xludf.DUMMYFUNCTION("GOOGLEFINANCE(""NSE:""&amp;A597,""name"")"),"eClerx Services Limited")</f>
        <v>eClerx Services Limited</v>
      </c>
    </row>
    <row r="598">
      <c r="A598" s="1" t="s">
        <v>2966</v>
      </c>
      <c r="B598" s="5" t="s">
        <v>2967</v>
      </c>
      <c r="C598" s="3" t="s">
        <v>2968</v>
      </c>
      <c r="D598" s="6" t="s">
        <v>2969</v>
      </c>
      <c r="E598" s="7" t="s">
        <v>2970</v>
      </c>
      <c r="F598" s="5" t="str">
        <f>IFERROR(__xludf.DUMMYFUNCTION("GOOGLEFINANCE(""NSE:""&amp;A598,""name"")"),"ECOS (India) Mobility &amp; Hospitality Ltd")</f>
        <v>ECOS (India) Mobility &amp; Hospitality Ltd</v>
      </c>
    </row>
    <row r="599">
      <c r="A599" s="1" t="s">
        <v>2971</v>
      </c>
      <c r="B599" s="5" t="s">
        <v>2972</v>
      </c>
      <c r="C599" s="3" t="s">
        <v>2973</v>
      </c>
      <c r="D599" s="6" t="s">
        <v>2974</v>
      </c>
      <c r="E599" s="7" t="s">
        <v>2975</v>
      </c>
      <c r="F599" s="5" t="str">
        <f>IFERROR(__xludf.DUMMYFUNCTION("GOOGLEFINANCE(""NSE:""&amp;A599,""name"")"),"Edelweiss BSE Capital Markets &amp; Insurance ETF")</f>
        <v>Edelweiss BSE Capital Markets &amp; Insurance ETF</v>
      </c>
    </row>
    <row r="600">
      <c r="A600" s="1" t="s">
        <v>2976</v>
      </c>
      <c r="B600" s="5" t="s">
        <v>2977</v>
      </c>
      <c r="C600" s="3" t="s">
        <v>2978</v>
      </c>
      <c r="D600" s="6" t="s">
        <v>2979</v>
      </c>
      <c r="E600" s="7" t="s">
        <v>2980</v>
      </c>
      <c r="F600" s="5" t="str">
        <f>IFERROR(__xludf.DUMMYFUNCTION("GOOGLEFINANCE(""NSE:""&amp;A600,""name"")"),"Edelweiss BSE Sensex ETF")</f>
        <v>Edelweiss BSE Sensex ETF</v>
      </c>
    </row>
    <row r="601">
      <c r="A601" s="1" t="s">
        <v>2981</v>
      </c>
      <c r="B601" s="5" t="s">
        <v>2982</v>
      </c>
      <c r="C601" s="3" t="s">
        <v>2983</v>
      </c>
      <c r="D601" s="6" t="s">
        <v>2984</v>
      </c>
      <c r="E601" s="7" t="s">
        <v>2985</v>
      </c>
      <c r="F601" s="5" t="str">
        <f>IFERROR(__xludf.DUMMYFUNCTION("GOOGLEFINANCE(""NSE:""&amp;A601,""name"")"),"Edelweiss Financial Services Ltd")</f>
        <v>Edelweiss Financial Services Ltd</v>
      </c>
    </row>
    <row r="602">
      <c r="A602" s="1" t="s">
        <v>2986</v>
      </c>
      <c r="B602" s="5" t="s">
        <v>2987</v>
      </c>
      <c r="C602" s="3" t="s">
        <v>2988</v>
      </c>
      <c r="D602" s="6" t="s">
        <v>2989</v>
      </c>
      <c r="E602" s="7" t="s">
        <v>2990</v>
      </c>
      <c r="F602" s="5" t="str">
        <f>IFERROR(__xludf.DUMMYFUNCTION("GOOGLEFINANCE(""NSE:""&amp;A602,""name"")"),"Edelweiss Gold ETF")</f>
        <v>Edelweiss Gold ETF</v>
      </c>
    </row>
    <row r="603">
      <c r="A603" s="1" t="s">
        <v>2991</v>
      </c>
      <c r="B603" s="5" t="s">
        <v>2992</v>
      </c>
      <c r="C603" s="3" t="s">
        <v>2993</v>
      </c>
      <c r="D603" s="6" t="s">
        <v>2994</v>
      </c>
      <c r="E603" s="7" t="s">
        <v>2995</v>
      </c>
      <c r="F603" s="5" t="str">
        <f>IFERROR(__xludf.DUMMYFUNCTION("GOOGLEFINANCE(""NSE:""&amp;A603,""name"")"),"Edelweiss Nifty 1D Rate Liquid Growth ETF")</f>
        <v>Edelweiss Nifty 1D Rate Liquid Growth ETF</v>
      </c>
    </row>
    <row r="604">
      <c r="A604" s="1" t="s">
        <v>2996</v>
      </c>
      <c r="B604" s="5" t="s">
        <v>2997</v>
      </c>
      <c r="C604" s="3" t="s">
        <v>2998</v>
      </c>
      <c r="D604" s="6" t="s">
        <v>2999</v>
      </c>
      <c r="E604" s="7" t="s">
        <v>3000</v>
      </c>
      <c r="F604" s="5" t="str">
        <f>IFERROR(__xludf.DUMMYFUNCTION("GOOGLEFINANCE(""NSE:""&amp;A604,""name"")"),"Edelweiss Nifty Bank ETF")</f>
        <v>Edelweiss Nifty Bank ETF</v>
      </c>
    </row>
    <row r="605">
      <c r="A605" s="1" t="s">
        <v>3001</v>
      </c>
      <c r="B605" s="5" t="s">
        <v>3002</v>
      </c>
      <c r="C605" s="3" t="s">
        <v>3003</v>
      </c>
      <c r="D605" s="6" t="s">
        <v>3004</v>
      </c>
      <c r="E605" s="7" t="s">
        <v>3005</v>
      </c>
      <c r="F605" s="5" t="str">
        <f>IFERROR(__xludf.DUMMYFUNCTION("GOOGLEFINANCE(""NSE:""&amp;A605,""name"")"),"Edelweiss Nifty LargeMidcap 250 ETF")</f>
        <v>Edelweiss Nifty LargeMidcap 250 ETF</v>
      </c>
    </row>
    <row r="606">
      <c r="A606" s="1" t="s">
        <v>3006</v>
      </c>
      <c r="B606" s="5" t="s">
        <v>3007</v>
      </c>
      <c r="C606" s="3" t="s">
        <v>3008</v>
      </c>
      <c r="D606" s="6" t="s">
        <v>3009</v>
      </c>
      <c r="E606" s="7" t="s">
        <v>3010</v>
      </c>
      <c r="F606" s="5" t="str">
        <f>IFERROR(__xludf.DUMMYFUNCTION("GOOGLEFINANCE(""NSE:""&amp;A606,""name"")"),"Edelweiss Nifty500 Multicap Momentum Quality50 ETF")</f>
        <v>Edelweiss Nifty500 Multicap Momentum Quality50 ETF</v>
      </c>
    </row>
    <row r="607">
      <c r="A607" s="1" t="s">
        <v>3011</v>
      </c>
      <c r="B607" s="5" t="s">
        <v>3012</v>
      </c>
      <c r="C607" s="3" t="s">
        <v>3013</v>
      </c>
      <c r="D607" s="6" t="s">
        <v>3014</v>
      </c>
      <c r="E607" s="7" t="s">
        <v>3015</v>
      </c>
      <c r="F607" s="5" t="str">
        <f>IFERROR(__xludf.DUMMYFUNCTION("GOOGLEFINANCE(""NSE:""&amp;A607,""name"")"),"Edelweiss Silver ETF")</f>
        <v>Edelweiss Silver ETF</v>
      </c>
    </row>
    <row r="608">
      <c r="A608" s="1" t="s">
        <v>3016</v>
      </c>
      <c r="B608" s="5" t="s">
        <v>3017</v>
      </c>
      <c r="C608" s="3" t="s">
        <v>3018</v>
      </c>
      <c r="D608" s="6" t="s">
        <v>3019</v>
      </c>
      <c r="E608" s="7" t="s">
        <v>3020</v>
      </c>
      <c r="F608" s="5" t="str">
        <f>IFERROR(__xludf.DUMMYFUNCTION("GOOGLEFINANCE(""NSE:""&amp;A608,""name"")"),"EFC (I) Ltd")</f>
        <v>EFC (I) Ltd</v>
      </c>
    </row>
    <row r="609">
      <c r="A609" s="1" t="s">
        <v>3021</v>
      </c>
      <c r="B609" s="5" t="s">
        <v>3022</v>
      </c>
      <c r="C609" s="3" t="s">
        <v>3023</v>
      </c>
      <c r="D609" s="6" t="s">
        <v>3024</v>
      </c>
      <c r="E609" s="7" t="s">
        <v>3025</v>
      </c>
      <c r="F609" s="5" t="str">
        <f>IFERROR(__xludf.DUMMYFUNCTION("GOOGLEFINANCE(""NSE:""&amp;A609,""name"")"),"Eicher Motors Ltd")</f>
        <v>Eicher Motors Ltd</v>
      </c>
    </row>
    <row r="610">
      <c r="A610" s="1" t="s">
        <v>3026</v>
      </c>
      <c r="B610" s="5" t="s">
        <v>3027</v>
      </c>
      <c r="C610" s="3" t="s">
        <v>3028</v>
      </c>
      <c r="D610" s="6" t="s">
        <v>3029</v>
      </c>
      <c r="E610" s="7" t="s">
        <v>3030</v>
      </c>
      <c r="F610" s="5" t="str">
        <f>IFERROR(__xludf.DUMMYFUNCTION("GOOGLEFINANCE(""NSE:""&amp;A610,""name"")"),"E I D-Parry (India) Ltd")</f>
        <v>E I D-Parry (India) Ltd</v>
      </c>
    </row>
    <row r="611">
      <c r="A611" s="1" t="s">
        <v>3031</v>
      </c>
      <c r="B611" s="5" t="s">
        <v>3032</v>
      </c>
      <c r="C611" s="3" t="s">
        <v>3033</v>
      </c>
      <c r="D611" s="6" t="s">
        <v>3034</v>
      </c>
      <c r="E611" s="7" t="s">
        <v>3035</v>
      </c>
      <c r="F611" s="5" t="str">
        <f>IFERROR(__xludf.DUMMYFUNCTION("GOOGLEFINANCE(""NSE:""&amp;A611,""name"")"),"EIH Associated Hotels Ltd")</f>
        <v>EIH Associated Hotels Ltd</v>
      </c>
    </row>
    <row r="612">
      <c r="A612" s="1" t="s">
        <v>3036</v>
      </c>
      <c r="B612" s="5" t="s">
        <v>3037</v>
      </c>
      <c r="C612" s="3" t="s">
        <v>3038</v>
      </c>
      <c r="D612" s="6" t="s">
        <v>3039</v>
      </c>
      <c r="E612" s="7" t="s">
        <v>3040</v>
      </c>
      <c r="F612" s="5" t="str">
        <f>IFERROR(__xludf.DUMMYFUNCTION("GOOGLEFINANCE(""NSE:""&amp;A612,""name"")"),"EIH Ltd")</f>
        <v>EIH Ltd</v>
      </c>
    </row>
    <row r="613">
      <c r="A613" s="1" t="s">
        <v>3041</v>
      </c>
      <c r="B613" s="5" t="s">
        <v>3042</v>
      </c>
      <c r="C613" s="3" t="s">
        <v>3043</v>
      </c>
      <c r="D613" s="6" t="s">
        <v>3044</v>
      </c>
      <c r="E613" s="7" t="s">
        <v>3045</v>
      </c>
      <c r="F613" s="5" t="str">
        <f>IFERROR(__xludf.DUMMYFUNCTION("GOOGLEFINANCE(""NSE:""&amp;A613,""name"")"),"Eimco Elecon (India) Ltd")</f>
        <v>Eimco Elecon (India) Ltd</v>
      </c>
    </row>
    <row r="614">
      <c r="A614" s="1" t="s">
        <v>3046</v>
      </c>
      <c r="B614" s="5" t="s">
        <v>3047</v>
      </c>
      <c r="C614" s="3" t="s">
        <v>3048</v>
      </c>
      <c r="D614" s="6" t="s">
        <v>3049</v>
      </c>
      <c r="E614" s="7" t="s">
        <v>3050</v>
      </c>
      <c r="F614" s="5" t="str">
        <f>IFERROR(__xludf.DUMMYFUNCTION("GOOGLEFINANCE(""NSE:""&amp;A614,""name"")"),"Eldeco Housing And Industries Ltd")</f>
        <v>Eldeco Housing And Industries Ltd</v>
      </c>
    </row>
    <row r="615">
      <c r="A615" s="1" t="s">
        <v>3051</v>
      </c>
      <c r="B615" s="5" t="s">
        <v>3052</v>
      </c>
      <c r="C615" s="3" t="s">
        <v>3053</v>
      </c>
      <c r="D615" s="6" t="s">
        <v>3054</v>
      </c>
      <c r="E615" s="7" t="s">
        <v>3055</v>
      </c>
      <c r="F615" s="5" t="str">
        <f>IFERROR(__xludf.DUMMYFUNCTION("GOOGLEFINANCE(""NSE:""&amp;A615,""name"")"),"Elecon Engineering Company Ltd")</f>
        <v>Elecon Engineering Company Ltd</v>
      </c>
    </row>
    <row r="616">
      <c r="A616" s="1" t="s">
        <v>3056</v>
      </c>
      <c r="B616" s="5" t="s">
        <v>3057</v>
      </c>
      <c r="C616" s="3" t="s">
        <v>3058</v>
      </c>
      <c r="D616" s="6" t="s">
        <v>3059</v>
      </c>
      <c r="E616" s="7" t="s">
        <v>3060</v>
      </c>
      <c r="F616" s="5" t="str">
        <f>IFERROR(__xludf.DUMMYFUNCTION("GOOGLEFINANCE(""NSE:""&amp;A616,""name"")"),"Electronics Mart India Ltd")</f>
        <v>Electronics Mart India Ltd</v>
      </c>
    </row>
    <row r="617">
      <c r="A617" s="1" t="s">
        <v>3061</v>
      </c>
      <c r="B617" s="5" t="s">
        <v>3062</v>
      </c>
      <c r="C617" s="3" t="s">
        <v>3063</v>
      </c>
      <c r="D617" s="6" t="s">
        <v>3064</v>
      </c>
      <c r="E617" s="7" t="s">
        <v>3065</v>
      </c>
      <c r="F617" s="5" t="str">
        <f>IFERROR(__xludf.DUMMYFUNCTION("GOOGLEFINANCE(""NSE:""&amp;A617,""name"")"),"Electrosteel Castings Ltd")</f>
        <v>Electrosteel Castings Ltd</v>
      </c>
    </row>
    <row r="618">
      <c r="A618" s="1" t="s">
        <v>3066</v>
      </c>
      <c r="B618" s="5" t="s">
        <v>3067</v>
      </c>
      <c r="C618" s="3" t="s">
        <v>3068</v>
      </c>
      <c r="D618" s="6" t="s">
        <v>3069</v>
      </c>
      <c r="E618" s="7" t="s">
        <v>3070</v>
      </c>
      <c r="F618" s="5" t="str">
        <f>IFERROR(__xludf.DUMMYFUNCTION("GOOGLEFINANCE(""NSE:""&amp;A618,""name"")"),"Electrotherm (India) Ltd")</f>
        <v>Electrotherm (India) Ltd</v>
      </c>
    </row>
    <row r="619">
      <c r="A619" s="1" t="s">
        <v>3071</v>
      </c>
      <c r="B619" s="5" t="s">
        <v>3072</v>
      </c>
      <c r="C619" s="3" t="s">
        <v>3073</v>
      </c>
      <c r="D619" s="6" t="s">
        <v>3074</v>
      </c>
      <c r="E619" s="7" t="s">
        <v>3075</v>
      </c>
      <c r="F619" s="5" t="str">
        <f>IFERROR(__xludf.DUMMYFUNCTION("GOOGLEFINANCE(""NSE:""&amp;A619,""name"")"),"ELGI Equipments Ltd")</f>
        <v>ELGI Equipments Ltd</v>
      </c>
    </row>
    <row r="620">
      <c r="A620" s="1" t="s">
        <v>3076</v>
      </c>
      <c r="B620" s="5" t="s">
        <v>3077</v>
      </c>
      <c r="C620" s="3" t="s">
        <v>3078</v>
      </c>
      <c r="D620" s="6" t="s">
        <v>3079</v>
      </c>
      <c r="E620" s="7" t="s">
        <v>3080</v>
      </c>
      <c r="F620" s="5" t="str">
        <f>IFERROR(__xludf.DUMMYFUNCTION("GOOGLEFINANCE(""NSE:""&amp;A620,""name"")"),"ELGI Rubber Co Ltd")</f>
        <v>ELGI Rubber Co Ltd</v>
      </c>
    </row>
    <row r="621">
      <c r="A621" s="1" t="s">
        <v>3081</v>
      </c>
      <c r="B621" s="5" t="s">
        <v>3082</v>
      </c>
      <c r="C621" s="3" t="s">
        <v>3083</v>
      </c>
      <c r="D621" s="6" t="s">
        <v>3084</v>
      </c>
      <c r="E621" s="7" t="s">
        <v>3085</v>
      </c>
      <c r="F621" s="5" t="str">
        <f>IFERROR(__xludf.DUMMYFUNCTION("GOOGLEFINANCE(""NSE:""&amp;A621,""name"")"),"Elin Electronics Ltd")</f>
        <v>Elin Electronics Ltd</v>
      </c>
    </row>
    <row r="622">
      <c r="A622" s="1" t="s">
        <v>3086</v>
      </c>
      <c r="B622" s="5" t="s">
        <v>3086</v>
      </c>
      <c r="C622" s="3" t="s">
        <v>3087</v>
      </c>
      <c r="D622" s="6" t="s">
        <v>3088</v>
      </c>
      <c r="E622" s="7" t="s">
        <v>3089</v>
      </c>
      <c r="F622" s="5" t="str">
        <f>IFERROR(__xludf.DUMMYFUNCTION("GOOGLEFINANCE(""NSE:""&amp;A622,""name"")"),"Ellenbarrie Industrial Gases Ltd")</f>
        <v>Ellenbarrie Industrial Gases Ltd</v>
      </c>
    </row>
    <row r="623">
      <c r="A623" s="1" t="s">
        <v>3090</v>
      </c>
      <c r="B623" s="5" t="s">
        <v>3091</v>
      </c>
      <c r="C623" s="3" t="s">
        <v>3092</v>
      </c>
      <c r="D623" s="6" t="s">
        <v>3093</v>
      </c>
      <c r="E623" s="7" t="s">
        <v>3094</v>
      </c>
      <c r="F623" s="5" t="str">
        <f>IFERROR(__xludf.DUMMYFUNCTION("GOOGLEFINANCE(""NSE:""&amp;A623,""name"")"),"Emami Ltd")</f>
        <v>Emami Ltd</v>
      </c>
    </row>
    <row r="624">
      <c r="A624" s="1" t="s">
        <v>3095</v>
      </c>
      <c r="B624" s="5" t="s">
        <v>3096</v>
      </c>
      <c r="C624" s="3" t="s">
        <v>3097</v>
      </c>
      <c r="D624" s="6" t="s">
        <v>3098</v>
      </c>
      <c r="E624" s="7" t="s">
        <v>3099</v>
      </c>
      <c r="F624" s="5" t="str">
        <f>IFERROR(__xludf.DUMMYFUNCTION("GOOGLEFINANCE(""NSE:""&amp;A624,""name"")"),"Emami Paper Mills Ltd")</f>
        <v>Emami Paper Mills Ltd</v>
      </c>
    </row>
    <row r="625">
      <c r="A625" s="1" t="s">
        <v>3100</v>
      </c>
      <c r="B625" s="5" t="s">
        <v>3101</v>
      </c>
      <c r="C625" s="3" t="s">
        <v>3102</v>
      </c>
      <c r="D625" s="6" t="s">
        <v>3103</v>
      </c>
      <c r="E625" s="7" t="s">
        <v>3104</v>
      </c>
      <c r="F625" s="5" t="str">
        <f>IFERROR(__xludf.DUMMYFUNCTION("GOOGLEFINANCE(""NSE:""&amp;A625,""name"")"),"Emami Realty Ltd")</f>
        <v>Emami Realty Ltd</v>
      </c>
    </row>
    <row r="626">
      <c r="A626" s="1" t="s">
        <v>3105</v>
      </c>
      <c r="B626" s="5" t="s">
        <v>3106</v>
      </c>
      <c r="C626" s="3" t="s">
        <v>3107</v>
      </c>
      <c r="D626" s="6" t="s">
        <v>3108</v>
      </c>
      <c r="E626" s="7" t="s">
        <v>3109</v>
      </c>
      <c r="F626" s="5" t="str">
        <f>IFERROR(__xludf.DUMMYFUNCTION("GOOGLEFINANCE(""NSE:""&amp;A626,""name"")"),"Embassy Developments Ltd")</f>
        <v>Embassy Developments Ltd</v>
      </c>
    </row>
    <row r="627">
      <c r="A627" s="1" t="s">
        <v>3110</v>
      </c>
      <c r="B627" s="5" t="s">
        <v>3111</v>
      </c>
      <c r="C627" s="3" t="s">
        <v>3112</v>
      </c>
      <c r="D627" s="6" t="s">
        <v>3113</v>
      </c>
      <c r="E627" s="7" t="s">
        <v>3114</v>
      </c>
      <c r="F627" s="5" t="str">
        <f>IFERROR(__xludf.DUMMYFUNCTION("GOOGLEFINANCE(""NSE:""&amp;A627,""name"")"),"Emcure Pharmaceuticals Ltd")</f>
        <v>Emcure Pharmaceuticals Ltd</v>
      </c>
    </row>
    <row r="628">
      <c r="A628" s="1" t="s">
        <v>3115</v>
      </c>
      <c r="B628" s="5" t="s">
        <v>3116</v>
      </c>
      <c r="C628" s="3" t="s">
        <v>3117</v>
      </c>
      <c r="D628" s="6" t="s">
        <v>3118</v>
      </c>
      <c r="E628" s="7" t="s">
        <v>3119</v>
      </c>
      <c r="F628" s="5" t="str">
        <f>IFERROR(__xludf.DUMMYFUNCTION("GOOGLEFINANCE(""NSE:""&amp;A628,""name"")"),"Emkay Global Financial Services Ltd")</f>
        <v>Emkay Global Financial Services Ltd</v>
      </c>
    </row>
    <row r="629">
      <c r="A629" s="1" t="s">
        <v>3120</v>
      </c>
      <c r="B629" s="5" t="s">
        <v>3121</v>
      </c>
      <c r="C629" s="3" t="s">
        <v>3122</v>
      </c>
      <c r="D629" s="6" t="s">
        <v>3123</v>
      </c>
      <c r="E629" s="7" t="s">
        <v>3124</v>
      </c>
      <c r="F629" s="5" t="str">
        <f>IFERROR(__xludf.DUMMYFUNCTION("GOOGLEFINANCE(""NSE:""&amp;A629,""name"")"),"Emmbi Industries Ltd")</f>
        <v>Emmbi Industries Ltd</v>
      </c>
    </row>
    <row r="630">
      <c r="A630" s="1" t="s">
        <v>3125</v>
      </c>
      <c r="B630" s="5" t="s">
        <v>3126</v>
      </c>
      <c r="C630" s="3" t="s">
        <v>3127</v>
      </c>
      <c r="D630" s="6" t="s">
        <v>3128</v>
      </c>
      <c r="E630" s="7" t="s">
        <v>3129</v>
      </c>
      <c r="F630" s="5" t="str">
        <f>IFERROR(__xludf.DUMMYFUNCTION("GOOGLEFINANCE(""NSE:""&amp;A630,""name"")"),"Emmvee Photovoltaic Power Ltd")</f>
        <v>Emmvee Photovoltaic Power Ltd</v>
      </c>
    </row>
    <row r="631">
      <c r="A631" s="1" t="s">
        <v>3130</v>
      </c>
      <c r="B631" s="5" t="s">
        <v>3131</v>
      </c>
      <c r="C631" s="3" t="s">
        <v>3132</v>
      </c>
      <c r="D631" s="6" t="s">
        <v>3133</v>
      </c>
      <c r="E631" s="7" t="s">
        <v>3134</v>
      </c>
      <c r="F631" s="5" t="str">
        <f>IFERROR(__xludf.DUMMYFUNCTION("GOOGLEFINANCE(""NSE:""&amp;A631,""name"")"),"Krishival Foods Ltd")</f>
        <v>Krishival Foods Ltd</v>
      </c>
    </row>
    <row r="632">
      <c r="A632" s="1" t="s">
        <v>3135</v>
      </c>
      <c r="B632" s="5" t="s">
        <v>3136</v>
      </c>
      <c r="C632" s="3" t="s">
        <v>3137</v>
      </c>
      <c r="D632" s="6" t="s">
        <v>3138</v>
      </c>
      <c r="E632" s="7" t="s">
        <v>3139</v>
      </c>
      <c r="F632" s="5" t="str">
        <f>IFERROR(__xludf.DUMMYFUNCTION("GOOGLEFINANCE(""NSE:""&amp;A632,""name"")"),"Ems Ltd")</f>
        <v>Ems Ltd</v>
      </c>
    </row>
    <row r="633">
      <c r="A633" s="1" t="s">
        <v>3140</v>
      </c>
      <c r="B633" s="5" t="s">
        <v>3141</v>
      </c>
      <c r="C633" s="3" t="s">
        <v>3142</v>
      </c>
      <c r="D633" s="6" t="s">
        <v>3143</v>
      </c>
      <c r="E633" s="7" t="s">
        <v>3144</v>
      </c>
      <c r="F633" s="5" t="str">
        <f>IFERROR(__xludf.DUMMYFUNCTION("GOOGLEFINANCE(""NSE:""&amp;A633,""name"")"),"eMudhra Ltd")</f>
        <v>eMudhra Ltd</v>
      </c>
    </row>
    <row r="634">
      <c r="A634" s="1" t="s">
        <v>3145</v>
      </c>
      <c r="B634" s="5" t="s">
        <v>3146</v>
      </c>
      <c r="C634" s="3" t="s">
        <v>3147</v>
      </c>
      <c r="D634" s="6" t="s">
        <v>3148</v>
      </c>
      <c r="E634" s="7" t="s">
        <v>3149</v>
      </c>
      <c r="F634" s="5" t="str">
        <f>IFERROR(__xludf.DUMMYFUNCTION("GOOGLEFINANCE(""NSE:""&amp;A634,""name"")"),"Endurance Technologies Ltd")</f>
        <v>Endurance Technologies Ltd</v>
      </c>
    </row>
    <row r="635">
      <c r="A635" s="1" t="s">
        <v>3150</v>
      </c>
      <c r="B635" s="5" t="s">
        <v>3150</v>
      </c>
      <c r="C635" s="3" t="s">
        <v>3151</v>
      </c>
      <c r="D635" s="6" t="s">
        <v>3152</v>
      </c>
      <c r="E635" s="7" t="s">
        <v>3153</v>
      </c>
      <c r="F635" s="5" t="str">
        <f>IFERROR(__xludf.DUMMYFUNCTION("GOOGLEFINANCE(""NSE:""&amp;A635,""name"")"),"Mirae Asset Nifty Energy ETF")</f>
        <v>Mirae Asset Nifty Energy ETF</v>
      </c>
    </row>
    <row r="636">
      <c r="A636" s="1" t="s">
        <v>3154</v>
      </c>
      <c r="B636" s="5" t="s">
        <v>3155</v>
      </c>
      <c r="C636" s="3" t="s">
        <v>3156</v>
      </c>
      <c r="D636" s="6" t="s">
        <v>3157</v>
      </c>
      <c r="E636" s="7" t="s">
        <v>3158</v>
      </c>
      <c r="F636" s="5" t="str">
        <f>IFERROR(__xludf.DUMMYFUNCTION("GOOGLEFINANCE(""NSE:""&amp;A636,""name"")"),"Energy Development Company Ltd")</f>
        <v>Energy Development Company Ltd</v>
      </c>
    </row>
    <row r="637">
      <c r="A637" s="1" t="s">
        <v>3159</v>
      </c>
      <c r="B637" s="5" t="s">
        <v>3160</v>
      </c>
      <c r="C637" s="3" t="s">
        <v>3161</v>
      </c>
      <c r="D637" s="6" t="s">
        <v>3162</v>
      </c>
      <c r="E637" s="7" t="s">
        <v>3163</v>
      </c>
      <c r="F637" s="5" t="str">
        <f>IFERROR(__xludf.DUMMYFUNCTION("GOOGLEFINANCE(""NSE:""&amp;A637,""name"")"),"Engineers India Ltd")</f>
        <v>Engineers India Ltd</v>
      </c>
    </row>
    <row r="638">
      <c r="A638" s="1" t="s">
        <v>3164</v>
      </c>
      <c r="B638" s="5" t="s">
        <v>3164</v>
      </c>
      <c r="C638" s="3" t="s">
        <v>3165</v>
      </c>
      <c r="D638" s="6" t="s">
        <v>3166</v>
      </c>
      <c r="E638" s="7" t="s">
        <v>3167</v>
      </c>
      <c r="F638" s="5" t="str">
        <f>IFERROR(__xludf.DUMMYFUNCTION("GOOGLEFINANCE(""NSE:""&amp;A638,""name"")"),"Edelweiss Nifty 50 ETF")</f>
        <v>Edelweiss Nifty 50 ETF</v>
      </c>
    </row>
    <row r="639">
      <c r="A639" s="1" t="s">
        <v>3168</v>
      </c>
      <c r="B639" s="5" t="s">
        <v>3169</v>
      </c>
      <c r="C639" s="3" t="s">
        <v>3170</v>
      </c>
      <c r="D639" s="6" t="s">
        <v>3171</v>
      </c>
      <c r="E639" s="7" t="s">
        <v>3172</v>
      </c>
      <c r="F639" s="5" t="str">
        <f>IFERROR(__xludf.DUMMYFUNCTION("GOOGLEFINANCE(""NSE:""&amp;A639,""name"")"),"Entero Healthcare Solutions Ltd")</f>
        <v>Entero Healthcare Solutions Ltd</v>
      </c>
    </row>
    <row r="640">
      <c r="A640" s="1" t="s">
        <v>3173</v>
      </c>
      <c r="B640" s="5" t="s">
        <v>3174</v>
      </c>
      <c r="C640" s="3" t="s">
        <v>3175</v>
      </c>
      <c r="D640" s="6" t="s">
        <v>3176</v>
      </c>
      <c r="E640" s="7" t="s">
        <v>3177</v>
      </c>
      <c r="F640" s="5" t="str">
        <f>IFERROR(__xludf.DUMMYFUNCTION("GOOGLEFINANCE(""NSE:""&amp;A640,""name"")"),"Entertainment Network (India) Ltd")</f>
        <v>Entertainment Network (India) Ltd</v>
      </c>
    </row>
    <row r="641">
      <c r="A641" s="1" t="s">
        <v>3178</v>
      </c>
      <c r="B641" s="5" t="s">
        <v>3179</v>
      </c>
      <c r="C641" s="3" t="s">
        <v>3180</v>
      </c>
      <c r="D641" s="6" t="s">
        <v>3181</v>
      </c>
      <c r="E641" s="7" t="s">
        <v>3182</v>
      </c>
      <c r="F641" s="5" t="str">
        <f>IFERROR(__xludf.DUMMYFUNCTION("GOOGLEFINANCE(""NSE:""&amp;A641,""name"")"),"Enviro Infra Engineers Ltd")</f>
        <v>Enviro Infra Engineers Ltd</v>
      </c>
    </row>
    <row r="642">
      <c r="A642" s="1" t="s">
        <v>3183</v>
      </c>
      <c r="B642" s="5" t="s">
        <v>3184</v>
      </c>
      <c r="C642" s="3" t="s">
        <v>3185</v>
      </c>
      <c r="D642" s="6" t="s">
        <v>3186</v>
      </c>
      <c r="E642" s="7" t="s">
        <v>3187</v>
      </c>
      <c r="F642" s="5" t="str">
        <f>IFERROR(__xludf.DUMMYFUNCTION("GOOGLEFINANCE(""NSE:""&amp;A642,""name"")"),"Epack Durable Ltd")</f>
        <v>Epack Durable Ltd</v>
      </c>
    </row>
    <row r="643">
      <c r="A643" s="1" t="s">
        <v>3188</v>
      </c>
      <c r="B643" s="5" t="s">
        <v>3189</v>
      </c>
      <c r="C643" s="3" t="s">
        <v>3190</v>
      </c>
      <c r="D643" s="6" t="s">
        <v>3191</v>
      </c>
      <c r="E643" s="7" t="s">
        <v>3192</v>
      </c>
      <c r="F643" s="5" t="str">
        <f>IFERROR(__xludf.DUMMYFUNCTION("GOOGLEFINANCE(""NSE:""&amp;A643,""name"")"),"EPack Prefab Technologies Ltd")</f>
        <v>EPack Prefab Technologies Ltd</v>
      </c>
    </row>
    <row r="644">
      <c r="A644" s="1" t="s">
        <v>3193</v>
      </c>
      <c r="B644" s="5" t="s">
        <v>3194</v>
      </c>
      <c r="C644" s="3" t="s">
        <v>3195</v>
      </c>
      <c r="D644" s="6" t="s">
        <v>3196</v>
      </c>
      <c r="E644" s="7" t="s">
        <v>3197</v>
      </c>
      <c r="F644" s="5" t="str">
        <f>IFERROR(__xludf.DUMMYFUNCTION("GOOGLEFINANCE(""NSE:""&amp;A644,""name"")"),"Epigral Ltd")</f>
        <v>Epigral Ltd</v>
      </c>
    </row>
    <row r="645">
      <c r="A645" s="1" t="s">
        <v>3198</v>
      </c>
      <c r="B645" s="5" t="s">
        <v>3199</v>
      </c>
      <c r="C645" s="3" t="s">
        <v>3200</v>
      </c>
      <c r="D645" s="6" t="s">
        <v>3201</v>
      </c>
      <c r="E645" s="7" t="s">
        <v>3202</v>
      </c>
      <c r="F645" s="5" t="str">
        <f>IFERROR(__xludf.DUMMYFUNCTION("GOOGLEFINANCE(""NSE:""&amp;A645,""name"")"),"EPL Ltd")</f>
        <v>EPL Ltd</v>
      </c>
    </row>
    <row r="646">
      <c r="A646" s="1" t="s">
        <v>3203</v>
      </c>
      <c r="B646" s="5" t="s">
        <v>3204</v>
      </c>
      <c r="C646" s="3" t="s">
        <v>3205</v>
      </c>
      <c r="D646" s="6" t="s">
        <v>3206</v>
      </c>
      <c r="E646" s="7" t="s">
        <v>3207</v>
      </c>
      <c r="F646" s="5" t="str">
        <f>IFERROR(__xludf.DUMMYFUNCTION("GOOGLEFINANCE(""NSE:""&amp;A646,""name"")"),"Equippp Social Impact Technologies Ltd")</f>
        <v>Equippp Social Impact Technologies Ltd</v>
      </c>
    </row>
    <row r="647">
      <c r="A647" s="1" t="s">
        <v>3208</v>
      </c>
      <c r="B647" s="5" t="s">
        <v>3209</v>
      </c>
      <c r="C647" s="3" t="s">
        <v>3210</v>
      </c>
      <c r="D647" s="6" t="s">
        <v>3211</v>
      </c>
      <c r="E647" s="7" t="s">
        <v>3212</v>
      </c>
      <c r="F647" s="5" t="str">
        <f>IFERROR(__xludf.DUMMYFUNCTION("GOOGLEFINANCE(""NSE:""&amp;A647,""name"")"),"Equitas Small Finance Bank Ltd")</f>
        <v>Equitas Small Finance Bank Ltd</v>
      </c>
    </row>
    <row r="648">
      <c r="A648" s="1" t="s">
        <v>3213</v>
      </c>
      <c r="B648" s="5" t="s">
        <v>3214</v>
      </c>
      <c r="C648" s="3" t="s">
        <v>3215</v>
      </c>
      <c r="D648" s="6" t="s">
        <v>3216</v>
      </c>
      <c r="E648" s="7" t="s">
        <v>3217</v>
      </c>
      <c r="F648" s="5" t="str">
        <f>IFERROR(__xludf.DUMMYFUNCTION("GOOGLEFINANCE(""NSE:""&amp;A648,""name"")"),"Eris Lifesciences Ltd")</f>
        <v>Eris Lifesciences Ltd</v>
      </c>
    </row>
    <row r="649">
      <c r="A649" s="1" t="s">
        <v>3218</v>
      </c>
      <c r="B649" s="5" t="s">
        <v>3219</v>
      </c>
      <c r="C649" s="3" t="s">
        <v>3220</v>
      </c>
      <c r="D649" s="6" t="s">
        <v>3221</v>
      </c>
      <c r="E649" s="7" t="s">
        <v>3222</v>
      </c>
      <c r="F649" s="5" t="str">
        <f>IFERROR(__xludf.DUMMYFUNCTION("GOOGLEFINANCE(""NSE:""&amp;A649,""name"")"),"ESAB India Ltd")</f>
        <v>ESAB India Ltd</v>
      </c>
    </row>
    <row r="650">
      <c r="A650" s="1" t="s">
        <v>3223</v>
      </c>
      <c r="B650" s="5" t="s">
        <v>3224</v>
      </c>
      <c r="C650" s="3" t="s">
        <v>3225</v>
      </c>
      <c r="D650" s="6" t="s">
        <v>3226</v>
      </c>
      <c r="E650" s="7" t="s">
        <v>3227</v>
      </c>
      <c r="F650" s="5" t="str">
        <f>IFERROR(__xludf.DUMMYFUNCTION("GOOGLEFINANCE(""NSE:""&amp;A650,""name"")"),"ESAF Small Finance Bank Limited")</f>
        <v>ESAF Small Finance Bank Limited</v>
      </c>
    </row>
    <row r="651">
      <c r="A651" s="1" t="s">
        <v>3228</v>
      </c>
      <c r="B651" s="5" t="s">
        <v>3229</v>
      </c>
      <c r="C651" s="3" t="s">
        <v>3230</v>
      </c>
      <c r="D651" s="6" t="s">
        <v>3231</v>
      </c>
      <c r="E651" s="7" t="s">
        <v>3232</v>
      </c>
      <c r="F651" s="5" t="str">
        <f>IFERROR(__xludf.DUMMYFUNCTION("GOOGLEFINANCE(""NSE:""&amp;A651,""name"")"),"Escorts Kubota Ltd")</f>
        <v>Escorts Kubota Ltd</v>
      </c>
    </row>
    <row r="652">
      <c r="A652" s="1" t="s">
        <v>3233</v>
      </c>
      <c r="B652" s="5" t="s">
        <v>3234</v>
      </c>
      <c r="C652" s="3" t="s">
        <v>3235</v>
      </c>
      <c r="D652" s="6" t="s">
        <v>3236</v>
      </c>
      <c r="E652" s="7" t="s">
        <v>3237</v>
      </c>
      <c r="F652" s="5" t="str">
        <f>IFERROR(__xludf.DUMMYFUNCTION("GOOGLEFINANCE(""NSE:""&amp;A652,""name"")"),"Essar Shipping Ltd")</f>
        <v>Essar Shipping Ltd</v>
      </c>
    </row>
    <row r="653">
      <c r="A653" s="1" t="s">
        <v>3238</v>
      </c>
      <c r="B653" s="5" t="s">
        <v>3239</v>
      </c>
      <c r="C653" s="3" t="s">
        <v>3240</v>
      </c>
      <c r="D653" s="6" t="s">
        <v>3241</v>
      </c>
      <c r="E653" s="7" t="s">
        <v>3242</v>
      </c>
      <c r="F653" s="5" t="str">
        <f>IFERROR(__xludf.DUMMYFUNCTION("GOOGLEFINANCE(""NSE:""&amp;A653,""name"")"),"Ester Industries Ltd")</f>
        <v>Ester Industries Ltd</v>
      </c>
    </row>
    <row r="654">
      <c r="A654" s="1" t="s">
        <v>3243</v>
      </c>
      <c r="B654" s="5" t="s">
        <v>3244</v>
      </c>
      <c r="C654" s="3" t="s">
        <v>3245</v>
      </c>
      <c r="D654" s="6" t="s">
        <v>3246</v>
      </c>
      <c r="E654" s="7" t="s">
        <v>3247</v>
      </c>
      <c r="F654" s="5" t="str">
        <f>IFERROR(__xludf.DUMMYFUNCTION("GOOGLEFINANCE(""NSE:""&amp;A654,""name"")"),"Eternal Ltd")</f>
        <v>Eternal Ltd</v>
      </c>
    </row>
    <row r="655">
      <c r="A655" s="1" t="s">
        <v>3248</v>
      </c>
      <c r="B655" s="5" t="s">
        <v>3249</v>
      </c>
      <c r="C655" s="3" t="s">
        <v>3250</v>
      </c>
      <c r="D655" s="6" t="s">
        <v>3251</v>
      </c>
      <c r="E655" s="7" t="s">
        <v>3252</v>
      </c>
      <c r="F655" s="5" t="str">
        <f>IFERROR(__xludf.DUMMYFUNCTION("GOOGLEFINANCE(""NSE:""&amp;A655,""name"")"),"Ethos Ltd")</f>
        <v>Ethos Ltd</v>
      </c>
    </row>
    <row r="656">
      <c r="A656" s="1" t="s">
        <v>3253</v>
      </c>
      <c r="B656" s="5" t="s">
        <v>3254</v>
      </c>
      <c r="C656" s="3" t="s">
        <v>3255</v>
      </c>
      <c r="D656" s="6" t="s">
        <v>3256</v>
      </c>
      <c r="E656" s="7" t="s">
        <v>3257</v>
      </c>
      <c r="F656" s="5" t="str">
        <f>IFERROR(__xludf.DUMMYFUNCTION("GOOGLEFINANCE(""NSE:""&amp;A656,""name"")"),"Eureka Forbes Ltd")</f>
        <v>Eureka Forbes Ltd</v>
      </c>
    </row>
    <row r="657">
      <c r="A657" s="1" t="s">
        <v>3258</v>
      </c>
      <c r="B657" s="5" t="s">
        <v>3259</v>
      </c>
      <c r="C657" s="3" t="s">
        <v>3260</v>
      </c>
      <c r="D657" s="6" t="s">
        <v>3261</v>
      </c>
      <c r="E657" s="7" t="s">
        <v>3262</v>
      </c>
      <c r="F657" s="5" t="str">
        <f>IFERROR(__xludf.DUMMYFUNCTION("GOOGLEFINANCE(""NSE:""&amp;A657,""name"")"),"Euro India Fresh Foods Ltd")</f>
        <v>Euro India Fresh Foods Ltd</v>
      </c>
    </row>
    <row r="658">
      <c r="A658" s="1" t="s">
        <v>3263</v>
      </c>
      <c r="B658" s="5" t="s">
        <v>3264</v>
      </c>
      <c r="C658" s="3" t="s">
        <v>3265</v>
      </c>
      <c r="D658" s="6" t="s">
        <v>3266</v>
      </c>
      <c r="E658" s="7" t="s">
        <v>3267</v>
      </c>
      <c r="F658" s="5" t="str">
        <f>IFERROR(__xludf.DUMMYFUNCTION("GOOGLEFINANCE(""NSE:""&amp;A658,""name"")"),"Euro Panel Products Ltd")</f>
        <v>Euro Panel Products Ltd</v>
      </c>
    </row>
    <row r="659">
      <c r="A659" s="1" t="s">
        <v>3268</v>
      </c>
      <c r="B659" s="5" t="s">
        <v>3269</v>
      </c>
      <c r="C659" s="3" t="s">
        <v>3270</v>
      </c>
      <c r="D659" s="6" t="s">
        <v>3271</v>
      </c>
      <c r="E659" s="7" t="s">
        <v>3272</v>
      </c>
      <c r="F659" s="5" t="str">
        <f>IFERROR(__xludf.DUMMYFUNCTION("GOOGLEFINANCE(""NSE:""&amp;A659,""name"")"),"Euro Pratik Sales Ltd")</f>
        <v>Euro Pratik Sales Ltd</v>
      </c>
    </row>
    <row r="660">
      <c r="A660" s="1" t="s">
        <v>3273</v>
      </c>
      <c r="B660" s="5" t="s">
        <v>3274</v>
      </c>
      <c r="C660" s="3" t="s">
        <v>3275</v>
      </c>
      <c r="D660" s="6" t="s">
        <v>3276</v>
      </c>
      <c r="E660" s="7" t="s">
        <v>3277</v>
      </c>
      <c r="F660" s="5" t="str">
        <f>IFERROR(__xludf.DUMMYFUNCTION("GOOGLEFINANCE(""NSE:""&amp;A660,""name"")"),"Eurotex Industries And Exports Ltd")</f>
        <v>Eurotex Industries And Exports Ltd</v>
      </c>
    </row>
    <row r="661">
      <c r="A661" s="1" t="s">
        <v>3278</v>
      </c>
      <c r="B661" s="5" t="s">
        <v>3279</v>
      </c>
      <c r="C661" s="3" t="s">
        <v>3280</v>
      </c>
      <c r="D661" s="6" t="s">
        <v>3281</v>
      </c>
      <c r="E661" s="7" t="s">
        <v>3282</v>
      </c>
      <c r="F661" s="5" t="str">
        <f>IFERROR(__xludf.DUMMYFUNCTION("GOOGLEFINANCE(""NSE:""&amp;A661,""name"")"),"Eveready Industries India Ltd")</f>
        <v>Eveready Industries India Ltd</v>
      </c>
    </row>
    <row r="662">
      <c r="A662" s="1" t="s">
        <v>3283</v>
      </c>
      <c r="B662" s="5" t="s">
        <v>3284</v>
      </c>
      <c r="C662" s="3" t="s">
        <v>3285</v>
      </c>
      <c r="D662" s="6" t="s">
        <v>3286</v>
      </c>
      <c r="E662" s="7" t="s">
        <v>3287</v>
      </c>
      <c r="F662" s="5" t="str">
        <f>IFERROR(__xludf.DUMMYFUNCTION("GOOGLEFINANCE(""NSE:""&amp;A662,""name"")"),"Everest Industries Ltd")</f>
        <v>Everest Industries Ltd</v>
      </c>
    </row>
    <row r="663">
      <c r="A663" s="1" t="s">
        <v>3288</v>
      </c>
      <c r="B663" s="5" t="s">
        <v>3289</v>
      </c>
      <c r="C663" s="3" t="s">
        <v>3290</v>
      </c>
      <c r="D663" s="6" t="s">
        <v>3291</v>
      </c>
      <c r="E663" s="7" t="s">
        <v>3292</v>
      </c>
      <c r="F663" s="5" t="str">
        <f>IFERROR(__xludf.DUMMYFUNCTION("GOOGLEFINANCE(""NSE:""&amp;A663,""name"")"),"Everest Kanto Cylinder Ltd")</f>
        <v>Everest Kanto Cylinder Ltd</v>
      </c>
    </row>
    <row r="664">
      <c r="A664" s="1" t="s">
        <v>3293</v>
      </c>
      <c r="B664" s="5" t="s">
        <v>3294</v>
      </c>
      <c r="C664" s="3" t="s">
        <v>3295</v>
      </c>
      <c r="D664" s="6" t="s">
        <v>3296</v>
      </c>
      <c r="E664" s="7" t="s">
        <v>3297</v>
      </c>
      <c r="F664" s="5" t="str">
        <f>IFERROR(__xludf.DUMMYFUNCTION("GOOGLEFINANCE(""NSE:""&amp;A664,""name"")"),"Excel Industries Ltd")</f>
        <v>Excel Industries Ltd</v>
      </c>
    </row>
    <row r="665">
      <c r="A665" s="1" t="s">
        <v>3298</v>
      </c>
      <c r="B665" s="5" t="s">
        <v>3299</v>
      </c>
      <c r="C665" s="3" t="s">
        <v>3300</v>
      </c>
      <c r="D665" s="6" t="s">
        <v>3301</v>
      </c>
      <c r="E665" s="7" t="s">
        <v>3302</v>
      </c>
      <c r="F665" s="5" t="str">
        <f>IFERROR(__xludf.DUMMYFUNCTION("GOOGLEFINANCE(""NSE:""&amp;A665,""name"")"),"Excelsoft Technologies Ltd")</f>
        <v>Excelsoft Technologies Ltd</v>
      </c>
    </row>
    <row r="666">
      <c r="A666" s="1" t="s">
        <v>3303</v>
      </c>
      <c r="B666" s="5" t="s">
        <v>3304</v>
      </c>
      <c r="C666" s="3" t="s">
        <v>3305</v>
      </c>
      <c r="D666" s="6" t="s">
        <v>3306</v>
      </c>
      <c r="E666" s="7" t="s">
        <v>3307</v>
      </c>
      <c r="F666" s="5" t="str">
        <f>IFERROR(__xludf.DUMMYFUNCTION("GOOGLEFINANCE(""NSE:""&amp;A666,""name"")"),"Exicom Tele-Systems Ltd")</f>
        <v>Exicom Tele-Systems Ltd</v>
      </c>
    </row>
    <row r="667">
      <c r="A667" s="1" t="s">
        <v>3308</v>
      </c>
      <c r="B667" s="5" t="s">
        <v>3309</v>
      </c>
      <c r="C667" s="3" t="s">
        <v>3310</v>
      </c>
      <c r="D667" s="6" t="s">
        <v>3311</v>
      </c>
      <c r="E667" s="7" t="s">
        <v>3312</v>
      </c>
      <c r="F667" s="5" t="str">
        <f>IFERROR(__xludf.DUMMYFUNCTION("GOOGLEFINANCE(""NSE:""&amp;A667,""name"")"),"Exide Industries Ltd")</f>
        <v>Exide Industries Ltd</v>
      </c>
    </row>
    <row r="668">
      <c r="A668" s="1" t="s">
        <v>3313</v>
      </c>
      <c r="B668" s="5" t="s">
        <v>3314</v>
      </c>
      <c r="C668" s="3" t="s">
        <v>3315</v>
      </c>
      <c r="D668" s="6" t="s">
        <v>3316</v>
      </c>
      <c r="E668" s="7" t="s">
        <v>3317</v>
      </c>
      <c r="F668" s="5" t="str">
        <f>IFERROR(__xludf.DUMMYFUNCTION("GOOGLEFINANCE(""NSE:""&amp;A668,""name"")"),"Expleo Solutions Ltd")</f>
        <v>Expleo Solutions Ltd</v>
      </c>
    </row>
    <row r="669">
      <c r="A669" s="1" t="s">
        <v>3318</v>
      </c>
      <c r="B669" s="5" t="s">
        <v>3319</v>
      </c>
      <c r="C669" s="3" t="s">
        <v>3320</v>
      </c>
      <c r="D669" s="6" t="s">
        <v>3321</v>
      </c>
      <c r="E669" s="7" t="s">
        <v>3322</v>
      </c>
      <c r="F669" s="5" t="str">
        <f>IFERROR(__xludf.DUMMYFUNCTION("GOOGLEFINANCE(""NSE:""&amp;A669,""name"")"),"Exxaro Tiles Ltd")</f>
        <v>Exxaro Tiles Ltd</v>
      </c>
    </row>
    <row r="670">
      <c r="A670" s="1" t="s">
        <v>3323</v>
      </c>
      <c r="B670" s="5" t="s">
        <v>3324</v>
      </c>
      <c r="C670" s="3" t="s">
        <v>3325</v>
      </c>
      <c r="D670" s="6" t="s">
        <v>3326</v>
      </c>
      <c r="E670" s="7" t="s">
        <v>3327</v>
      </c>
      <c r="F670" s="5" t="str">
        <f>IFERROR(__xludf.DUMMYFUNCTION("GOOGLEFINANCE(""NSE:""&amp;A670,""name"")"),"Fabtech Technologies Ltd")</f>
        <v>Fabtech Technologies Ltd</v>
      </c>
    </row>
    <row r="671">
      <c r="A671" s="1" t="s">
        <v>3328</v>
      </c>
      <c r="B671" s="5" t="s">
        <v>3329</v>
      </c>
      <c r="C671" s="3" t="s">
        <v>3330</v>
      </c>
      <c r="D671" s="6" t="s">
        <v>3331</v>
      </c>
      <c r="E671" s="7" t="s">
        <v>3332</v>
      </c>
      <c r="F671" s="5" t="str">
        <f>IFERROR(__xludf.DUMMYFUNCTION("GOOGLEFINANCE(""NSE:""&amp;A671,""name"")"),"Fairchem Organics Ltd")</f>
        <v>Fairchem Organics Ltd</v>
      </c>
    </row>
    <row r="672">
      <c r="A672" s="1" t="s">
        <v>3333</v>
      </c>
      <c r="B672" s="5" t="s">
        <v>3334</v>
      </c>
      <c r="C672" s="3" t="s">
        <v>3335</v>
      </c>
      <c r="D672" s="6" t="s">
        <v>3336</v>
      </c>
      <c r="E672" s="7" t="s">
        <v>3337</v>
      </c>
      <c r="F672" s="5" t="str">
        <f>IFERROR(__xludf.DUMMYFUNCTION("GOOGLEFINANCE(""NSE:""&amp;A672,""name"")"),"Faze Three Ltd")</f>
        <v>Faze Three Ltd</v>
      </c>
    </row>
    <row r="673">
      <c r="A673" s="1" t="s">
        <v>3338</v>
      </c>
      <c r="B673" s="5" t="s">
        <v>3339</v>
      </c>
      <c r="C673" s="3" t="s">
        <v>3340</v>
      </c>
      <c r="D673" s="6" t="s">
        <v>3341</v>
      </c>
      <c r="E673" s="7" t="s">
        <v>3342</v>
      </c>
      <c r="F673" s="5" t="str">
        <f>IFERROR(__xludf.DUMMYFUNCTION("GOOGLEFINANCE(""NSE:""&amp;A673,""name"")"),"F D C Ltd")</f>
        <v>F D C Ltd</v>
      </c>
    </row>
    <row r="674">
      <c r="A674" s="1" t="s">
        <v>3343</v>
      </c>
      <c r="B674" s="5" t="s">
        <v>3344</v>
      </c>
      <c r="C674" s="3" t="s">
        <v>3345</v>
      </c>
      <c r="D674" s="6" t="s">
        <v>3346</v>
      </c>
      <c r="E674" s="7" t="s">
        <v>3347</v>
      </c>
      <c r="F674" s="5" t="str">
        <f>IFERROR(__xludf.DUMMYFUNCTION("GOOGLEFINANCE(""NSE:""&amp;A674,""name"")"),"Fedbank Financial Services Ltd")</f>
        <v>Fedbank Financial Services Ltd</v>
      </c>
    </row>
    <row r="675">
      <c r="A675" s="1" t="s">
        <v>3348</v>
      </c>
      <c r="B675" s="5" t="s">
        <v>3349</v>
      </c>
      <c r="C675" s="3" t="s">
        <v>3350</v>
      </c>
      <c r="D675" s="6" t="s">
        <v>3351</v>
      </c>
      <c r="E675" s="7" t="s">
        <v>3352</v>
      </c>
      <c r="F675" s="5" t="str">
        <f>IFERROR(__xludf.DUMMYFUNCTION("GOOGLEFINANCE(""NSE:""&amp;A675,""name"")"),"Federal-Mogul Goetze (India) Ltd")</f>
        <v>Federal-Mogul Goetze (India) Ltd</v>
      </c>
    </row>
    <row r="676">
      <c r="A676" s="1" t="s">
        <v>3353</v>
      </c>
      <c r="B676" s="5" t="s">
        <v>3354</v>
      </c>
      <c r="C676" s="3" t="s">
        <v>3355</v>
      </c>
      <c r="D676" s="6" t="s">
        <v>3356</v>
      </c>
      <c r="E676" s="7" t="s">
        <v>3357</v>
      </c>
      <c r="F676" s="5" t="str">
        <f>IFERROR(__xludf.DUMMYFUNCTION("GOOGLEFINANCE(""NSE:""&amp;A676,""name"")"),"Fertilisers And Chemicals Travancore Ltd")</f>
        <v>Fertilisers And Chemicals Travancore Ltd</v>
      </c>
    </row>
    <row r="677">
      <c r="A677" s="1" t="s">
        <v>3358</v>
      </c>
      <c r="B677" s="5" t="s">
        <v>3359</v>
      </c>
      <c r="C677" s="3" t="s">
        <v>3360</v>
      </c>
      <c r="D677" s="6" t="s">
        <v>3361</v>
      </c>
      <c r="E677" s="7" t="s">
        <v>3362</v>
      </c>
      <c r="F677" s="5" t="str">
        <f>IFERROR(__xludf.DUMMYFUNCTION("GOOGLEFINANCE(""NSE:""&amp;A677,""name"")"),"Fiberweb (India) Ltd")</f>
        <v>Fiberweb (India) Ltd</v>
      </c>
    </row>
    <row r="678">
      <c r="A678" s="1" t="s">
        <v>3363</v>
      </c>
      <c r="B678" s="5" t="s">
        <v>3364</v>
      </c>
      <c r="C678" s="3" t="s">
        <v>3365</v>
      </c>
      <c r="D678" s="6" t="s">
        <v>3366</v>
      </c>
      <c r="E678" s="7" t="s">
        <v>3367</v>
      </c>
      <c r="F678" s="5" t="str">
        <f>IFERROR(__xludf.DUMMYFUNCTION("GOOGLEFINANCE(""NSE:""&amp;A678,""name"")"),"Fiem Industries Ltd")</f>
        <v>Fiem Industries Ltd</v>
      </c>
    </row>
    <row r="679">
      <c r="A679" s="1" t="s">
        <v>3368</v>
      </c>
      <c r="B679" s="5" t="s">
        <v>3369</v>
      </c>
      <c r="C679" s="3" t="s">
        <v>3370</v>
      </c>
      <c r="D679" s="6" t="s">
        <v>3371</v>
      </c>
      <c r="E679" s="7" t="s">
        <v>3372</v>
      </c>
      <c r="F679" s="5" t="str">
        <f>IFERROR(__xludf.DUMMYFUNCTION("GOOGLEFINANCE(""NSE:""&amp;A679,""name"")"),"Filatex India Ltd")</f>
        <v>Filatex India Ltd</v>
      </c>
    </row>
    <row r="680">
      <c r="A680" s="1" t="s">
        <v>3373</v>
      </c>
      <c r="B680" s="5" t="s">
        <v>3374</v>
      </c>
      <c r="C680" s="3" t="s">
        <v>3375</v>
      </c>
      <c r="D680" s="6" t="s">
        <v>3376</v>
      </c>
      <c r="E680" s="7" t="s">
        <v>3377</v>
      </c>
      <c r="F680" s="5" t="str">
        <f>IFERROR(__xludf.DUMMYFUNCTION("GOOGLEFINANCE(""NSE:""&amp;A680,""name"")"),"Fine Organic Industries Ltd")</f>
        <v>Fine Organic Industries Ltd</v>
      </c>
    </row>
    <row r="681">
      <c r="A681" s="1" t="s">
        <v>3378</v>
      </c>
      <c r="B681" s="5" t="s">
        <v>3379</v>
      </c>
      <c r="C681" s="3" t="s">
        <v>3380</v>
      </c>
      <c r="D681" s="6" t="s">
        <v>3381</v>
      </c>
      <c r="E681" s="7" t="s">
        <v>3382</v>
      </c>
      <c r="F681" s="5" t="str">
        <f>IFERROR(__xludf.DUMMYFUNCTION("GOOGLEFINANCE(""NSE:""&amp;A681,""name"")"),"Fineotex Chemical Ltd")</f>
        <v>Fineotex Chemical Ltd</v>
      </c>
    </row>
    <row r="682">
      <c r="A682" s="1" t="s">
        <v>3383</v>
      </c>
      <c r="B682" s="5" t="s">
        <v>3384</v>
      </c>
      <c r="C682" s="3" t="s">
        <v>3385</v>
      </c>
      <c r="D682" s="6" t="s">
        <v>3386</v>
      </c>
      <c r="E682" s="7" t="s">
        <v>3387</v>
      </c>
      <c r="F682" s="5" t="str">
        <f>IFERROR(__xludf.DUMMYFUNCTION("GOOGLEFINANCE(""NSE:""&amp;A682,""name"")"),"Finkurve Financial Services Ltd")</f>
        <v>Finkurve Financial Services Ltd</v>
      </c>
    </row>
    <row r="683">
      <c r="A683" s="1" t="s">
        <v>3388</v>
      </c>
      <c r="B683" s="5" t="s">
        <v>3389</v>
      </c>
      <c r="C683" s="3" t="s">
        <v>3390</v>
      </c>
      <c r="D683" s="6" t="s">
        <v>3391</v>
      </c>
      <c r="E683" s="7" t="s">
        <v>3392</v>
      </c>
      <c r="F683" s="5" t="str">
        <f>IFERROR(__xludf.DUMMYFUNCTION("GOOGLEFINANCE(""NSE:""&amp;A683,""name"")"),"FINO Payments Bank Ltd")</f>
        <v>FINO Payments Bank Ltd</v>
      </c>
    </row>
    <row r="684">
      <c r="A684" s="1" t="s">
        <v>3393</v>
      </c>
      <c r="B684" s="5" t="s">
        <v>3394</v>
      </c>
      <c r="C684" s="3" t="s">
        <v>3395</v>
      </c>
      <c r="D684" s="6" t="s">
        <v>3396</v>
      </c>
      <c r="E684" s="7" t="s">
        <v>3397</v>
      </c>
      <c r="F684" s="5" t="str">
        <f>IFERROR(__xludf.DUMMYFUNCTION("GOOGLEFINANCE(""NSE:""&amp;A684,""name"")"),"Finolex Cables Ltd")</f>
        <v>Finolex Cables Ltd</v>
      </c>
    </row>
    <row r="685">
      <c r="A685" s="1" t="s">
        <v>3398</v>
      </c>
      <c r="B685" s="5" t="s">
        <v>3399</v>
      </c>
      <c r="C685" s="3" t="s">
        <v>3400</v>
      </c>
      <c r="D685" s="6" t="s">
        <v>3401</v>
      </c>
      <c r="E685" s="7" t="s">
        <v>3402</v>
      </c>
      <c r="F685" s="5" t="str">
        <f>IFERROR(__xludf.DUMMYFUNCTION("GOOGLEFINANCE(""NSE:""&amp;A685,""name"")"),"Finolex Industries Ltd")</f>
        <v>Finolex Industries Ltd</v>
      </c>
    </row>
    <row r="686">
      <c r="A686" s="1" t="s">
        <v>3403</v>
      </c>
      <c r="B686" s="5" t="s">
        <v>3404</v>
      </c>
      <c r="C686" s="3" t="s">
        <v>3405</v>
      </c>
      <c r="D686" s="6" t="s">
        <v>3406</v>
      </c>
      <c r="E686" s="7" t="s">
        <v>3407</v>
      </c>
      <c r="F686" s="5" t="str">
        <f>IFERROR(__xludf.DUMMYFUNCTION("GOOGLEFINANCE(""NSE:""&amp;A686,""name"")"),"Firstsource Solutions Ltd")</f>
        <v>Firstsource Solutions Ltd</v>
      </c>
    </row>
    <row r="687">
      <c r="A687" s="1" t="s">
        <v>3408</v>
      </c>
      <c r="B687" s="5" t="s">
        <v>3409</v>
      </c>
      <c r="C687" s="3" t="s">
        <v>3410</v>
      </c>
      <c r="D687" s="6" t="s">
        <v>3411</v>
      </c>
      <c r="E687" s="7" t="s">
        <v>3412</v>
      </c>
      <c r="F687" s="5" t="str">
        <f>IFERROR(__xludf.DUMMYFUNCTION("GOOGLEFINANCE(""NSE:""&amp;A687,""name"")"),"Fischer Medical Ventures Ltd")</f>
        <v>Fischer Medical Ventures Ltd</v>
      </c>
    </row>
    <row r="688">
      <c r="A688" s="1" t="s">
        <v>3413</v>
      </c>
      <c r="B688" s="5" t="s">
        <v>3414</v>
      </c>
      <c r="C688" s="3" t="s">
        <v>3415</v>
      </c>
      <c r="D688" s="6" t="s">
        <v>3416</v>
      </c>
      <c r="E688" s="7" t="s">
        <v>3417</v>
      </c>
      <c r="F688" s="5" t="str">
        <f>IFERROR(__xludf.DUMMYFUNCTION("GOOGLEFINANCE(""NSE:""&amp;A688,""name"")"),"Five-Star Business Finance Ltd")</f>
        <v>Five-Star Business Finance Ltd</v>
      </c>
    </row>
    <row r="689">
      <c r="A689" s="1" t="s">
        <v>3418</v>
      </c>
      <c r="B689" s="5" t="s">
        <v>3419</v>
      </c>
      <c r="C689" s="3" t="s">
        <v>3420</v>
      </c>
      <c r="D689" s="6" t="s">
        <v>3421</v>
      </c>
      <c r="E689" s="7" t="s">
        <v>3422</v>
      </c>
      <c r="F689" s="5" t="str">
        <f>IFERROR(__xludf.DUMMYFUNCTION("GOOGLEFINANCE(""NSE:""&amp;A689,""name"")"),"Flair Writing Industries Ltd")</f>
        <v>Flair Writing Industries Ltd</v>
      </c>
    </row>
    <row r="690">
      <c r="A690" s="1" t="s">
        <v>3423</v>
      </c>
      <c r="B690" s="5" t="s">
        <v>3424</v>
      </c>
      <c r="C690" s="3" t="s">
        <v>3425</v>
      </c>
      <c r="D690" s="6" t="s">
        <v>3426</v>
      </c>
      <c r="E690" s="7" t="s">
        <v>3427</v>
      </c>
      <c r="F690" s="5" t="str">
        <f>IFERROR(__xludf.DUMMYFUNCTION("GOOGLEFINANCE(""NSE:""&amp;A690,""name"")"),"Flexituff Ventures International Ltd")</f>
        <v>Flexituff Ventures International Ltd</v>
      </c>
    </row>
    <row r="691">
      <c r="A691" s="1" t="s">
        <v>3428</v>
      </c>
      <c r="B691" s="5" t="s">
        <v>3429</v>
      </c>
      <c r="C691" s="3" t="s">
        <v>3430</v>
      </c>
      <c r="D691" s="6" t="s">
        <v>3431</v>
      </c>
      <c r="E691" s="7" t="s">
        <v>3432</v>
      </c>
      <c r="F691" s="5" t="str">
        <f>IFERROR(__xludf.DUMMYFUNCTION("GOOGLEFINANCE(""NSE:""&amp;A691,""name"")"),"Focus Lighting and Fixtures Ltd")</f>
        <v>Focus Lighting and Fixtures Ltd</v>
      </c>
    </row>
    <row r="692">
      <c r="A692" s="1" t="s">
        <v>3433</v>
      </c>
      <c r="B692" s="5" t="s">
        <v>3434</v>
      </c>
      <c r="C692" s="3" t="s">
        <v>3435</v>
      </c>
      <c r="D692" s="6" t="s">
        <v>3436</v>
      </c>
      <c r="E692" s="7" t="s">
        <v>3437</v>
      </c>
      <c r="F692" s="5" t="str">
        <f>IFERROR(__xludf.DUMMYFUNCTION("GOOGLEFINANCE(""NSE:""&amp;A692,""name"")"),"Foods And Inns Ltd")</f>
        <v>Foods And Inns Ltd</v>
      </c>
    </row>
    <row r="693">
      <c r="A693" s="1" t="s">
        <v>3438</v>
      </c>
      <c r="B693" s="5" t="s">
        <v>3439</v>
      </c>
      <c r="C693" s="3" t="s">
        <v>3440</v>
      </c>
      <c r="D693" s="6" t="s">
        <v>3441</v>
      </c>
      <c r="E693" s="7" t="s">
        <v>3442</v>
      </c>
      <c r="F693" s="5" t="str">
        <f>IFERROR(__xludf.DUMMYFUNCTION("GOOGLEFINANCE(""NSE:""&amp;A693,""name"")"),"Force Motors Ltd")</f>
        <v>Force Motors Ltd</v>
      </c>
    </row>
    <row r="694">
      <c r="A694" s="1" t="s">
        <v>3443</v>
      </c>
      <c r="B694" s="5" t="s">
        <v>3444</v>
      </c>
      <c r="C694" s="3" t="s">
        <v>3445</v>
      </c>
      <c r="D694" s="6" t="s">
        <v>3446</v>
      </c>
      <c r="E694" s="7" t="s">
        <v>3447</v>
      </c>
      <c r="F694" s="5" t="str">
        <f>IFERROR(__xludf.DUMMYFUNCTION("GOOGLEFINANCE(""NSE:""&amp;A694,""name"")"),"Fortis Healthcare Ltd")</f>
        <v>Fortis Healthcare Ltd</v>
      </c>
    </row>
    <row r="695">
      <c r="A695" s="1" t="s">
        <v>3448</v>
      </c>
      <c r="B695" s="5" t="s">
        <v>3449</v>
      </c>
      <c r="C695" s="3" t="s">
        <v>3450</v>
      </c>
      <c r="D695" s="6" t="s">
        <v>3451</v>
      </c>
      <c r="E695" s="7" t="s">
        <v>3452</v>
      </c>
      <c r="F695" s="5" t="str">
        <f>IFERROR(__xludf.DUMMYFUNCTION("GOOGLEFINANCE(""NSE:""&amp;A695,""name"")"),"Foseco India Ltd")</f>
        <v>Foseco India Ltd</v>
      </c>
    </row>
    <row r="696">
      <c r="A696" s="1" t="s">
        <v>3453</v>
      </c>
      <c r="B696" s="5" t="s">
        <v>3454</v>
      </c>
      <c r="C696" s="3" t="s">
        <v>3455</v>
      </c>
      <c r="D696" s="6" t="s">
        <v>3456</v>
      </c>
      <c r="E696" s="7" t="s">
        <v>3457</v>
      </c>
      <c r="F696" s="5" t="str">
        <f>IFERROR(__xludf.DUMMYFUNCTION("GOOGLEFINANCE(""NSE:""&amp;A696,""name"")"),"Fsn E-Commerce Ventures Ltd")</f>
        <v>Fsn E-Commerce Ventures Ltd</v>
      </c>
    </row>
    <row r="697">
      <c r="A697" s="1" t="s">
        <v>3458</v>
      </c>
      <c r="B697" s="5" t="s">
        <v>3459</v>
      </c>
      <c r="C697" s="3" t="s">
        <v>3460</v>
      </c>
      <c r="D697" s="6" t="s">
        <v>3461</v>
      </c>
      <c r="E697" s="7" t="s">
        <v>3462</v>
      </c>
      <c r="F697" s="5" t="str">
        <f>IFERROR(__xludf.DUMMYFUNCTION("GOOGLEFINANCE(""NSE:""&amp;A697,""name"")"),"Fujiyama Power Systems Ltd")</f>
        <v>Fujiyama Power Systems Ltd</v>
      </c>
    </row>
    <row r="698">
      <c r="A698" s="1" t="s">
        <v>3463</v>
      </c>
      <c r="B698" s="5" t="s">
        <v>3464</v>
      </c>
      <c r="C698" s="3" t="s">
        <v>3465</v>
      </c>
      <c r="D698" s="6" t="s">
        <v>3466</v>
      </c>
      <c r="E698" s="7" t="s">
        <v>3467</v>
      </c>
      <c r="F698" s="5" t="str">
        <f>IFERROR(__xludf.DUMMYFUNCTION("GOOGLEFINANCE(""NSE:""&amp;A698,""name"")"),"Fusion Finance Ltd")</f>
        <v>Fusion Finance Ltd</v>
      </c>
    </row>
    <row r="699">
      <c r="A699" s="1" t="s">
        <v>3468</v>
      </c>
      <c r="B699" s="5" t="s">
        <v>3469</v>
      </c>
      <c r="C699" s="3" t="s">
        <v>3470</v>
      </c>
      <c r="D699" s="6" t="s">
        <v>3471</v>
      </c>
      <c r="E699" s="7" t="s">
        <v>3472</v>
      </c>
      <c r="F699" s="5" t="str">
        <f>IFERROR(__xludf.DUMMYFUNCTION("GOOGLEFINANCE(""NSE:""&amp;A699,""name"")"),"Future Market Networks Ltd")</f>
        <v>Future Market Networks Ltd</v>
      </c>
    </row>
    <row r="700">
      <c r="A700" s="1" t="s">
        <v>3473</v>
      </c>
      <c r="B700" s="5" t="s">
        <v>3474</v>
      </c>
      <c r="C700" s="3" t="s">
        <v>3475</v>
      </c>
      <c r="D700" s="6" t="s">
        <v>3476</v>
      </c>
      <c r="E700" s="7" t="s">
        <v>3477</v>
      </c>
      <c r="F700" s="5" t="str">
        <f>IFERROR(__xludf.DUMMYFUNCTION("GOOGLEFINANCE(""NSE:""&amp;A700,""name"")"),"G R Infraprojects Ltd")</f>
        <v>G R Infraprojects Ltd</v>
      </c>
    </row>
    <row r="701">
      <c r="A701" s="1" t="s">
        <v>3478</v>
      </c>
      <c r="B701" s="5" t="s">
        <v>3479</v>
      </c>
      <c r="C701" s="3" t="s">
        <v>3480</v>
      </c>
      <c r="D701" s="6" t="s">
        <v>3481</v>
      </c>
      <c r="E701" s="7" t="s">
        <v>3482</v>
      </c>
      <c r="F701" s="5" t="str">
        <f>IFERROR(__xludf.DUMMYFUNCTION("GOOGLEFINANCE(""NSE:""&amp;A701,""name"")"),"G-Tec Jainx Education Ltd")</f>
        <v>G-Tec Jainx Education Ltd</v>
      </c>
    </row>
    <row r="702">
      <c r="A702" s="1" t="s">
        <v>3483</v>
      </c>
      <c r="B702" s="5" t="s">
        <v>3484</v>
      </c>
      <c r="C702" s="3" t="s">
        <v>3485</v>
      </c>
      <c r="D702" s="6" t="s">
        <v>3486</v>
      </c>
      <c r="E702" s="7" t="s">
        <v>3487</v>
      </c>
      <c r="F702" s="5" t="str">
        <f>IFERROR(__xludf.DUMMYFUNCTION("GOOGLEFINANCE(""NSE:""&amp;A702,""name"")"),"Gabriel India Ltd")</f>
        <v>Gabriel India Ltd</v>
      </c>
    </row>
    <row r="703">
      <c r="A703" s="1" t="s">
        <v>3488</v>
      </c>
      <c r="B703" s="5" t="s">
        <v>3489</v>
      </c>
      <c r="C703" s="3" t="s">
        <v>3490</v>
      </c>
      <c r="D703" s="6" t="s">
        <v>3491</v>
      </c>
      <c r="E703" s="7" t="s">
        <v>3492</v>
      </c>
      <c r="F703" s="5" t="str">
        <f>IFERROR(__xludf.DUMMYFUNCTION("GOOGLEFINANCE(""NSE:""&amp;A703,""name"")"),"Gail (India) Ltd")</f>
        <v>Gail (India) Ltd</v>
      </c>
    </row>
    <row r="704">
      <c r="A704" s="1" t="s">
        <v>3493</v>
      </c>
      <c r="B704" s="5" t="s">
        <v>3494</v>
      </c>
      <c r="C704" s="3" t="s">
        <v>3495</v>
      </c>
      <c r="D704" s="6" t="s">
        <v>3496</v>
      </c>
      <c r="E704" s="7" t="s">
        <v>3497</v>
      </c>
      <c r="F704" s="5" t="str">
        <f>IFERROR(__xludf.DUMMYFUNCTION("GOOGLEFINANCE(""NSE:""&amp;A704,""name"")"),"Gala Precision Engineering Ltd")</f>
        <v>Gala Precision Engineering Ltd</v>
      </c>
    </row>
    <row r="705">
      <c r="A705" s="1" t="s">
        <v>3498</v>
      </c>
      <c r="B705" s="5" t="s">
        <v>3499</v>
      </c>
      <c r="C705" s="3" t="s">
        <v>3500</v>
      </c>
      <c r="D705" s="6" t="s">
        <v>3501</v>
      </c>
      <c r="E705" s="7" t="s">
        <v>3502</v>
      </c>
      <c r="F705" s="5" t="str">
        <f>IFERROR(__xludf.DUMMYFUNCTION("GOOGLEFINANCE(""NSE:""&amp;A705,""name"")"),"Galaxy Surfactants Ltd")</f>
        <v>Galaxy Surfactants Ltd</v>
      </c>
    </row>
    <row r="706">
      <c r="A706" s="1" t="s">
        <v>3503</v>
      </c>
      <c r="B706" s="5" t="s">
        <v>3504</v>
      </c>
      <c r="C706" s="3" t="s">
        <v>3505</v>
      </c>
      <c r="D706" s="6" t="s">
        <v>3506</v>
      </c>
      <c r="E706" s="7" t="s">
        <v>3507</v>
      </c>
      <c r="F706" s="5" t="str">
        <f>IFERROR(__xludf.DUMMYFUNCTION("GOOGLEFINANCE(""NSE:""&amp;A706,""name"")"),"Gallantt Ispat Ltd")</f>
        <v>Gallantt Ispat Ltd</v>
      </c>
    </row>
    <row r="707">
      <c r="A707" s="1" t="s">
        <v>3508</v>
      </c>
      <c r="B707" s="5" t="s">
        <v>3509</v>
      </c>
      <c r="C707" s="3" t="s">
        <v>3510</v>
      </c>
      <c r="D707" s="6" t="s">
        <v>3511</v>
      </c>
      <c r="E707" s="7" t="s">
        <v>3512</v>
      </c>
      <c r="F707" s="5" t="str">
        <f>IFERROR(__xludf.DUMMYFUNCTION("GOOGLEFINANCE(""NSE:""&amp;A707,""name"")"),"Gandhar Oil Refinery (INDIA) Ltd")</f>
        <v>Gandhar Oil Refinery (INDIA) Ltd</v>
      </c>
    </row>
    <row r="708">
      <c r="A708" s="1" t="s">
        <v>3513</v>
      </c>
      <c r="B708" s="5" t="s">
        <v>3514</v>
      </c>
      <c r="C708" s="3" t="s">
        <v>3515</v>
      </c>
      <c r="D708" s="6" t="s">
        <v>3516</v>
      </c>
      <c r="E708" s="7" t="s">
        <v>3517</v>
      </c>
      <c r="F708" s="5" t="str">
        <f>IFERROR(__xludf.DUMMYFUNCTION("GOOGLEFINANCE(""NSE:""&amp;A708,""name"")"),"Gandhi Special Tubes Ltd")</f>
        <v>Gandhi Special Tubes Ltd</v>
      </c>
    </row>
    <row r="709">
      <c r="A709" s="1" t="s">
        <v>3518</v>
      </c>
      <c r="B709" s="5" t="s">
        <v>3519</v>
      </c>
      <c r="C709" s="3" t="s">
        <v>3520</v>
      </c>
      <c r="D709" s="6" t="s">
        <v>3521</v>
      </c>
      <c r="E709" s="7" t="s">
        <v>3522</v>
      </c>
      <c r="F709" s="5" t="str">
        <f>IFERROR(__xludf.DUMMYFUNCTION("GOOGLEFINANCE(""NSE:""&amp;A709,""name"")"),"Ganesh Benzoplast Ltd")</f>
        <v>Ganesh Benzoplast Ltd</v>
      </c>
    </row>
    <row r="710">
      <c r="A710" s="1" t="s">
        <v>3523</v>
      </c>
      <c r="B710" s="5" t="s">
        <v>3524</v>
      </c>
      <c r="C710" s="3" t="s">
        <v>3525</v>
      </c>
      <c r="D710" s="6" t="s">
        <v>3526</v>
      </c>
      <c r="E710" s="7" t="s">
        <v>3527</v>
      </c>
      <c r="F710" s="5" t="str">
        <f>IFERROR(__xludf.DUMMYFUNCTION("GOOGLEFINANCE(""NSE:""&amp;A710,""name"")"),"Ganesh Consumer Products Ltd")</f>
        <v>Ganesh Consumer Products Ltd</v>
      </c>
    </row>
    <row r="711">
      <c r="A711" s="1" t="s">
        <v>3528</v>
      </c>
      <c r="B711" s="5" t="s">
        <v>3529</v>
      </c>
      <c r="C711" s="3" t="s">
        <v>3530</v>
      </c>
      <c r="D711" s="6" t="s">
        <v>3531</v>
      </c>
      <c r="E711" s="7" t="s">
        <v>3532</v>
      </c>
      <c r="F711" s="5" t="str">
        <f>IFERROR(__xludf.DUMMYFUNCTION("GOOGLEFINANCE(""NSE:""&amp;A711,""name"")"),"Ganesh Housing Ltd")</f>
        <v>Ganesh Housing Ltd</v>
      </c>
    </row>
    <row r="712">
      <c r="A712" s="1" t="s">
        <v>3533</v>
      </c>
      <c r="B712" s="5" t="s">
        <v>3534</v>
      </c>
      <c r="C712" s="3" t="s">
        <v>3535</v>
      </c>
      <c r="D712" s="6" t="s">
        <v>3536</v>
      </c>
      <c r="E712" s="7" t="s">
        <v>3537</v>
      </c>
      <c r="F712" s="5" t="str">
        <f>IFERROR(__xludf.DUMMYFUNCTION("GOOGLEFINANCE(""NSE:""&amp;A712,""name"")"),"Ganesha Ecosphere Ltd")</f>
        <v>Ganesha Ecosphere Ltd</v>
      </c>
    </row>
    <row r="713">
      <c r="A713" s="1" t="s">
        <v>3538</v>
      </c>
      <c r="B713" s="5" t="s">
        <v>3539</v>
      </c>
      <c r="C713" s="3" t="s">
        <v>3540</v>
      </c>
      <c r="D713" s="6" t="s">
        <v>3541</v>
      </c>
      <c r="E713" s="7" t="s">
        <v>3542</v>
      </c>
      <c r="F713" s="5" t="str">
        <f>IFERROR(__xludf.DUMMYFUNCTION("GOOGLEFINANCE(""NSE:""&amp;A713,""name"")"),"Ganges Securities Ltd")</f>
        <v>Ganges Securities Ltd</v>
      </c>
    </row>
    <row r="714">
      <c r="A714" s="1" t="s">
        <v>3543</v>
      </c>
      <c r="B714" s="5" t="s">
        <v>3544</v>
      </c>
      <c r="C714" s="3" t="s">
        <v>3545</v>
      </c>
      <c r="D714" s="6" t="s">
        <v>3546</v>
      </c>
      <c r="E714" s="7" t="s">
        <v>3547</v>
      </c>
      <c r="F714" s="5" t="str">
        <f>IFERROR(__xludf.DUMMYFUNCTION("GOOGLEFINANCE(""NSE:""&amp;A714,""name"")"),"Garden Reach Shipbuilders &amp; Enginers Ltd")</f>
        <v>Garden Reach Shipbuilders &amp; Enginers Ltd</v>
      </c>
    </row>
    <row r="715">
      <c r="A715" s="1" t="s">
        <v>3548</v>
      </c>
      <c r="B715" s="5" t="s">
        <v>3549</v>
      </c>
      <c r="C715" s="3" t="s">
        <v>3550</v>
      </c>
      <c r="D715" s="6" t="s">
        <v>3551</v>
      </c>
      <c r="E715" s="7" t="s">
        <v>3552</v>
      </c>
      <c r="F715" s="5" t="str">
        <f>IFERROR(__xludf.DUMMYFUNCTION("GOOGLEFINANCE(""NSE:""&amp;A715,""name"")"),"Garuda Construction and Engineering Ltd")</f>
        <v>Garuda Construction and Engineering Ltd</v>
      </c>
    </row>
    <row r="716">
      <c r="A716" s="1" t="s">
        <v>3553</v>
      </c>
      <c r="B716" s="5" t="s">
        <v>3554</v>
      </c>
      <c r="C716" s="3" t="s">
        <v>3555</v>
      </c>
      <c r="D716" s="6" t="s">
        <v>3556</v>
      </c>
      <c r="E716" s="7" t="s">
        <v>3557</v>
      </c>
      <c r="F716" s="5" t="str">
        <f>IFERROR(__xludf.DUMMYFUNCTION("GOOGLEFINANCE(""NSE:""&amp;A716,""name"")"),"Garware Hi-Tech Films Ltd")</f>
        <v>Garware Hi-Tech Films Ltd</v>
      </c>
    </row>
    <row r="717">
      <c r="A717" s="1" t="s">
        <v>3558</v>
      </c>
      <c r="B717" s="5" t="s">
        <v>3559</v>
      </c>
      <c r="C717" s="3" t="s">
        <v>3560</v>
      </c>
      <c r="D717" s="6" t="s">
        <v>3561</v>
      </c>
      <c r="E717" s="7" t="s">
        <v>3562</v>
      </c>
      <c r="F717" s="5" t="str">
        <f>IFERROR(__xludf.DUMMYFUNCTION("GOOGLEFINANCE(""NSE:""&amp;A717,""name"")"),"Garware Technical Fibres Ltd")</f>
        <v>Garware Technical Fibres Ltd</v>
      </c>
    </row>
    <row r="718">
      <c r="A718" s="1" t="s">
        <v>3563</v>
      </c>
      <c r="B718" s="5" t="s">
        <v>3564</v>
      </c>
      <c r="C718" s="3" t="s">
        <v>3565</v>
      </c>
      <c r="D718" s="6" t="s">
        <v>3566</v>
      </c>
      <c r="E718" s="7" t="s">
        <v>3567</v>
      </c>
      <c r="F718" s="5" t="str">
        <f>IFERROR(__xludf.DUMMYFUNCTION("GOOGLEFINANCE(""NSE:""&amp;A718,""name"")"),"Gateway Distriparks Ltd")</f>
        <v>Gateway Distriparks Ltd</v>
      </c>
    </row>
    <row r="719">
      <c r="A719" s="1" t="s">
        <v>3568</v>
      </c>
      <c r="B719" s="5" t="s">
        <v>3569</v>
      </c>
      <c r="C719" s="3" t="s">
        <v>3570</v>
      </c>
      <c r="D719" s="6" t="s">
        <v>3571</v>
      </c>
      <c r="E719" s="7" t="s">
        <v>3572</v>
      </c>
      <c r="F719" s="5" t="str">
        <f>IFERROR(__xludf.DUMMYFUNCTION("GOOGLEFINANCE(""NSE:""&amp;A719,""name"")"),"Ge Power India Ltd")</f>
        <v>Ge Power India Ltd</v>
      </c>
    </row>
    <row r="720">
      <c r="A720" s="1" t="s">
        <v>3573</v>
      </c>
      <c r="B720" s="5" t="s">
        <v>3574</v>
      </c>
      <c r="C720" s="3" t="s">
        <v>3575</v>
      </c>
      <c r="D720" s="6" t="s">
        <v>3576</v>
      </c>
      <c r="E720" s="7" t="s">
        <v>3577</v>
      </c>
      <c r="F720" s="5" t="str">
        <f>IFERROR(__xludf.DUMMYFUNCTION("GOOGLEFINANCE(""NSE:""&amp;A720,""name"")"),"GE Vernova T&amp;D India Ltd")</f>
        <v>GE Vernova T&amp;D India Ltd</v>
      </c>
    </row>
    <row r="721">
      <c r="A721" s="1" t="s">
        <v>3578</v>
      </c>
      <c r="B721" s="5" t="s">
        <v>3579</v>
      </c>
      <c r="C721" s="3" t="s">
        <v>3580</v>
      </c>
      <c r="D721" s="6" t="s">
        <v>3581</v>
      </c>
      <c r="E721" s="7" t="s">
        <v>3582</v>
      </c>
      <c r="F721" s="5" t="str">
        <f>IFERROR(__xludf.DUMMYFUNCTION("GOOGLEFINANCE(""NSE:""&amp;A721,""name"")"),"GeeCee Ventures Ltd")</f>
        <v>GeeCee Ventures Ltd</v>
      </c>
    </row>
    <row r="722">
      <c r="A722" s="1" t="s">
        <v>3583</v>
      </c>
      <c r="B722" s="5" t="s">
        <v>3584</v>
      </c>
      <c r="C722" s="3" t="s">
        <v>3585</v>
      </c>
      <c r="D722" s="6" t="s">
        <v>3586</v>
      </c>
      <c r="E722" s="7" t="s">
        <v>3587</v>
      </c>
      <c r="F722" s="5" t="str">
        <f>IFERROR(__xludf.DUMMYFUNCTION("GOOGLEFINANCE(""NSE:""&amp;A722,""name"")"),"Geekay Wires Ltd")</f>
        <v>Geekay Wires Ltd</v>
      </c>
    </row>
    <row r="723">
      <c r="A723" s="1" t="s">
        <v>3588</v>
      </c>
      <c r="B723" s="5" t="s">
        <v>3589</v>
      </c>
      <c r="C723" s="3" t="s">
        <v>3590</v>
      </c>
      <c r="D723" s="6" t="s">
        <v>3591</v>
      </c>
      <c r="E723" s="7" t="s">
        <v>3592</v>
      </c>
      <c r="F723" s="5" t="str">
        <f>IFERROR(__xludf.DUMMYFUNCTION("GOOGLEFINANCE(""NSE:""&amp;A723,""name"")"),"Gem Aromatics Ltd")</f>
        <v>Gem Aromatics Ltd</v>
      </c>
    </row>
    <row r="724">
      <c r="A724" s="1" t="s">
        <v>3593</v>
      </c>
      <c r="B724" s="5" t="s">
        <v>3594</v>
      </c>
      <c r="C724" s="3" t="s">
        <v>3595</v>
      </c>
      <c r="D724" s="6" t="s">
        <v>3596</v>
      </c>
      <c r="E724" s="7" t="s">
        <v>3597</v>
      </c>
      <c r="F724" s="5" t="str">
        <f>IFERROR(__xludf.DUMMYFUNCTION("GOOGLEFINANCE(""NSE:""&amp;A724,""name"")"),"General Insurance Corporation of India")</f>
        <v>General Insurance Corporation of India</v>
      </c>
    </row>
    <row r="725">
      <c r="A725" s="1" t="s">
        <v>3598</v>
      </c>
      <c r="B725" s="5" t="s">
        <v>3599</v>
      </c>
      <c r="C725" s="3" t="s">
        <v>3600</v>
      </c>
      <c r="D725" s="6" t="s">
        <v>3601</v>
      </c>
      <c r="E725" s="7" t="s">
        <v>3602</v>
      </c>
      <c r="F725" s="5" t="str">
        <f>IFERROR(__xludf.DUMMYFUNCTION("GOOGLEFINANCE(""NSE:""&amp;A725,""name"")"),"Generic Engineerng Constn and Prjcts Ltd")</f>
        <v>Generic Engineerng Constn and Prjcts Ltd</v>
      </c>
    </row>
    <row r="726">
      <c r="A726" s="1" t="s">
        <v>3603</v>
      </c>
      <c r="B726" s="5" t="s">
        <v>3604</v>
      </c>
      <c r="C726" s="3" t="s">
        <v>3605</v>
      </c>
      <c r="D726" s="6" t="s">
        <v>3606</v>
      </c>
      <c r="E726" s="7" t="s">
        <v>3607</v>
      </c>
      <c r="F726" s="5" t="str">
        <f>IFERROR(__xludf.DUMMYFUNCTION("GOOGLEFINANCE(""NSE:""&amp;A726,""name"")"),"Genesys International Corporation Ltd")</f>
        <v>Genesys International Corporation Ltd</v>
      </c>
    </row>
    <row r="727">
      <c r="A727" s="1" t="s">
        <v>3608</v>
      </c>
      <c r="B727" s="5" t="s">
        <v>3609</v>
      </c>
      <c r="C727" s="3" t="s">
        <v>3610</v>
      </c>
      <c r="D727" s="6" t="s">
        <v>3611</v>
      </c>
      <c r="E727" s="7" t="s">
        <v>3612</v>
      </c>
      <c r="F727" s="5" t="str">
        <f>IFERROR(__xludf.DUMMYFUNCTION("GOOGLEFINANCE(""NSE:""&amp;A727,""name"")"),"Gensol Engineering Ltd")</f>
        <v>Gensol Engineering Ltd</v>
      </c>
    </row>
    <row r="728">
      <c r="A728" s="1" t="s">
        <v>3613</v>
      </c>
      <c r="B728" s="5" t="s">
        <v>3614</v>
      </c>
      <c r="C728" s="3" t="s">
        <v>3615</v>
      </c>
      <c r="D728" s="6" t="s">
        <v>3616</v>
      </c>
      <c r="E728" s="7" t="s">
        <v>3617</v>
      </c>
      <c r="F728" s="5" t="str">
        <f>IFERROR(__xludf.DUMMYFUNCTION("GOOGLEFINANCE(""NSE:""&amp;A728,""name"")"),"Genus Paper &amp; Boards Ltd")</f>
        <v>Genus Paper &amp; Boards Ltd</v>
      </c>
    </row>
    <row r="729">
      <c r="A729" s="1" t="s">
        <v>3618</v>
      </c>
      <c r="B729" s="5" t="s">
        <v>3619</v>
      </c>
      <c r="C729" s="3" t="s">
        <v>3620</v>
      </c>
      <c r="D729" s="6" t="s">
        <v>3621</v>
      </c>
      <c r="E729" s="7" t="s">
        <v>3622</v>
      </c>
      <c r="F729" s="5" t="str">
        <f>IFERROR(__xludf.DUMMYFUNCTION("GOOGLEFINANCE(""NSE:""&amp;A729,""name"")"),"Genus Power Infrastructures Ltd")</f>
        <v>Genus Power Infrastructures Ltd</v>
      </c>
    </row>
    <row r="730">
      <c r="A730" s="1" t="s">
        <v>3623</v>
      </c>
      <c r="B730" s="5" t="s">
        <v>3624</v>
      </c>
      <c r="C730" s="3" t="s">
        <v>3625</v>
      </c>
      <c r="D730" s="6" t="s">
        <v>3626</v>
      </c>
      <c r="E730" s="7" t="s">
        <v>3627</v>
      </c>
      <c r="F730" s="5" t="str">
        <f>IFERROR(__xludf.DUMMYFUNCTION("GOOGLEFINANCE(""NSE:""&amp;A730,""name"")"),"Geojit Financial Services Ltd")</f>
        <v>Geojit Financial Services Ltd</v>
      </c>
    </row>
    <row r="731">
      <c r="A731" s="1" t="s">
        <v>3628</v>
      </c>
      <c r="B731" s="5" t="s">
        <v>3629</v>
      </c>
      <c r="C731" s="3" t="s">
        <v>3630</v>
      </c>
      <c r="D731" s="6" t="s">
        <v>3631</v>
      </c>
      <c r="E731" s="7" t="s">
        <v>3632</v>
      </c>
      <c r="F731" s="5" t="str">
        <f>IFERROR(__xludf.DUMMYFUNCTION("GOOGLEFINANCE(""NSE:""&amp;A731,""name"")"),"GFL Ltd")</f>
        <v>GFL Ltd</v>
      </c>
    </row>
    <row r="732">
      <c r="A732" s="1" t="s">
        <v>3633</v>
      </c>
      <c r="B732" s="5" t="s">
        <v>3634</v>
      </c>
      <c r="C732" s="3" t="s">
        <v>3635</v>
      </c>
      <c r="D732" s="6" t="s">
        <v>3636</v>
      </c>
      <c r="E732" s="7" t="s">
        <v>3637</v>
      </c>
      <c r="F732" s="5" t="str">
        <f>IFERROR(__xludf.DUMMYFUNCTION("GOOGLEFINANCE(""NSE:""&amp;A732,""name"")"),"GHCL Ltd")</f>
        <v>GHCL Ltd</v>
      </c>
    </row>
    <row r="733">
      <c r="A733" s="1" t="s">
        <v>3638</v>
      </c>
      <c r="B733" s="5" t="s">
        <v>3639</v>
      </c>
      <c r="C733" s="3" t="s">
        <v>3640</v>
      </c>
      <c r="D733" s="6" t="s">
        <v>3641</v>
      </c>
      <c r="E733" s="7" t="s">
        <v>3642</v>
      </c>
      <c r="F733" s="5" t="str">
        <f>IFERROR(__xludf.DUMMYFUNCTION("GOOGLEFINANCE(""NSE:""&amp;A733,""name"")"),"GHCL Textiles Ltd")</f>
        <v>GHCL Textiles Ltd</v>
      </c>
    </row>
    <row r="734">
      <c r="A734" s="1" t="s">
        <v>3643</v>
      </c>
      <c r="B734" s="5" t="s">
        <v>3644</v>
      </c>
      <c r="C734" s="3" t="s">
        <v>3645</v>
      </c>
      <c r="D734" s="6" t="s">
        <v>3646</v>
      </c>
      <c r="E734" s="7" t="s">
        <v>3647</v>
      </c>
      <c r="F734" s="5" t="str">
        <f>IFERROR(__xludf.DUMMYFUNCTION("GOOGLEFINANCE(""NSE:""&amp;A734,""name"")"),"GIC Housing Finance Ltd")</f>
        <v>GIC Housing Finance Ltd</v>
      </c>
    </row>
    <row r="735">
      <c r="A735" s="1" t="s">
        <v>3648</v>
      </c>
      <c r="B735" s="5" t="s">
        <v>3649</v>
      </c>
      <c r="C735" s="3" t="s">
        <v>3650</v>
      </c>
      <c r="D735" s="6" t="s">
        <v>3651</v>
      </c>
      <c r="E735" s="7" t="s">
        <v>3652</v>
      </c>
      <c r="F735" s="5" t="str">
        <f>IFERROR(__xludf.DUMMYFUNCTION("GOOGLEFINANCE(""NSE:""&amp;A735,""name"")"),"Gillanders Arbuthnot &amp; Co Ltd")</f>
        <v>Gillanders Arbuthnot &amp; Co Ltd</v>
      </c>
    </row>
    <row r="736">
      <c r="A736" s="1" t="s">
        <v>3653</v>
      </c>
      <c r="B736" s="5" t="s">
        <v>3654</v>
      </c>
      <c r="C736" s="3" t="s">
        <v>3655</v>
      </c>
      <c r="D736" s="6" t="s">
        <v>3656</v>
      </c>
      <c r="E736" s="7" t="s">
        <v>3657</v>
      </c>
      <c r="F736" s="5" t="str">
        <f>IFERROR(__xludf.DUMMYFUNCTION("GOOGLEFINANCE(""NSE:""&amp;A736,""name"")"),"Gillette India Ltd")</f>
        <v>Gillette India Ltd</v>
      </c>
    </row>
    <row r="737">
      <c r="A737" s="1" t="s">
        <v>3658</v>
      </c>
      <c r="B737" s="5" t="s">
        <v>3659</v>
      </c>
      <c r="C737" s="3" t="s">
        <v>3660</v>
      </c>
      <c r="D737" s="6" t="s">
        <v>3661</v>
      </c>
      <c r="E737" s="7" t="s">
        <v>3662</v>
      </c>
      <c r="F737" s="5" t="str">
        <f>IFERROR(__xludf.DUMMYFUNCTION("GOOGLEFINANCE(""NSE:""&amp;A737,""name"")"),"Ginni Filaments Ltd")</f>
        <v>Ginni Filaments Ltd</v>
      </c>
    </row>
    <row r="738">
      <c r="A738" s="1" t="s">
        <v>3663</v>
      </c>
      <c r="B738" s="5" t="s">
        <v>3663</v>
      </c>
      <c r="C738" s="3" t="s">
        <v>3664</v>
      </c>
      <c r="D738" s="6" t="s">
        <v>3665</v>
      </c>
      <c r="E738" s="7" t="s">
        <v>3666</v>
      </c>
      <c r="F738" s="5" t="str">
        <f>IFERROR(__xludf.DUMMYFUNCTION("GOOGLEFINANCE(""NSE:""&amp;A738,""name"")"),"GK Energy Ltd")</f>
        <v>GK Energy Ltd</v>
      </c>
    </row>
    <row r="739">
      <c r="A739" s="1" t="s">
        <v>3667</v>
      </c>
      <c r="B739" s="5" t="s">
        <v>3668</v>
      </c>
      <c r="C739" s="3" t="s">
        <v>3669</v>
      </c>
      <c r="D739" s="6" t="s">
        <v>3670</v>
      </c>
      <c r="E739" s="7" t="s">
        <v>3671</v>
      </c>
      <c r="F739" s="5" t="str">
        <f>IFERROR(__xludf.DUMMYFUNCTION("GOOGLEFINANCE(""NSE:""&amp;A739,""name"")"),"GKW Ltd")</f>
        <v>GKW Ltd</v>
      </c>
    </row>
    <row r="740">
      <c r="A740" s="1" t="s">
        <v>3672</v>
      </c>
      <c r="B740" s="5" t="s">
        <v>3673</v>
      </c>
      <c r="C740" s="3" t="s">
        <v>3674</v>
      </c>
      <c r="D740" s="6" t="s">
        <v>3675</v>
      </c>
      <c r="E740" s="7" t="s">
        <v>3676</v>
      </c>
      <c r="F740" s="5" t="str">
        <f>IFERROR(__xludf.DUMMYFUNCTION("GOOGLEFINANCE(""NSE:""&amp;A740,""name"")"),"Gland Pharma Ltd")</f>
        <v>Gland Pharma Ltd</v>
      </c>
    </row>
    <row r="741">
      <c r="A741" s="1" t="s">
        <v>3677</v>
      </c>
      <c r="B741" s="5" t="s">
        <v>3678</v>
      </c>
      <c r="C741" s="3" t="s">
        <v>3679</v>
      </c>
      <c r="D741" s="6" t="s">
        <v>3680</v>
      </c>
      <c r="E741" s="7" t="s">
        <v>3681</v>
      </c>
      <c r="F741" s="5" t="str">
        <f>IFERROR(__xludf.DUMMYFUNCTION("GOOGLEFINANCE(""NSE:""&amp;A741,""name"")"),"GlaxoSmithKline Pharmaceuticals Ltd")</f>
        <v>GlaxoSmithKline Pharmaceuticals Ltd</v>
      </c>
    </row>
    <row r="742">
      <c r="A742" s="1" t="s">
        <v>3682</v>
      </c>
      <c r="B742" s="5" t="s">
        <v>3683</v>
      </c>
      <c r="C742" s="3" t="s">
        <v>3684</v>
      </c>
      <c r="D742" s="6" t="s">
        <v>3685</v>
      </c>
      <c r="E742" s="7" t="s">
        <v>3686</v>
      </c>
      <c r="F742" s="5" t="str">
        <f>IFERROR(__xludf.DUMMYFUNCTION("GOOGLEFINANCE(""NSE:""&amp;A742,""name"")"),"Glenmark Pharmaceuticals Ltd")</f>
        <v>Glenmark Pharmaceuticals Ltd</v>
      </c>
    </row>
    <row r="743">
      <c r="A743" s="1" t="s">
        <v>3687</v>
      </c>
      <c r="B743" s="5" t="s">
        <v>3688</v>
      </c>
      <c r="C743" s="3" t="s">
        <v>3689</v>
      </c>
      <c r="D743" s="6" t="s">
        <v>3690</v>
      </c>
      <c r="E743" s="7" t="s">
        <v>3691</v>
      </c>
      <c r="F743" s="5" t="str">
        <f>IFERROR(__xludf.DUMMYFUNCTION("GOOGLEFINANCE(""NSE:""&amp;A743,""name"")"),"Global Education Ltd")</f>
        <v>Global Education Ltd</v>
      </c>
    </row>
    <row r="744">
      <c r="A744" s="1" t="s">
        <v>3692</v>
      </c>
      <c r="B744" s="5" t="s">
        <v>3693</v>
      </c>
      <c r="C744" s="3" t="s">
        <v>3694</v>
      </c>
      <c r="D744" s="6" t="s">
        <v>3695</v>
      </c>
      <c r="E744" s="7" t="s">
        <v>3696</v>
      </c>
      <c r="F744" s="5" t="str">
        <f>IFERROR(__xludf.DUMMYFUNCTION("GOOGLEFINANCE(""NSE:""&amp;A744,""name"")"),"Global Health Ltd")</f>
        <v>Global Health Ltd</v>
      </c>
    </row>
    <row r="745">
      <c r="A745" s="1" t="s">
        <v>3697</v>
      </c>
      <c r="B745" s="5" t="s">
        <v>3698</v>
      </c>
      <c r="C745" s="3" t="s">
        <v>3699</v>
      </c>
      <c r="D745" s="6" t="s">
        <v>3700</v>
      </c>
      <c r="E745" s="7" t="s">
        <v>3701</v>
      </c>
      <c r="F745" s="5" t="str">
        <f>IFERROR(__xludf.DUMMYFUNCTION("GOOGLEFINANCE(""NSE:""&amp;A745,""name"")"),"Global Surfaces Ltd")</f>
        <v>Global Surfaces Ltd</v>
      </c>
    </row>
    <row r="746">
      <c r="A746" s="1" t="s">
        <v>3702</v>
      </c>
      <c r="B746" s="5" t="s">
        <v>3703</v>
      </c>
      <c r="C746" s="3" t="s">
        <v>3704</v>
      </c>
      <c r="D746" s="6" t="s">
        <v>3705</v>
      </c>
      <c r="E746" s="7" t="s">
        <v>3706</v>
      </c>
      <c r="F746" s="5" t="str">
        <f>IFERROR(__xludf.DUMMYFUNCTION("GOOGLEFINANCE(""NSE:""&amp;A746,""name"")"),"Global Vectra Helicorp Limited")</f>
        <v>Global Vectra Helicorp Limited</v>
      </c>
    </row>
    <row r="747">
      <c r="A747" s="1" t="s">
        <v>3707</v>
      </c>
      <c r="B747" s="5" t="s">
        <v>3708</v>
      </c>
      <c r="C747" s="3" t="s">
        <v>3709</v>
      </c>
      <c r="D747" s="6" t="s">
        <v>3710</v>
      </c>
      <c r="E747" s="7" t="s">
        <v>3711</v>
      </c>
      <c r="F747" s="5" t="str">
        <f>IFERROR(__xludf.DUMMYFUNCTION("GOOGLEFINANCE(""NSE:""&amp;A747,""name"")"),"Globale Tessile Ltd")</f>
        <v>Globale Tessile Ltd</v>
      </c>
    </row>
    <row r="748">
      <c r="A748" s="1" t="s">
        <v>3712</v>
      </c>
      <c r="B748" s="5" t="s">
        <v>3712</v>
      </c>
      <c r="C748" s="3" t="s">
        <v>3713</v>
      </c>
      <c r="D748" s="6" t="s">
        <v>3714</v>
      </c>
      <c r="E748" s="7" t="s">
        <v>3715</v>
      </c>
      <c r="F748" s="5" t="str">
        <f>IFERROR(__xludf.DUMMYFUNCTION("GOOGLEFINANCE(""NSE:""&amp;A748,""name"")"),"Globe Civil Projects Ltd")</f>
        <v>Globe Civil Projects Ltd</v>
      </c>
    </row>
    <row r="749">
      <c r="A749" s="1" t="s">
        <v>3716</v>
      </c>
      <c r="B749" s="5" t="s">
        <v>3717</v>
      </c>
      <c r="C749" s="3" t="s">
        <v>3718</v>
      </c>
      <c r="D749" s="6" t="s">
        <v>3719</v>
      </c>
      <c r="E749" s="7" t="s">
        <v>3720</v>
      </c>
      <c r="F749" s="5" t="str">
        <f>IFERROR(__xludf.DUMMYFUNCTION("GOOGLEFINANCE(""NSE:""&amp;A749,""name"")"),"Globus Spirits Ltd")</f>
        <v>Globus Spirits Ltd</v>
      </c>
    </row>
    <row r="750">
      <c r="A750" s="1" t="s">
        <v>3721</v>
      </c>
      <c r="B750" s="5" t="s">
        <v>3722</v>
      </c>
      <c r="C750" s="3" t="s">
        <v>3723</v>
      </c>
      <c r="D750" s="6" t="s">
        <v>3724</v>
      </c>
      <c r="E750" s="7" t="s">
        <v>3725</v>
      </c>
      <c r="F750" s="5" t="str">
        <f>IFERROR(__xludf.DUMMYFUNCTION("GOOGLEFINANCE(""NSE:""&amp;A750,""name"")"),"Gloster Ltd")</f>
        <v>Gloster Ltd</v>
      </c>
    </row>
    <row r="751">
      <c r="A751" s="1" t="s">
        <v>3726</v>
      </c>
      <c r="B751" s="5" t="s">
        <v>3727</v>
      </c>
      <c r="C751" s="3" t="s">
        <v>3728</v>
      </c>
      <c r="D751" s="6" t="s">
        <v>3729</v>
      </c>
      <c r="E751" s="7" t="s">
        <v>3730</v>
      </c>
      <c r="F751" s="5" t="str">
        <f>IFERROR(__xludf.DUMMYFUNCTION("GOOGLEFINANCE(""NSE:""&amp;A751,""name"")"),"Glottis Ltd")</f>
        <v>Glottis Ltd</v>
      </c>
    </row>
    <row r="752">
      <c r="A752" s="1" t="s">
        <v>3731</v>
      </c>
      <c r="B752" s="5" t="s">
        <v>3732</v>
      </c>
      <c r="C752" s="3" t="s">
        <v>3733</v>
      </c>
      <c r="D752" s="6" t="s">
        <v>3734</v>
      </c>
      <c r="E752" s="7" t="s">
        <v>3735</v>
      </c>
      <c r="F752" s="5" t="str">
        <f>IFERROR(__xludf.DUMMYFUNCTION("GOOGLEFINANCE(""NSE:""&amp;A752,""name"")"),"G M Breweries Ltd")</f>
        <v>G M Breweries Ltd</v>
      </c>
    </row>
    <row r="753">
      <c r="A753" s="1" t="s">
        <v>3736</v>
      </c>
      <c r="B753" s="5" t="s">
        <v>3737</v>
      </c>
      <c r="C753" s="3" t="s">
        <v>3738</v>
      </c>
      <c r="D753" s="6" t="s">
        <v>3739</v>
      </c>
      <c r="E753" s="7" t="s">
        <v>3740</v>
      </c>
      <c r="F753" s="5" t="str">
        <f>IFERROR(__xludf.DUMMYFUNCTION("GOOGLEFINANCE(""NSE:""&amp;A753,""name"")"),"Gmm Pfaudler Ltd")</f>
        <v>Gmm Pfaudler Ltd</v>
      </c>
    </row>
    <row r="754">
      <c r="A754" s="1" t="s">
        <v>3741</v>
      </c>
      <c r="B754" s="5" t="s">
        <v>3742</v>
      </c>
      <c r="C754" s="3" t="s">
        <v>3743</v>
      </c>
      <c r="D754" s="6" t="s">
        <v>3744</v>
      </c>
      <c r="E754" s="7" t="s">
        <v>3745</v>
      </c>
      <c r="F754" s="5" t="str">
        <f>IFERROR(__xludf.DUMMYFUNCTION("GOOGLEFINANCE(""NSE:""&amp;A754,""name"")"),"GMR Airports Ltd")</f>
        <v>GMR Airports Ltd</v>
      </c>
    </row>
    <row r="755">
      <c r="A755" s="1" t="s">
        <v>3746</v>
      </c>
      <c r="B755" s="5" t="s">
        <v>3747</v>
      </c>
      <c r="C755" s="3" t="s">
        <v>3748</v>
      </c>
      <c r="D755" s="6" t="s">
        <v>3749</v>
      </c>
      <c r="E755" s="7" t="s">
        <v>3750</v>
      </c>
      <c r="F755" s="5" t="str">
        <f>IFERROR(__xludf.DUMMYFUNCTION("GOOGLEFINANCE(""NSE:""&amp;A755,""name"")"),"GMR Power and Urban Infra Ltd")</f>
        <v>GMR Power and Urban Infra Ltd</v>
      </c>
    </row>
    <row r="756">
      <c r="A756" s="1" t="s">
        <v>3751</v>
      </c>
      <c r="B756" s="5" t="s">
        <v>3752</v>
      </c>
      <c r="C756" s="3" t="s">
        <v>3753</v>
      </c>
      <c r="D756" s="6" t="s">
        <v>3754</v>
      </c>
      <c r="E756" s="7" t="s">
        <v>3755</v>
      </c>
      <c r="F756" s="5" t="str">
        <f>IFERROR(__xludf.DUMMYFUNCTION("GOOGLEFINANCE(""NSE:""&amp;A756,""name"")"),"GNA Axles Ltd")</f>
        <v>GNA Axles Ltd</v>
      </c>
    </row>
    <row r="757">
      <c r="A757" s="1" t="s">
        <v>3756</v>
      </c>
      <c r="B757" s="5" t="s">
        <v>3757</v>
      </c>
      <c r="C757" s="3" t="s">
        <v>3758</v>
      </c>
      <c r="D757" s="6" t="s">
        <v>3759</v>
      </c>
      <c r="E757" s="7" t="s">
        <v>3760</v>
      </c>
      <c r="F757" s="5" t="str">
        <f>IFERROR(__xludf.DUMMYFUNCTION("GOOGLEFINANCE(""NSE:""&amp;A757,""name"")"),"GNG Electronics Ltd")</f>
        <v>GNG Electronics Ltd</v>
      </c>
    </row>
    <row r="758">
      <c r="A758" s="1" t="s">
        <v>3761</v>
      </c>
      <c r="B758" s="5" t="s">
        <v>3762</v>
      </c>
      <c r="C758" s="3" t="s">
        <v>3763</v>
      </c>
      <c r="D758" s="6" t="s">
        <v>3764</v>
      </c>
      <c r="E758" s="7" t="s">
        <v>3765</v>
      </c>
      <c r="F758" s="5" t="str">
        <f>IFERROR(__xludf.DUMMYFUNCTION("GOOGLEFINANCE(""NSE:""&amp;A758,""name"")"),"Go Digit General Insurance Ltd")</f>
        <v>Go Digit General Insurance Ltd</v>
      </c>
    </row>
    <row r="759">
      <c r="A759" s="1" t="s">
        <v>3766</v>
      </c>
      <c r="B759" s="5" t="s">
        <v>3767</v>
      </c>
      <c r="C759" s="3" t="s">
        <v>3768</v>
      </c>
      <c r="D759" s="6" t="s">
        <v>3769</v>
      </c>
      <c r="E759" s="7" t="s">
        <v>3770</v>
      </c>
      <c r="F759" s="5" t="str">
        <f>IFERROR(__xludf.DUMMYFUNCTION("GOOGLEFINANCE(""NSE:""&amp;A759,""name"")"),"Go Fashion (India) Ltd")</f>
        <v>Go Fashion (India) Ltd</v>
      </c>
    </row>
    <row r="760">
      <c r="A760" s="1" t="s">
        <v>3771</v>
      </c>
      <c r="B760" s="5" t="s">
        <v>3772</v>
      </c>
      <c r="C760" s="3" t="s">
        <v>3773</v>
      </c>
      <c r="D760" s="6" t="s">
        <v>3774</v>
      </c>
      <c r="E760" s="7" t="s">
        <v>3775</v>
      </c>
      <c r="F760" s="5" t="str">
        <f>IFERROR(__xludf.DUMMYFUNCTION("GOOGLEFINANCE(""NSE:""&amp;A760,""name"")"),"Goa Carbon Ltd")</f>
        <v>Goa Carbon Ltd</v>
      </c>
    </row>
    <row r="761">
      <c r="A761" s="1" t="s">
        <v>3776</v>
      </c>
      <c r="B761" s="5" t="s">
        <v>3777</v>
      </c>
      <c r="C761" s="3" t="s">
        <v>3778</v>
      </c>
      <c r="D761" s="6" t="s">
        <v>3779</v>
      </c>
      <c r="E761" s="7" t="s">
        <v>3780</v>
      </c>
      <c r="F761" s="5" t="str">
        <f>IFERROR(__xludf.DUMMYFUNCTION("GOOGLEFINANCE(""NSE:""&amp;A761,""name"")"),"Gocl Corporation Ltd")</f>
        <v>Gocl Corporation Ltd</v>
      </c>
    </row>
    <row r="762">
      <c r="A762" s="1" t="s">
        <v>3781</v>
      </c>
      <c r="B762" s="5" t="s">
        <v>3782</v>
      </c>
      <c r="C762" s="3" t="s">
        <v>3783</v>
      </c>
      <c r="D762" s="6" t="s">
        <v>3784</v>
      </c>
      <c r="E762" s="7" t="s">
        <v>3785</v>
      </c>
      <c r="F762" s="5" t="str">
        <f>IFERROR(__xludf.DUMMYFUNCTION("GOOGLEFINANCE(""NSE:""&amp;A762,""name"")"),"Godavari Biorefineries Ltd")</f>
        <v>Godavari Biorefineries Ltd</v>
      </c>
    </row>
    <row r="763">
      <c r="A763" s="1" t="s">
        <v>3786</v>
      </c>
      <c r="B763" s="5" t="s">
        <v>3787</v>
      </c>
      <c r="C763" s="3" t="s">
        <v>3788</v>
      </c>
      <c r="D763" s="6" t="s">
        <v>3789</v>
      </c>
      <c r="E763" s="7" t="s">
        <v>3790</v>
      </c>
      <c r="F763" s="5" t="str">
        <f>IFERROR(__xludf.DUMMYFUNCTION("GOOGLEFINANCE(""NSE:""&amp;A763,""name"")"),"Godawari Power and Ispat Limited")</f>
        <v>Godawari Power and Ispat Limited</v>
      </c>
    </row>
    <row r="764">
      <c r="A764" s="1" t="s">
        <v>3791</v>
      </c>
      <c r="B764" s="5" t="s">
        <v>3792</v>
      </c>
      <c r="C764" s="3" t="s">
        <v>3793</v>
      </c>
      <c r="D764" s="6" t="s">
        <v>3794</v>
      </c>
      <c r="E764" s="7" t="s">
        <v>3795</v>
      </c>
      <c r="F764" s="5" t="str">
        <f>IFERROR(__xludf.DUMMYFUNCTION("GOOGLEFINANCE(""NSE:""&amp;A764,""name"")"),"Godfrey Phillips India Ltd")</f>
        <v>Godfrey Phillips India Ltd</v>
      </c>
    </row>
    <row r="765">
      <c r="A765" s="1" t="s">
        <v>3796</v>
      </c>
      <c r="B765" s="5" t="s">
        <v>3797</v>
      </c>
      <c r="C765" s="3" t="s">
        <v>3798</v>
      </c>
      <c r="D765" s="6" t="s">
        <v>3799</v>
      </c>
      <c r="E765" s="7" t="s">
        <v>3800</v>
      </c>
      <c r="F765" s="5" t="str">
        <f>IFERROR(__xludf.DUMMYFUNCTION("GOOGLEFINANCE(""NSE:""&amp;A765,""name"")"),"Godrej Agrovet Ltd")</f>
        <v>Godrej Agrovet Ltd</v>
      </c>
    </row>
    <row r="766">
      <c r="A766" s="1" t="s">
        <v>3801</v>
      </c>
      <c r="B766" s="5" t="s">
        <v>3802</v>
      </c>
      <c r="C766" s="3" t="s">
        <v>3803</v>
      </c>
      <c r="D766" s="6" t="s">
        <v>3804</v>
      </c>
      <c r="E766" s="7" t="s">
        <v>3805</v>
      </c>
      <c r="F766" s="5" t="str">
        <f>IFERROR(__xludf.DUMMYFUNCTION("GOOGLEFINANCE(""NSE:""&amp;A766,""name"")"),"Godrej Consumer Products Limited")</f>
        <v>Godrej Consumer Products Limited</v>
      </c>
    </row>
    <row r="767">
      <c r="A767" s="1" t="s">
        <v>3806</v>
      </c>
      <c r="B767" s="5" t="s">
        <v>3807</v>
      </c>
      <c r="C767" s="3" t="s">
        <v>3808</v>
      </c>
      <c r="D767" s="6" t="s">
        <v>3809</v>
      </c>
      <c r="E767" s="7" t="s">
        <v>3810</v>
      </c>
      <c r="F767" s="5" t="str">
        <f>IFERROR(__xludf.DUMMYFUNCTION("GOOGLEFINANCE(""NSE:""&amp;A767,""name"")"),"Godrej Industries Ltd")</f>
        <v>Godrej Industries Ltd</v>
      </c>
    </row>
    <row r="768">
      <c r="A768" s="1" t="s">
        <v>3811</v>
      </c>
      <c r="B768" s="5" t="s">
        <v>3812</v>
      </c>
      <c r="C768" s="3" t="s">
        <v>3813</v>
      </c>
      <c r="D768" s="6" t="s">
        <v>3814</v>
      </c>
      <c r="E768" s="7" t="s">
        <v>3815</v>
      </c>
      <c r="F768" s="5" t="str">
        <f>IFERROR(__xludf.DUMMYFUNCTION("GOOGLEFINANCE(""NSE:""&amp;A768,""name"")"),"Godrej Properties Ltd")</f>
        <v>Godrej Properties Ltd</v>
      </c>
    </row>
    <row r="769">
      <c r="A769" s="1" t="s">
        <v>3816</v>
      </c>
      <c r="B769" s="5" t="s">
        <v>3817</v>
      </c>
      <c r="C769" s="3" t="s">
        <v>3818</v>
      </c>
      <c r="D769" s="6" t="s">
        <v>3819</v>
      </c>
      <c r="E769" s="7" t="s">
        <v>3820</v>
      </c>
      <c r="F769" s="5" t="str">
        <f>IFERROR(__xludf.DUMMYFUNCTION("GOOGLEFINANCE(""NSE:""&amp;A769,""name"")"),"Gokaldas Exports Ltd")</f>
        <v>Gokaldas Exports Ltd</v>
      </c>
    </row>
    <row r="770">
      <c r="A770" s="1" t="s">
        <v>3821</v>
      </c>
      <c r="B770" s="5" t="s">
        <v>3822</v>
      </c>
      <c r="C770" s="3" t="s">
        <v>3823</v>
      </c>
      <c r="D770" s="6" t="s">
        <v>3824</v>
      </c>
      <c r="E770" s="7" t="s">
        <v>3825</v>
      </c>
      <c r="F770" s="5" t="str">
        <f>IFERROR(__xludf.DUMMYFUNCTION("GOOGLEFINANCE(""NSE:""&amp;A770,""name"")"),"Gokul Agro Resources Ltd")</f>
        <v>Gokul Agro Resources Ltd</v>
      </c>
    </row>
    <row r="771">
      <c r="A771" s="1" t="s">
        <v>3826</v>
      </c>
      <c r="B771" s="5" t="s">
        <v>3827</v>
      </c>
      <c r="C771" s="3" t="s">
        <v>3828</v>
      </c>
      <c r="D771" s="6" t="s">
        <v>3829</v>
      </c>
      <c r="E771" s="7" t="s">
        <v>3830</v>
      </c>
      <c r="F771" s="5" t="str">
        <f>IFERROR(__xludf.DUMMYFUNCTION("GOOGLEFINANCE(""NSE:""&amp;A771,""name"")"),"Gokul Refoils and Solvent Ltd")</f>
        <v>Gokul Refoils and Solvent Ltd</v>
      </c>
    </row>
    <row r="772">
      <c r="A772" s="1" t="s">
        <v>3831</v>
      </c>
      <c r="B772" s="5" t="s">
        <v>3832</v>
      </c>
      <c r="C772" s="3" t="s">
        <v>3833</v>
      </c>
      <c r="D772" s="6" t="s">
        <v>3834</v>
      </c>
      <c r="E772" s="7" t="s">
        <v>3835</v>
      </c>
      <c r="F772" s="5" t="str">
        <f>IFERROR(__xludf.DUMMYFUNCTION("GOOGLEFINANCE(""NSE:""&amp;A772,""name"")"),"Golden Tobacco Ltd")</f>
        <v>Golden Tobacco Ltd</v>
      </c>
    </row>
    <row r="773">
      <c r="A773" s="1" t="s">
        <v>3836</v>
      </c>
      <c r="B773" s="5" t="s">
        <v>3837</v>
      </c>
      <c r="C773" s="3" t="s">
        <v>3838</v>
      </c>
      <c r="D773" s="6" t="s">
        <v>3839</v>
      </c>
      <c r="E773" s="7" t="s">
        <v>3840</v>
      </c>
      <c r="F773" s="5" t="str">
        <f>IFERROR(__xludf.DUMMYFUNCTION("GOOGLEFINANCE(""NSE:""&amp;A773,""name"")"),"Goldiam International Ltd")</f>
        <v>Goldiam International Ltd</v>
      </c>
    </row>
    <row r="774">
      <c r="A774" s="1" t="s">
        <v>3841</v>
      </c>
      <c r="B774" s="5" t="s">
        <v>3842</v>
      </c>
      <c r="C774" s="3" t="s">
        <v>3843</v>
      </c>
      <c r="D774" s="6" t="s">
        <v>3844</v>
      </c>
      <c r="E774" s="7" t="s">
        <v>3845</v>
      </c>
      <c r="F774" s="5" t="str">
        <f>IFERROR(__xludf.DUMMYFUNCTION("GOOGLEFINANCE(""NSE:""&amp;A774,""name"")"),"Aion-Tech Solutions Ltd")</f>
        <v>Aion-Tech Solutions Ltd</v>
      </c>
    </row>
    <row r="775">
      <c r="A775" s="1" t="s">
        <v>3846</v>
      </c>
      <c r="B775" s="5" t="s">
        <v>3847</v>
      </c>
      <c r="C775" s="3" t="s">
        <v>3848</v>
      </c>
      <c r="D775" s="6" t="s">
        <v>3849</v>
      </c>
      <c r="E775" s="7" t="s">
        <v>3850</v>
      </c>
      <c r="F775" s="5" t="str">
        <f>IFERROR(__xludf.DUMMYFUNCTION("GOOGLEFINANCE(""NSE:""&amp;A775,""name"")"),"Goodluck India Ltd")</f>
        <v>Goodluck India Ltd</v>
      </c>
    </row>
    <row r="776">
      <c r="A776" s="1" t="s">
        <v>3851</v>
      </c>
      <c r="B776" s="5" t="s">
        <v>3852</v>
      </c>
      <c r="C776" s="3" t="s">
        <v>3853</v>
      </c>
      <c r="D776" s="6" t="s">
        <v>3854</v>
      </c>
      <c r="E776" s="7" t="s">
        <v>3855</v>
      </c>
      <c r="F776" s="5" t="str">
        <f>IFERROR(__xludf.DUMMYFUNCTION("GOOGLEFINANCE(""NSE:""&amp;A776,""name"")"),"Gopal Snacks Ltd")</f>
        <v>Gopal Snacks Ltd</v>
      </c>
    </row>
    <row r="777">
      <c r="A777" s="1" t="s">
        <v>3856</v>
      </c>
      <c r="B777" s="5" t="s">
        <v>3857</v>
      </c>
      <c r="C777" s="3" t="s">
        <v>3858</v>
      </c>
      <c r="D777" s="6" t="s">
        <v>3859</v>
      </c>
      <c r="E777" s="7" t="s">
        <v>3860</v>
      </c>
      <c r="F777" s="5" t="str">
        <f>IFERROR(__xludf.DUMMYFUNCTION("GOOGLEFINANCE(""NSE:""&amp;A777,""name"")"),"Goyal Aluminiums Ltd")</f>
        <v>Goyal Aluminiums Ltd</v>
      </c>
    </row>
    <row r="778">
      <c r="A778" s="1" t="s">
        <v>3861</v>
      </c>
      <c r="B778" s="5" t="s">
        <v>3862</v>
      </c>
      <c r="C778" s="3" t="s">
        <v>3863</v>
      </c>
      <c r="D778" s="6" t="s">
        <v>3864</v>
      </c>
      <c r="E778" s="7" t="s">
        <v>3865</v>
      </c>
      <c r="F778" s="5" t="str">
        <f>IFERROR(__xludf.DUMMYFUNCTION("GOOGLEFINANCE(""NSE:""&amp;A778,""name"")"),"GP Petroleums Ltd")</f>
        <v>GP Petroleums Ltd</v>
      </c>
    </row>
    <row r="779">
      <c r="A779" s="1" t="s">
        <v>3866</v>
      </c>
      <c r="B779" s="5" t="s">
        <v>3867</v>
      </c>
      <c r="C779" s="3" t="s">
        <v>3868</v>
      </c>
      <c r="D779" s="6" t="s">
        <v>3869</v>
      </c>
      <c r="E779" s="7" t="s">
        <v>3870</v>
      </c>
      <c r="F779" s="5" t="str">
        <f>IFERROR(__xludf.DUMMYFUNCTION("GOOGLEFINANCE(""NSE:""&amp;A779,""name"")"),"GPT Healthcare Ltd")</f>
        <v>GPT Healthcare Ltd</v>
      </c>
    </row>
    <row r="780">
      <c r="A780" s="1" t="s">
        <v>3871</v>
      </c>
      <c r="B780" s="5" t="s">
        <v>3872</v>
      </c>
      <c r="C780" s="3" t="s">
        <v>3873</v>
      </c>
      <c r="D780" s="6" t="s">
        <v>3874</v>
      </c>
      <c r="E780" s="7" t="s">
        <v>3875</v>
      </c>
      <c r="F780" s="5" t="str">
        <f>IFERROR(__xludf.DUMMYFUNCTION("GOOGLEFINANCE(""NSE:""&amp;A780,""name"")"),"GPT Infraprojects Ltd")</f>
        <v>GPT Infraprojects Ltd</v>
      </c>
    </row>
    <row r="781">
      <c r="A781" s="1" t="s">
        <v>3876</v>
      </c>
      <c r="B781" s="5" t="s">
        <v>3877</v>
      </c>
      <c r="C781" s="3" t="s">
        <v>3878</v>
      </c>
      <c r="D781" s="6" t="s">
        <v>3879</v>
      </c>
      <c r="E781" s="7" t="s">
        <v>3880</v>
      </c>
      <c r="F781" s="5" t="str">
        <f>IFERROR(__xludf.DUMMYFUNCTION("GOOGLEFINANCE(""NSE:""&amp;A781,""name"")"),"Grand Foundry Ltd")</f>
        <v>Grand Foundry Ltd</v>
      </c>
    </row>
    <row r="782">
      <c r="A782" s="1" t="s">
        <v>3881</v>
      </c>
      <c r="B782" s="5" t="s">
        <v>3882</v>
      </c>
      <c r="C782" s="3" t="s">
        <v>3883</v>
      </c>
      <c r="D782" s="6" t="s">
        <v>3884</v>
      </c>
      <c r="E782" s="7" t="s">
        <v>3885</v>
      </c>
      <c r="F782" s="5" t="str">
        <f>IFERROR(__xludf.DUMMYFUNCTION("GOOGLEFINANCE(""NSE:""&amp;A782,""name"")"),"Granules India Ltd")</f>
        <v>Granules India Ltd</v>
      </c>
    </row>
    <row r="783">
      <c r="A783" s="1" t="s">
        <v>3886</v>
      </c>
      <c r="B783" s="5" t="s">
        <v>3887</v>
      </c>
      <c r="C783" s="3" t="s">
        <v>3888</v>
      </c>
      <c r="D783" s="6" t="s">
        <v>3889</v>
      </c>
      <c r="E783" s="7" t="s">
        <v>3890</v>
      </c>
      <c r="F783" s="5" t="str">
        <f>IFERROR(__xludf.DUMMYFUNCTION("GOOGLEFINANCE(""NSE:""&amp;A783,""name"")"),"Graphite India Ltd")</f>
        <v>Graphite India Ltd</v>
      </c>
    </row>
    <row r="784">
      <c r="A784" s="1" t="s">
        <v>3891</v>
      </c>
      <c r="B784" s="5" t="s">
        <v>3892</v>
      </c>
      <c r="C784" s="3" t="s">
        <v>3893</v>
      </c>
      <c r="D784" s="6" t="s">
        <v>3894</v>
      </c>
      <c r="E784" s="7" t="s">
        <v>3895</v>
      </c>
      <c r="F784" s="5" t="str">
        <f>IFERROR(__xludf.DUMMYFUNCTION("GOOGLEFINANCE(""NSE:""&amp;A784,""name"")"),"Grasim Industries Ltd")</f>
        <v>Grasim Industries Ltd</v>
      </c>
    </row>
    <row r="785">
      <c r="A785" s="1" t="s">
        <v>3896</v>
      </c>
      <c r="B785" s="5" t="s">
        <v>3897</v>
      </c>
      <c r="C785" s="3" t="s">
        <v>3898</v>
      </c>
      <c r="D785" s="6" t="s">
        <v>3899</v>
      </c>
      <c r="E785" s="7" t="s">
        <v>3900</v>
      </c>
      <c r="F785" s="5" t="str">
        <f>IFERROR(__xludf.DUMMYFUNCTION("GOOGLEFINANCE(""NSE:""&amp;A785,""name"")"),"Gravita India Limited")</f>
        <v>Gravita India Limited</v>
      </c>
    </row>
    <row r="786">
      <c r="A786" s="1" t="s">
        <v>3901</v>
      </c>
      <c r="B786" s="5" t="s">
        <v>3902</v>
      </c>
      <c r="C786" s="3" t="s">
        <v>3903</v>
      </c>
      <c r="D786" s="6" t="s">
        <v>3904</v>
      </c>
      <c r="E786" s="7" t="s">
        <v>3905</v>
      </c>
      <c r="F786" s="5" t="str">
        <f>IFERROR(__xludf.DUMMYFUNCTION("GOOGLEFINANCE(""NSE:""&amp;A786,""name"")"),"Greaves Cotton Ltd")</f>
        <v>Greaves Cotton Ltd</v>
      </c>
    </row>
    <row r="787">
      <c r="A787" s="1" t="s">
        <v>3906</v>
      </c>
      <c r="B787" s="5" t="s">
        <v>3907</v>
      </c>
      <c r="C787" s="3" t="s">
        <v>3908</v>
      </c>
      <c r="D787" s="6" t="s">
        <v>3909</v>
      </c>
      <c r="E787" s="7" t="s">
        <v>3910</v>
      </c>
      <c r="F787" s="5" t="str">
        <f>IFERROR(__xludf.DUMMYFUNCTION("GOOGLEFINANCE(""NSE:""&amp;A787,""name"")"),"Greenlam Industries Ltd")</f>
        <v>Greenlam Industries Ltd</v>
      </c>
    </row>
    <row r="788">
      <c r="A788" s="1" t="s">
        <v>3911</v>
      </c>
      <c r="B788" s="5" t="s">
        <v>3912</v>
      </c>
      <c r="C788" s="3" t="s">
        <v>3913</v>
      </c>
      <c r="D788" s="6" t="s">
        <v>3914</v>
      </c>
      <c r="E788" s="7" t="s">
        <v>3915</v>
      </c>
      <c r="F788" s="5" t="str">
        <f>IFERROR(__xludf.DUMMYFUNCTION("GOOGLEFINANCE(""NSE:""&amp;A788,""name"")"),"Greenpanel Industries Ltd")</f>
        <v>Greenpanel Industries Ltd</v>
      </c>
    </row>
    <row r="789">
      <c r="A789" s="1" t="s">
        <v>3916</v>
      </c>
      <c r="B789" s="5" t="s">
        <v>3917</v>
      </c>
      <c r="C789" s="3" t="s">
        <v>3918</v>
      </c>
      <c r="D789" s="6" t="s">
        <v>3919</v>
      </c>
      <c r="E789" s="7" t="s">
        <v>3920</v>
      </c>
      <c r="F789" s="5" t="str">
        <f>IFERROR(__xludf.DUMMYFUNCTION("GOOGLEFINANCE(""NSE:""&amp;A789,""name"")"),"Greenply Industries Ltd")</f>
        <v>Greenply Industries Ltd</v>
      </c>
    </row>
    <row r="790">
      <c r="A790" s="1" t="s">
        <v>3921</v>
      </c>
      <c r="B790" s="5" t="s">
        <v>3922</v>
      </c>
      <c r="C790" s="3" t="s">
        <v>3923</v>
      </c>
      <c r="D790" s="6" t="s">
        <v>3924</v>
      </c>
      <c r="E790" s="7" t="s">
        <v>3925</v>
      </c>
      <c r="F790" s="5" t="str">
        <f>IFERROR(__xludf.DUMMYFUNCTION("GOOGLEFINANCE(""NSE:""&amp;A790,""name"")"),"Gretex Corporate Services Ltd")</f>
        <v>Gretex Corporate Services Ltd</v>
      </c>
    </row>
    <row r="791">
      <c r="A791" s="1" t="s">
        <v>3926</v>
      </c>
      <c r="B791" s="5" t="s">
        <v>3927</v>
      </c>
      <c r="C791" s="3" t="s">
        <v>3928</v>
      </c>
      <c r="D791" s="6" t="s">
        <v>3929</v>
      </c>
      <c r="E791" s="7" t="s">
        <v>3930</v>
      </c>
      <c r="F791" s="5" t="str">
        <f>IFERROR(__xludf.DUMMYFUNCTION("GOOGLEFINANCE(""NSE:""&amp;A791,""name"")"),"Grindwell Norton Ltd")</f>
        <v>Grindwell Norton Ltd</v>
      </c>
    </row>
    <row r="792">
      <c r="A792" s="1" t="s">
        <v>3931</v>
      </c>
      <c r="B792" s="5" t="s">
        <v>3932</v>
      </c>
      <c r="C792" s="3" t="s">
        <v>3933</v>
      </c>
      <c r="D792" s="6" t="s">
        <v>3934</v>
      </c>
      <c r="E792" s="7" t="s">
        <v>3935</v>
      </c>
      <c r="F792" s="5" t="str">
        <f>IFERROR(__xludf.DUMMYFUNCTION("GOOGLEFINANCE(""NSE:""&amp;A792,""name"")"),"GRM Overseas Ltd")</f>
        <v>GRM Overseas Ltd</v>
      </c>
    </row>
    <row r="793">
      <c r="A793" s="1" t="s">
        <v>3936</v>
      </c>
      <c r="B793" s="5" t="s">
        <v>3936</v>
      </c>
      <c r="C793" s="3" t="s">
        <v>3937</v>
      </c>
      <c r="D793" s="6" t="s">
        <v>3938</v>
      </c>
      <c r="E793" s="7" t="s">
        <v>3939</v>
      </c>
      <c r="F793" s="5" t="str">
        <f>IFERROR(__xludf.DUMMYFUNCTION("GOOGLEFINANCE(""NSE:""&amp;A793,""name"")"),"Billionbrains Garage Ventures Ltd")</f>
        <v>Billionbrains Garage Ventures Ltd</v>
      </c>
    </row>
    <row r="794">
      <c r="A794" s="1" t="s">
        <v>3940</v>
      </c>
      <c r="B794" s="5" t="s">
        <v>3941</v>
      </c>
      <c r="C794" s="3" t="s">
        <v>3942</v>
      </c>
      <c r="D794" s="6" t="s">
        <v>3943</v>
      </c>
      <c r="E794" s="7" t="s">
        <v>3944</v>
      </c>
      <c r="F794" s="5" t="str">
        <f>IFERROR(__xludf.DUMMYFUNCTION("GOOGLEFINANCE(""NSE:""&amp;A794,""name"")"),"Groww BSE Power ETF")</f>
        <v>Groww BSE Power ETF</v>
      </c>
    </row>
    <row r="795">
      <c r="A795" s="1" t="s">
        <v>3945</v>
      </c>
      <c r="B795" s="5" t="s">
        <v>3946</v>
      </c>
      <c r="C795" s="3" t="s">
        <v>3947</v>
      </c>
      <c r="D795" s="6" t="s">
        <v>3948</v>
      </c>
      <c r="E795" s="7" t="s">
        <v>3949</v>
      </c>
      <c r="F795" s="5" t="str">
        <f>IFERROR(__xludf.DUMMYFUNCTION("GOOGLEFINANCE(""NSE:""&amp;A795,""name"")"),"Groww Gold ETF")</f>
        <v>Groww Gold ETF</v>
      </c>
    </row>
    <row r="796">
      <c r="A796" s="1" t="s">
        <v>3950</v>
      </c>
      <c r="B796" s="5" t="s">
        <v>3951</v>
      </c>
      <c r="C796" s="3" t="s">
        <v>3952</v>
      </c>
      <c r="D796" s="6" t="s">
        <v>3953</v>
      </c>
      <c r="E796" s="7" t="s">
        <v>3954</v>
      </c>
      <c r="F796" s="5" t="str">
        <f>IFERROR(__xludf.DUMMYFUNCTION("GOOGLEFINANCE(""NSE:""&amp;A796,""name"")"),"Groww Nifty 1D Rate Liquid ETF")</f>
        <v>Groww Nifty 1D Rate Liquid ETF</v>
      </c>
    </row>
    <row r="797">
      <c r="A797" s="1" t="s">
        <v>3955</v>
      </c>
      <c r="B797" s="5" t="s">
        <v>3956</v>
      </c>
      <c r="C797" s="3" t="s">
        <v>3957</v>
      </c>
      <c r="D797" s="6" t="s">
        <v>3958</v>
      </c>
      <c r="E797" s="7" t="s">
        <v>3959</v>
      </c>
      <c r="F797" s="5" t="str">
        <f>IFERROR(__xludf.DUMMYFUNCTION("GOOGLEFINANCE(""NSE:""&amp;A797,""name"")"),"Groww Nifty 200 ETF")</f>
        <v>Groww Nifty 200 ETF</v>
      </c>
    </row>
    <row r="798">
      <c r="A798" s="1" t="s">
        <v>3960</v>
      </c>
      <c r="B798" s="5" t="s">
        <v>3961</v>
      </c>
      <c r="C798" s="3" t="s">
        <v>3962</v>
      </c>
      <c r="D798" s="6" t="s">
        <v>3963</v>
      </c>
      <c r="E798" s="7" t="s">
        <v>3964</v>
      </c>
      <c r="F798" s="5" t="str">
        <f>IFERROR(__xludf.DUMMYFUNCTION("GOOGLEFINANCE(""NSE:""&amp;A798,""name"")"),"Groww Nifty 500 Low Volatility 50 ETF")</f>
        <v>Groww Nifty 500 Low Volatility 50 ETF</v>
      </c>
    </row>
    <row r="799">
      <c r="A799" s="1" t="s">
        <v>3965</v>
      </c>
      <c r="B799" s="5" t="s">
        <v>3966</v>
      </c>
      <c r="C799" s="3" t="s">
        <v>3967</v>
      </c>
      <c r="D799" s="6" t="s">
        <v>3968</v>
      </c>
      <c r="E799" s="7" t="s">
        <v>3969</v>
      </c>
      <c r="F799" s="5" t="str">
        <f>IFERROR(__xludf.DUMMYFUNCTION("GOOGLEFINANCE(""NSE:""&amp;A799,""name"")"),"Groww Nifty 500 Momentum 50 ETF")</f>
        <v>Groww Nifty 500 Momentum 50 ETF</v>
      </c>
    </row>
    <row r="800">
      <c r="A800" s="1" t="s">
        <v>3970</v>
      </c>
      <c r="B800" s="5" t="s">
        <v>3971</v>
      </c>
      <c r="C800" s="3" t="s">
        <v>3972</v>
      </c>
      <c r="D800" s="6" t="s">
        <v>3973</v>
      </c>
      <c r="E800" s="7" t="s">
        <v>3974</v>
      </c>
      <c r="F800" s="5" t="str">
        <f>IFERROR(__xludf.DUMMYFUNCTION("GOOGLEFINANCE(""NSE:""&amp;A800,""name"")"),"Groww Nifty EV &amp; New Age Automotive ETF")</f>
        <v>Groww Nifty EV &amp; New Age Automotive ETF</v>
      </c>
    </row>
    <row r="801">
      <c r="A801" s="1" t="s">
        <v>3975</v>
      </c>
      <c r="B801" s="5" t="s">
        <v>3976</v>
      </c>
      <c r="C801" s="3" t="s">
        <v>3977</v>
      </c>
      <c r="D801" s="6" t="s">
        <v>3978</v>
      </c>
      <c r="E801" s="7" t="s">
        <v>3979</v>
      </c>
      <c r="F801" s="5" t="str">
        <f>IFERROR(__xludf.DUMMYFUNCTION("GOOGLEFINANCE(""NSE:""&amp;A801,""name"")"),"Groww Nifty India Defence ETF")</f>
        <v>Groww Nifty India Defence ETF</v>
      </c>
    </row>
    <row r="802">
      <c r="A802" s="1" t="s">
        <v>3980</v>
      </c>
      <c r="B802" s="5" t="s">
        <v>3981</v>
      </c>
      <c r="C802" s="3" t="s">
        <v>3982</v>
      </c>
      <c r="D802" s="6" t="s">
        <v>3983</v>
      </c>
      <c r="E802" s="7" t="s">
        <v>3984</v>
      </c>
      <c r="F802" s="5" t="str">
        <f>IFERROR(__xludf.DUMMYFUNCTION("GOOGLEFINANCE(""NSE:""&amp;A802,""name"")"),"Groww Nifty India Internet ETF")</f>
        <v>Groww Nifty India Internet ETF</v>
      </c>
    </row>
    <row r="803">
      <c r="A803" s="1" t="s">
        <v>3985</v>
      </c>
      <c r="B803" s="5" t="s">
        <v>3986</v>
      </c>
      <c r="C803" s="3" t="s">
        <v>3987</v>
      </c>
      <c r="D803" s="6" t="s">
        <v>3988</v>
      </c>
      <c r="E803" s="7" t="s">
        <v>3989</v>
      </c>
      <c r="F803" s="5" t="str">
        <f>IFERROR(__xludf.DUMMYFUNCTION("GOOGLEFINANCE(""NSE:""&amp;A803,""name"")"),"Groww Nifty India Railways PSU ETF")</f>
        <v>Groww Nifty India Railways PSU ETF</v>
      </c>
    </row>
    <row r="804">
      <c r="A804" s="1" t="s">
        <v>3990</v>
      </c>
      <c r="B804" s="5" t="s">
        <v>3991</v>
      </c>
      <c r="C804" s="3" t="s">
        <v>3992</v>
      </c>
      <c r="D804" s="6" t="s">
        <v>3993</v>
      </c>
      <c r="E804" s="7" t="s">
        <v>3994</v>
      </c>
      <c r="F804" s="5" t="str">
        <f>IFERROR(__xludf.DUMMYFUNCTION("GOOGLEFINANCE(""NSE:""&amp;A804,""name"")"),"Groww Nifty Midcap 150 ETF")</f>
        <v>Groww Nifty Midcap 150 ETF</v>
      </c>
    </row>
    <row r="805">
      <c r="A805" s="1" t="s">
        <v>3995</v>
      </c>
      <c r="B805" s="5" t="s">
        <v>3996</v>
      </c>
      <c r="C805" s="3" t="s">
        <v>3997</v>
      </c>
      <c r="D805" s="6" t="s">
        <v>3998</v>
      </c>
      <c r="E805" s="7" t="s">
        <v>3999</v>
      </c>
      <c r="F805" s="5" t="str">
        <f>IFERROR(__xludf.DUMMYFUNCTION("GOOGLEFINANCE(""NSE:""&amp;A805,""name"")"),"Groww Nifty Next 50 ETF")</f>
        <v>Groww Nifty Next 50 ETF</v>
      </c>
    </row>
    <row r="806">
      <c r="A806" s="1" t="s">
        <v>4000</v>
      </c>
      <c r="B806" s="5" t="s">
        <v>4001</v>
      </c>
      <c r="C806" s="3" t="s">
        <v>4002</v>
      </c>
      <c r="D806" s="6" t="s">
        <v>4003</v>
      </c>
      <c r="E806" s="7" t="s">
        <v>4004</v>
      </c>
      <c r="F806" s="5" t="str">
        <f>IFERROR(__xludf.DUMMYFUNCTION("GOOGLEFINANCE(""NSE:""&amp;A806,""name"")"),"Groww Nifty Realty ETF")</f>
        <v>Groww Nifty Realty ETF</v>
      </c>
    </row>
    <row r="807">
      <c r="A807" s="1" t="s">
        <v>4005</v>
      </c>
      <c r="B807" s="5" t="s">
        <v>4006</v>
      </c>
      <c r="C807" s="3" t="s">
        <v>4007</v>
      </c>
      <c r="D807" s="6" t="s">
        <v>4008</v>
      </c>
      <c r="E807" s="7" t="s">
        <v>4009</v>
      </c>
      <c r="F807" s="5" t="str">
        <f>IFERROR(__xludf.DUMMYFUNCTION("GOOGLEFINANCE(""NSE:""&amp;A807,""name"")"),"Groww Nifty Smallcap 250 ETF")</f>
        <v>Groww Nifty Smallcap 250 ETF</v>
      </c>
    </row>
    <row r="808">
      <c r="A808" s="1" t="s">
        <v>4010</v>
      </c>
      <c r="B808" s="5" t="s">
        <v>4010</v>
      </c>
      <c r="C808" s="3" t="s">
        <v>4011</v>
      </c>
      <c r="D808" s="6" t="s">
        <v>4012</v>
      </c>
      <c r="E808" s="7" t="s">
        <v>4013</v>
      </c>
      <c r="F808" s="5" t="str">
        <f>IFERROR(__xludf.DUMMYFUNCTION("GOOGLEFINANCE(""NSE:""&amp;A808,""name"")"),"Groww Nifty 50 ETF")</f>
        <v>Groww Nifty 50 ETF</v>
      </c>
    </row>
    <row r="809">
      <c r="A809" s="1" t="s">
        <v>4014</v>
      </c>
      <c r="B809" s="5" t="s">
        <v>4014</v>
      </c>
      <c r="C809" s="3" t="s">
        <v>4015</v>
      </c>
      <c r="D809" s="6" t="s">
        <v>4016</v>
      </c>
      <c r="E809" s="7" t="s">
        <v>4017</v>
      </c>
      <c r="F809" s="5" t="str">
        <f>IFERROR(__xludf.DUMMYFUNCTION("GOOGLEFINANCE(""NSE:""&amp;A809,""name"")"),"Groww Silver ETF")</f>
        <v>Groww Silver ETF</v>
      </c>
    </row>
    <row r="810">
      <c r="A810" s="1" t="s">
        <v>4018</v>
      </c>
      <c r="B810" s="5" t="s">
        <v>4019</v>
      </c>
      <c r="C810" s="3" t="s">
        <v>4020</v>
      </c>
      <c r="D810" s="6" t="s">
        <v>4021</v>
      </c>
      <c r="E810" s="7" t="s">
        <v>4022</v>
      </c>
      <c r="F810" s="5" t="str">
        <f>IFERROR(__xludf.DUMMYFUNCTION("GOOGLEFINANCE(""NSE:""&amp;A810,""name"")"),"GRP Ltd")</f>
        <v>GRP Ltd</v>
      </c>
    </row>
    <row r="811">
      <c r="A811" s="1" t="s">
        <v>4023</v>
      </c>
      <c r="B811" s="5" t="s">
        <v>4024</v>
      </c>
      <c r="C811" s="3" t="s">
        <v>4025</v>
      </c>
      <c r="D811" s="6" t="s">
        <v>4026</v>
      </c>
      <c r="E811" s="7" t="s">
        <v>4027</v>
      </c>
      <c r="F811" s="5" t="str">
        <f>IFERROR(__xludf.DUMMYFUNCTION("GOOGLEFINANCE(""NSE:""&amp;A811,""name"")"),"GSS Infotech Ltd")</f>
        <v>GSS Infotech Ltd</v>
      </c>
    </row>
    <row r="812">
      <c r="A812" s="1" t="s">
        <v>4028</v>
      </c>
      <c r="B812" s="5" t="s">
        <v>4029</v>
      </c>
      <c r="C812" s="3" t="s">
        <v>4030</v>
      </c>
      <c r="D812" s="6" t="s">
        <v>4031</v>
      </c>
      <c r="E812" s="7" t="s">
        <v>4032</v>
      </c>
      <c r="F812" s="5" t="str">
        <f>IFERROR(__xludf.DUMMYFUNCTION("GOOGLEFINANCE(""NSE:""&amp;A812,""name"")"),"GTL Ltd")</f>
        <v>GTL Ltd</v>
      </c>
    </row>
    <row r="813">
      <c r="A813" s="1" t="s">
        <v>4033</v>
      </c>
      <c r="B813" s="5" t="s">
        <v>4034</v>
      </c>
      <c r="C813" s="3" t="s">
        <v>4035</v>
      </c>
      <c r="D813" s="6" t="s">
        <v>4036</v>
      </c>
      <c r="E813" s="7" t="s">
        <v>4037</v>
      </c>
      <c r="F813" s="5" t="str">
        <f>IFERROR(__xludf.DUMMYFUNCTION("GOOGLEFINANCE(""NSE:""&amp;A813,""name"")"),"GTPL Hathway Ltd")</f>
        <v>GTPL Hathway Ltd</v>
      </c>
    </row>
    <row r="814">
      <c r="A814" s="1" t="s">
        <v>4038</v>
      </c>
      <c r="B814" s="5" t="s">
        <v>4039</v>
      </c>
      <c r="C814" s="3" t="s">
        <v>4040</v>
      </c>
      <c r="D814" s="6" t="s">
        <v>4041</v>
      </c>
      <c r="E814" s="7" t="s">
        <v>4042</v>
      </c>
      <c r="F814" s="5" t="str">
        <f>IFERROR(__xludf.DUMMYFUNCTION("GOOGLEFINANCE(""NSE:""&amp;A814,""name"")"),"Gufic BioSciences Ltd")</f>
        <v>Gufic BioSciences Ltd</v>
      </c>
    </row>
    <row r="815">
      <c r="A815" s="1" t="s">
        <v>4043</v>
      </c>
      <c r="B815" s="5" t="s">
        <v>4044</v>
      </c>
      <c r="C815" s="3" t="s">
        <v>4045</v>
      </c>
      <c r="D815" s="6" t="s">
        <v>4046</v>
      </c>
      <c r="E815" s="7" t="s">
        <v>4047</v>
      </c>
      <c r="F815" s="5" t="str">
        <f>IFERROR(__xludf.DUMMYFUNCTION("GOOGLEFINANCE(""NSE:""&amp;A815,""name"")"),"Gujarat Alkalies And Chemicals Ltd")</f>
        <v>Gujarat Alkalies And Chemicals Ltd</v>
      </c>
    </row>
    <row r="816">
      <c r="A816" s="1" t="s">
        <v>4048</v>
      </c>
      <c r="B816" s="5" t="s">
        <v>4049</v>
      </c>
      <c r="C816" s="3" t="s">
        <v>4050</v>
      </c>
      <c r="D816" s="6" t="s">
        <v>4051</v>
      </c>
      <c r="E816" s="7" t="s">
        <v>4052</v>
      </c>
      <c r="F816" s="5" t="str">
        <f>IFERROR(__xludf.DUMMYFUNCTION("GOOGLEFINANCE(""NSE:""&amp;A816,""name"")"),"Gujarat Ambuja Exports Ltd")</f>
        <v>Gujarat Ambuja Exports Ltd</v>
      </c>
    </row>
    <row r="817">
      <c r="A817" s="1" t="s">
        <v>4053</v>
      </c>
      <c r="B817" s="5" t="s">
        <v>4054</v>
      </c>
      <c r="C817" s="3" t="s">
        <v>4055</v>
      </c>
      <c r="D817" s="6" t="s">
        <v>4056</v>
      </c>
      <c r="E817" s="7" t="s">
        <v>4057</v>
      </c>
      <c r="F817" s="5" t="str">
        <f>IFERROR(__xludf.DUMMYFUNCTION("GOOGLEFINANCE(""NSE:""&amp;A817,""name"")"),"Gujarat Apollo Industries Ltd")</f>
        <v>Gujarat Apollo Industries Ltd</v>
      </c>
    </row>
    <row r="818">
      <c r="A818" s="1" t="s">
        <v>4058</v>
      </c>
      <c r="B818" s="5" t="s">
        <v>4059</v>
      </c>
      <c r="C818" s="3" t="s">
        <v>4060</v>
      </c>
      <c r="D818" s="6" t="s">
        <v>4061</v>
      </c>
      <c r="E818" s="7" t="s">
        <v>4062</v>
      </c>
      <c r="F818" s="5" t="str">
        <f>IFERROR(__xludf.DUMMYFUNCTION("GOOGLEFINANCE(""NSE:""&amp;A818,""name"")"),"Gujarat Fluorochemicals Ltd")</f>
        <v>Gujarat Fluorochemicals Ltd</v>
      </c>
    </row>
    <row r="819">
      <c r="A819" s="1" t="s">
        <v>4063</v>
      </c>
      <c r="B819" s="5" t="s">
        <v>4064</v>
      </c>
      <c r="C819" s="3" t="s">
        <v>4065</v>
      </c>
      <c r="D819" s="6" t="s">
        <v>4066</v>
      </c>
      <c r="E819" s="7" t="s">
        <v>4067</v>
      </c>
      <c r="F819" s="5" t="str">
        <f>IFERROR(__xludf.DUMMYFUNCTION("GOOGLEFINANCE(""NSE:""&amp;A819,""name"")"),"Gujarat Gas Ltd")</f>
        <v>Gujarat Gas Ltd</v>
      </c>
    </row>
    <row r="820">
      <c r="A820" s="1" t="s">
        <v>4068</v>
      </c>
      <c r="B820" s="5" t="s">
        <v>4069</v>
      </c>
      <c r="C820" s="3" t="s">
        <v>4070</v>
      </c>
      <c r="D820" s="6" t="s">
        <v>4071</v>
      </c>
      <c r="E820" s="7" t="s">
        <v>4072</v>
      </c>
      <c r="F820" s="5" t="str">
        <f>IFERROR(__xludf.DUMMYFUNCTION("GOOGLEFINANCE(""NSE:""&amp;A820,""name"")"),"Gujarat Industries Power Company Ltd")</f>
        <v>Gujarat Industries Power Company Ltd</v>
      </c>
    </row>
    <row r="821">
      <c r="A821" s="1" t="s">
        <v>4073</v>
      </c>
      <c r="B821" s="5" t="s">
        <v>4074</v>
      </c>
      <c r="C821" s="3" t="s">
        <v>4075</v>
      </c>
      <c r="D821" s="6" t="s">
        <v>4076</v>
      </c>
      <c r="E821" s="7" t="s">
        <v>4077</v>
      </c>
      <c r="F821" s="5" t="str">
        <f>IFERROR(__xludf.DUMMYFUNCTION("GOOGLEFINANCE(""NSE:""&amp;A821,""name"")"),"Gujarat Mineral Development Corpn Ltd")</f>
        <v>Gujarat Mineral Development Corpn Ltd</v>
      </c>
    </row>
    <row r="822">
      <c r="A822" s="1" t="s">
        <v>4078</v>
      </c>
      <c r="B822" s="5" t="s">
        <v>4079</v>
      </c>
      <c r="C822" s="3" t="s">
        <v>4080</v>
      </c>
      <c r="D822" s="6" t="s">
        <v>4081</v>
      </c>
      <c r="E822" s="7" t="s">
        <v>4082</v>
      </c>
      <c r="F822" s="5" t="str">
        <f>IFERROR(__xludf.DUMMYFUNCTION("GOOGLEFINANCE(""NSE:""&amp;A822,""name"")"),"Gujarat Narmada Vly Frtlzrs &amp; Chmcl Ltd")</f>
        <v>Gujarat Narmada Vly Frtlzrs &amp; Chmcl Ltd</v>
      </c>
    </row>
    <row r="823">
      <c r="A823" s="1" t="s">
        <v>4083</v>
      </c>
      <c r="B823" s="5" t="s">
        <v>4084</v>
      </c>
      <c r="C823" s="3" t="s">
        <v>4085</v>
      </c>
      <c r="D823" s="6" t="s">
        <v>4086</v>
      </c>
      <c r="E823" s="7" t="s">
        <v>4087</v>
      </c>
      <c r="F823" s="5" t="str">
        <f>IFERROR(__xludf.DUMMYFUNCTION("GOOGLEFINANCE(""NSE:""&amp;A823,""name"")"),"Gujarat Pipavav Port Ltd")</f>
        <v>Gujarat Pipavav Port Ltd</v>
      </c>
    </row>
    <row r="824">
      <c r="A824" s="1" t="s">
        <v>4088</v>
      </c>
      <c r="B824" s="5" t="s">
        <v>4089</v>
      </c>
      <c r="C824" s="3" t="s">
        <v>4090</v>
      </c>
      <c r="D824" s="6" t="s">
        <v>4091</v>
      </c>
      <c r="E824" s="7" t="s">
        <v>4092</v>
      </c>
      <c r="F824" s="5" t="str">
        <f>IFERROR(__xludf.DUMMYFUNCTION("GOOGLEFINANCE(""NSE:""&amp;A824,""name"")"),"Gujarat Raffia Industries Ltd(NDA)")</f>
        <v>Gujarat Raffia Industries Ltd(NDA)</v>
      </c>
    </row>
    <row r="825">
      <c r="A825" s="1" t="s">
        <v>4093</v>
      </c>
      <c r="B825" s="5" t="s">
        <v>4094</v>
      </c>
      <c r="C825" s="3" t="s">
        <v>4095</v>
      </c>
      <c r="D825" s="6" t="s">
        <v>4096</v>
      </c>
      <c r="E825" s="7" t="s">
        <v>4097</v>
      </c>
      <c r="F825" s="5" t="str">
        <f>IFERROR(__xludf.DUMMYFUNCTION("GOOGLEFINANCE(""NSE:""&amp;A825,""name"")"),"Gujarat State Fertilizers &amp; Chemicls Ltd")</f>
        <v>Gujarat State Fertilizers &amp; Chemicls Ltd</v>
      </c>
    </row>
    <row r="826">
      <c r="A826" s="1" t="s">
        <v>4098</v>
      </c>
      <c r="B826" s="5" t="s">
        <v>4099</v>
      </c>
      <c r="C826" s="3" t="s">
        <v>4100</v>
      </c>
      <c r="D826" s="6" t="s">
        <v>4101</v>
      </c>
      <c r="E826" s="7" t="s">
        <v>4102</v>
      </c>
      <c r="F826" s="5" t="str">
        <f>IFERROR(__xludf.DUMMYFUNCTION("GOOGLEFINANCE(""NSE:""&amp;A826,""name"")"),"Gujarat State Petronet Ltd")</f>
        <v>Gujarat State Petronet Ltd</v>
      </c>
    </row>
    <row r="827">
      <c r="A827" s="1" t="s">
        <v>4103</v>
      </c>
      <c r="B827" s="5" t="s">
        <v>4104</v>
      </c>
      <c r="C827" s="3" t="s">
        <v>4105</v>
      </c>
      <c r="D827" s="6" t="s">
        <v>4106</v>
      </c>
      <c r="E827" s="7" t="s">
        <v>4107</v>
      </c>
      <c r="F827" s="5" t="str">
        <f>IFERROR(__xludf.DUMMYFUNCTION("GOOGLEFINANCE(""NSE:""&amp;A827,""name"")"),"Gujarat Themis Biosyn Ltd")</f>
        <v>Gujarat Themis Biosyn Ltd</v>
      </c>
    </row>
    <row r="828">
      <c r="A828" s="1" t="s">
        <v>4108</v>
      </c>
      <c r="B828" s="5" t="s">
        <v>4109</v>
      </c>
      <c r="C828" s="3" t="s">
        <v>4110</v>
      </c>
      <c r="D828" s="6" t="s">
        <v>4111</v>
      </c>
      <c r="E828" s="7" t="s">
        <v>4112</v>
      </c>
      <c r="F828" s="5" t="str">
        <f>IFERROR(__xludf.DUMMYFUNCTION("GOOGLEFINANCE(""NSE:""&amp;A828,""name"")"),"Gulf Oil Lubricants India Ltd")</f>
        <v>Gulf Oil Lubricants India Ltd</v>
      </c>
    </row>
    <row r="829">
      <c r="A829" s="1" t="s">
        <v>4113</v>
      </c>
      <c r="B829" s="5" t="s">
        <v>4114</v>
      </c>
      <c r="C829" s="3" t="s">
        <v>4115</v>
      </c>
      <c r="D829" s="6" t="s">
        <v>4116</v>
      </c>
      <c r="E829" s="7" t="s">
        <v>4117</v>
      </c>
      <c r="F829" s="5" t="str">
        <f>IFERROR(__xludf.DUMMYFUNCTION("GOOGLEFINANCE(""NSE:""&amp;A829,""name"")"),"Gulshan Polyols Ltd")</f>
        <v>Gulshan Polyols Ltd</v>
      </c>
    </row>
    <row r="830">
      <c r="A830" s="1" t="s">
        <v>4118</v>
      </c>
      <c r="B830" s="5" t="s">
        <v>4119</v>
      </c>
      <c r="C830" s="3" t="s">
        <v>4120</v>
      </c>
      <c r="D830" s="6" t="s">
        <v>4121</v>
      </c>
      <c r="E830" s="7" t="s">
        <v>4122</v>
      </c>
      <c r="F830" s="5" t="str">
        <f>IFERROR(__xludf.DUMMYFUNCTION("GOOGLEFINANCE(""NSE:""&amp;A830,""name"")"),"Gvp Infotech Ltd")</f>
        <v>Gvp Infotech Ltd</v>
      </c>
    </row>
    <row r="831">
      <c r="A831" s="1" t="s">
        <v>4123</v>
      </c>
      <c r="B831" s="5" t="s">
        <v>4124</v>
      </c>
      <c r="C831" s="3" t="s">
        <v>4125</v>
      </c>
      <c r="D831" s="6" t="s">
        <v>4126</v>
      </c>
      <c r="E831" s="7" t="s">
        <v>4127</v>
      </c>
      <c r="F831" s="5" t="str">
        <f>IFERROR(__xludf.DUMMYFUNCTION("GOOGLEFINANCE(""NSE:""&amp;A831,""name"")"),"HG Infra Engineering Ltd")</f>
        <v>HG Infra Engineering Ltd</v>
      </c>
    </row>
    <row r="832">
      <c r="A832" s="1" t="s">
        <v>4128</v>
      </c>
      <c r="B832" s="5" t="s">
        <v>4129</v>
      </c>
      <c r="C832" s="3" t="s">
        <v>4130</v>
      </c>
      <c r="D832" s="6" t="s">
        <v>4131</v>
      </c>
      <c r="E832" s="7" t="s">
        <v>4132</v>
      </c>
      <c r="F832" s="5" t="str">
        <f>IFERROR(__xludf.DUMMYFUNCTION("GOOGLEFINANCE(""NSE:""&amp;A832,""name"")"),"Haleos Labs Ltd")</f>
        <v>Haleos Labs Ltd</v>
      </c>
    </row>
    <row r="833">
      <c r="A833" s="1" t="s">
        <v>4133</v>
      </c>
      <c r="B833" s="5" t="s">
        <v>4134</v>
      </c>
      <c r="C833" s="3" t="s">
        <v>4135</v>
      </c>
      <c r="D833" s="6" t="s">
        <v>4136</v>
      </c>
      <c r="E833" s="7" t="s">
        <v>4137</v>
      </c>
      <c r="F833" s="5" t="str">
        <f>IFERROR(__xludf.DUMMYFUNCTION("GOOGLEFINANCE(""NSE:""&amp;A833,""name"")"),"HandsOn Global Management (HGM) Ltd")</f>
        <v>HandsOn Global Management (HGM) Ltd</v>
      </c>
    </row>
    <row r="834">
      <c r="A834" s="1" t="s">
        <v>4138</v>
      </c>
      <c r="B834" s="5" t="s">
        <v>4139</v>
      </c>
      <c r="C834" s="3" t="s">
        <v>4140</v>
      </c>
      <c r="D834" s="6" t="s">
        <v>4141</v>
      </c>
      <c r="E834" s="7" t="s">
        <v>4142</v>
      </c>
      <c r="F834" s="5" t="str">
        <f>IFERROR(__xludf.DUMMYFUNCTION("GOOGLEFINANCE(""NSE:""&amp;A834,""name"")"),"Happiest Minds Technologies Ltd")</f>
        <v>Happiest Minds Technologies Ltd</v>
      </c>
    </row>
    <row r="835">
      <c r="A835" s="1" t="s">
        <v>4143</v>
      </c>
      <c r="B835" s="5" t="s">
        <v>4144</v>
      </c>
      <c r="C835" s="3" t="s">
        <v>4145</v>
      </c>
      <c r="D835" s="6" t="s">
        <v>4146</v>
      </c>
      <c r="E835" s="7" t="s">
        <v>4147</v>
      </c>
      <c r="F835" s="5" t="str">
        <f>IFERROR(__xludf.DUMMYFUNCTION("GOOGLEFINANCE(""NSE:""&amp;A835,""name"")"),"Happy Forgings Ltd")</f>
        <v>Happy Forgings Ltd</v>
      </c>
    </row>
    <row r="836">
      <c r="A836" s="1" t="s">
        <v>4148</v>
      </c>
      <c r="B836" s="5" t="s">
        <v>4149</v>
      </c>
      <c r="C836" s="3" t="s">
        <v>4150</v>
      </c>
      <c r="D836" s="6" t="s">
        <v>4151</v>
      </c>
      <c r="E836" s="7" t="s">
        <v>4152</v>
      </c>
      <c r="F836" s="5" t="str">
        <f>IFERROR(__xludf.DUMMYFUNCTION("GOOGLEFINANCE(""NSE:""&amp;A836,""name"")"),"Hardwyn India Ltd")</f>
        <v>Hardwyn India Ltd</v>
      </c>
    </row>
    <row r="837">
      <c r="A837" s="1" t="s">
        <v>4153</v>
      </c>
      <c r="B837" s="5" t="s">
        <v>4154</v>
      </c>
      <c r="C837" s="3" t="s">
        <v>4155</v>
      </c>
      <c r="D837" s="6" t="s">
        <v>4156</v>
      </c>
      <c r="E837" s="7" t="s">
        <v>4157</v>
      </c>
      <c r="F837" s="5" t="str">
        <f>IFERROR(__xludf.DUMMYFUNCTION("GOOGLEFINANCE(""NSE:""&amp;A837,""name"")"),"Hariom Pipe Industries Ltd")</f>
        <v>Hariom Pipe Industries Ltd</v>
      </c>
    </row>
    <row r="838">
      <c r="A838" s="1" t="s">
        <v>4158</v>
      </c>
      <c r="B838" s="5" t="s">
        <v>4159</v>
      </c>
      <c r="C838" s="3" t="s">
        <v>4160</v>
      </c>
      <c r="D838" s="6" t="s">
        <v>4161</v>
      </c>
      <c r="E838" s="7" t="s">
        <v>4162</v>
      </c>
      <c r="F838" s="5" t="str">
        <f>IFERROR(__xludf.DUMMYFUNCTION("GOOGLEFINANCE(""NSE:""&amp;A838,""name"")"),"Harrisons Malayalam Ltd")</f>
        <v>Harrisons Malayalam Ltd</v>
      </c>
    </row>
    <row r="839">
      <c r="A839" s="1" t="s">
        <v>4163</v>
      </c>
      <c r="B839" s="5" t="s">
        <v>4164</v>
      </c>
      <c r="C839" s="3" t="s">
        <v>4165</v>
      </c>
      <c r="D839" s="6" t="s">
        <v>4166</v>
      </c>
      <c r="E839" s="7" t="s">
        <v>4167</v>
      </c>
      <c r="F839" s="5" t="str">
        <f>IFERROR(__xludf.DUMMYFUNCTION("GOOGLEFINANCE(""NSE:""&amp;A839,""name"")"),"Harsha Engineers International Ltd")</f>
        <v>Harsha Engineers International Ltd</v>
      </c>
    </row>
    <row r="840">
      <c r="A840" s="1" t="s">
        <v>4168</v>
      </c>
      <c r="B840" s="5" t="s">
        <v>4169</v>
      </c>
      <c r="C840" s="3" t="s">
        <v>4170</v>
      </c>
      <c r="D840" s="6" t="s">
        <v>4171</v>
      </c>
      <c r="E840" s="7" t="s">
        <v>4172</v>
      </c>
      <c r="F840" s="5" t="str">
        <f>IFERROR(__xludf.DUMMYFUNCTION("GOOGLEFINANCE(""NSE:""&amp;A840,""name"")"),"Hathway Cable and Datacom Limited")</f>
        <v>Hathway Cable and Datacom Limited</v>
      </c>
    </row>
    <row r="841">
      <c r="A841" s="1" t="s">
        <v>4173</v>
      </c>
      <c r="B841" s="5" t="s">
        <v>4174</v>
      </c>
      <c r="C841" s="3" t="s">
        <v>4175</v>
      </c>
      <c r="D841" s="6" t="s">
        <v>4176</v>
      </c>
      <c r="E841" s="7" t="s">
        <v>4177</v>
      </c>
      <c r="F841" s="5" t="str">
        <f>IFERROR(__xludf.DUMMYFUNCTION("GOOGLEFINANCE(""NSE:""&amp;A841,""name"")"),"Hatsun Agro Product Ltd")</f>
        <v>Hatsun Agro Product Ltd</v>
      </c>
    </row>
    <row r="842">
      <c r="A842" s="1" t="s">
        <v>4178</v>
      </c>
      <c r="B842" s="5" t="s">
        <v>4179</v>
      </c>
      <c r="C842" s="3" t="s">
        <v>4180</v>
      </c>
      <c r="D842" s="6" t="s">
        <v>4181</v>
      </c>
      <c r="E842" s="7" t="s">
        <v>4182</v>
      </c>
      <c r="F842" s="5" t="str">
        <f>IFERROR(__xludf.DUMMYFUNCTION("GOOGLEFINANCE(""NSE:""&amp;A842,""name"")"),"Havells India Ltd")</f>
        <v>Havells India Ltd</v>
      </c>
    </row>
    <row r="843">
      <c r="A843" s="1" t="s">
        <v>4183</v>
      </c>
      <c r="B843" s="5" t="s">
        <v>4184</v>
      </c>
      <c r="C843" s="3" t="s">
        <v>4185</v>
      </c>
      <c r="D843" s="6" t="s">
        <v>4186</v>
      </c>
      <c r="E843" s="7" t="s">
        <v>4187</v>
      </c>
      <c r="F843" s="5" t="str">
        <f>IFERROR(__xludf.DUMMYFUNCTION("GOOGLEFINANCE(""NSE:""&amp;A843,""name"")"),"HB Stockholdings Ltd")</f>
        <v>HB Stockholdings Ltd</v>
      </c>
    </row>
    <row r="844">
      <c r="A844" s="1" t="s">
        <v>4188</v>
      </c>
      <c r="B844" s="5" t="s">
        <v>4189</v>
      </c>
      <c r="C844" s="3" t="s">
        <v>4190</v>
      </c>
      <c r="D844" s="6" t="s">
        <v>4191</v>
      </c>
      <c r="E844" s="7" t="s">
        <v>4192</v>
      </c>
      <c r="F844" s="5" t="str">
        <f>IFERROR(__xludf.DUMMYFUNCTION("GOOGLEFINANCE(""NSE:""&amp;A844,""name"")"),"HBL Engineering Ltd")</f>
        <v>HBL Engineering Ltd</v>
      </c>
    </row>
    <row r="845">
      <c r="A845" s="1" t="s">
        <v>4193</v>
      </c>
      <c r="B845" s="5" t="s">
        <v>4194</v>
      </c>
      <c r="C845" s="3" t="s">
        <v>4195</v>
      </c>
      <c r="D845" s="6" t="s">
        <v>4196</v>
      </c>
      <c r="E845" s="7" t="s">
        <v>4197</v>
      </c>
      <c r="F845" s="5" t="str">
        <f>IFERROR(__xludf.DUMMYFUNCTION("GOOGLEFINANCE(""NSE:""&amp;A845,""name"")"),"HCL Infosystems Ltd")</f>
        <v>HCL Infosystems Ltd</v>
      </c>
    </row>
    <row r="846">
      <c r="A846" s="1" t="s">
        <v>4198</v>
      </c>
      <c r="B846" s="5" t="s">
        <v>4199</v>
      </c>
      <c r="C846" s="3" t="s">
        <v>4200</v>
      </c>
      <c r="D846" s="6" t="s">
        <v>4201</v>
      </c>
      <c r="E846" s="7" t="s">
        <v>4202</v>
      </c>
      <c r="F846" s="5" t="str">
        <f>IFERROR(__xludf.DUMMYFUNCTION("GOOGLEFINANCE(""NSE:""&amp;A846,""name"")"),"HCL Technologies Ltd")</f>
        <v>HCL Technologies Ltd</v>
      </c>
    </row>
    <row r="847">
      <c r="A847" s="1" t="s">
        <v>4203</v>
      </c>
      <c r="B847" s="5" t="s">
        <v>4204</v>
      </c>
      <c r="C847" s="3" t="s">
        <v>4205</v>
      </c>
      <c r="D847" s="6" t="s">
        <v>4206</v>
      </c>
      <c r="E847" s="7" t="s">
        <v>4207</v>
      </c>
      <c r="F847" s="5" t="str">
        <f>IFERROR(__xludf.DUMMYFUNCTION("GOOGLEFINANCE(""NSE:""&amp;A847,""name"")"),"HDB Financial Services Ltd")</f>
        <v>HDB Financial Services Ltd</v>
      </c>
    </row>
    <row r="848">
      <c r="A848" s="1" t="s">
        <v>4208</v>
      </c>
      <c r="B848" s="5" t="s">
        <v>4209</v>
      </c>
      <c r="C848" s="3" t="s">
        <v>4210</v>
      </c>
      <c r="D848" s="6" t="s">
        <v>4211</v>
      </c>
      <c r="E848" s="7" t="s">
        <v>4212</v>
      </c>
      <c r="F848" s="5" t="str">
        <f>IFERROR(__xludf.DUMMYFUNCTION("GOOGLEFINANCE(""NSE:""&amp;A848,""name"")"),"HDFC Asset Management Company Ltd")</f>
        <v>HDFC Asset Management Company Ltd</v>
      </c>
    </row>
    <row r="849">
      <c r="A849" s="1" t="s">
        <v>4213</v>
      </c>
      <c r="B849" s="5" t="s">
        <v>4214</v>
      </c>
      <c r="C849" s="3" t="s">
        <v>4215</v>
      </c>
      <c r="D849" s="6" t="s">
        <v>4216</v>
      </c>
      <c r="E849" s="7" t="s">
        <v>4217</v>
      </c>
      <c r="F849" s="5" t="str">
        <f>IFERROR(__xludf.DUMMYFUNCTION("GOOGLEFINANCE(""NSE:""&amp;A849,""name"")"),"HDFC Bank Ltd")</f>
        <v>HDFC Bank Ltd</v>
      </c>
    </row>
    <row r="850">
      <c r="A850" s="1" t="s">
        <v>4218</v>
      </c>
      <c r="B850" s="5" t="s">
        <v>4219</v>
      </c>
      <c r="C850" s="3" t="s">
        <v>4220</v>
      </c>
      <c r="D850" s="6" t="s">
        <v>4221</v>
      </c>
      <c r="E850" s="7" t="s">
        <v>4222</v>
      </c>
      <c r="F850" s="5" t="str">
        <f>IFERROR(__xludf.DUMMYFUNCTION("GOOGLEFINANCE(""NSE:""&amp;A850,""name"")"),"HDFC Gold ETF")</f>
        <v>HDFC Gold ETF</v>
      </c>
    </row>
    <row r="851">
      <c r="A851" s="1" t="s">
        <v>4223</v>
      </c>
      <c r="B851" s="5" t="s">
        <v>4224</v>
      </c>
      <c r="C851" s="3" t="s">
        <v>4225</v>
      </c>
      <c r="D851" s="6" t="s">
        <v>4226</v>
      </c>
      <c r="E851" s="7" t="s">
        <v>4227</v>
      </c>
      <c r="F851" s="5" t="str">
        <f>IFERROR(__xludf.DUMMYFUNCTION("GOOGLEFINANCE(""NSE:""&amp;A851,""name"")"),"HDFC Life Insurance Company Ltd")</f>
        <v>HDFC Life Insurance Company Ltd</v>
      </c>
    </row>
    <row r="852">
      <c r="A852" s="1" t="s">
        <v>4228</v>
      </c>
      <c r="B852" s="5" t="s">
        <v>4229</v>
      </c>
      <c r="C852" s="3" t="s">
        <v>4230</v>
      </c>
      <c r="D852" s="6" t="s">
        <v>4231</v>
      </c>
      <c r="E852" s="7" t="s">
        <v>4232</v>
      </c>
      <c r="F852" s="5" t="str">
        <f>IFERROR(__xludf.DUMMYFUNCTION("GOOGLEFINANCE(""NSE:""&amp;A852,""name"")"),"HDFC Nifty 100 ETF")</f>
        <v>HDFC Nifty 100 ETF</v>
      </c>
    </row>
    <row r="853">
      <c r="A853" s="1" t="s">
        <v>4233</v>
      </c>
      <c r="B853" s="5" t="s">
        <v>4234</v>
      </c>
      <c r="C853" s="3" t="s">
        <v>4235</v>
      </c>
      <c r="D853" s="6" t="s">
        <v>4236</v>
      </c>
      <c r="E853" s="7" t="s">
        <v>4237</v>
      </c>
      <c r="F853" s="5" t="str">
        <f>IFERROR(__xludf.DUMMYFUNCTION("GOOGLEFINANCE(""NSE:""&amp;A853,""name"")"),"HDFC Nifty100 Low Volatility 30 ETF")</f>
        <v>HDFC Nifty100 Low Volatility 30 ETF</v>
      </c>
    </row>
    <row r="854">
      <c r="A854" s="1" t="s">
        <v>4238</v>
      </c>
      <c r="B854" s="5" t="s">
        <v>4239</v>
      </c>
      <c r="C854" s="3" t="s">
        <v>4240</v>
      </c>
      <c r="D854" s="6" t="s">
        <v>4241</v>
      </c>
      <c r="E854" s="7" t="s">
        <v>4242</v>
      </c>
      <c r="F854" s="5" t="str">
        <f>IFERROR(__xludf.DUMMYFUNCTION("GOOGLEFINANCE(""NSE:""&amp;A854,""name"")"),"HDFC Nifty100 Quality 30 ETF")</f>
        <v>HDFC Nifty100 Quality 30 ETF</v>
      </c>
    </row>
    <row r="855">
      <c r="A855" s="1" t="s">
        <v>4243</v>
      </c>
      <c r="B855" s="5" t="s">
        <v>4244</v>
      </c>
      <c r="C855" s="3" t="s">
        <v>4245</v>
      </c>
      <c r="D855" s="6" t="s">
        <v>4246</v>
      </c>
      <c r="E855" s="7" t="s">
        <v>4247</v>
      </c>
      <c r="F855" s="5" t="str">
        <f>IFERROR(__xludf.DUMMYFUNCTION("GOOGLEFINANCE(""NSE:""&amp;A855,""name"")"),"HDFC Nifty 1D Rate Liquid ETF - Growth")</f>
        <v>HDFC Nifty 1D Rate Liquid ETF - Growth</v>
      </c>
    </row>
    <row r="856">
      <c r="A856" s="1" t="s">
        <v>4248</v>
      </c>
      <c r="B856" s="5" t="s">
        <v>4249</v>
      </c>
      <c r="C856" s="3" t="s">
        <v>4250</v>
      </c>
      <c r="D856" s="6" t="s">
        <v>4251</v>
      </c>
      <c r="E856" s="7" t="s">
        <v>4252</v>
      </c>
      <c r="F856" s="5" t="str">
        <f>IFERROR(__xludf.DUMMYFUNCTION("GOOGLEFINANCE(""NSE:""&amp;A856,""name"")"),"HDFC Nifty200 Momentum 30 ETF")</f>
        <v>HDFC Nifty200 Momentum 30 ETF</v>
      </c>
    </row>
    <row r="857">
      <c r="A857" s="1" t="s">
        <v>4253</v>
      </c>
      <c r="B857" s="5" t="s">
        <v>4254</v>
      </c>
      <c r="C857" s="3" t="s">
        <v>4255</v>
      </c>
      <c r="D857" s="6" t="s">
        <v>4256</v>
      </c>
      <c r="E857" s="7" t="s">
        <v>4257</v>
      </c>
      <c r="F857" s="5" t="str">
        <f>IFERROR(__xludf.DUMMYFUNCTION("GOOGLEFINANCE(""NSE:""&amp;A857,""name"")"),"HDFC Nifty50 Value 20 ETF")</f>
        <v>HDFC Nifty50 Value 20 ETF</v>
      </c>
    </row>
    <row r="858">
      <c r="A858" s="1" t="s">
        <v>4258</v>
      </c>
      <c r="B858" s="5" t="s">
        <v>4259</v>
      </c>
      <c r="C858" s="3" t="s">
        <v>4260</v>
      </c>
      <c r="D858" s="6" t="s">
        <v>4261</v>
      </c>
      <c r="E858" s="7" t="s">
        <v>4262</v>
      </c>
      <c r="F858" s="5" t="str">
        <f>IFERROR(__xludf.DUMMYFUNCTION("GOOGLEFINANCE(""NSE:""&amp;A858,""name"")"),"HDFC NIFTY Bank ETF")</f>
        <v>HDFC NIFTY Bank ETF</v>
      </c>
    </row>
    <row r="859">
      <c r="A859" s="1" t="s">
        <v>4263</v>
      </c>
      <c r="B859" s="5" t="s">
        <v>4264</v>
      </c>
      <c r="C859" s="3" t="s">
        <v>4265</v>
      </c>
      <c r="D859" s="6" t="s">
        <v>4266</v>
      </c>
      <c r="E859" s="7" t="s">
        <v>4267</v>
      </c>
      <c r="F859" s="5" t="str">
        <f>IFERROR(__xludf.DUMMYFUNCTION("GOOGLEFINANCE(""NSE:""&amp;A859,""name"")"),"HDFC Nifty Growth Sectors 15 ETF")</f>
        <v>HDFC Nifty Growth Sectors 15 ETF</v>
      </c>
    </row>
    <row r="860">
      <c r="A860" s="1" t="s">
        <v>4268</v>
      </c>
      <c r="B860" s="5" t="s">
        <v>4269</v>
      </c>
      <c r="C860" s="3" t="s">
        <v>4270</v>
      </c>
      <c r="D860" s="6" t="s">
        <v>4271</v>
      </c>
      <c r="E860" s="7" t="s">
        <v>4272</v>
      </c>
      <c r="F860" s="5" t="str">
        <f>IFERROR(__xludf.DUMMYFUNCTION("GOOGLEFINANCE(""NSE:""&amp;A860,""name"")"),"HDFC Nifty IT ETF")</f>
        <v>HDFC Nifty IT ETF</v>
      </c>
    </row>
    <row r="861">
      <c r="A861" s="1" t="s">
        <v>4273</v>
      </c>
      <c r="B861" s="5" t="s">
        <v>4274</v>
      </c>
      <c r="C861" s="3" t="s">
        <v>4275</v>
      </c>
      <c r="D861" s="6" t="s">
        <v>4276</v>
      </c>
      <c r="E861" s="7" t="s">
        <v>4277</v>
      </c>
      <c r="F861" s="5" t="str">
        <f>IFERROR(__xludf.DUMMYFUNCTION("GOOGLEFINANCE(""NSE:""&amp;A861,""name"")"),"HDFC NIFTY Midcap 150 ETF")</f>
        <v>HDFC NIFTY Midcap 150 ETF</v>
      </c>
    </row>
    <row r="862">
      <c r="A862" s="1" t="s">
        <v>4278</v>
      </c>
      <c r="B862" s="5" t="s">
        <v>4279</v>
      </c>
      <c r="C862" s="3" t="s">
        <v>4280</v>
      </c>
      <c r="D862" s="6" t="s">
        <v>4281</v>
      </c>
      <c r="E862" s="7" t="s">
        <v>4282</v>
      </c>
      <c r="F862" s="5" t="str">
        <f>IFERROR(__xludf.DUMMYFUNCTION("GOOGLEFINANCE(""NSE:""&amp;A862,""name"")"),"HDFC Nifty NEXT 50 ETF")</f>
        <v>HDFC Nifty NEXT 50 ETF</v>
      </c>
    </row>
    <row r="863">
      <c r="A863" s="1" t="s">
        <v>4283</v>
      </c>
      <c r="B863" s="5" t="s">
        <v>4284</v>
      </c>
      <c r="C863" s="3" t="s">
        <v>4285</v>
      </c>
      <c r="D863" s="6" t="s">
        <v>4286</v>
      </c>
      <c r="E863" s="7" t="s">
        <v>4287</v>
      </c>
      <c r="F863" s="5" t="str">
        <f>IFERROR(__xludf.DUMMYFUNCTION("GOOGLEFINANCE(""NSE:""&amp;A863,""name"")"),"HDFC Nifty Private Bank ETF")</f>
        <v>HDFC Nifty Private Bank ETF</v>
      </c>
    </row>
    <row r="864">
      <c r="A864" s="1" t="s">
        <v>4288</v>
      </c>
      <c r="B864" s="5" t="s">
        <v>4289</v>
      </c>
      <c r="C864" s="3" t="s">
        <v>4290</v>
      </c>
      <c r="D864" s="6" t="s">
        <v>4291</v>
      </c>
      <c r="E864" s="7" t="s">
        <v>4292</v>
      </c>
      <c r="F864" s="5" t="str">
        <f>IFERROR(__xludf.DUMMYFUNCTION("GOOGLEFINANCE(""NSE:""&amp;A864,""name"")"),"HDFC NIFTY PSU BANK ETF")</f>
        <v>HDFC NIFTY PSU BANK ETF</v>
      </c>
    </row>
    <row r="865">
      <c r="A865" s="1" t="s">
        <v>4293</v>
      </c>
      <c r="B865" s="5" t="s">
        <v>4294</v>
      </c>
      <c r="C865" s="3" t="s">
        <v>4295</v>
      </c>
      <c r="D865" s="6" t="s">
        <v>4296</v>
      </c>
      <c r="E865" s="7" t="s">
        <v>4297</v>
      </c>
      <c r="F865" s="5" t="str">
        <f>IFERROR(__xludf.DUMMYFUNCTION("GOOGLEFINANCE(""NSE:""&amp;A865,""name"")"),"HDFC NIFTY Smallcap 250 ETF")</f>
        <v>HDFC NIFTY Smallcap 250 ETF</v>
      </c>
    </row>
    <row r="866">
      <c r="A866" s="1" t="s">
        <v>4298</v>
      </c>
      <c r="B866" s="5" t="s">
        <v>4299</v>
      </c>
      <c r="C866" s="3" t="s">
        <v>4300</v>
      </c>
      <c r="D866" s="6" t="s">
        <v>4301</v>
      </c>
      <c r="E866" s="7" t="s">
        <v>4302</v>
      </c>
      <c r="F866" s="5" t="str">
        <f>IFERROR(__xludf.DUMMYFUNCTION("GOOGLEFINANCE(""NSE:""&amp;A866,""name"")"),"HDFC BSE 500 ETF")</f>
        <v>HDFC BSE 500 ETF</v>
      </c>
    </row>
    <row r="867">
      <c r="A867" s="1" t="s">
        <v>4303</v>
      </c>
      <c r="B867" s="5" t="s">
        <v>4304</v>
      </c>
      <c r="C867" s="3" t="s">
        <v>4305</v>
      </c>
      <c r="D867" s="6" t="s">
        <v>4306</v>
      </c>
      <c r="E867" s="7" t="s">
        <v>4307</v>
      </c>
      <c r="F867" s="5" t="str">
        <f>IFERROR(__xludf.DUMMYFUNCTION("GOOGLEFINANCE(""NSE:""&amp;A867,""name"")"),"HDFC BSE Sensex ETF")</f>
        <v>HDFC BSE Sensex ETF</v>
      </c>
    </row>
    <row r="868">
      <c r="A868" s="1" t="s">
        <v>4308</v>
      </c>
      <c r="B868" s="5" t="s">
        <v>4309</v>
      </c>
      <c r="C868" s="3" t="s">
        <v>4310</v>
      </c>
      <c r="D868" s="6" t="s">
        <v>4311</v>
      </c>
      <c r="E868" s="7" t="s">
        <v>4312</v>
      </c>
      <c r="F868" s="5" t="str">
        <f>IFERROR(__xludf.DUMMYFUNCTION("GOOGLEFINANCE(""NSE:""&amp;A868,""name"")"),"HDFC Silver ETF")</f>
        <v>HDFC Silver ETF</v>
      </c>
    </row>
    <row r="869">
      <c r="A869" s="1" t="s">
        <v>4313</v>
      </c>
      <c r="B869" s="5" t="s">
        <v>4313</v>
      </c>
      <c r="C869" s="3" t="s">
        <v>4314</v>
      </c>
      <c r="D869" s="6" t="s">
        <v>4315</v>
      </c>
      <c r="E869" s="7" t="s">
        <v>4316</v>
      </c>
      <c r="F869" s="5" t="str">
        <f>IFERROR(__xludf.DUMMYFUNCTION("GOOGLEFINANCE(""NSE:""&amp;A869,""name"")"),"HDFC Nifty 50 ETF")</f>
        <v>HDFC Nifty 50 ETF</v>
      </c>
    </row>
    <row r="870">
      <c r="A870" s="1" t="s">
        <v>4317</v>
      </c>
      <c r="B870" s="5" t="s">
        <v>4318</v>
      </c>
      <c r="C870" s="3" t="s">
        <v>4319</v>
      </c>
      <c r="D870" s="6" t="s">
        <v>4320</v>
      </c>
      <c r="E870" s="7" t="s">
        <v>4321</v>
      </c>
      <c r="F870" s="5" t="str">
        <f>IFERROR(__xludf.DUMMYFUNCTION("GOOGLEFINANCE(""NSE:""&amp;A870,""name"")"),"Heads UP Ventures Ltd")</f>
        <v>Heads UP Ventures Ltd</v>
      </c>
    </row>
    <row r="871">
      <c r="A871" s="1" t="s">
        <v>4322</v>
      </c>
      <c r="B871" s="5" t="s">
        <v>4323</v>
      </c>
      <c r="C871" s="3" t="s">
        <v>4324</v>
      </c>
      <c r="D871" s="6" t="s">
        <v>4325</v>
      </c>
      <c r="E871" s="7" t="s">
        <v>4326</v>
      </c>
      <c r="F871" s="5" t="str">
        <f>IFERROR(__xludf.DUMMYFUNCTION("GOOGLEFINANCE(""NSE:""&amp;A871,""name"")"),"Healthcare Global Enterprises Ltd")</f>
        <v>Healthcare Global Enterprises Ltd</v>
      </c>
    </row>
    <row r="872">
      <c r="A872" s="1" t="s">
        <v>4327</v>
      </c>
      <c r="B872" s="5" t="s">
        <v>4328</v>
      </c>
      <c r="C872" s="3" t="s">
        <v>4329</v>
      </c>
      <c r="D872" s="6" t="s">
        <v>4330</v>
      </c>
      <c r="E872" s="7" t="s">
        <v>4331</v>
      </c>
      <c r="F872" s="5" t="str">
        <f>IFERROR(__xludf.DUMMYFUNCTION("GOOGLEFINANCE(""NSE:""&amp;A872,""name"")"),"HEC Infra Projects Ltd")</f>
        <v>HEC Infra Projects Ltd</v>
      </c>
    </row>
    <row r="873">
      <c r="A873" s="1" t="s">
        <v>4332</v>
      </c>
      <c r="B873" s="5" t="s">
        <v>4333</v>
      </c>
      <c r="C873" s="3" t="s">
        <v>4334</v>
      </c>
      <c r="D873" s="6" t="s">
        <v>4335</v>
      </c>
      <c r="E873" s="7" t="s">
        <v>4336</v>
      </c>
      <c r="F873" s="5" t="str">
        <f>IFERROR(__xludf.DUMMYFUNCTION("GOOGLEFINANCE(""NSE:""&amp;A873,""name"")"),"HEG Ltd")</f>
        <v>HEG Ltd</v>
      </c>
    </row>
    <row r="874">
      <c r="A874" s="1" t="s">
        <v>4337</v>
      </c>
      <c r="B874" s="5" t="s">
        <v>4338</v>
      </c>
      <c r="C874" s="3" t="s">
        <v>4339</v>
      </c>
      <c r="D874" s="6" t="s">
        <v>4340</v>
      </c>
      <c r="E874" s="7" t="s">
        <v>4341</v>
      </c>
      <c r="F874" s="5" t="str">
        <f>IFERROR(__xludf.DUMMYFUNCTION("GOOGLEFINANCE(""NSE:""&amp;A874,""name"")"),"Heidelbergcement India Ltd")</f>
        <v>Heidelbergcement India Ltd</v>
      </c>
    </row>
    <row r="875">
      <c r="A875" s="1" t="s">
        <v>4342</v>
      </c>
      <c r="B875" s="5" t="s">
        <v>4343</v>
      </c>
      <c r="C875" s="3" t="s">
        <v>4344</v>
      </c>
      <c r="D875" s="6" t="s">
        <v>4345</v>
      </c>
      <c r="E875" s="7" t="s">
        <v>4346</v>
      </c>
      <c r="F875" s="5" t="str">
        <f>IFERROR(__xludf.DUMMYFUNCTION("GOOGLEFINANCE(""NSE:""&amp;A875,""name"")"),"Hemisphere Properties India Ltd")</f>
        <v>Hemisphere Properties India Ltd</v>
      </c>
    </row>
    <row r="876">
      <c r="A876" s="1" t="s">
        <v>4347</v>
      </c>
      <c r="B876" s="5" t="s">
        <v>4348</v>
      </c>
      <c r="C876" s="3" t="s">
        <v>4349</v>
      </c>
      <c r="D876" s="6" t="s">
        <v>4350</v>
      </c>
      <c r="E876" s="7" t="s">
        <v>4351</v>
      </c>
      <c r="F876" s="5" t="str">
        <f>IFERROR(__xludf.DUMMYFUNCTION("GOOGLEFINANCE(""NSE:""&amp;A876,""name"")"),"Heranba Industries Ltd")</f>
        <v>Heranba Industries Ltd</v>
      </c>
    </row>
    <row r="877">
      <c r="A877" s="1" t="s">
        <v>4352</v>
      </c>
      <c r="B877" s="5" t="s">
        <v>4353</v>
      </c>
      <c r="C877" s="3" t="s">
        <v>4354</v>
      </c>
      <c r="D877" s="6" t="s">
        <v>4355</v>
      </c>
      <c r="E877" s="7" t="s">
        <v>4356</v>
      </c>
      <c r="F877" s="5" t="str">
        <f>IFERROR(__xludf.DUMMYFUNCTION("GOOGLEFINANCE(""NSE:""&amp;A877,""name"")"),"Hercules Investments Ltd")</f>
        <v>Hercules Investments Ltd</v>
      </c>
    </row>
    <row r="878">
      <c r="A878" s="1" t="s">
        <v>4357</v>
      </c>
      <c r="B878" s="5" t="s">
        <v>4358</v>
      </c>
      <c r="C878" s="3" t="s">
        <v>4359</v>
      </c>
      <c r="D878" s="6" t="s">
        <v>4360</v>
      </c>
      <c r="E878" s="7" t="s">
        <v>4361</v>
      </c>
      <c r="F878" s="5" t="str">
        <f>IFERROR(__xludf.DUMMYFUNCTION("GOOGLEFINANCE(""NSE:""&amp;A878,""name"")"),"Heritage Foods Ltd")</f>
        <v>Heritage Foods Ltd</v>
      </c>
    </row>
    <row r="879">
      <c r="A879" s="1" t="s">
        <v>4362</v>
      </c>
      <c r="B879" s="5" t="s">
        <v>4363</v>
      </c>
      <c r="C879" s="3" t="s">
        <v>4364</v>
      </c>
      <c r="D879" s="6" t="s">
        <v>4365</v>
      </c>
      <c r="E879" s="7" t="s">
        <v>4366</v>
      </c>
      <c r="F879" s="5" t="str">
        <f>IFERROR(__xludf.DUMMYFUNCTION("GOOGLEFINANCE(""NSE:""&amp;A879,""name"")"),"Hero Motocorp Ltd")</f>
        <v>Hero Motocorp Ltd</v>
      </c>
    </row>
    <row r="880">
      <c r="A880" s="1" t="s">
        <v>4367</v>
      </c>
      <c r="B880" s="5" t="s">
        <v>4368</v>
      </c>
      <c r="C880" s="3" t="s">
        <v>4369</v>
      </c>
      <c r="D880" s="6" t="s">
        <v>4370</v>
      </c>
      <c r="E880" s="7" t="s">
        <v>4371</v>
      </c>
      <c r="F880" s="5" t="str">
        <f>IFERROR(__xludf.DUMMYFUNCTION("GOOGLEFINANCE(""NSE:""&amp;A880,""name"")"),"Hester Biosciences Ltd")</f>
        <v>Hester Biosciences Ltd</v>
      </c>
    </row>
    <row r="881">
      <c r="A881" s="1" t="s">
        <v>4372</v>
      </c>
      <c r="B881" s="5" t="s">
        <v>4373</v>
      </c>
      <c r="C881" s="3" t="s">
        <v>4374</v>
      </c>
      <c r="D881" s="6" t="s">
        <v>4375</v>
      </c>
      <c r="E881" s="7" t="s">
        <v>4376</v>
      </c>
      <c r="F881" s="5" t="str">
        <f>IFERROR(__xludf.DUMMYFUNCTION("GOOGLEFINANCE(""NSE:""&amp;A881,""name"")"),"Heubach Colorants India Ltd")</f>
        <v>Heubach Colorants India Ltd</v>
      </c>
    </row>
    <row r="882">
      <c r="A882" s="1" t="s">
        <v>4377</v>
      </c>
      <c r="B882" s="5" t="s">
        <v>4378</v>
      </c>
      <c r="C882" s="3" t="s">
        <v>4379</v>
      </c>
      <c r="D882" s="6" t="s">
        <v>4380</v>
      </c>
      <c r="E882" s="7" t="s">
        <v>4381</v>
      </c>
      <c r="F882" s="5" t="str">
        <f>IFERROR(__xludf.DUMMYFUNCTION("GOOGLEFINANCE(""NSE:""&amp;A882,""name"")"),"Hexa Tradex Ltd")</f>
        <v>Hexa Tradex Ltd</v>
      </c>
    </row>
    <row r="883">
      <c r="A883" s="1" t="s">
        <v>4382</v>
      </c>
      <c r="B883" s="5" t="s">
        <v>4383</v>
      </c>
      <c r="C883" s="3" t="s">
        <v>4384</v>
      </c>
      <c r="D883" s="6" t="s">
        <v>4385</v>
      </c>
      <c r="E883" s="7" t="s">
        <v>4386</v>
      </c>
      <c r="F883" s="5" t="str">
        <f>IFERROR(__xludf.DUMMYFUNCTION("GOOGLEFINANCE(""NSE:""&amp;A883,""name"")"),"Hexaware Technologies Ltd")</f>
        <v>Hexaware Technologies Ltd</v>
      </c>
    </row>
    <row r="884">
      <c r="A884" s="1" t="s">
        <v>4387</v>
      </c>
      <c r="B884" s="5" t="s">
        <v>4388</v>
      </c>
      <c r="C884" s="3" t="s">
        <v>4389</v>
      </c>
      <c r="D884" s="6" t="s">
        <v>4390</v>
      </c>
      <c r="E884" s="7" t="s">
        <v>4391</v>
      </c>
      <c r="F884" s="5" t="str">
        <f>IFERROR(__xludf.DUMMYFUNCTION("GOOGLEFINANCE(""NSE:""&amp;A884,""name"")"),"Hi-Tech Pipes Ltd")</f>
        <v>Hi-Tech Pipes Ltd</v>
      </c>
    </row>
    <row r="885">
      <c r="A885" s="1" t="s">
        <v>4392</v>
      </c>
      <c r="B885" s="5" t="s">
        <v>4393</v>
      </c>
      <c r="C885" s="3" t="s">
        <v>4394</v>
      </c>
      <c r="D885" s="6" t="s">
        <v>4395</v>
      </c>
      <c r="E885" s="7" t="s">
        <v>4396</v>
      </c>
      <c r="F885" s="5" t="str">
        <f>IFERROR(__xludf.DUMMYFUNCTION("GOOGLEFINANCE(""NSE:""&amp;A885,""name"")"),"Hikal Ltd")</f>
        <v>Hikal Ltd</v>
      </c>
    </row>
    <row r="886">
      <c r="A886" s="1" t="s">
        <v>4397</v>
      </c>
      <c r="B886" s="5" t="s">
        <v>4397</v>
      </c>
      <c r="C886" s="3" t="s">
        <v>4398</v>
      </c>
      <c r="D886" s="6" t="s">
        <v>4399</v>
      </c>
      <c r="E886" s="7" t="s">
        <v>4400</v>
      </c>
      <c r="F886" s="5" t="str">
        <f>IFERROR(__xludf.DUMMYFUNCTION("GOOGLEFINANCE(""NSE:""&amp;A886,""name"")"),"Highway Infrastructure Ltd")</f>
        <v>Highway Infrastructure Ltd</v>
      </c>
    </row>
    <row r="887">
      <c r="A887" s="1" t="s">
        <v>4401</v>
      </c>
      <c r="B887" s="5" t="s">
        <v>4402</v>
      </c>
      <c r="C887" s="3" t="s">
        <v>4403</v>
      </c>
      <c r="D887" s="6" t="s">
        <v>4404</v>
      </c>
      <c r="E887" s="7" t="s">
        <v>4405</v>
      </c>
      <c r="F887" s="5" t="str">
        <f>IFERROR(__xludf.DUMMYFUNCTION("GOOGLEFINANCE(""NSE:""&amp;A887,""name"")"),"Hilton Metal Forging Ltd")</f>
        <v>Hilton Metal Forging Ltd</v>
      </c>
    </row>
    <row r="888">
      <c r="A888" s="1" t="s">
        <v>4406</v>
      </c>
      <c r="B888" s="5" t="s">
        <v>4407</v>
      </c>
      <c r="C888" s="3" t="s">
        <v>4408</v>
      </c>
      <c r="D888" s="6" t="s">
        <v>4409</v>
      </c>
      <c r="E888" s="7" t="s">
        <v>4410</v>
      </c>
      <c r="F888" s="5" t="str">
        <f>IFERROR(__xludf.DUMMYFUNCTION("GOOGLEFINANCE(""NSE:""&amp;A888,""name"")"),"HFCL Ltd")</f>
        <v>HFCL Ltd</v>
      </c>
    </row>
    <row r="889">
      <c r="A889" s="1" t="s">
        <v>4411</v>
      </c>
      <c r="B889" s="5" t="s">
        <v>4412</v>
      </c>
      <c r="C889" s="3" t="s">
        <v>4413</v>
      </c>
      <c r="D889" s="6" t="s">
        <v>4414</v>
      </c>
      <c r="E889" s="7" t="s">
        <v>4415</v>
      </c>
      <c r="F889" s="5" t="str">
        <f>IFERROR(__xludf.DUMMYFUNCTION("GOOGLEFINANCE(""NSE:""&amp;A889,""name"")"),"Himadri Speciality Chemical Ltd")</f>
        <v>Himadri Speciality Chemical Ltd</v>
      </c>
    </row>
    <row r="890">
      <c r="A890" s="1" t="s">
        <v>4416</v>
      </c>
      <c r="B890" s="5" t="s">
        <v>4417</v>
      </c>
      <c r="C890" s="3" t="s">
        <v>4418</v>
      </c>
      <c r="D890" s="6" t="s">
        <v>4419</v>
      </c>
      <c r="E890" s="7" t="s">
        <v>4420</v>
      </c>
      <c r="F890" s="5" t="str">
        <f>IFERROR(__xludf.DUMMYFUNCTION("GOOGLEFINANCE(""NSE:""&amp;A890,""name"")"),"Himatsingka Seide Ltd")</f>
        <v>Himatsingka Seide Ltd</v>
      </c>
    </row>
    <row r="891">
      <c r="A891" s="1" t="s">
        <v>4421</v>
      </c>
      <c r="B891" s="5" t="s">
        <v>4422</v>
      </c>
      <c r="C891" s="3" t="s">
        <v>4423</v>
      </c>
      <c r="D891" s="6" t="s">
        <v>4424</v>
      </c>
      <c r="E891" s="7" t="s">
        <v>4425</v>
      </c>
      <c r="F891" s="5" t="str">
        <f>IFERROR(__xludf.DUMMYFUNCTION("GOOGLEFINANCE(""NSE:""&amp;A891,""name"")"),"Hind Rectifiers Ltd")</f>
        <v>Hind Rectifiers Ltd</v>
      </c>
    </row>
    <row r="892">
      <c r="A892" s="1" t="s">
        <v>4426</v>
      </c>
      <c r="B892" s="5" t="s">
        <v>4427</v>
      </c>
      <c r="C892" s="3" t="s">
        <v>4428</v>
      </c>
      <c r="D892" s="6" t="s">
        <v>4429</v>
      </c>
      <c r="E892" s="7" t="s">
        <v>4430</v>
      </c>
      <c r="F892" s="5" t="str">
        <f>IFERROR(__xludf.DUMMYFUNCTION("GOOGLEFINANCE(""NSE:""&amp;A892,""name"")"),"Hindalco Industries Ltd")</f>
        <v>Hindalco Industries Ltd</v>
      </c>
    </row>
    <row r="893">
      <c r="A893" s="1" t="s">
        <v>4431</v>
      </c>
      <c r="B893" s="5" t="s">
        <v>4432</v>
      </c>
      <c r="C893" s="3" t="s">
        <v>4433</v>
      </c>
      <c r="D893" s="6" t="s">
        <v>4434</v>
      </c>
      <c r="E893" s="7" t="s">
        <v>4435</v>
      </c>
      <c r="F893" s="5" t="str">
        <f>IFERROR(__xludf.DUMMYFUNCTION("GOOGLEFINANCE(""NSE:""&amp;A893,""name"")"),"Hindcon Chemicals Ltd")</f>
        <v>Hindcon Chemicals Ltd</v>
      </c>
    </row>
    <row r="894">
      <c r="A894" s="1" t="s">
        <v>4436</v>
      </c>
      <c r="B894" s="5" t="s">
        <v>4437</v>
      </c>
      <c r="C894" s="3" t="s">
        <v>4438</v>
      </c>
      <c r="D894" s="6" t="s">
        <v>4439</v>
      </c>
      <c r="E894" s="7" t="s">
        <v>4440</v>
      </c>
      <c r="F894" s="5" t="str">
        <f>IFERROR(__xludf.DUMMYFUNCTION("GOOGLEFINANCE(""NSE:""&amp;A894,""name"")"),"Hindprakash Industries Ltd")</f>
        <v>Hindprakash Industries Ltd</v>
      </c>
    </row>
    <row r="895">
      <c r="A895" s="1" t="s">
        <v>4441</v>
      </c>
      <c r="B895" s="5" t="s">
        <v>4442</v>
      </c>
      <c r="C895" s="3" t="s">
        <v>4443</v>
      </c>
      <c r="D895" s="6" t="s">
        <v>4444</v>
      </c>
      <c r="E895" s="7" t="s">
        <v>4445</v>
      </c>
      <c r="F895" s="5" t="str">
        <f>IFERROR(__xludf.DUMMYFUNCTION("GOOGLEFINANCE(""NSE:""&amp;A895,""name"")"),"Hinduja Global Solutions Ltd")</f>
        <v>Hinduja Global Solutions Ltd</v>
      </c>
    </row>
    <row r="896">
      <c r="A896" s="1" t="s">
        <v>4446</v>
      </c>
      <c r="B896" s="5" t="s">
        <v>4447</v>
      </c>
      <c r="C896" s="3" t="s">
        <v>4448</v>
      </c>
      <c r="D896" s="6" t="s">
        <v>4449</v>
      </c>
      <c r="E896" s="7" t="s">
        <v>4450</v>
      </c>
      <c r="F896" s="5" t="str">
        <f>IFERROR(__xludf.DUMMYFUNCTION("GOOGLEFINANCE(""NSE:""&amp;A896,""name"")"),"Hindustan Aeronautics Ltd")</f>
        <v>Hindustan Aeronautics Ltd</v>
      </c>
    </row>
    <row r="897">
      <c r="A897" s="1" t="s">
        <v>4451</v>
      </c>
      <c r="B897" s="5" t="s">
        <v>4452</v>
      </c>
      <c r="C897" s="3" t="s">
        <v>4453</v>
      </c>
      <c r="D897" s="6" t="s">
        <v>4454</v>
      </c>
      <c r="E897" s="7" t="s">
        <v>4455</v>
      </c>
      <c r="F897" s="5" t="str">
        <f>IFERROR(__xludf.DUMMYFUNCTION("GOOGLEFINANCE(""NSE:""&amp;A897,""name"")"),"Hindustan Composites Ltd")</f>
        <v>Hindustan Composites Ltd</v>
      </c>
    </row>
    <row r="898">
      <c r="A898" s="1" t="s">
        <v>4456</v>
      </c>
      <c r="B898" s="5" t="s">
        <v>4457</v>
      </c>
      <c r="C898" s="3" t="s">
        <v>4458</v>
      </c>
      <c r="D898" s="6" t="s">
        <v>4459</v>
      </c>
      <c r="E898" s="7" t="s">
        <v>4460</v>
      </c>
      <c r="F898" s="5" t="str">
        <f>IFERROR(__xludf.DUMMYFUNCTION("GOOGLEFINANCE(""NSE:""&amp;A898,""name"")"),"Hindustan Construction Company Ltd")</f>
        <v>Hindustan Construction Company Ltd</v>
      </c>
    </row>
    <row r="899">
      <c r="A899" s="1" t="s">
        <v>4461</v>
      </c>
      <c r="B899" s="5" t="s">
        <v>4462</v>
      </c>
      <c r="C899" s="3" t="s">
        <v>4463</v>
      </c>
      <c r="D899" s="6" t="s">
        <v>4464</v>
      </c>
      <c r="E899" s="7" t="s">
        <v>4465</v>
      </c>
      <c r="F899" s="5" t="str">
        <f>IFERROR(__xludf.DUMMYFUNCTION("GOOGLEFINANCE(""NSE:""&amp;A899,""name"")"),"Hindustan Copper Ltd")</f>
        <v>Hindustan Copper Ltd</v>
      </c>
    </row>
    <row r="900">
      <c r="A900" s="1" t="s">
        <v>4466</v>
      </c>
      <c r="B900" s="5" t="s">
        <v>4467</v>
      </c>
      <c r="C900" s="3" t="s">
        <v>4468</v>
      </c>
      <c r="D900" s="6" t="s">
        <v>4469</v>
      </c>
      <c r="E900" s="7" t="s">
        <v>4470</v>
      </c>
      <c r="F900" s="5" t="str">
        <f>IFERROR(__xludf.DUMMYFUNCTION("GOOGLEFINANCE(""NSE:""&amp;A900,""name"")"),"Hindustan Foods Ltd(NDA)")</f>
        <v>Hindustan Foods Ltd(NDA)</v>
      </c>
    </row>
    <row r="901">
      <c r="A901" s="1" t="s">
        <v>4471</v>
      </c>
      <c r="B901" s="5" t="s">
        <v>4472</v>
      </c>
      <c r="C901" s="3" t="s">
        <v>4473</v>
      </c>
      <c r="D901" s="6" t="s">
        <v>4474</v>
      </c>
      <c r="E901" s="7" t="s">
        <v>4475</v>
      </c>
      <c r="F901" s="5" t="str">
        <f>IFERROR(__xludf.DUMMYFUNCTION("GOOGLEFINANCE(""NSE:""&amp;A901,""name"")"),"Hindustan Media Ventures Ltd")</f>
        <v>Hindustan Media Ventures Ltd</v>
      </c>
    </row>
    <row r="902">
      <c r="A902" s="1" t="s">
        <v>4476</v>
      </c>
      <c r="B902" s="5" t="s">
        <v>4477</v>
      </c>
      <c r="C902" s="3" t="s">
        <v>4478</v>
      </c>
      <c r="D902" s="6" t="s">
        <v>4479</v>
      </c>
      <c r="E902" s="7" t="s">
        <v>4480</v>
      </c>
      <c r="F902" s="5" t="str">
        <f>IFERROR(__xludf.DUMMYFUNCTION("GOOGLEFINANCE(""NSE:""&amp;A902,""name"")"),"Hindustan Oil Exploration Company Ltd")</f>
        <v>Hindustan Oil Exploration Company Ltd</v>
      </c>
    </row>
    <row r="903">
      <c r="A903" s="1" t="s">
        <v>4481</v>
      </c>
      <c r="B903" s="5" t="s">
        <v>4482</v>
      </c>
      <c r="C903" s="3" t="s">
        <v>4483</v>
      </c>
      <c r="D903" s="6" t="s">
        <v>4484</v>
      </c>
      <c r="E903" s="7" t="s">
        <v>4485</v>
      </c>
      <c r="F903" s="5" t="str">
        <f>IFERROR(__xludf.DUMMYFUNCTION("GOOGLEFINANCE(""NSE:""&amp;A903,""name"")"),"Hindustan Petroleum Corp Ltd")</f>
        <v>Hindustan Petroleum Corp Ltd</v>
      </c>
    </row>
    <row r="904">
      <c r="A904" s="1" t="s">
        <v>4486</v>
      </c>
      <c r="B904" s="5" t="s">
        <v>4487</v>
      </c>
      <c r="C904" s="3" t="s">
        <v>4488</v>
      </c>
      <c r="D904" s="6" t="s">
        <v>4489</v>
      </c>
      <c r="E904" s="7" t="s">
        <v>4490</v>
      </c>
      <c r="F904" s="5" t="str">
        <f>IFERROR(__xludf.DUMMYFUNCTION("GOOGLEFINANCE(""NSE:""&amp;A904,""name"")"),"Hindustan Unilever Ltd")</f>
        <v>Hindustan Unilever Ltd</v>
      </c>
    </row>
    <row r="905">
      <c r="A905" s="1" t="s">
        <v>4491</v>
      </c>
      <c r="B905" s="5" t="s">
        <v>4492</v>
      </c>
      <c r="C905" s="3" t="s">
        <v>4493</v>
      </c>
      <c r="D905" s="6" t="s">
        <v>4494</v>
      </c>
      <c r="E905" s="7" t="s">
        <v>4495</v>
      </c>
      <c r="F905" s="5" t="str">
        <f>IFERROR(__xludf.DUMMYFUNCTION("GOOGLEFINANCE(""NSE:""&amp;A905,""name"")"),"Hindustan Zinc Ltd")</f>
        <v>Hindustan Zinc Ltd</v>
      </c>
    </row>
    <row r="906">
      <c r="A906" s="1" t="s">
        <v>4496</v>
      </c>
      <c r="B906" s="5" t="s">
        <v>4497</v>
      </c>
      <c r="C906" s="3" t="s">
        <v>4498</v>
      </c>
      <c r="D906" s="6" t="s">
        <v>4499</v>
      </c>
      <c r="E906" s="7" t="s">
        <v>4500</v>
      </c>
      <c r="F906" s="5" t="str">
        <f>IFERROR(__xludf.DUMMYFUNCTION("GOOGLEFINANCE(""NSE:""&amp;A906,""name"")"),"Hindware Home Innovation Ltd")</f>
        <v>Hindware Home Innovation Ltd</v>
      </c>
    </row>
    <row r="907">
      <c r="A907" s="1" t="s">
        <v>4501</v>
      </c>
      <c r="B907" s="5" t="s">
        <v>4502</v>
      </c>
      <c r="C907" s="3" t="s">
        <v>4503</v>
      </c>
      <c r="D907" s="6" t="s">
        <v>4504</v>
      </c>
      <c r="E907" s="7" t="s">
        <v>4505</v>
      </c>
      <c r="F907" s="5" t="str">
        <f>IFERROR(__xludf.DUMMYFUNCTION("GOOGLEFINANCE(""NSE:""&amp;A907,""name"")"),"Hisar Metal Industries Ltd(NDA)")</f>
        <v>Hisar Metal Industries Ltd(NDA)</v>
      </c>
    </row>
    <row r="908">
      <c r="A908" s="1" t="s">
        <v>4506</v>
      </c>
      <c r="B908" s="5" t="s">
        <v>4507</v>
      </c>
      <c r="C908" s="3" t="s">
        <v>4508</v>
      </c>
      <c r="D908" s="6" t="s">
        <v>4509</v>
      </c>
      <c r="E908" s="7" t="s">
        <v>4510</v>
      </c>
      <c r="F908" s="5" t="str">
        <f>IFERROR(__xludf.DUMMYFUNCTION("GOOGLEFINANCE(""NSE:""&amp;A908,""name"")"),"Hitachi Energy India Ltd")</f>
        <v>Hitachi Energy India Ltd</v>
      </c>
    </row>
    <row r="909">
      <c r="A909" s="1" t="s">
        <v>4511</v>
      </c>
      <c r="B909" s="5" t="s">
        <v>4512</v>
      </c>
      <c r="C909" s="3" t="s">
        <v>4513</v>
      </c>
      <c r="D909" s="6" t="s">
        <v>4514</v>
      </c>
      <c r="E909" s="7" t="s">
        <v>4515</v>
      </c>
      <c r="F909" s="5" t="str">
        <f>IFERROR(__xludf.DUMMYFUNCTION("GOOGLEFINANCE(""NSE:""&amp;A909,""name"")"),"Hitech Corporation Ltd")</f>
        <v>Hitech Corporation Ltd</v>
      </c>
    </row>
    <row r="910">
      <c r="A910" s="1" t="s">
        <v>4516</v>
      </c>
      <c r="B910" s="5" t="s">
        <v>4517</v>
      </c>
      <c r="C910" s="3" t="s">
        <v>4518</v>
      </c>
      <c r="D910" s="6" t="s">
        <v>4519</v>
      </c>
      <c r="E910" s="7" t="s">
        <v>4520</v>
      </c>
      <c r="F910" s="5" t="str">
        <f>IFERROR(__xludf.DUMMYFUNCTION("GOOGLEFINANCE(""NSE:""&amp;A910,""name"")"),"HLE Glascoat Ltd")</f>
        <v>HLE Glascoat Ltd</v>
      </c>
    </row>
    <row r="911">
      <c r="A911" s="1" t="s">
        <v>4521</v>
      </c>
      <c r="B911" s="5" t="s">
        <v>4522</v>
      </c>
      <c r="C911" s="3" t="s">
        <v>4523</v>
      </c>
      <c r="D911" s="6" t="s">
        <v>4524</v>
      </c>
      <c r="E911" s="7" t="s">
        <v>4525</v>
      </c>
      <c r="F911" s="5" t="str">
        <f>IFERROR(__xludf.DUMMYFUNCTION("GOOGLEFINANCE(""NSE:""&amp;A911,""name"")"),"HLV Ltd")</f>
        <v>HLV Ltd</v>
      </c>
    </row>
    <row r="912">
      <c r="A912" s="1" t="s">
        <v>4526</v>
      </c>
      <c r="B912" s="5" t="s">
        <v>4527</v>
      </c>
      <c r="C912" s="3" t="s">
        <v>4528</v>
      </c>
      <c r="D912" s="6" t="s">
        <v>4529</v>
      </c>
      <c r="E912" s="7" t="s">
        <v>4530</v>
      </c>
      <c r="F912" s="5" t="str">
        <f>IFERROR(__xludf.DUMMYFUNCTION("GOOGLEFINANCE(""NSE:""&amp;A912,""name"")"),"HMA Agro Industries Ltd")</f>
        <v>HMA Agro Industries Ltd</v>
      </c>
    </row>
    <row r="913">
      <c r="A913" s="1" t="s">
        <v>4531</v>
      </c>
      <c r="B913" s="5" t="s">
        <v>4532</v>
      </c>
      <c r="C913" s="3" t="s">
        <v>4533</v>
      </c>
      <c r="D913" s="6" t="s">
        <v>4534</v>
      </c>
      <c r="E913" s="7" t="s">
        <v>4535</v>
      </c>
      <c r="F913" s="5" t="str">
        <f>IFERROR(__xludf.DUMMYFUNCTION("GOOGLEFINANCE(""NSE:""&amp;A913,""name"")"),"HMT Ltd")</f>
        <v>HMT Ltd</v>
      </c>
    </row>
    <row r="914">
      <c r="A914" s="1" t="s">
        <v>4536</v>
      </c>
      <c r="B914" s="5" t="s">
        <v>4537</v>
      </c>
      <c r="C914" s="3" t="s">
        <v>4538</v>
      </c>
      <c r="D914" s="6" t="s">
        <v>4539</v>
      </c>
      <c r="E914" s="7" t="s">
        <v>4540</v>
      </c>
      <c r="F914" s="5" t="str">
        <f>IFERROR(__xludf.DUMMYFUNCTION("GOOGLEFINANCE(""NSE:""&amp;A914,""name"")"),"Home First Finance Company India Ltd")</f>
        <v>Home First Finance Company India Ltd</v>
      </c>
    </row>
    <row r="915">
      <c r="A915" s="1" t="s">
        <v>4541</v>
      </c>
      <c r="B915" s="5" t="s">
        <v>4542</v>
      </c>
      <c r="C915" s="3" t="s">
        <v>4543</v>
      </c>
      <c r="D915" s="6" t="s">
        <v>4544</v>
      </c>
      <c r="E915" s="7" t="s">
        <v>4545</v>
      </c>
      <c r="F915" s="5" t="str">
        <f>IFERROR(__xludf.DUMMYFUNCTION("GOOGLEFINANCE(""NSE:""&amp;A915,""name"")"),"Honasa Consumer Ltd")</f>
        <v>Honasa Consumer Ltd</v>
      </c>
    </row>
    <row r="916">
      <c r="A916" s="1" t="s">
        <v>4546</v>
      </c>
      <c r="B916" s="5" t="s">
        <v>4547</v>
      </c>
      <c r="C916" s="3" t="s">
        <v>4548</v>
      </c>
      <c r="D916" s="6" t="s">
        <v>4549</v>
      </c>
      <c r="E916" s="7" t="s">
        <v>4550</v>
      </c>
      <c r="F916" s="5" t="str">
        <f>IFERROR(__xludf.DUMMYFUNCTION("GOOGLEFINANCE(""NSE:""&amp;A916,""name"")"),"Honda India Power Products Ltd")</f>
        <v>Honda India Power Products Ltd</v>
      </c>
    </row>
    <row r="917">
      <c r="A917" s="1" t="s">
        <v>4551</v>
      </c>
      <c r="B917" s="5" t="s">
        <v>4552</v>
      </c>
      <c r="C917" s="3" t="s">
        <v>4553</v>
      </c>
      <c r="D917" s="6" t="s">
        <v>4554</v>
      </c>
      <c r="E917" s="7" t="s">
        <v>4555</v>
      </c>
      <c r="F917" s="5" t="str">
        <f>IFERROR(__xludf.DUMMYFUNCTION("GOOGLEFINANCE(""NSE:""&amp;A917,""name"")"),"Honeywell Automation India Ltd")</f>
        <v>Honeywell Automation India Ltd</v>
      </c>
    </row>
    <row r="918">
      <c r="A918" s="1" t="s">
        <v>4556</v>
      </c>
      <c r="B918" s="5" t="s">
        <v>4557</v>
      </c>
      <c r="C918" s="3" t="s">
        <v>4558</v>
      </c>
      <c r="D918" s="6" t="s">
        <v>4559</v>
      </c>
      <c r="E918" s="7" t="s">
        <v>4560</v>
      </c>
      <c r="F918" s="5" t="str">
        <f>IFERROR(__xludf.DUMMYFUNCTION("GOOGLEFINANCE(""NSE:""&amp;A918,""name"")"),"Housing And Urban Development Corp Ltd")</f>
        <v>Housing And Urban Development Corp Ltd</v>
      </c>
    </row>
    <row r="919">
      <c r="A919" s="1" t="s">
        <v>4561</v>
      </c>
      <c r="B919" s="5" t="s">
        <v>4562</v>
      </c>
      <c r="C919" s="3" t="s">
        <v>4563</v>
      </c>
      <c r="D919" s="6" t="s">
        <v>4564</v>
      </c>
      <c r="E919" s="7" t="s">
        <v>4565</v>
      </c>
      <c r="F919" s="5" t="str">
        <f>IFERROR(__xludf.DUMMYFUNCTION("GOOGLEFINANCE(""NSE:""&amp;A919,""name"")"),"HP Adhesives Ltd")</f>
        <v>HP Adhesives Ltd</v>
      </c>
    </row>
    <row r="920">
      <c r="A920" s="1" t="s">
        <v>4566</v>
      </c>
      <c r="B920" s="5" t="s">
        <v>4567</v>
      </c>
      <c r="C920" s="3" t="s">
        <v>4568</v>
      </c>
      <c r="D920" s="6" t="s">
        <v>4569</v>
      </c>
      <c r="E920" s="7" t="s">
        <v>4570</v>
      </c>
      <c r="F920" s="5" t="str">
        <f>IFERROR(__xludf.DUMMYFUNCTION("GOOGLEFINANCE(""NSE:""&amp;A920,""name"")"),"HPL Electric &amp; Power Ltd")</f>
        <v>HPL Electric &amp; Power Ltd</v>
      </c>
    </row>
    <row r="921">
      <c r="A921" s="1" t="s">
        <v>4571</v>
      </c>
      <c r="B921" s="5" t="s">
        <v>4572</v>
      </c>
      <c r="C921" s="3" t="s">
        <v>4573</v>
      </c>
      <c r="D921" s="6" t="s">
        <v>4574</v>
      </c>
      <c r="E921" s="7" t="s">
        <v>4575</v>
      </c>
      <c r="F921" s="5" t="str">
        <f>IFERROR(__xludf.DUMMYFUNCTION("GOOGLEFINANCE(""NSE:""&amp;A921,""name"")"),"HT Media Ltd")</f>
        <v>HT Media Ltd</v>
      </c>
    </row>
    <row r="922">
      <c r="A922" s="1" t="s">
        <v>4576</v>
      </c>
      <c r="B922" s="5" t="s">
        <v>4577</v>
      </c>
      <c r="C922" s="3" t="s">
        <v>4578</v>
      </c>
      <c r="D922" s="6" t="s">
        <v>4579</v>
      </c>
      <c r="E922" s="7" t="s">
        <v>4580</v>
      </c>
      <c r="F922" s="5" t="str">
        <f>IFERROR(__xludf.DUMMYFUNCTION("GOOGLEFINANCE(""NSE:""&amp;A922,""name"")"),"Hubtown Ltd")</f>
        <v>Hubtown Ltd</v>
      </c>
    </row>
    <row r="923">
      <c r="A923" s="1" t="s">
        <v>4581</v>
      </c>
      <c r="B923" s="5" t="s">
        <v>4582</v>
      </c>
      <c r="C923" s="3" t="s">
        <v>4583</v>
      </c>
      <c r="D923" s="6" t="s">
        <v>4584</v>
      </c>
      <c r="E923" s="7" t="s">
        <v>4585</v>
      </c>
      <c r="F923" s="5" t="str">
        <f>IFERROR(__xludf.DUMMYFUNCTION("GOOGLEFINANCE(""NSE:""&amp;A923,""name"")"),"Huhtamaki India Ltd")</f>
        <v>Huhtamaki India Ltd</v>
      </c>
    </row>
    <row r="924">
      <c r="A924" s="1" t="s">
        <v>4586</v>
      </c>
      <c r="B924" s="5" t="s">
        <v>4587</v>
      </c>
      <c r="C924" s="3" t="s">
        <v>4588</v>
      </c>
      <c r="D924" s="6" t="s">
        <v>4589</v>
      </c>
      <c r="E924" s="7" t="s">
        <v>4590</v>
      </c>
      <c r="F924" s="5" t="str">
        <f>IFERROR(__xludf.DUMMYFUNCTION("GOOGLEFINANCE(""NSE:""&amp;A924,""name"")"),"Hybrid Financial Services Ltd")</f>
        <v>Hybrid Financial Services Ltd</v>
      </c>
    </row>
    <row r="925">
      <c r="A925" s="1" t="s">
        <v>4591</v>
      </c>
      <c r="B925" s="5" t="s">
        <v>4592</v>
      </c>
      <c r="C925" s="3" t="s">
        <v>4593</v>
      </c>
      <c r="D925" s="6" t="s">
        <v>4594</v>
      </c>
      <c r="E925" s="7" t="s">
        <v>4595</v>
      </c>
      <c r="F925" s="5" t="str">
        <f>IFERROR(__xludf.DUMMYFUNCTION("GOOGLEFINANCE(""NSE:""&amp;A925,""name"")"),"Hyundai Motor India Ltd")</f>
        <v>Hyundai Motor India Ltd</v>
      </c>
    </row>
    <row r="926">
      <c r="A926" s="1" t="s">
        <v>4596</v>
      </c>
      <c r="B926" s="5" t="s">
        <v>4597</v>
      </c>
      <c r="C926" s="3" t="s">
        <v>4598</v>
      </c>
      <c r="D926" s="6" t="s">
        <v>4599</v>
      </c>
      <c r="E926" s="7" t="s">
        <v>4600</v>
      </c>
      <c r="F926" s="5" t="str">
        <f>IFERROR(__xludf.DUMMYFUNCTION("GOOGLEFINANCE(""NSE:""&amp;A926,""name"")"),"ICDS Ltd")</f>
        <v>ICDS Ltd</v>
      </c>
    </row>
    <row r="927">
      <c r="A927" s="1" t="s">
        <v>4601</v>
      </c>
      <c r="B927" s="5" t="s">
        <v>4602</v>
      </c>
      <c r="C927" s="3" t="s">
        <v>4603</v>
      </c>
      <c r="D927" s="6" t="s">
        <v>4604</v>
      </c>
      <c r="E927" s="7" t="s">
        <v>4605</v>
      </c>
      <c r="F927" s="5" t="str">
        <f>IFERROR(__xludf.DUMMYFUNCTION("GOOGLEFINANCE(""NSE:""&amp;A927,""name"")"),"Ice Make Refrigeration Ltd")</f>
        <v>Ice Make Refrigeration Ltd</v>
      </c>
    </row>
    <row r="928">
      <c r="A928" s="1" t="s">
        <v>4606</v>
      </c>
      <c r="B928" s="5" t="s">
        <v>4607</v>
      </c>
      <c r="C928" s="3" t="s">
        <v>4608</v>
      </c>
      <c r="D928" s="6" t="s">
        <v>4609</v>
      </c>
      <c r="E928" s="7" t="s">
        <v>4610</v>
      </c>
      <c r="F928" s="5" t="str">
        <f>IFERROR(__xludf.DUMMYFUNCTION("GOOGLEFINANCE(""NSE:""&amp;A928,""name"")"),"ICICI Bank Ltd")</f>
        <v>ICICI Bank Ltd</v>
      </c>
    </row>
    <row r="929">
      <c r="A929" s="1" t="s">
        <v>4611</v>
      </c>
      <c r="B929" s="5" t="s">
        <v>4612</v>
      </c>
      <c r="C929" s="3" t="s">
        <v>4613</v>
      </c>
      <c r="D929" s="6" t="s">
        <v>4614</v>
      </c>
      <c r="E929" s="7" t="s">
        <v>4615</v>
      </c>
      <c r="F929" s="5" t="str">
        <f>IFERROR(__xludf.DUMMYFUNCTION("GOOGLEFINANCE(""NSE:""&amp;A929,""name"")"),"ICICI Lombard General Insurance Co Ltd")</f>
        <v>ICICI Lombard General Insurance Co Ltd</v>
      </c>
    </row>
    <row r="930">
      <c r="A930" s="1" t="s">
        <v>4616</v>
      </c>
      <c r="B930" s="5" t="s">
        <v>4617</v>
      </c>
      <c r="C930" s="3" t="s">
        <v>4618</v>
      </c>
      <c r="D930" s="6" t="s">
        <v>4619</v>
      </c>
      <c r="E930" s="7" t="s">
        <v>4620</v>
      </c>
      <c r="F930" s="5" t="str">
        <f>IFERROR(__xludf.DUMMYFUNCTION("GOOGLEFINANCE(""NSE:""&amp;A930,""name"")"),"ICICI Prudential BSE Liquid Rate ETF - Growth")</f>
        <v>ICICI Prudential BSE Liquid Rate ETF - Growth</v>
      </c>
    </row>
    <row r="931">
      <c r="A931" s="1" t="s">
        <v>4621</v>
      </c>
      <c r="B931" s="5" t="s">
        <v>4622</v>
      </c>
      <c r="C931" s="3" t="s">
        <v>4623</v>
      </c>
      <c r="D931" s="6" t="s">
        <v>4624</v>
      </c>
      <c r="E931" s="7" t="s">
        <v>4625</v>
      </c>
      <c r="F931" s="5" t="str">
        <f>IFERROR(__xludf.DUMMYFUNCTION("GOOGLEFINANCE(""NSE:""&amp;A931,""name"")"),"Icici Prudential Nifty Fmcg Etf")</f>
        <v>Icici Prudential Nifty Fmcg Etf</v>
      </c>
    </row>
    <row r="932">
      <c r="A932" s="1" t="s">
        <v>4626</v>
      </c>
      <c r="B932" s="5" t="s">
        <v>4627</v>
      </c>
      <c r="C932" s="3" t="s">
        <v>4628</v>
      </c>
      <c r="D932" s="6" t="s">
        <v>4629</v>
      </c>
      <c r="E932" s="7" t="s">
        <v>4630</v>
      </c>
      <c r="F932" s="5" t="str">
        <f>IFERROR(__xludf.DUMMYFUNCTION("GOOGLEFINANCE(""NSE:""&amp;A932,""name"")"),"ICICI Prudential Gold ETF")</f>
        <v>ICICI Prudential Gold ETF</v>
      </c>
    </row>
    <row r="933">
      <c r="A933" s="1" t="s">
        <v>4631</v>
      </c>
      <c r="B933" s="5" t="s">
        <v>4632</v>
      </c>
      <c r="C933" s="3" t="s">
        <v>4633</v>
      </c>
      <c r="D933" s="6" t="s">
        <v>4634</v>
      </c>
      <c r="E933" s="7" t="s">
        <v>4635</v>
      </c>
      <c r="F933" s="5" t="str">
        <f>IFERROR(__xludf.DUMMYFUNCTION("GOOGLEFINANCE(""NSE:""&amp;A933,""name"")"),"Icici Prudential Nifty Healthcare Etf")</f>
        <v>Icici Prudential Nifty Healthcare Etf</v>
      </c>
    </row>
    <row r="934">
      <c r="A934" s="1" t="s">
        <v>4636</v>
      </c>
      <c r="B934" s="5" t="s">
        <v>4637</v>
      </c>
      <c r="C934" s="3" t="s">
        <v>4638</v>
      </c>
      <c r="D934" s="6" t="s">
        <v>4639</v>
      </c>
      <c r="E934" s="7" t="s">
        <v>4640</v>
      </c>
      <c r="F934" s="5" t="str">
        <f>IFERROR(__xludf.DUMMYFUNCTION("GOOGLEFINANCE(""NSE:""&amp;A934,""name"")"),"Icici Prudential Nifty It Etf")</f>
        <v>Icici Prudential Nifty It Etf</v>
      </c>
    </row>
    <row r="935">
      <c r="A935" s="1" t="s">
        <v>4641</v>
      </c>
      <c r="B935" s="5" t="s">
        <v>4642</v>
      </c>
      <c r="C935" s="3" t="s">
        <v>4643</v>
      </c>
      <c r="D935" s="6" t="s">
        <v>4644</v>
      </c>
      <c r="E935" s="7" t="s">
        <v>4645</v>
      </c>
      <c r="F935" s="5" t="str">
        <f>IFERROR(__xludf.DUMMYFUNCTION("GOOGLEFINANCE(""NSE:""&amp;A935,""name"")"),"Icici Prudential Life Insurance Comp Ltd")</f>
        <v>Icici Prudential Life Insurance Comp Ltd</v>
      </c>
    </row>
    <row r="936">
      <c r="A936" s="1" t="s">
        <v>4646</v>
      </c>
      <c r="B936" s="5" t="s">
        <v>4647</v>
      </c>
      <c r="C936" s="3" t="s">
        <v>4648</v>
      </c>
      <c r="D936" s="6" t="s">
        <v>4649</v>
      </c>
      <c r="E936" s="7" t="s">
        <v>4650</v>
      </c>
      <c r="F936" s="5" t="str">
        <f>IFERROR(__xludf.DUMMYFUNCTION("GOOGLEFINANCE(""NSE:""&amp;A936,""name"")"),"ICICI Pru Nifty 10 yr Benchmark G-Sec ETF")</f>
        <v>ICICI Pru Nifty 10 yr Benchmark G-Sec ETF</v>
      </c>
    </row>
    <row r="937">
      <c r="A937" s="1" t="s">
        <v>4651</v>
      </c>
      <c r="B937" s="5" t="s">
        <v>4652</v>
      </c>
      <c r="C937" s="3" t="s">
        <v>4653</v>
      </c>
      <c r="D937" s="6" t="s">
        <v>4654</v>
      </c>
      <c r="E937" s="7" t="s">
        <v>4655</v>
      </c>
      <c r="F937" s="5" t="str">
        <f>IFERROR(__xludf.DUMMYFUNCTION("GOOGLEFINANCE(""NSE:""&amp;A937,""name"")"),"ICICI Prudential Nifty 100 ETF")</f>
        <v>ICICI Prudential Nifty 100 ETF</v>
      </c>
    </row>
    <row r="938">
      <c r="A938" s="1" t="s">
        <v>4656</v>
      </c>
      <c r="B938" s="5" t="s">
        <v>4657</v>
      </c>
      <c r="C938" s="3" t="s">
        <v>4658</v>
      </c>
      <c r="D938" s="6" t="s">
        <v>4659</v>
      </c>
      <c r="E938" s="7" t="s">
        <v>4660</v>
      </c>
      <c r="F938" s="5" t="str">
        <f>IFERROR(__xludf.DUMMYFUNCTION("GOOGLEFINANCE(""NSE:""&amp;A938,""name"")"),"ICICI Prudential Nifty 100 Low Vol 30 ETF")</f>
        <v>ICICI Prudential Nifty 100 Low Vol 30 ETF</v>
      </c>
    </row>
    <row r="939">
      <c r="A939" s="1" t="s">
        <v>4661</v>
      </c>
      <c r="B939" s="5" t="s">
        <v>4662</v>
      </c>
      <c r="C939" s="3" t="s">
        <v>4663</v>
      </c>
      <c r="D939" s="6" t="s">
        <v>4664</v>
      </c>
      <c r="E939" s="7" t="s">
        <v>4665</v>
      </c>
      <c r="F939" s="5" t="str">
        <f>IFERROR(__xludf.DUMMYFUNCTION("GOOGLEFINANCE(""NSE:""&amp;A939,""name"")"),"ICICI Prudential Nifty 200 Momentum 30 ETF")</f>
        <v>ICICI Prudential Nifty 200 Momentum 30 ETF</v>
      </c>
    </row>
    <row r="940">
      <c r="A940" s="1" t="s">
        <v>4666</v>
      </c>
      <c r="B940" s="5" t="s">
        <v>4667</v>
      </c>
      <c r="C940" s="3" t="s">
        <v>4668</v>
      </c>
      <c r="D940" s="6" t="s">
        <v>4669</v>
      </c>
      <c r="E940" s="7" t="s">
        <v>4670</v>
      </c>
      <c r="F940" s="5" t="str">
        <f>IFERROR(__xludf.DUMMYFUNCTION("GOOGLEFINANCE(""NSE:""&amp;A940,""name"")"),"ICICI Prudential Nifty 200 Quality 30 ETF")</f>
        <v>ICICI Prudential Nifty 200 Quality 30 ETF</v>
      </c>
    </row>
    <row r="941">
      <c r="A941" s="1" t="s">
        <v>4671</v>
      </c>
      <c r="B941" s="5" t="s">
        <v>4672</v>
      </c>
      <c r="C941" s="3" t="s">
        <v>4673</v>
      </c>
      <c r="D941" s="6" t="s">
        <v>4674</v>
      </c>
      <c r="E941" s="7" t="s">
        <v>4675</v>
      </c>
      <c r="F941" s="5" t="str">
        <f>IFERROR(__xludf.DUMMYFUNCTION("GOOGLEFINANCE(""NSE:""&amp;A941,""name"")"),"ICICI Pru Nifty 5 yr Benchmark G-SEC ETF")</f>
        <v>ICICI Pru Nifty 5 yr Benchmark G-SEC ETF</v>
      </c>
    </row>
    <row r="942">
      <c r="A942" s="1" t="s">
        <v>4676</v>
      </c>
      <c r="B942" s="5" t="s">
        <v>4677</v>
      </c>
      <c r="C942" s="3" t="s">
        <v>4678</v>
      </c>
      <c r="D942" s="6" t="s">
        <v>4679</v>
      </c>
      <c r="E942" s="7" t="s">
        <v>4680</v>
      </c>
      <c r="F942" s="5" t="str">
        <f>IFERROR(__xludf.DUMMYFUNCTION("GOOGLEFINANCE(""NSE:""&amp;A942,""name"")"),"ICICI Pru Nifty Alpha Low- Volatility 30 ETF")</f>
        <v>ICICI Pru Nifty Alpha Low- Volatility 30 ETF</v>
      </c>
    </row>
    <row r="943">
      <c r="A943" s="1" t="s">
        <v>4681</v>
      </c>
      <c r="B943" s="5" t="s">
        <v>4682</v>
      </c>
      <c r="C943" s="3" t="s">
        <v>4683</v>
      </c>
      <c r="D943" s="6" t="s">
        <v>4684</v>
      </c>
      <c r="E943" s="7" t="s">
        <v>4685</v>
      </c>
      <c r="F943" s="5" t="str">
        <f>IFERROR(__xludf.DUMMYFUNCTION("GOOGLEFINANCE(""NSE:""&amp;A943,""name"")"),"ICICI Prudential Nifty Auto ETF")</f>
        <v>ICICI Prudential Nifty Auto ETF</v>
      </c>
    </row>
    <row r="944">
      <c r="A944" s="1" t="s">
        <v>4686</v>
      </c>
      <c r="B944" s="5" t="s">
        <v>4687</v>
      </c>
      <c r="C944" s="3" t="s">
        <v>4688</v>
      </c>
      <c r="D944" s="6" t="s">
        <v>4689</v>
      </c>
      <c r="E944" s="7" t="s">
        <v>4690</v>
      </c>
      <c r="F944" s="5" t="str">
        <f>IFERROR(__xludf.DUMMYFUNCTION("GOOGLEFINANCE(""NSE:""&amp;A944,""name"")"),"Icici Prudential Nifty Bank Etf")</f>
        <v>Icici Prudential Nifty Bank Etf</v>
      </c>
    </row>
    <row r="945">
      <c r="A945" s="1" t="s">
        <v>4691</v>
      </c>
      <c r="B945" s="5" t="s">
        <v>4692</v>
      </c>
      <c r="C945" s="3" t="s">
        <v>4693</v>
      </c>
      <c r="D945" s="6" t="s">
        <v>4694</v>
      </c>
      <c r="E945" s="7" t="s">
        <v>4695</v>
      </c>
      <c r="F945" s="5" t="str">
        <f>IFERROR(__xludf.DUMMYFUNCTION("GOOGLEFINANCE(""NSE:""&amp;A945,""name"")"),"ICICI Pru Nifty Commodities ETF")</f>
        <v>ICICI Pru Nifty Commodities ETF</v>
      </c>
    </row>
    <row r="946">
      <c r="A946" s="1" t="s">
        <v>4696</v>
      </c>
      <c r="B946" s="5" t="s">
        <v>4697</v>
      </c>
      <c r="C946" s="3" t="s">
        <v>4698</v>
      </c>
      <c r="D946" s="6" t="s">
        <v>4699</v>
      </c>
      <c r="E946" s="7" t="s">
        <v>4700</v>
      </c>
      <c r="F946" s="5" t="str">
        <f>IFERROR(__xludf.DUMMYFUNCTION("GOOGLEFINANCE(""NSE:""&amp;A946,""name"")"),"ICICI Prudential Nifty EV &amp; New Age Automotive ETF")</f>
        <v>ICICI Prudential Nifty EV &amp; New Age Automotive ETF</v>
      </c>
    </row>
    <row r="947">
      <c r="A947" s="1" t="s">
        <v>4701</v>
      </c>
      <c r="B947" s="5" t="s">
        <v>4702</v>
      </c>
      <c r="C947" s="3" t="s">
        <v>4703</v>
      </c>
      <c r="D947" s="6" t="s">
        <v>4704</v>
      </c>
      <c r="E947" s="7" t="s">
        <v>4705</v>
      </c>
      <c r="F947" s="5" t="str">
        <f>IFERROR(__xludf.DUMMYFUNCTION("GOOGLEFINANCE(""NSE:""&amp;A947,""name"")"),"ICICI Pru Nifty Financial Services Ex-Bank ETF")</f>
        <v>ICICI Pru Nifty Financial Services Ex-Bank ETF</v>
      </c>
    </row>
    <row r="948">
      <c r="A948" s="1" t="s">
        <v>4706</v>
      </c>
      <c r="B948" s="5" t="s">
        <v>4707</v>
      </c>
      <c r="C948" s="3" t="s">
        <v>4708</v>
      </c>
      <c r="D948" s="6" t="s">
        <v>4709</v>
      </c>
      <c r="E948" s="7" t="s">
        <v>4710</v>
      </c>
      <c r="F948" s="5" t="str">
        <f>IFERROR(__xludf.DUMMYFUNCTION("GOOGLEFINANCE(""NSE:""&amp;A948,""name"")"),"Icici Prudential Nifty India Consumption Etf")</f>
        <v>Icici Prudential Nifty India Consumption Etf</v>
      </c>
    </row>
    <row r="949">
      <c r="A949" s="1" t="s">
        <v>4711</v>
      </c>
      <c r="B949" s="5" t="s">
        <v>4712</v>
      </c>
      <c r="C949" s="3" t="s">
        <v>4713</v>
      </c>
      <c r="D949" s="6" t="s">
        <v>4714</v>
      </c>
      <c r="E949" s="7" t="s">
        <v>4715</v>
      </c>
      <c r="F949" s="5" t="str">
        <f>IFERROR(__xludf.DUMMYFUNCTION("GOOGLEFINANCE(""NSE:""&amp;A949,""name"")"),"ICICI Prudential Nifty Infrastructure ETF")</f>
        <v>ICICI Prudential Nifty Infrastructure ETF</v>
      </c>
    </row>
    <row r="950">
      <c r="A950" s="1" t="s">
        <v>4716</v>
      </c>
      <c r="B950" s="5" t="s">
        <v>4717</v>
      </c>
      <c r="C950" s="3" t="s">
        <v>4718</v>
      </c>
      <c r="D950" s="6" t="s">
        <v>4719</v>
      </c>
      <c r="E950" s="7" t="s">
        <v>4720</v>
      </c>
      <c r="F950" s="5" t="str">
        <f>IFERROR(__xludf.DUMMYFUNCTION("GOOGLEFINANCE(""NSE:""&amp;A950,""name"")"),"ICICI Prudential Nifty Metal ETF")</f>
        <v>ICICI Prudential Nifty Metal ETF</v>
      </c>
    </row>
    <row r="951">
      <c r="A951" s="1" t="s">
        <v>4721</v>
      </c>
      <c r="B951" s="5" t="s">
        <v>4722</v>
      </c>
      <c r="C951" s="3" t="s">
        <v>4723</v>
      </c>
      <c r="D951" s="6" t="s">
        <v>4724</v>
      </c>
      <c r="E951" s="7" t="s">
        <v>4725</v>
      </c>
      <c r="F951" s="5" t="str">
        <f>IFERROR(__xludf.DUMMYFUNCTION("GOOGLEFINANCE(""NSE:""&amp;A951,""name"")"),"Icici Prudential Nifty Midcap 150 Etf")</f>
        <v>Icici Prudential Nifty Midcap 150 Etf</v>
      </c>
    </row>
    <row r="952">
      <c r="A952" s="1" t="s">
        <v>4726</v>
      </c>
      <c r="B952" s="5" t="s">
        <v>4727</v>
      </c>
      <c r="C952" s="3" t="s">
        <v>4728</v>
      </c>
      <c r="D952" s="6" t="s">
        <v>4729</v>
      </c>
      <c r="E952" s="7" t="s">
        <v>4730</v>
      </c>
      <c r="F952" s="5" t="str">
        <f>IFERROR(__xludf.DUMMYFUNCTION("GOOGLEFINANCE(""NSE:""&amp;A952,""name"")"),"ICICI Prudential Nifty Next 50 ETF")</f>
        <v>ICICI Prudential Nifty Next 50 ETF</v>
      </c>
    </row>
    <row r="953">
      <c r="A953" s="1" t="s">
        <v>4731</v>
      </c>
      <c r="B953" s="5" t="s">
        <v>4732</v>
      </c>
      <c r="C953" s="3" t="s">
        <v>4733</v>
      </c>
      <c r="D953" s="6" t="s">
        <v>4734</v>
      </c>
      <c r="E953" s="7" t="s">
        <v>4735</v>
      </c>
      <c r="F953" s="5" t="str">
        <f>IFERROR(__xludf.DUMMYFUNCTION("GOOGLEFINANCE(""NSE:""&amp;A953,""name"")"),"ICICI Prudential Nifty Oil &amp; Gas ETF")</f>
        <v>ICICI Prudential Nifty Oil &amp; Gas ETF</v>
      </c>
    </row>
    <row r="954">
      <c r="A954" s="1" t="s">
        <v>4736</v>
      </c>
      <c r="B954" s="5" t="s">
        <v>4737</v>
      </c>
      <c r="C954" s="3" t="s">
        <v>4738</v>
      </c>
      <c r="D954" s="6" t="s">
        <v>4739</v>
      </c>
      <c r="E954" s="7" t="s">
        <v>4740</v>
      </c>
      <c r="F954" s="5" t="str">
        <f>IFERROR(__xludf.DUMMYFUNCTION("GOOGLEFINANCE(""NSE:""&amp;A954,""name"")"),"Icici Prudential Nifty Private Bank Etf")</f>
        <v>Icici Prudential Nifty Private Bank Etf</v>
      </c>
    </row>
    <row r="955">
      <c r="A955" s="1" t="s">
        <v>4741</v>
      </c>
      <c r="B955" s="5" t="s">
        <v>4742</v>
      </c>
      <c r="C955" s="3" t="s">
        <v>4743</v>
      </c>
      <c r="D955" s="6" t="s">
        <v>4744</v>
      </c>
      <c r="E955" s="7" t="s">
        <v>4745</v>
      </c>
      <c r="F955" s="5" t="str">
        <f>IFERROR(__xludf.DUMMYFUNCTION("GOOGLEFINANCE(""NSE:""&amp;A955,""name"")"),"ICICI Prudential Nifty PSU Bank ETF")</f>
        <v>ICICI Prudential Nifty PSU Bank ETF</v>
      </c>
    </row>
    <row r="956">
      <c r="A956" s="1" t="s">
        <v>4746</v>
      </c>
      <c r="B956" s="5" t="s">
        <v>4747</v>
      </c>
      <c r="C956" s="3" t="s">
        <v>4748</v>
      </c>
      <c r="D956" s="6" t="s">
        <v>4749</v>
      </c>
      <c r="E956" s="7" t="s">
        <v>4750</v>
      </c>
      <c r="F956" s="5" t="str">
        <f>IFERROR(__xludf.DUMMYFUNCTION("GOOGLEFINANCE(""NSE:""&amp;A956,""name"")"),"ICICI Prudential Nifty Top 15 Equal Weight ETF")</f>
        <v>ICICI Prudential Nifty Top 15 Equal Weight ETF</v>
      </c>
    </row>
    <row r="957">
      <c r="A957" s="1" t="s">
        <v>4751</v>
      </c>
      <c r="B957" s="5" t="s">
        <v>4752</v>
      </c>
      <c r="C957" s="3" t="s">
        <v>4753</v>
      </c>
      <c r="D957" s="6" t="s">
        <v>4754</v>
      </c>
      <c r="E957" s="7" t="s">
        <v>4755</v>
      </c>
      <c r="F957" s="5" t="str">
        <f>IFERROR(__xludf.DUMMYFUNCTION("GOOGLEFINANCE(""NSE:""&amp;A957,""name"")"),"ICICI Prudential Nifty200 Value 30 ETF")</f>
        <v>ICICI Prudential Nifty200 Value 30 ETF</v>
      </c>
    </row>
    <row r="958">
      <c r="A958" s="1" t="s">
        <v>4756</v>
      </c>
      <c r="B958" s="5" t="s">
        <v>4757</v>
      </c>
      <c r="C958" s="3" t="s">
        <v>4758</v>
      </c>
      <c r="D958" s="6" t="s">
        <v>4759</v>
      </c>
      <c r="E958" s="7" t="s">
        <v>4760</v>
      </c>
      <c r="F958" s="5" t="str">
        <f>IFERROR(__xludf.DUMMYFUNCTION("GOOGLEFINANCE(""NSE:""&amp;A958,""name"")"),"Icici Prudential Nifty50 Value 20 Etf")</f>
        <v>Icici Prudential Nifty50 Value 20 Etf</v>
      </c>
    </row>
    <row r="959">
      <c r="A959" s="1" t="s">
        <v>4761</v>
      </c>
      <c r="B959" s="5" t="s">
        <v>4762</v>
      </c>
      <c r="C959" s="3" t="s">
        <v>4763</v>
      </c>
      <c r="D959" s="6" t="s">
        <v>4764</v>
      </c>
      <c r="E959" s="7" t="s">
        <v>4765</v>
      </c>
      <c r="F959" s="5" t="str">
        <f>IFERROR(__xludf.DUMMYFUNCTION("GOOGLEFINANCE(""NSE:""&amp;A959,""name"")"),"ICICI Prudential BSE 500 ETF")</f>
        <v>ICICI Prudential BSE 500 ETF</v>
      </c>
    </row>
    <row r="960">
      <c r="A960" s="1" t="s">
        <v>4766</v>
      </c>
      <c r="B960" s="5" t="s">
        <v>4767</v>
      </c>
      <c r="C960" s="3" t="s">
        <v>4768</v>
      </c>
      <c r="D960" s="6" t="s">
        <v>4769</v>
      </c>
      <c r="E960" s="7" t="s">
        <v>4770</v>
      </c>
      <c r="F960" s="5" t="str">
        <f>IFERROR(__xludf.DUMMYFUNCTION("GOOGLEFINANCE(""NSE:""&amp;A960,""name"")"),"ICICI Prudential BSE Liquid Rate ETF - IDCW")</f>
        <v>ICICI Prudential BSE Liquid Rate ETF - IDCW</v>
      </c>
    </row>
    <row r="961">
      <c r="A961" s="1" t="s">
        <v>4771</v>
      </c>
      <c r="B961" s="5" t="s">
        <v>4772</v>
      </c>
      <c r="C961" s="3" t="s">
        <v>4773</v>
      </c>
      <c r="D961" s="6" t="s">
        <v>4774</v>
      </c>
      <c r="E961" s="7" t="s">
        <v>4775</v>
      </c>
      <c r="F961" s="5" t="str">
        <f>IFERROR(__xludf.DUMMYFUNCTION("GOOGLEFINANCE(""NSE:""&amp;A961,""name"")"),"Icici Prudential Bse Midcap Select Etf")</f>
        <v>Icici Prudential Bse Midcap Select Etf</v>
      </c>
    </row>
    <row r="962">
      <c r="A962" s="1" t="s">
        <v>4776</v>
      </c>
      <c r="B962" s="5" t="s">
        <v>4777</v>
      </c>
      <c r="C962" s="3" t="s">
        <v>4778</v>
      </c>
      <c r="D962" s="6" t="s">
        <v>4779</v>
      </c>
      <c r="E962" s="7" t="s">
        <v>4780</v>
      </c>
      <c r="F962" s="5" t="str">
        <f>IFERROR(__xludf.DUMMYFUNCTION("GOOGLEFINANCE(""NSE:""&amp;A962,""name"")"),"Icici Prudential Bse Sensex Etf")</f>
        <v>Icici Prudential Bse Sensex Etf</v>
      </c>
    </row>
    <row r="963">
      <c r="A963" s="1" t="s">
        <v>4781</v>
      </c>
      <c r="B963" s="5" t="s">
        <v>4782</v>
      </c>
      <c r="C963" s="3" t="s">
        <v>4783</v>
      </c>
      <c r="D963" s="6" t="s">
        <v>4784</v>
      </c>
      <c r="E963" s="7" t="s">
        <v>4785</v>
      </c>
      <c r="F963" s="5" t="str">
        <f>IFERROR(__xludf.DUMMYFUNCTION("GOOGLEFINANCE(""NSE:""&amp;A963,""name"")"),"ICICI Prudential Silver ETF")</f>
        <v>ICICI Prudential Silver ETF</v>
      </c>
    </row>
    <row r="964">
      <c r="A964" s="1" t="s">
        <v>4786</v>
      </c>
      <c r="B964" s="5" t="s">
        <v>4787</v>
      </c>
      <c r="C964" s="3" t="s">
        <v>4788</v>
      </c>
      <c r="D964" s="6" t="s">
        <v>4789</v>
      </c>
      <c r="E964" s="7" t="s">
        <v>4790</v>
      </c>
      <c r="F964" s="5" t="str">
        <f>IFERROR(__xludf.DUMMYFUNCTION("GOOGLEFINANCE(""NSE:""&amp;A964,""name"")"),"ICRA Ltd")</f>
        <v>ICRA Ltd</v>
      </c>
    </row>
    <row r="965">
      <c r="A965" s="1" t="s">
        <v>4791</v>
      </c>
      <c r="B965" s="5" t="s">
        <v>4792</v>
      </c>
      <c r="C965" s="3" t="s">
        <v>4793</v>
      </c>
      <c r="D965" s="6" t="s">
        <v>4794</v>
      </c>
      <c r="E965" s="7" t="s">
        <v>4795</v>
      </c>
      <c r="F965" s="5" t="str">
        <f>IFERROR(__xludf.DUMMYFUNCTION("GOOGLEFINANCE(""NSE:""&amp;A965,""name"")"),"IDBI Bank Ltd")</f>
        <v>IDBI Bank Ltd</v>
      </c>
    </row>
    <row r="966">
      <c r="A966" s="1" t="s">
        <v>4796</v>
      </c>
      <c r="B966" s="5" t="s">
        <v>4797</v>
      </c>
      <c r="C966" s="3" t="s">
        <v>4798</v>
      </c>
      <c r="D966" s="6" t="s">
        <v>4799</v>
      </c>
      <c r="E966" s="7" t="s">
        <v>4800</v>
      </c>
      <c r="F966" s="5" t="str">
        <f>IFERROR(__xludf.DUMMYFUNCTION("GOOGLEFINANCE(""NSE:""&amp;A966,""name"")"),"Vodafone Idea Ltd")</f>
        <v>Vodafone Idea Ltd</v>
      </c>
    </row>
    <row r="967">
      <c r="A967" s="1" t="s">
        <v>4801</v>
      </c>
      <c r="B967" s="5" t="s">
        <v>4802</v>
      </c>
      <c r="C967" s="3" t="s">
        <v>4803</v>
      </c>
      <c r="D967" s="6" t="s">
        <v>4804</v>
      </c>
      <c r="E967" s="7" t="s">
        <v>4805</v>
      </c>
      <c r="F967" s="5" t="str">
        <f>IFERROR(__xludf.DUMMYFUNCTION("GOOGLEFINANCE(""NSE:""&amp;A967,""name"")"),"ideaForge Technology Ltd")</f>
        <v>ideaForge Technology Ltd</v>
      </c>
    </row>
    <row r="968">
      <c r="A968" s="1" t="s">
        <v>4806</v>
      </c>
      <c r="B968" s="5" t="s">
        <v>4807</v>
      </c>
      <c r="C968" s="3" t="s">
        <v>4808</v>
      </c>
      <c r="D968" s="6" t="s">
        <v>4809</v>
      </c>
      <c r="E968" s="7" t="s">
        <v>4810</v>
      </c>
      <c r="F968" s="5" t="str">
        <f>IFERROR(__xludf.DUMMYFUNCTION("GOOGLEFINANCE(""NSE:""&amp;A968,""name"")"),"IDFC First Bank Ltd")</f>
        <v>IDFC First Bank Ltd</v>
      </c>
    </row>
    <row r="969">
      <c r="A969" s="1" t="s">
        <v>4811</v>
      </c>
      <c r="B969" s="5" t="s">
        <v>4812</v>
      </c>
      <c r="C969" s="3" t="s">
        <v>4813</v>
      </c>
      <c r="D969" s="6" t="s">
        <v>4814</v>
      </c>
      <c r="E969" s="7" t="s">
        <v>4815</v>
      </c>
      <c r="F969" s="5" t="str">
        <f>IFERROR(__xludf.DUMMYFUNCTION("GOOGLEFINANCE(""NSE:""&amp;A969,""name"")"),"Ifb Agro Industries Ltd")</f>
        <v>Ifb Agro Industries Ltd</v>
      </c>
    </row>
    <row r="970">
      <c r="A970" s="1" t="s">
        <v>4816</v>
      </c>
      <c r="B970" s="5" t="s">
        <v>4817</v>
      </c>
      <c r="C970" s="3" t="s">
        <v>4818</v>
      </c>
      <c r="D970" s="6" t="s">
        <v>4819</v>
      </c>
      <c r="E970" s="7" t="s">
        <v>4820</v>
      </c>
      <c r="F970" s="5" t="str">
        <f>IFERROR(__xludf.DUMMYFUNCTION("GOOGLEFINANCE(""NSE:""&amp;A970,""name"")"),"IFB Industries Ltd")</f>
        <v>IFB Industries Ltd</v>
      </c>
    </row>
    <row r="971">
      <c r="A971" s="1" t="s">
        <v>4821</v>
      </c>
      <c r="B971" s="5" t="s">
        <v>4822</v>
      </c>
      <c r="C971" s="3" t="s">
        <v>4823</v>
      </c>
      <c r="D971" s="6" t="s">
        <v>4824</v>
      </c>
      <c r="E971" s="7" t="s">
        <v>4825</v>
      </c>
      <c r="F971" s="5" t="str">
        <f>IFERROR(__xludf.DUMMYFUNCTION("GOOGLEFINANCE(""NSE:""&amp;A971,""name"")"),"IFCI Ltd")</f>
        <v>IFCI Ltd</v>
      </c>
    </row>
    <row r="972">
      <c r="A972" s="1" t="s">
        <v>4826</v>
      </c>
      <c r="B972" s="5" t="s">
        <v>4827</v>
      </c>
      <c r="C972" s="3" t="s">
        <v>4828</v>
      </c>
      <c r="D972" s="6" t="s">
        <v>4829</v>
      </c>
      <c r="E972" s="7" t="s">
        <v>4830</v>
      </c>
      <c r="F972" s="5" t="str">
        <f>IFERROR(__xludf.DUMMYFUNCTION("GOOGLEFINANCE(""NSE:""&amp;A972,""name"")"),"IFGL Refractories Ltd")</f>
        <v>IFGL Refractories Ltd</v>
      </c>
    </row>
    <row r="973">
      <c r="A973" s="1" t="s">
        <v>4831</v>
      </c>
      <c r="B973" s="5" t="s">
        <v>4832</v>
      </c>
      <c r="C973" s="3" t="s">
        <v>4833</v>
      </c>
      <c r="D973" s="6" t="s">
        <v>4834</v>
      </c>
      <c r="E973" s="7" t="s">
        <v>4835</v>
      </c>
      <c r="F973" s="5" t="str">
        <f>IFERROR(__xludf.DUMMYFUNCTION("GOOGLEFINANCE(""NSE:""&amp;A973,""name"")"),"I G Petrochemicals Ltd")</f>
        <v>I G Petrochemicals Ltd</v>
      </c>
    </row>
    <row r="974">
      <c r="A974" s="1" t="s">
        <v>4836</v>
      </c>
      <c r="B974" s="5" t="s">
        <v>4837</v>
      </c>
      <c r="C974" s="3" t="s">
        <v>4838</v>
      </c>
      <c r="D974" s="6" t="s">
        <v>4839</v>
      </c>
      <c r="E974" s="7" t="s">
        <v>4840</v>
      </c>
      <c r="F974" s="5" t="str">
        <f>IFERROR(__xludf.DUMMYFUNCTION("GOOGLEFINANCE(""NSE:""&amp;A974,""name"")"),"Igarashi Motors India Ltd")</f>
        <v>Igarashi Motors India Ltd</v>
      </c>
    </row>
    <row r="975">
      <c r="A975" s="1" t="s">
        <v>4841</v>
      </c>
      <c r="B975" s="5" t="s">
        <v>4842</v>
      </c>
      <c r="C975" s="3" t="s">
        <v>4843</v>
      </c>
      <c r="D975" s="6" t="s">
        <v>4844</v>
      </c>
      <c r="E975" s="7" t="s">
        <v>4845</v>
      </c>
      <c r="F975" s="5" t="str">
        <f>IFERROR(__xludf.DUMMYFUNCTION("GOOGLEFINANCE(""NSE:""&amp;A975,""name"")"),"IIFL Capital Services Ltd")</f>
        <v>IIFL Capital Services Ltd</v>
      </c>
    </row>
    <row r="976">
      <c r="A976" s="1" t="s">
        <v>4846</v>
      </c>
      <c r="B976" s="5" t="s">
        <v>4847</v>
      </c>
      <c r="C976" s="3" t="s">
        <v>4848</v>
      </c>
      <c r="D976" s="6" t="s">
        <v>4849</v>
      </c>
      <c r="E976" s="7" t="s">
        <v>4850</v>
      </c>
      <c r="F976" s="5" t="str">
        <f>IFERROR(__xludf.DUMMYFUNCTION("GOOGLEFINANCE(""NSE:""&amp;A976,""name"")"),"IIFL Finance Ltd")</f>
        <v>IIFL Finance Ltd</v>
      </c>
    </row>
    <row r="977">
      <c r="A977" s="1" t="s">
        <v>4851</v>
      </c>
      <c r="B977" s="5" t="s">
        <v>4852</v>
      </c>
      <c r="C977" s="3" t="s">
        <v>4853</v>
      </c>
      <c r="D977" s="6" t="s">
        <v>4854</v>
      </c>
      <c r="E977" s="7" t="s">
        <v>4855</v>
      </c>
      <c r="F977" s="5" t="str">
        <f>IFERROR(__xludf.DUMMYFUNCTION("GOOGLEFINANCE(""NSE:""&amp;A977,""name"")"),"IKIO Technologies Ltd")</f>
        <v>IKIO Technologies Ltd</v>
      </c>
    </row>
    <row r="978">
      <c r="A978" s="1" t="s">
        <v>4856</v>
      </c>
      <c r="B978" s="5" t="s">
        <v>4857</v>
      </c>
      <c r="C978" s="3" t="s">
        <v>4858</v>
      </c>
      <c r="D978" s="6" t="s">
        <v>4859</v>
      </c>
      <c r="E978" s="7" t="s">
        <v>4860</v>
      </c>
      <c r="F978" s="5" t="str">
        <f>IFERROR(__xludf.DUMMYFUNCTION("GOOGLEFINANCE(""NSE:""&amp;A978,""name"")"),"IL&amp;FS Engineering and Constructin Co Ltd")</f>
        <v>IL&amp;FS Engineering and Constructin Co Ltd</v>
      </c>
    </row>
    <row r="979">
      <c r="A979" s="1" t="s">
        <v>4861</v>
      </c>
      <c r="B979" s="5" t="s">
        <v>4862</v>
      </c>
      <c r="C979" s="3" t="s">
        <v>4863</v>
      </c>
      <c r="D979" s="6" t="s">
        <v>4864</v>
      </c>
      <c r="E979" s="7" t="s">
        <v>4865</v>
      </c>
      <c r="F979" s="5" t="str">
        <f>IFERROR(__xludf.DUMMYFUNCTION("GOOGLEFINANCE(""NSE:""&amp;A979,""name"")"),"IL&amp;FS Investment Managers Ltd")</f>
        <v>IL&amp;FS Investment Managers Ltd</v>
      </c>
    </row>
    <row r="980">
      <c r="A980" s="1" t="s">
        <v>4866</v>
      </c>
      <c r="B980" s="5" t="s">
        <v>4867</v>
      </c>
      <c r="C980" s="3" t="s">
        <v>4868</v>
      </c>
      <c r="D980" s="6" t="s">
        <v>4869</v>
      </c>
      <c r="E980" s="7" t="s">
        <v>4870</v>
      </c>
      <c r="F980" s="5" t="str">
        <f>IFERROR(__xludf.DUMMYFUNCTION("GOOGLEFINANCE(""NSE:""&amp;A980,""name"")"),"Imagicaaworld Entertainment Ltd")</f>
        <v>Imagicaaworld Entertainment Ltd</v>
      </c>
    </row>
    <row r="981">
      <c r="A981" s="1" t="s">
        <v>4871</v>
      </c>
      <c r="B981" s="5" t="s">
        <v>4872</v>
      </c>
      <c r="C981" s="3" t="s">
        <v>4873</v>
      </c>
      <c r="D981" s="6" t="s">
        <v>4874</v>
      </c>
      <c r="E981" s="7" t="s">
        <v>4875</v>
      </c>
      <c r="F981" s="5" t="str">
        <f>IFERROR(__xludf.DUMMYFUNCTION("GOOGLEFINANCE(""NSE:""&amp;A981,""name"")"),"Incredible Industries Ltd")</f>
        <v>Incredible Industries Ltd</v>
      </c>
    </row>
    <row r="982">
      <c r="A982" s="1" t="s">
        <v>4876</v>
      </c>
      <c r="B982" s="5" t="s">
        <v>4877</v>
      </c>
      <c r="C982" s="3" t="s">
        <v>4878</v>
      </c>
      <c r="D982" s="6" t="s">
        <v>4879</v>
      </c>
      <c r="E982" s="7" t="s">
        <v>4880</v>
      </c>
      <c r="F982" s="5" t="str">
        <f>IFERROR(__xludf.DUMMYFUNCTION("GOOGLEFINANCE(""NSE:""&amp;A982,""name"")"),"IND Swift Laboratories Ltd")</f>
        <v>IND Swift Laboratories Ltd</v>
      </c>
    </row>
    <row r="983">
      <c r="A983" s="1" t="s">
        <v>4881</v>
      </c>
      <c r="B983" s="5" t="s">
        <v>4882</v>
      </c>
      <c r="C983" s="3" t="s">
        <v>4883</v>
      </c>
      <c r="D983" s="6" t="s">
        <v>4884</v>
      </c>
      <c r="E983" s="7" t="s">
        <v>4885</v>
      </c>
      <c r="F983" s="5" t="str">
        <f>IFERROR(__xludf.DUMMYFUNCTION("GOOGLEFINANCE(""NSE:""&amp;A983,""name"")"),"Indbank Merchant Banking Services Ltd")</f>
        <v>Indbank Merchant Banking Services Ltd</v>
      </c>
    </row>
    <row r="984">
      <c r="A984" s="1" t="s">
        <v>4886</v>
      </c>
      <c r="B984" s="5" t="s">
        <v>4887</v>
      </c>
      <c r="C984" s="3" t="s">
        <v>4888</v>
      </c>
      <c r="D984" s="6" t="s">
        <v>4889</v>
      </c>
      <c r="E984" s="7" t="s">
        <v>4890</v>
      </c>
      <c r="F984" s="5" t="str">
        <f>IFERROR(__xludf.DUMMYFUNCTION("GOOGLEFINANCE(""NSE:""&amp;A984,""name"")"),"Indef Manufacturing Ltd")</f>
        <v>Indef Manufacturing Ltd</v>
      </c>
    </row>
    <row r="985">
      <c r="A985" s="1" t="s">
        <v>4891</v>
      </c>
      <c r="B985" s="5" t="s">
        <v>4892</v>
      </c>
      <c r="C985" s="3" t="s">
        <v>4893</v>
      </c>
      <c r="D985" s="6" t="s">
        <v>4894</v>
      </c>
      <c r="E985" s="7" t="s">
        <v>4895</v>
      </c>
      <c r="F985" s="5" t="str">
        <f>IFERROR(__xludf.DUMMYFUNCTION("GOOGLEFINANCE(""NSE:""&amp;A985,""name"")"),"Indegene Ltd")</f>
        <v>Indegene Ltd</v>
      </c>
    </row>
    <row r="986">
      <c r="A986" s="1" t="s">
        <v>4896</v>
      </c>
      <c r="B986" s="5" t="s">
        <v>4897</v>
      </c>
      <c r="C986" s="3" t="s">
        <v>4898</v>
      </c>
      <c r="D986" s="6" t="s">
        <v>4899</v>
      </c>
      <c r="E986" s="7" t="s">
        <v>4900</v>
      </c>
      <c r="F986" s="5" t="str">
        <f>IFERROR(__xludf.DUMMYFUNCTION("GOOGLEFINANCE(""NSE:""&amp;A986,""name"")"),"India Glycols Ltd")</f>
        <v>India Glycols Ltd</v>
      </c>
    </row>
    <row r="987">
      <c r="A987" s="1" t="s">
        <v>4901</v>
      </c>
      <c r="B987" s="5" t="s">
        <v>4902</v>
      </c>
      <c r="C987" s="3" t="s">
        <v>4903</v>
      </c>
      <c r="D987" s="6" t="s">
        <v>4904</v>
      </c>
      <c r="E987" s="7" t="s">
        <v>4905</v>
      </c>
      <c r="F987" s="5" t="str">
        <f>IFERROR(__xludf.DUMMYFUNCTION("GOOGLEFINANCE(""NSE:""&amp;A987,""name"")"),"India Motor Parts &amp; Accessories Ltd")</f>
        <v>India Motor Parts &amp; Accessories Ltd</v>
      </c>
    </row>
    <row r="988">
      <c r="A988" s="1" t="s">
        <v>4906</v>
      </c>
      <c r="B988" s="5" t="s">
        <v>4907</v>
      </c>
      <c r="C988" s="3" t="s">
        <v>4908</v>
      </c>
      <c r="D988" s="6" t="s">
        <v>4909</v>
      </c>
      <c r="E988" s="7" t="s">
        <v>4910</v>
      </c>
      <c r="F988" s="5" t="str">
        <f>IFERROR(__xludf.DUMMYFUNCTION("GOOGLEFINANCE(""NSE:""&amp;A988,""name"")"),"India Nippon Electricals Ltd")</f>
        <v>India Nippon Electricals Ltd</v>
      </c>
    </row>
    <row r="989">
      <c r="A989" s="1" t="s">
        <v>4911</v>
      </c>
      <c r="B989" s="5" t="s">
        <v>4912</v>
      </c>
      <c r="C989" s="3" t="s">
        <v>4913</v>
      </c>
      <c r="D989" s="6" t="s">
        <v>4914</v>
      </c>
      <c r="E989" s="7" t="s">
        <v>4915</v>
      </c>
      <c r="F989" s="5" t="str">
        <f>IFERROR(__xludf.DUMMYFUNCTION("GOOGLEFINANCE(""NSE:""&amp;A989,""name"")"),"India Pesticides Ltd")</f>
        <v>India Pesticides Ltd</v>
      </c>
    </row>
    <row r="990">
      <c r="A990" s="1" t="s">
        <v>4916</v>
      </c>
      <c r="B990" s="5" t="s">
        <v>4917</v>
      </c>
      <c r="C990" s="3" t="s">
        <v>4918</v>
      </c>
      <c r="D990" s="6" t="s">
        <v>4919</v>
      </c>
      <c r="E990" s="7" t="s">
        <v>4920</v>
      </c>
      <c r="F990" s="5" t="str">
        <f>IFERROR(__xludf.DUMMYFUNCTION("GOOGLEFINANCE(""NSE:""&amp;A990,""name"")"),"India Shelter Finance Corporation Ltd")</f>
        <v>India Shelter Finance Corporation Ltd</v>
      </c>
    </row>
    <row r="991">
      <c r="A991" s="1" t="s">
        <v>4921</v>
      </c>
      <c r="B991" s="5" t="s">
        <v>4922</v>
      </c>
      <c r="C991" s="3" t="s">
        <v>4923</v>
      </c>
      <c r="D991" s="6" t="s">
        <v>4924</v>
      </c>
      <c r="E991" s="7" t="s">
        <v>4925</v>
      </c>
      <c r="F991" s="5" t="str">
        <f>IFERROR(__xludf.DUMMYFUNCTION("GOOGLEFINANCE(""NSE:""&amp;A991,""name"")"),"India Tourism Development Corp Ltd")</f>
        <v>India Tourism Development Corp Ltd</v>
      </c>
    </row>
    <row r="992">
      <c r="A992" s="1" t="s">
        <v>4926</v>
      </c>
      <c r="B992" s="5" t="s">
        <v>4927</v>
      </c>
      <c r="C992" s="3" t="s">
        <v>4928</v>
      </c>
      <c r="D992" s="6" t="s">
        <v>4929</v>
      </c>
      <c r="E992" s="7" t="s">
        <v>4930</v>
      </c>
      <c r="F992" s="5" t="str">
        <f>IFERROR(__xludf.DUMMYFUNCTION("GOOGLEFINANCE(""NSE:""&amp;A992,""name"")"),"#N/A")</f>
        <v>#N/A</v>
      </c>
    </row>
    <row r="993">
      <c r="A993" s="1" t="s">
        <v>4931</v>
      </c>
      <c r="B993" s="5" t="s">
        <v>4932</v>
      </c>
      <c r="C993" s="3" t="s">
        <v>4933</v>
      </c>
      <c r="D993" s="6" t="s">
        <v>4934</v>
      </c>
      <c r="E993" s="7" t="s">
        <v>4935</v>
      </c>
      <c r="F993" s="5" t="str">
        <f>IFERROR(__xludf.DUMMYFUNCTION("GOOGLEFINANCE(""NSE:""&amp;A993,""name"")"),"Indiabulls Ltd")</f>
        <v>Indiabulls Ltd</v>
      </c>
    </row>
    <row r="994">
      <c r="A994" s="1" t="s">
        <v>4936</v>
      </c>
      <c r="B994" s="5" t="s">
        <v>4937</v>
      </c>
      <c r="C994" s="3" t="s">
        <v>4938</v>
      </c>
      <c r="D994" s="6" t="s">
        <v>4939</v>
      </c>
      <c r="E994" s="7" t="s">
        <v>4940</v>
      </c>
      <c r="F994" s="5" t="str">
        <f>IFERROR(__xludf.DUMMYFUNCTION("GOOGLEFINANCE(""NSE:""&amp;A994,""name"")"),"IndiaMART InterMESH Ltd")</f>
        <v>IndiaMART InterMESH Ltd</v>
      </c>
    </row>
    <row r="995">
      <c r="A995" s="1" t="s">
        <v>4941</v>
      </c>
      <c r="B995" s="5" t="s">
        <v>4942</v>
      </c>
      <c r="C995" s="3" t="s">
        <v>4943</v>
      </c>
      <c r="D995" s="6" t="s">
        <v>4944</v>
      </c>
      <c r="E995" s="7" t="s">
        <v>4945</v>
      </c>
      <c r="F995" s="5" t="str">
        <f>IFERROR(__xludf.DUMMYFUNCTION("GOOGLEFINANCE(""NSE:""&amp;A995,""name"")"),"Indian Bank")</f>
        <v>Indian Bank</v>
      </c>
    </row>
    <row r="996">
      <c r="A996" s="1" t="s">
        <v>4946</v>
      </c>
      <c r="B996" s="5" t="s">
        <v>4947</v>
      </c>
      <c r="C996" s="3" t="s">
        <v>4948</v>
      </c>
      <c r="D996" s="6" t="s">
        <v>4949</v>
      </c>
      <c r="E996" s="7" t="s">
        <v>4950</v>
      </c>
      <c r="F996" s="5" t="str">
        <f>IFERROR(__xludf.DUMMYFUNCTION("GOOGLEFINANCE(""NSE:""&amp;A996,""name"")"),"Indian Card Clothing Company Ltd")</f>
        <v>Indian Card Clothing Company Ltd</v>
      </c>
    </row>
    <row r="997">
      <c r="A997" s="1" t="s">
        <v>4951</v>
      </c>
      <c r="B997" s="5" t="s">
        <v>4952</v>
      </c>
      <c r="C997" s="3" t="s">
        <v>4953</v>
      </c>
      <c r="D997" s="6" t="s">
        <v>4954</v>
      </c>
      <c r="E997" s="7" t="s">
        <v>4955</v>
      </c>
      <c r="F997" s="5" t="str">
        <f>IFERROR(__xludf.DUMMYFUNCTION("GOOGLEFINANCE(""NSE:""&amp;A997,""name"")"),"Indian Energy Exchange Ltd")</f>
        <v>Indian Energy Exchange Ltd</v>
      </c>
    </row>
    <row r="998">
      <c r="A998" s="1" t="s">
        <v>4956</v>
      </c>
      <c r="B998" s="5" t="s">
        <v>4957</v>
      </c>
      <c r="C998" s="3" t="s">
        <v>4958</v>
      </c>
      <c r="D998" s="6" t="s">
        <v>4959</v>
      </c>
      <c r="E998" s="7" t="s">
        <v>4960</v>
      </c>
      <c r="F998" s="5" t="str">
        <f>IFERROR(__xludf.DUMMYFUNCTION("GOOGLEFINANCE(""NSE:""&amp;A998,""name"")"),"Indian Hume Pipe Company Ltd")</f>
        <v>Indian Hume Pipe Company Ltd</v>
      </c>
    </row>
    <row r="999">
      <c r="A999" s="1" t="s">
        <v>4961</v>
      </c>
      <c r="B999" s="5" t="s">
        <v>4962</v>
      </c>
      <c r="C999" s="3" t="s">
        <v>4963</v>
      </c>
      <c r="D999" s="6" t="s">
        <v>4964</v>
      </c>
      <c r="E999" s="7" t="s">
        <v>4965</v>
      </c>
      <c r="F999" s="5" t="str">
        <f>IFERROR(__xludf.DUMMYFUNCTION("GOOGLEFINANCE(""NSE:""&amp;A999,""name"")"),"Indian Metals and Ferro Alloys Ltd")</f>
        <v>Indian Metals and Ferro Alloys Ltd</v>
      </c>
    </row>
    <row r="1000">
      <c r="A1000" s="1" t="s">
        <v>4966</v>
      </c>
      <c r="B1000" s="5" t="s">
        <v>4967</v>
      </c>
      <c r="C1000" s="3" t="s">
        <v>4968</v>
      </c>
      <c r="D1000" s="6" t="s">
        <v>4969</v>
      </c>
      <c r="E1000" s="7" t="s">
        <v>4970</v>
      </c>
      <c r="F1000" s="5" t="str">
        <f>IFERROR(__xludf.DUMMYFUNCTION("GOOGLEFINANCE(""NSE:""&amp;A1000,""name"")"),"Indian Oil Corporation Ltd")</f>
        <v>Indian Oil Corporation Ltd</v>
      </c>
    </row>
    <row r="1001">
      <c r="A1001" s="1" t="s">
        <v>4971</v>
      </c>
      <c r="B1001" s="5" t="s">
        <v>4972</v>
      </c>
      <c r="C1001" s="3" t="s">
        <v>4973</v>
      </c>
      <c r="D1001" s="6" t="s">
        <v>4974</v>
      </c>
      <c r="E1001" s="7" t="s">
        <v>4975</v>
      </c>
      <c r="F1001" s="5" t="str">
        <f>IFERROR(__xludf.DUMMYFUNCTION("GOOGLEFINANCE(""NSE:""&amp;A1001,""name"")"),"Indian Overseas Bank")</f>
        <v>Indian Overseas Bank</v>
      </c>
    </row>
    <row r="1002">
      <c r="A1002" s="1" t="s">
        <v>4976</v>
      </c>
      <c r="B1002" s="5" t="s">
        <v>4977</v>
      </c>
      <c r="C1002" s="3" t="s">
        <v>4978</v>
      </c>
      <c r="D1002" s="6" t="s">
        <v>4979</v>
      </c>
      <c r="E1002" s="7" t="s">
        <v>4980</v>
      </c>
      <c r="F1002" s="5" t="str">
        <f>IFERROR(__xludf.DUMMYFUNCTION("GOOGLEFINANCE(""NSE:""&amp;A1002,""name"")"),"Indian Railway Ctrng nd Trsm Corp Ltd")</f>
        <v>Indian Railway Ctrng nd Trsm Corp Ltd</v>
      </c>
    </row>
    <row r="1003">
      <c r="A1003" s="1" t="s">
        <v>4981</v>
      </c>
      <c r="B1003" s="5" t="s">
        <v>4982</v>
      </c>
      <c r="C1003" s="3" t="s">
        <v>4983</v>
      </c>
      <c r="D1003" s="6" t="s">
        <v>4984</v>
      </c>
      <c r="E1003" s="7" t="s">
        <v>4985</v>
      </c>
      <c r="F1003" s="5" t="str">
        <f>IFERROR(__xludf.DUMMYFUNCTION("GOOGLEFINANCE(""NSE:""&amp;A1003,""name"")"),"Indian Railway Finance Corp Ltd")</f>
        <v>Indian Railway Finance Corp Ltd</v>
      </c>
    </row>
    <row r="1004">
      <c r="A1004" s="1" t="s">
        <v>4986</v>
      </c>
      <c r="B1004" s="5" t="s">
        <v>4987</v>
      </c>
      <c r="C1004" s="3" t="s">
        <v>4988</v>
      </c>
      <c r="D1004" s="6" t="s">
        <v>4989</v>
      </c>
      <c r="E1004" s="7" t="s">
        <v>4990</v>
      </c>
      <c r="F1004" s="5" t="str">
        <f>IFERROR(__xludf.DUMMYFUNCTION("GOOGLEFINANCE(""NSE:""&amp;A1004,""name"")"),"Indian Renewable Energy Dev Agency Ltd")</f>
        <v>Indian Renewable Energy Dev Agency Ltd</v>
      </c>
    </row>
    <row r="1005">
      <c r="A1005" s="1" t="s">
        <v>4991</v>
      </c>
      <c r="B1005" s="5" t="s">
        <v>4992</v>
      </c>
      <c r="C1005" s="3" t="s">
        <v>4993</v>
      </c>
      <c r="D1005" s="6" t="s">
        <v>4994</v>
      </c>
      <c r="E1005" s="7" t="s">
        <v>4995</v>
      </c>
      <c r="F1005" s="5" t="str">
        <f>IFERROR(__xludf.DUMMYFUNCTION("GOOGLEFINANCE(""NSE:""&amp;A1005,""name"")"),"Indian Terrain Fashions Ltd")</f>
        <v>Indian Terrain Fashions Ltd</v>
      </c>
    </row>
    <row r="1006">
      <c r="A1006" s="1" t="s">
        <v>4996</v>
      </c>
      <c r="B1006" s="5" t="s">
        <v>4997</v>
      </c>
      <c r="C1006" s="3" t="s">
        <v>4998</v>
      </c>
      <c r="D1006" s="6" t="s">
        <v>4999</v>
      </c>
      <c r="E1006" s="7" t="s">
        <v>5000</v>
      </c>
      <c r="F1006" s="5" t="str">
        <f>IFERROR(__xludf.DUMMYFUNCTION("GOOGLEFINANCE(""NSE:""&amp;A1006,""name"")"),"Indigo Paints Ltd")</f>
        <v>Indigo Paints Ltd</v>
      </c>
    </row>
    <row r="1007">
      <c r="A1007" s="1" t="s">
        <v>5001</v>
      </c>
      <c r="B1007" s="5" t="s">
        <v>5002</v>
      </c>
      <c r="C1007" s="3" t="s">
        <v>5003</v>
      </c>
      <c r="D1007" s="6" t="s">
        <v>5004</v>
      </c>
      <c r="E1007" s="7" t="s">
        <v>5005</v>
      </c>
      <c r="F1007" s="5" t="str">
        <f>IFERROR(__xludf.DUMMYFUNCTION("GOOGLEFINANCE(""NSE:""&amp;A1007,""name"")"),"Indiqube Spaces Ltd")</f>
        <v>Indiqube Spaces Ltd</v>
      </c>
    </row>
    <row r="1008">
      <c r="A1008" s="1" t="s">
        <v>5006</v>
      </c>
      <c r="B1008" s="5" t="s">
        <v>5007</v>
      </c>
      <c r="C1008" s="3" t="s">
        <v>5008</v>
      </c>
      <c r="D1008" s="6" t="s">
        <v>5009</v>
      </c>
      <c r="E1008" s="7" t="s">
        <v>5010</v>
      </c>
      <c r="F1008" s="5" t="str">
        <f>IFERROR(__xludf.DUMMYFUNCTION("GOOGLEFINANCE(""NSE:""&amp;A1008,""name"")"),"Indo Amines Ltd")</f>
        <v>Indo Amines Ltd</v>
      </c>
    </row>
    <row r="1009">
      <c r="A1009" s="1" t="s">
        <v>5011</v>
      </c>
      <c r="B1009" s="5" t="s">
        <v>5012</v>
      </c>
      <c r="C1009" s="3" t="s">
        <v>5013</v>
      </c>
      <c r="D1009" s="6" t="s">
        <v>5014</v>
      </c>
      <c r="E1009" s="7" t="s">
        <v>5015</v>
      </c>
      <c r="F1009" s="5" t="str">
        <f>IFERROR(__xludf.DUMMYFUNCTION("GOOGLEFINANCE(""NSE:""&amp;A1009,""name"")"),"Indo Borax and Chemicals Ltd")</f>
        <v>Indo Borax and Chemicals Ltd</v>
      </c>
    </row>
    <row r="1010">
      <c r="A1010" s="1" t="s">
        <v>5016</v>
      </c>
      <c r="B1010" s="5" t="s">
        <v>5017</v>
      </c>
      <c r="C1010" s="3" t="s">
        <v>5018</v>
      </c>
      <c r="D1010" s="6" t="s">
        <v>5019</v>
      </c>
      <c r="E1010" s="7" t="s">
        <v>5020</v>
      </c>
      <c r="F1010" s="5" t="str">
        <f>IFERROR(__xludf.DUMMYFUNCTION("GOOGLEFINANCE(""NSE:""&amp;A1010,""name"")"),"Indo Count Industries Ltd")</f>
        <v>Indo Count Industries Ltd</v>
      </c>
    </row>
    <row r="1011">
      <c r="A1011" s="1" t="s">
        <v>5021</v>
      </c>
      <c r="B1011" s="5" t="s">
        <v>5022</v>
      </c>
      <c r="C1011" s="3" t="s">
        <v>5023</v>
      </c>
      <c r="D1011" s="6" t="s">
        <v>5024</v>
      </c>
      <c r="E1011" s="7" t="s">
        <v>5025</v>
      </c>
      <c r="F1011" s="5" t="str">
        <f>IFERROR(__xludf.DUMMYFUNCTION("GOOGLEFINANCE(""NSE:""&amp;A1011,""name"")"),"Indo Farm Equipment Ltd")</f>
        <v>Indo Farm Equipment Ltd</v>
      </c>
    </row>
    <row r="1012">
      <c r="A1012" s="1" t="s">
        <v>5026</v>
      </c>
      <c r="B1012" s="5" t="s">
        <v>5027</v>
      </c>
      <c r="C1012" s="3" t="s">
        <v>5028</v>
      </c>
      <c r="D1012" s="6" t="s">
        <v>5029</v>
      </c>
      <c r="E1012" s="7" t="s">
        <v>5030</v>
      </c>
      <c r="F1012" s="5" t="str">
        <f>IFERROR(__xludf.DUMMYFUNCTION("GOOGLEFINANCE(""NSE:""&amp;A1012,""name"")"),"Indo Rama Synthetics (India) Ltd")</f>
        <v>Indo Rama Synthetics (India) Ltd</v>
      </c>
    </row>
    <row r="1013">
      <c r="A1013" s="1" t="s">
        <v>5031</v>
      </c>
      <c r="B1013" s="5" t="s">
        <v>5032</v>
      </c>
      <c r="C1013" s="3" t="s">
        <v>5033</v>
      </c>
      <c r="D1013" s="6" t="s">
        <v>5034</v>
      </c>
      <c r="E1013" s="7" t="s">
        <v>5035</v>
      </c>
      <c r="F1013" s="5" t="str">
        <f>IFERROR(__xludf.DUMMYFUNCTION("GOOGLEFINANCE(""NSE:""&amp;A1013,""name"")"),"Indo Tech Transformers Limited")</f>
        <v>Indo Tech Transformers Limited</v>
      </c>
    </row>
    <row r="1014">
      <c r="A1014" s="1" t="s">
        <v>5036</v>
      </c>
      <c r="B1014" s="5" t="s">
        <v>5037</v>
      </c>
      <c r="C1014" s="3" t="s">
        <v>5038</v>
      </c>
      <c r="D1014" s="6" t="s">
        <v>5039</v>
      </c>
      <c r="E1014" s="7" t="s">
        <v>5040</v>
      </c>
      <c r="F1014" s="5" t="str">
        <f>IFERROR(__xludf.DUMMYFUNCTION("GOOGLEFINANCE(""NSE:""&amp;A1014,""name"")"),"Indo Thai Securities Ltd")</f>
        <v>Indo Thai Securities Ltd</v>
      </c>
    </row>
    <row r="1015">
      <c r="A1015" s="1" t="s">
        <v>5041</v>
      </c>
      <c r="B1015" s="5" t="s">
        <v>5042</v>
      </c>
      <c r="C1015" s="3" t="s">
        <v>5043</v>
      </c>
      <c r="D1015" s="6" t="s">
        <v>5044</v>
      </c>
      <c r="E1015" s="7" t="s">
        <v>5045</v>
      </c>
      <c r="F1015" s="5" t="str">
        <f>IFERROR(__xludf.DUMMYFUNCTION("GOOGLEFINANCE(""NSE:""&amp;A1015,""name"")"),"Indo US Bio-Tech Ltd")</f>
        <v>Indo US Bio-Tech Ltd</v>
      </c>
    </row>
    <row r="1016">
      <c r="A1016" s="1" t="s">
        <v>5046</v>
      </c>
      <c r="B1016" s="5" t="s">
        <v>5047</v>
      </c>
      <c r="C1016" s="3" t="s">
        <v>5048</v>
      </c>
      <c r="D1016" s="6" t="s">
        <v>5049</v>
      </c>
      <c r="E1016" s="7" t="s">
        <v>5050</v>
      </c>
      <c r="F1016" s="5" t="str">
        <f>IFERROR(__xludf.DUMMYFUNCTION("GOOGLEFINANCE(""NSE:""&amp;A1016,""name"")"),"Indo National Ltd")</f>
        <v>Indo National Ltd</v>
      </c>
    </row>
    <row r="1017">
      <c r="A1017" s="1" t="s">
        <v>5051</v>
      </c>
      <c r="B1017" s="5" t="s">
        <v>5052</v>
      </c>
      <c r="C1017" s="3" t="s">
        <v>5053</v>
      </c>
      <c r="D1017" s="6" t="s">
        <v>5054</v>
      </c>
      <c r="E1017" s="7" t="s">
        <v>5055</v>
      </c>
      <c r="F1017" s="5" t="str">
        <f>IFERROR(__xludf.DUMMYFUNCTION("GOOGLEFINANCE(""NSE:""&amp;A1017,""name"")"),"Indoco Remedies Ltd")</f>
        <v>Indoco Remedies Ltd</v>
      </c>
    </row>
    <row r="1018">
      <c r="A1018" s="1" t="s">
        <v>5056</v>
      </c>
      <c r="B1018" s="5" t="s">
        <v>5057</v>
      </c>
      <c r="C1018" s="3" t="s">
        <v>5058</v>
      </c>
      <c r="D1018" s="6" t="s">
        <v>5059</v>
      </c>
      <c r="E1018" s="7" t="s">
        <v>5060</v>
      </c>
      <c r="F1018" s="5" t="str">
        <f>IFERROR(__xludf.DUMMYFUNCTION("GOOGLEFINANCE(""NSE:""&amp;A1018,""name"")"),"Indogulf Cropsciences Ltd")</f>
        <v>Indogulf Cropsciences Ltd</v>
      </c>
    </row>
    <row r="1019">
      <c r="A1019" s="1" t="s">
        <v>5061</v>
      </c>
      <c r="B1019" s="5" t="s">
        <v>5062</v>
      </c>
      <c r="C1019" s="3" t="s">
        <v>5063</v>
      </c>
      <c r="D1019" s="6" t="s">
        <v>5064</v>
      </c>
      <c r="E1019" s="7" t="s">
        <v>5065</v>
      </c>
      <c r="F1019" s="5" t="str">
        <f>IFERROR(__xludf.DUMMYFUNCTION("GOOGLEFINANCE(""NSE:""&amp;A1019,""name"")"),"Indosolar Limited")</f>
        <v>Indosolar Limited</v>
      </c>
    </row>
    <row r="1020">
      <c r="A1020" s="1" t="s">
        <v>5066</v>
      </c>
      <c r="B1020" s="5" t="s">
        <v>5067</v>
      </c>
      <c r="C1020" s="3" t="s">
        <v>5068</v>
      </c>
      <c r="D1020" s="6" t="s">
        <v>5069</v>
      </c>
      <c r="E1020" s="7" t="s">
        <v>5070</v>
      </c>
      <c r="F1020" s="5" t="str">
        <f>IFERROR(__xludf.DUMMYFUNCTION("GOOGLEFINANCE(""NSE:""&amp;A1020,""name"")"),"IndoStar Capital Finance Ltd")</f>
        <v>IndoStar Capital Finance Ltd</v>
      </c>
    </row>
    <row r="1021">
      <c r="A1021" s="1" t="s">
        <v>5071</v>
      </c>
      <c r="B1021" s="5" t="s">
        <v>5072</v>
      </c>
      <c r="C1021" s="3" t="s">
        <v>5073</v>
      </c>
      <c r="D1021" s="6" t="s">
        <v>5074</v>
      </c>
      <c r="E1021" s="7" t="s">
        <v>5075</v>
      </c>
      <c r="F1021" s="5" t="str">
        <f>IFERROR(__xludf.DUMMYFUNCTION("GOOGLEFINANCE(""NSE:""&amp;A1021,""name"")"),"Indowind Energy Limited")</f>
        <v>Indowind Energy Limited</v>
      </c>
    </row>
    <row r="1022">
      <c r="A1022" s="1" t="s">
        <v>5076</v>
      </c>
      <c r="B1022" s="5" t="s">
        <v>5077</v>
      </c>
      <c r="C1022" s="3" t="s">
        <v>5078</v>
      </c>
      <c r="D1022" s="6" t="s">
        <v>5079</v>
      </c>
      <c r="E1022" s="7" t="s">
        <v>5080</v>
      </c>
      <c r="F1022" s="5" t="str">
        <f>IFERROR(__xludf.DUMMYFUNCTION("GOOGLEFINANCE(""NSE:""&amp;A1022,""name"")"),"Indraprastha Gas Limited")</f>
        <v>Indraprastha Gas Limited</v>
      </c>
    </row>
    <row r="1023">
      <c r="A1023" s="1" t="s">
        <v>5081</v>
      </c>
      <c r="B1023" s="5" t="s">
        <v>5082</v>
      </c>
      <c r="C1023" s="3" t="s">
        <v>5083</v>
      </c>
      <c r="D1023" s="6" t="s">
        <v>5084</v>
      </c>
      <c r="E1023" s="7" t="s">
        <v>5085</v>
      </c>
      <c r="F1023" s="5" t="str">
        <f>IFERROR(__xludf.DUMMYFUNCTION("GOOGLEFINANCE(""NSE:""&amp;A1023,""name"")"),"Indraprastha Medical Corporation Ltd")</f>
        <v>Indraprastha Medical Corporation Ltd</v>
      </c>
    </row>
    <row r="1024">
      <c r="A1024" s="1" t="s">
        <v>5086</v>
      </c>
      <c r="B1024" s="5" t="s">
        <v>5087</v>
      </c>
      <c r="C1024" s="3" t="s">
        <v>5088</v>
      </c>
      <c r="D1024" s="6" t="s">
        <v>5089</v>
      </c>
      <c r="E1024" s="7" t="s">
        <v>5090</v>
      </c>
      <c r="F1024" s="5" t="str">
        <f>IFERROR(__xludf.DUMMYFUNCTION("GOOGLEFINANCE(""NSE:""&amp;A1024,""name"")"),"Indus Towers Ltd")</f>
        <v>Indus Towers Ltd</v>
      </c>
    </row>
    <row r="1025">
      <c r="A1025" s="1" t="s">
        <v>5091</v>
      </c>
      <c r="B1025" s="5" t="s">
        <v>5092</v>
      </c>
      <c r="C1025" s="3" t="s">
        <v>5093</v>
      </c>
      <c r="D1025" s="6" t="s">
        <v>5094</v>
      </c>
      <c r="E1025" s="7" t="s">
        <v>5095</v>
      </c>
      <c r="F1025" s="5" t="str">
        <f>IFERROR(__xludf.DUMMYFUNCTION("GOOGLEFINANCE(""NSE:""&amp;A1025,""name"")"),"Indusind Bank Ltd")</f>
        <v>Indusind Bank Ltd</v>
      </c>
    </row>
    <row r="1026">
      <c r="A1026" s="1" t="s">
        <v>5096</v>
      </c>
      <c r="B1026" s="5" t="s">
        <v>5097</v>
      </c>
      <c r="C1026" s="3" t="s">
        <v>5098</v>
      </c>
      <c r="D1026" s="6" t="s">
        <v>5099</v>
      </c>
      <c r="E1026" s="7" t="s">
        <v>5100</v>
      </c>
      <c r="F1026" s="5" t="str">
        <f>IFERROR(__xludf.DUMMYFUNCTION("GOOGLEFINANCE(""NSE:""&amp;A1026,""name"")"),"Industrial Investment Trust Ltd")</f>
        <v>Industrial Investment Trust Ltd</v>
      </c>
    </row>
    <row r="1027">
      <c r="A1027" s="1" t="s">
        <v>5101</v>
      </c>
      <c r="B1027" s="5" t="s">
        <v>5102</v>
      </c>
      <c r="C1027" s="3" t="s">
        <v>5103</v>
      </c>
      <c r="D1027" s="6" t="s">
        <v>5104</v>
      </c>
      <c r="E1027" s="7" t="s">
        <v>5105</v>
      </c>
      <c r="F1027" s="5" t="str">
        <f>IFERROR(__xludf.DUMMYFUNCTION("GOOGLEFINANCE(""NSE:""&amp;A1027,""name"")"),"Infibeam Avenues Ltd")</f>
        <v>Infibeam Avenues Ltd</v>
      </c>
    </row>
    <row r="1028">
      <c r="A1028" s="1" t="s">
        <v>5106</v>
      </c>
      <c r="B1028" s="5" t="s">
        <v>5107</v>
      </c>
      <c r="C1028" s="3" t="s">
        <v>5108</v>
      </c>
      <c r="D1028" s="6" t="s">
        <v>5109</v>
      </c>
      <c r="E1028" s="7" t="s">
        <v>5110</v>
      </c>
      <c r="F1028" s="5" t="str">
        <f>IFERROR(__xludf.DUMMYFUNCTION("GOOGLEFINANCE(""NSE:""&amp;A1028,""name"")"),"Info Edge (India) Ltd")</f>
        <v>Info Edge (India) Ltd</v>
      </c>
    </row>
    <row r="1029">
      <c r="A1029" s="1" t="s">
        <v>5111</v>
      </c>
      <c r="B1029" s="5" t="s">
        <v>5112</v>
      </c>
      <c r="C1029" s="3" t="s">
        <v>5113</v>
      </c>
      <c r="D1029" s="6" t="s">
        <v>5114</v>
      </c>
      <c r="E1029" s="7" t="s">
        <v>5115</v>
      </c>
      <c r="F1029" s="5" t="str">
        <f>IFERROR(__xludf.DUMMYFUNCTION("GOOGLEFINANCE(""NSE:""&amp;A1029,""name"")"),"InfoBeans Technologies Ltd")</f>
        <v>InfoBeans Technologies Ltd</v>
      </c>
    </row>
    <row r="1030">
      <c r="A1030" s="1" t="s">
        <v>5116</v>
      </c>
      <c r="B1030" s="5" t="s">
        <v>5117</v>
      </c>
      <c r="C1030" s="3" t="s">
        <v>5118</v>
      </c>
      <c r="D1030" s="6" t="s">
        <v>5119</v>
      </c>
      <c r="E1030" s="7" t="s">
        <v>5120</v>
      </c>
      <c r="F1030" s="5" t="str">
        <f>IFERROR(__xludf.DUMMYFUNCTION("GOOGLEFINANCE(""NSE:""&amp;A1030,""name"")"),"Infomedia Press Ltd")</f>
        <v>Infomedia Press Ltd</v>
      </c>
    </row>
    <row r="1031">
      <c r="A1031" s="1" t="s">
        <v>5121</v>
      </c>
      <c r="B1031" s="5" t="s">
        <v>5122</v>
      </c>
      <c r="C1031" s="3" t="s">
        <v>5123</v>
      </c>
      <c r="D1031" s="6" t="s">
        <v>5124</v>
      </c>
      <c r="E1031" s="7" t="s">
        <v>5125</v>
      </c>
      <c r="F1031" s="5" t="str">
        <f>IFERROR(__xludf.DUMMYFUNCTION("GOOGLEFINANCE(""NSE:""&amp;A1031,""name"")"),"Infosys Ltd")</f>
        <v>Infosys Ltd</v>
      </c>
    </row>
    <row r="1032">
      <c r="A1032" s="1" t="s">
        <v>5126</v>
      </c>
      <c r="B1032" s="5" t="s">
        <v>5127</v>
      </c>
      <c r="C1032" s="3" t="s">
        <v>5128</v>
      </c>
      <c r="D1032" s="6" t="s">
        <v>5129</v>
      </c>
      <c r="E1032" s="7" t="s">
        <v>5130</v>
      </c>
      <c r="F1032" s="5" t="str">
        <f>IFERROR(__xludf.DUMMYFUNCTION("GOOGLEFINANCE(""NSE:""&amp;A1032,""name"")"),"Ingersoll-Rand (India) Ltd")</f>
        <v>Ingersoll-Rand (India) Ltd</v>
      </c>
    </row>
    <row r="1033">
      <c r="A1033" s="1" t="s">
        <v>5131</v>
      </c>
      <c r="B1033" s="5" t="s">
        <v>5132</v>
      </c>
      <c r="C1033" s="3" t="s">
        <v>5133</v>
      </c>
      <c r="D1033" s="6" t="s">
        <v>5134</v>
      </c>
      <c r="E1033" s="7" t="s">
        <v>5135</v>
      </c>
      <c r="F1033" s="5" t="str">
        <f>IFERROR(__xludf.DUMMYFUNCTION("GOOGLEFINANCE(""NSE:""&amp;A1033,""name"")"),"Innova Captab Ltd")</f>
        <v>Innova Captab Ltd</v>
      </c>
    </row>
    <row r="1034">
      <c r="A1034" s="1" t="s">
        <v>5136</v>
      </c>
      <c r="B1034" s="5" t="s">
        <v>5137</v>
      </c>
      <c r="C1034" s="3" t="s">
        <v>5138</v>
      </c>
      <c r="D1034" s="6" t="s">
        <v>5139</v>
      </c>
      <c r="E1034" s="7" t="s">
        <v>5140</v>
      </c>
      <c r="F1034" s="5" t="str">
        <f>IFERROR(__xludf.DUMMYFUNCTION("GOOGLEFINANCE(""NSE:""&amp;A1034,""name"")"),"Innovana Thinklabs Ltd")</f>
        <v>Innovana Thinklabs Ltd</v>
      </c>
    </row>
    <row r="1035">
      <c r="A1035" s="1" t="s">
        <v>5141</v>
      </c>
      <c r="B1035" s="5" t="s">
        <v>5142</v>
      </c>
      <c r="C1035" s="3" t="s">
        <v>5143</v>
      </c>
      <c r="D1035" s="6" t="s">
        <v>5144</v>
      </c>
      <c r="E1035" s="7" t="s">
        <v>5145</v>
      </c>
      <c r="F1035" s="5" t="str">
        <f>IFERROR(__xludf.DUMMYFUNCTION("GOOGLEFINANCE(""NSE:""&amp;A1035,""name"")"),"Inox Green Energy Services Ltd")</f>
        <v>Inox Green Energy Services Ltd</v>
      </c>
    </row>
    <row r="1036">
      <c r="A1036" s="1" t="s">
        <v>5146</v>
      </c>
      <c r="B1036" s="5" t="s">
        <v>5147</v>
      </c>
      <c r="C1036" s="3" t="s">
        <v>5148</v>
      </c>
      <c r="D1036" s="6" t="s">
        <v>5149</v>
      </c>
      <c r="E1036" s="7" t="s">
        <v>5150</v>
      </c>
      <c r="F1036" s="5" t="str">
        <f>IFERROR(__xludf.DUMMYFUNCTION("GOOGLEFINANCE(""NSE:""&amp;A1036,""name"")"),"INOX India Ltd")</f>
        <v>INOX India Ltd</v>
      </c>
    </row>
    <row r="1037">
      <c r="A1037" s="1" t="s">
        <v>5151</v>
      </c>
      <c r="B1037" s="5" t="s">
        <v>5152</v>
      </c>
      <c r="C1037" s="3" t="s">
        <v>5153</v>
      </c>
      <c r="D1037" s="6" t="s">
        <v>5154</v>
      </c>
      <c r="E1037" s="7" t="s">
        <v>5155</v>
      </c>
      <c r="F1037" s="5" t="str">
        <f>IFERROR(__xludf.DUMMYFUNCTION("GOOGLEFINANCE(""NSE:""&amp;A1037,""name"")"),"Inox Wind Ltd")</f>
        <v>Inox Wind Ltd</v>
      </c>
    </row>
    <row r="1038">
      <c r="A1038" s="1" t="s">
        <v>5156</v>
      </c>
      <c r="B1038" s="5" t="s">
        <v>5157</v>
      </c>
      <c r="C1038" s="3" t="s">
        <v>5158</v>
      </c>
      <c r="D1038" s="6" t="s">
        <v>5159</v>
      </c>
      <c r="E1038" s="7" t="s">
        <v>5160</v>
      </c>
      <c r="F1038" s="5" t="str">
        <f>IFERROR(__xludf.DUMMYFUNCTION("GOOGLEFINANCE(""NSE:""&amp;A1038,""name"")"),"Insecticides (India) Ltd")</f>
        <v>Insecticides (India) Ltd</v>
      </c>
    </row>
    <row r="1039">
      <c r="A1039" s="1" t="s">
        <v>5161</v>
      </c>
      <c r="B1039" s="5" t="s">
        <v>5162</v>
      </c>
      <c r="C1039" s="3" t="s">
        <v>5163</v>
      </c>
      <c r="D1039" s="6" t="s">
        <v>5164</v>
      </c>
      <c r="E1039" s="7" t="s">
        <v>5165</v>
      </c>
      <c r="F1039" s="5" t="str">
        <f>IFERROR(__xludf.DUMMYFUNCTION("GOOGLEFINANCE(""NSE:""&amp;A1039,""name"")"),"Inspirisys Solutions Ltd")</f>
        <v>Inspirisys Solutions Ltd</v>
      </c>
    </row>
    <row r="1040">
      <c r="A1040" s="1" t="s">
        <v>5166</v>
      </c>
      <c r="B1040" s="5" t="s">
        <v>5167</v>
      </c>
      <c r="C1040" s="3" t="s">
        <v>5168</v>
      </c>
      <c r="D1040" s="6" t="s">
        <v>5169</v>
      </c>
      <c r="E1040" s="7" t="s">
        <v>5170</v>
      </c>
      <c r="F1040" s="5" t="str">
        <f>IFERROR(__xludf.DUMMYFUNCTION("GOOGLEFINANCE(""NSE:""&amp;A1040,""name"")"),"Intellect Design Arena Ltd")</f>
        <v>Intellect Design Arena Ltd</v>
      </c>
    </row>
    <row r="1041">
      <c r="A1041" s="1" t="s">
        <v>5171</v>
      </c>
      <c r="B1041" s="5" t="s">
        <v>5172</v>
      </c>
      <c r="C1041" s="3" t="s">
        <v>5173</v>
      </c>
      <c r="D1041" s="6" t="s">
        <v>5174</v>
      </c>
      <c r="E1041" s="7" t="s">
        <v>5175</v>
      </c>
      <c r="F1041" s="5" t="str">
        <f>IFERROR(__xludf.DUMMYFUNCTION("GOOGLEFINANCE(""NSE:""&amp;A1041,""name"")"),"Intense Technologies Ltd")</f>
        <v>Intense Technologies Ltd</v>
      </c>
    </row>
    <row r="1042">
      <c r="A1042" s="1" t="s">
        <v>5176</v>
      </c>
      <c r="B1042" s="5" t="s">
        <v>5177</v>
      </c>
      <c r="C1042" s="3" t="s">
        <v>5178</v>
      </c>
      <c r="D1042" s="6" t="s">
        <v>5179</v>
      </c>
      <c r="E1042" s="7" t="s">
        <v>5180</v>
      </c>
      <c r="F1042" s="5" t="str">
        <f>IFERROR(__xludf.DUMMYFUNCTION("GOOGLEFINANCE(""NSE:""&amp;A1042,""name"")"),"Interarch Building Solutions Ltd")</f>
        <v>Interarch Building Solutions Ltd</v>
      </c>
    </row>
    <row r="1043">
      <c r="A1043" s="1" t="s">
        <v>5181</v>
      </c>
      <c r="B1043" s="5" t="s">
        <v>5182</v>
      </c>
      <c r="C1043" s="3" t="s">
        <v>5183</v>
      </c>
      <c r="D1043" s="6" t="s">
        <v>5184</v>
      </c>
      <c r="E1043" s="7" t="s">
        <v>5185</v>
      </c>
      <c r="F1043" s="5" t="str">
        <f>IFERROR(__xludf.DUMMYFUNCTION("GOOGLEFINANCE(""NSE:""&amp;A1043,""name"")"),"Interglobe Aviation Ltd")</f>
        <v>Interglobe Aviation Ltd</v>
      </c>
    </row>
    <row r="1044">
      <c r="A1044" s="1" t="s">
        <v>5186</v>
      </c>
      <c r="B1044" s="5" t="s">
        <v>5187</v>
      </c>
      <c r="C1044" s="3" t="s">
        <v>5188</v>
      </c>
      <c r="D1044" s="6" t="s">
        <v>5189</v>
      </c>
      <c r="E1044" s="7" t="s">
        <v>5190</v>
      </c>
      <c r="F1044" s="5" t="str">
        <f>IFERROR(__xludf.DUMMYFUNCTION("GOOGLEFINANCE(""NSE:""&amp;A1044,""name"")"),"International Conveyors Ltd")</f>
        <v>International Conveyors Ltd</v>
      </c>
    </row>
    <row r="1045">
      <c r="A1045" s="1" t="s">
        <v>5191</v>
      </c>
      <c r="B1045" s="5" t="s">
        <v>5192</v>
      </c>
      <c r="C1045" s="3" t="s">
        <v>5193</v>
      </c>
      <c r="D1045" s="6" t="s">
        <v>5194</v>
      </c>
      <c r="E1045" s="7" t="s">
        <v>5195</v>
      </c>
      <c r="F1045" s="5" t="str">
        <f>IFERROR(__xludf.DUMMYFUNCTION("GOOGLEFINANCE(""NSE:""&amp;A1045,""name"")"),"International Gemmological Ins India Ltd")</f>
        <v>International Gemmological Ins India Ltd</v>
      </c>
    </row>
    <row r="1046">
      <c r="A1046" s="1" t="s">
        <v>5196</v>
      </c>
      <c r="B1046" s="5" t="s">
        <v>5197</v>
      </c>
      <c r="C1046" s="3" t="s">
        <v>5198</v>
      </c>
      <c r="D1046" s="6" t="s">
        <v>5199</v>
      </c>
      <c r="E1046" s="7" t="s">
        <v>5200</v>
      </c>
      <c r="F1046" s="5" t="str">
        <f>IFERROR(__xludf.DUMMYFUNCTION("GOOGLEFINANCE(""NSE:""&amp;A1046,""name"")"),"Intrasoft Technologies Ltd")</f>
        <v>Intrasoft Technologies Ltd</v>
      </c>
    </row>
    <row r="1047">
      <c r="A1047" s="1" t="s">
        <v>5201</v>
      </c>
      <c r="B1047" s="5" t="s">
        <v>5202</v>
      </c>
      <c r="C1047" s="3" t="s">
        <v>5203</v>
      </c>
      <c r="D1047" s="6" t="s">
        <v>5204</v>
      </c>
      <c r="E1047" s="7" t="s">
        <v>5205</v>
      </c>
      <c r="F1047" s="5" t="str">
        <f>IFERROR(__xludf.DUMMYFUNCTION("GOOGLEFINANCE(""NSE:""&amp;A1047,""name"")"),"Inventurus Knowledge Solutions Ltd")</f>
        <v>Inventurus Knowledge Solutions Ltd</v>
      </c>
    </row>
    <row r="1048">
      <c r="A1048" s="1" t="s">
        <v>5206</v>
      </c>
      <c r="B1048" s="5" t="s">
        <v>5207</v>
      </c>
      <c r="C1048" s="3" t="s">
        <v>5208</v>
      </c>
      <c r="D1048" s="6" t="s">
        <v>5209</v>
      </c>
      <c r="E1048" s="7" t="s">
        <v>5210</v>
      </c>
      <c r="F1048" s="5" t="str">
        <f>IFERROR(__xludf.DUMMYFUNCTION("GOOGLEFINANCE(""NSE:""&amp;A1048,""name"")"),"Invesco India Gold Exchange Traded Fund")</f>
        <v>Invesco India Gold Exchange Traded Fund</v>
      </c>
    </row>
    <row r="1049">
      <c r="A1049" s="1" t="s">
        <v>5211</v>
      </c>
      <c r="B1049" s="5" t="s">
        <v>5212</v>
      </c>
      <c r="C1049" s="3" t="s">
        <v>5213</v>
      </c>
      <c r="D1049" s="6" t="s">
        <v>5214</v>
      </c>
      <c r="E1049" s="7" t="s">
        <v>5215</v>
      </c>
      <c r="F1049" s="5" t="str">
        <f>IFERROR(__xludf.DUMMYFUNCTION("GOOGLEFINANCE(""NSE:""&amp;A1049,""name"")"),"Invesco India Nifty 50 Exchange Traded Fund")</f>
        <v>Invesco India Nifty 50 Exchange Traded Fund</v>
      </c>
    </row>
    <row r="1050">
      <c r="A1050" s="1" t="s">
        <v>5216</v>
      </c>
      <c r="B1050" s="5" t="s">
        <v>5217</v>
      </c>
      <c r="C1050" s="3" t="s">
        <v>5218</v>
      </c>
      <c r="D1050" s="6" t="s">
        <v>5219</v>
      </c>
      <c r="E1050" s="7" t="s">
        <v>5220</v>
      </c>
      <c r="F1050" s="5" t="str">
        <f>IFERROR(__xludf.DUMMYFUNCTION("GOOGLEFINANCE(""NSE:""&amp;A1050,""name"")"),"IOL Chemicals and Pharmaceuticals Ltd")</f>
        <v>IOL Chemicals and Pharmaceuticals Ltd</v>
      </c>
    </row>
    <row r="1051">
      <c r="A1051" s="1" t="s">
        <v>5221</v>
      </c>
      <c r="B1051" s="5" t="s">
        <v>5222</v>
      </c>
      <c r="C1051" s="3" t="s">
        <v>5223</v>
      </c>
      <c r="D1051" s="6" t="s">
        <v>5224</v>
      </c>
      <c r="E1051" s="7" t="s">
        <v>5225</v>
      </c>
      <c r="F1051" s="5" t="str">
        <f>IFERROR(__xludf.DUMMYFUNCTION("GOOGLEFINANCE(""NSE:""&amp;A1051,""name"")"),"Ion Exchange (India) Ltd")</f>
        <v>Ion Exchange (India) Ltd</v>
      </c>
    </row>
    <row r="1052">
      <c r="A1052" s="1" t="s">
        <v>5226</v>
      </c>
      <c r="B1052" s="5" t="s">
        <v>5227</v>
      </c>
      <c r="C1052" s="3" t="s">
        <v>5228</v>
      </c>
      <c r="D1052" s="6" t="s">
        <v>5229</v>
      </c>
      <c r="E1052" s="7" t="s">
        <v>5230</v>
      </c>
      <c r="F1052" s="5" t="str">
        <f>IFERROR(__xludf.DUMMYFUNCTION("GOOGLEFINANCE(""NSE:""&amp;A1052,""name"")"),"IPCA Laboratories Ltd")</f>
        <v>IPCA Laboratories Ltd</v>
      </c>
    </row>
    <row r="1053">
      <c r="A1053" s="1" t="s">
        <v>5231</v>
      </c>
      <c r="B1053" s="5" t="s">
        <v>5232</v>
      </c>
      <c r="C1053" s="3" t="s">
        <v>5233</v>
      </c>
      <c r="D1053" s="6" t="s">
        <v>5234</v>
      </c>
      <c r="E1053" s="7" t="s">
        <v>5235</v>
      </c>
      <c r="F1053" s="5" t="str">
        <f>IFERROR(__xludf.DUMMYFUNCTION("GOOGLEFINANCE(""NSE:""&amp;A1053,""name"")"),"Irb Infrastructure Developers Ltd")</f>
        <v>Irb Infrastructure Developers Ltd</v>
      </c>
    </row>
    <row r="1054">
      <c r="A1054" s="1" t="s">
        <v>5236</v>
      </c>
      <c r="B1054" s="5" t="s">
        <v>5237</v>
      </c>
      <c r="C1054" s="3" t="s">
        <v>5238</v>
      </c>
      <c r="D1054" s="6" t="s">
        <v>5239</v>
      </c>
      <c r="E1054" s="7" t="s">
        <v>5240</v>
      </c>
      <c r="F1054" s="5" t="str">
        <f>IFERROR(__xludf.DUMMYFUNCTION("GOOGLEFINANCE(""NSE:""&amp;A1054,""name"")"),"Ircon International Ltd")</f>
        <v>Ircon International Ltd</v>
      </c>
    </row>
    <row r="1055">
      <c r="A1055" s="1" t="s">
        <v>5241</v>
      </c>
      <c r="B1055" s="5" t="s">
        <v>5242</v>
      </c>
      <c r="C1055" s="3" t="s">
        <v>5243</v>
      </c>
      <c r="D1055" s="6" t="s">
        <v>5244</v>
      </c>
      <c r="E1055" s="7" t="s">
        <v>5245</v>
      </c>
      <c r="F1055" s="5" t="str">
        <f>IFERROR(__xludf.DUMMYFUNCTION("GOOGLEFINANCE(""NSE:""&amp;A1055,""name"")"),"IRIS RegTech Solutions Ltd")</f>
        <v>IRIS RegTech Solutions Ltd</v>
      </c>
    </row>
    <row r="1056">
      <c r="A1056" s="1" t="s">
        <v>5246</v>
      </c>
      <c r="B1056" s="5" t="s">
        <v>5247</v>
      </c>
      <c r="C1056" s="3" t="s">
        <v>5248</v>
      </c>
      <c r="D1056" s="6" t="s">
        <v>5249</v>
      </c>
      <c r="E1056" s="7" t="s">
        <v>5250</v>
      </c>
      <c r="F1056" s="5" t="str">
        <f>IFERROR(__xludf.DUMMYFUNCTION("GOOGLEFINANCE(""NSE:""&amp;A1056,""name"")"),"Iris Clothings Ltd")</f>
        <v>Iris Clothings Ltd</v>
      </c>
    </row>
    <row r="1057">
      <c r="A1057" s="1" t="s">
        <v>5251</v>
      </c>
      <c r="B1057" s="5" t="s">
        <v>5252</v>
      </c>
      <c r="C1057" s="3" t="s">
        <v>5253</v>
      </c>
      <c r="D1057" s="6" t="s">
        <v>5254</v>
      </c>
      <c r="E1057" s="7" t="s">
        <v>5255</v>
      </c>
      <c r="F1057" s="5" t="str">
        <f>IFERROR(__xludf.DUMMYFUNCTION("GOOGLEFINANCE(""NSE:""&amp;A1057,""name"")"),"Irm Energy Ltd")</f>
        <v>Irm Energy Ltd</v>
      </c>
    </row>
    <row r="1058">
      <c r="A1058" s="1" t="s">
        <v>5256</v>
      </c>
      <c r="B1058" s="5" t="s">
        <v>5257</v>
      </c>
      <c r="C1058" s="3" t="s">
        <v>5258</v>
      </c>
      <c r="D1058" s="6" t="s">
        <v>5259</v>
      </c>
      <c r="E1058" s="7" t="s">
        <v>5260</v>
      </c>
      <c r="F1058" s="5" t="str">
        <f>IFERROR(__xludf.DUMMYFUNCTION("GOOGLEFINANCE(""NSE:""&amp;A1058,""name"")"),"Isgec Heavy Engineering Ltd")</f>
        <v>Isgec Heavy Engineering Ltd</v>
      </c>
    </row>
    <row r="1059">
      <c r="A1059" s="1" t="s">
        <v>5261</v>
      </c>
      <c r="B1059" s="5" t="s">
        <v>5262</v>
      </c>
      <c r="C1059" s="3" t="s">
        <v>5263</v>
      </c>
      <c r="D1059" s="6" t="s">
        <v>5264</v>
      </c>
      <c r="E1059" s="7" t="s">
        <v>5265</v>
      </c>
      <c r="F1059" s="5" t="str">
        <f>IFERROR(__xludf.DUMMYFUNCTION("GOOGLEFINANCE(""NSE:""&amp;A1059,""name"")"),"Ishan Dyes And Chemicals Ltd")</f>
        <v>Ishan Dyes And Chemicals Ltd</v>
      </c>
    </row>
    <row r="1060">
      <c r="A1060" s="1" t="s">
        <v>5266</v>
      </c>
      <c r="B1060" s="5" t="s">
        <v>5267</v>
      </c>
      <c r="C1060" s="3" t="s">
        <v>5268</v>
      </c>
      <c r="D1060" s="6" t="s">
        <v>5269</v>
      </c>
      <c r="E1060" s="7" t="s">
        <v>5270</v>
      </c>
      <c r="F1060" s="5" t="str">
        <f>IFERROR(__xludf.DUMMYFUNCTION("GOOGLEFINANCE(""NSE:""&amp;A1060,""name"")"),"ITC Hotels Ltd")</f>
        <v>ITC Hotels Ltd</v>
      </c>
    </row>
    <row r="1061">
      <c r="A1061" s="1" t="s">
        <v>5271</v>
      </c>
      <c r="B1061" s="5" t="s">
        <v>5272</v>
      </c>
      <c r="C1061" s="3" t="s">
        <v>5273</v>
      </c>
      <c r="D1061" s="6" t="s">
        <v>5274</v>
      </c>
      <c r="E1061" s="7" t="s">
        <v>5275</v>
      </c>
      <c r="F1061" s="5" t="str">
        <f>IFERROR(__xludf.DUMMYFUNCTION("GOOGLEFINANCE(""NSE:""&amp;A1061,""name"")"),"ITC Ltd")</f>
        <v>ITC Ltd</v>
      </c>
    </row>
    <row r="1062">
      <c r="A1062" s="1" t="s">
        <v>5276</v>
      </c>
      <c r="B1062" s="5" t="s">
        <v>5277</v>
      </c>
      <c r="C1062" s="3" t="s">
        <v>5278</v>
      </c>
      <c r="D1062" s="6" t="s">
        <v>5279</v>
      </c>
      <c r="E1062" s="7" t="s">
        <v>5280</v>
      </c>
      <c r="F1062" s="5" t="str">
        <f>IFERROR(__xludf.DUMMYFUNCTION("GOOGLEFINANCE(""NSE:""&amp;A1062,""name"")"),"ITI Ltd")</f>
        <v>ITI Ltd</v>
      </c>
    </row>
    <row r="1063">
      <c r="A1063" s="1" t="s">
        <v>5281</v>
      </c>
      <c r="B1063" s="5" t="s">
        <v>5282</v>
      </c>
      <c r="C1063" s="3" t="s">
        <v>5283</v>
      </c>
      <c r="D1063" s="6" t="s">
        <v>5284</v>
      </c>
      <c r="E1063" s="7" t="s">
        <v>5285</v>
      </c>
      <c r="F1063" s="5" t="str">
        <f>IFERROR(__xludf.DUMMYFUNCTION("GOOGLEFINANCE(""NSE:""&amp;A1063,""name"")"),"Ivalue Infosolutions Ltd")</f>
        <v>Ivalue Infosolutions Ltd</v>
      </c>
    </row>
    <row r="1064">
      <c r="A1064" s="1" t="s">
        <v>5286</v>
      </c>
      <c r="B1064" s="5" t="s">
        <v>5287</v>
      </c>
      <c r="C1064" s="3" t="s">
        <v>5288</v>
      </c>
      <c r="D1064" s="6" t="s">
        <v>5289</v>
      </c>
      <c r="E1064" s="7" t="s">
        <v>5290</v>
      </c>
      <c r="F1064" s="5" t="str">
        <f>IFERROR(__xludf.DUMMYFUNCTION("GOOGLEFINANCE(""NSE:""&amp;A1064,""name"")"),"IVP Ltd")</f>
        <v>IVP Ltd</v>
      </c>
    </row>
    <row r="1065">
      <c r="A1065" s="1" t="s">
        <v>5291</v>
      </c>
      <c r="B1065" s="5" t="s">
        <v>5292</v>
      </c>
      <c r="C1065" s="3" t="s">
        <v>5293</v>
      </c>
      <c r="D1065" s="6" t="s">
        <v>5294</v>
      </c>
      <c r="E1065" s="7" t="s">
        <v>5295</v>
      </c>
      <c r="F1065" s="5" t="str">
        <f>IFERROR(__xludf.DUMMYFUNCTION("GOOGLEFINANCE(""NSE:""&amp;A1065,""name"")"),"Izmo Ltd")</f>
        <v>Izmo Ltd</v>
      </c>
    </row>
    <row r="1066">
      <c r="A1066" s="1" t="s">
        <v>5296</v>
      </c>
      <c r="B1066" s="5" t="s">
        <v>5297</v>
      </c>
      <c r="C1066" s="3" t="s">
        <v>5298</v>
      </c>
      <c r="D1066" s="6" t="s">
        <v>5299</v>
      </c>
      <c r="E1066" s="7" t="s">
        <v>5300</v>
      </c>
      <c r="F1066" s="5" t="str">
        <f>IFERROR(__xludf.DUMMYFUNCTION("GOOGLEFINANCE(""NSE:""&amp;A1066,""name"")"),"JG Chemicals Ltd")</f>
        <v>JG Chemicals Ltd</v>
      </c>
    </row>
    <row r="1067">
      <c r="A1067" s="1" t="s">
        <v>5301</v>
      </c>
      <c r="B1067" s="5" t="s">
        <v>5302</v>
      </c>
      <c r="C1067" s="3" t="s">
        <v>5303</v>
      </c>
      <c r="D1067" s="6" t="s">
        <v>5304</v>
      </c>
      <c r="E1067" s="7" t="s">
        <v>5305</v>
      </c>
      <c r="F1067" s="5" t="str">
        <f>IFERROR(__xludf.DUMMYFUNCTION("GOOGLEFINANCE(""NSE:""&amp;A1067,""name"")"),"J Kumar Infraprojects Ltd")</f>
        <v>J Kumar Infraprojects Ltd</v>
      </c>
    </row>
    <row r="1068">
      <c r="A1068" s="1" t="s">
        <v>5306</v>
      </c>
      <c r="B1068" s="5" t="s">
        <v>5307</v>
      </c>
      <c r="C1068" s="3" t="s">
        <v>5308</v>
      </c>
      <c r="D1068" s="6" t="s">
        <v>5309</v>
      </c>
      <c r="E1068" s="7" t="s">
        <v>5310</v>
      </c>
      <c r="F1068" s="5" t="str">
        <f>IFERROR(__xludf.DUMMYFUNCTION("GOOGLEFINANCE(""NSE:""&amp;A1068,""name"")"),"Jagran Prakashan Ltd")</f>
        <v>Jagran Prakashan Ltd</v>
      </c>
    </row>
    <row r="1069">
      <c r="A1069" s="1" t="s">
        <v>5311</v>
      </c>
      <c r="B1069" s="5" t="s">
        <v>5312</v>
      </c>
      <c r="C1069" s="3" t="s">
        <v>5313</v>
      </c>
      <c r="D1069" s="6" t="s">
        <v>5314</v>
      </c>
      <c r="E1069" s="7" t="s">
        <v>5315</v>
      </c>
      <c r="F1069" s="5" t="str">
        <f>IFERROR(__xludf.DUMMYFUNCTION("GOOGLEFINANCE(""NSE:""&amp;A1069,""name"")"),"Jagsonpal Pharmaceuticals Ltd")</f>
        <v>Jagsonpal Pharmaceuticals Ltd</v>
      </c>
    </row>
    <row r="1070">
      <c r="A1070" s="1" t="s">
        <v>5316</v>
      </c>
      <c r="B1070" s="5" t="s">
        <v>5317</v>
      </c>
      <c r="C1070" s="3" t="s">
        <v>5318</v>
      </c>
      <c r="D1070" s="6" t="s">
        <v>5319</v>
      </c>
      <c r="E1070" s="7" t="s">
        <v>5320</v>
      </c>
      <c r="F1070" s="5" t="str">
        <f>IFERROR(__xludf.DUMMYFUNCTION("GOOGLEFINANCE(""NSE:""&amp;A1070,""name"")"),"Jai Balaji Industries Ltd.")</f>
        <v>Jai Balaji Industries Ltd.</v>
      </c>
    </row>
    <row r="1071">
      <c r="A1071" s="1" t="s">
        <v>5321</v>
      </c>
      <c r="B1071" s="5" t="s">
        <v>5322</v>
      </c>
      <c r="C1071" s="3" t="s">
        <v>5323</v>
      </c>
      <c r="D1071" s="6" t="s">
        <v>5324</v>
      </c>
      <c r="E1071" s="7" t="s">
        <v>5325</v>
      </c>
      <c r="F1071" s="5" t="str">
        <f>IFERROR(__xludf.DUMMYFUNCTION("GOOGLEFINANCE(""NSE:""&amp;A1071,""name"")"),"Jai Corp Ltd")</f>
        <v>Jai Corp Ltd</v>
      </c>
    </row>
    <row r="1072">
      <c r="A1072" s="1" t="s">
        <v>5326</v>
      </c>
      <c r="B1072" s="5" t="s">
        <v>5327</v>
      </c>
      <c r="C1072" s="3" t="s">
        <v>5328</v>
      </c>
      <c r="D1072" s="6" t="s">
        <v>5329</v>
      </c>
      <c r="E1072" s="7" t="s">
        <v>5330</v>
      </c>
      <c r="F1072" s="5" t="str">
        <f>IFERROR(__xludf.DUMMYFUNCTION("GOOGLEFINANCE(""NSE:""&amp;A1072,""name"")"),"Jain Irrigation Systems Ltd")</f>
        <v>Jain Irrigation Systems Ltd</v>
      </c>
    </row>
    <row r="1073">
      <c r="A1073" s="1" t="s">
        <v>5331</v>
      </c>
      <c r="B1073" s="5" t="s">
        <v>5327</v>
      </c>
      <c r="C1073" s="3" t="s">
        <v>5332</v>
      </c>
      <c r="D1073" s="6" t="s">
        <v>5333</v>
      </c>
      <c r="E1073" s="7" t="s">
        <v>5334</v>
      </c>
      <c r="F1073" s="5" t="str">
        <f>IFERROR(__xludf.DUMMYFUNCTION("GOOGLEFINANCE(""NSE:""&amp;A1073,""name"")"),"Jain Irrigation Systems Ord Shs DVR")</f>
        <v>Jain Irrigation Systems Ord Shs DVR</v>
      </c>
    </row>
    <row r="1074">
      <c r="A1074" s="1" t="s">
        <v>5335</v>
      </c>
      <c r="B1074" s="5" t="s">
        <v>5336</v>
      </c>
      <c r="C1074" s="3" t="s">
        <v>5337</v>
      </c>
      <c r="D1074" s="6" t="s">
        <v>5338</v>
      </c>
      <c r="E1074" s="7" t="s">
        <v>5339</v>
      </c>
      <c r="F1074" s="5" t="str">
        <f>IFERROR(__xludf.DUMMYFUNCTION("GOOGLEFINANCE(""NSE:""&amp;A1074,""name"")"),"Jain Resource Recycling Ltd")</f>
        <v>Jain Resource Recycling Ltd</v>
      </c>
    </row>
    <row r="1075">
      <c r="A1075" s="1" t="s">
        <v>5340</v>
      </c>
      <c r="B1075" s="5" t="s">
        <v>5341</v>
      </c>
      <c r="C1075" s="3" t="s">
        <v>5342</v>
      </c>
      <c r="D1075" s="6" t="s">
        <v>5343</v>
      </c>
      <c r="E1075" s="7" t="s">
        <v>5344</v>
      </c>
      <c r="F1075" s="5" t="str">
        <f>IFERROR(__xludf.DUMMYFUNCTION("GOOGLEFINANCE(""NSE:""&amp;A1075,""name"")"),"Jaiprakash Power Ventures Ltd")</f>
        <v>Jaiprakash Power Ventures Ltd</v>
      </c>
    </row>
    <row r="1076">
      <c r="A1076" s="1" t="s">
        <v>5345</v>
      </c>
      <c r="B1076" s="5" t="s">
        <v>5346</v>
      </c>
      <c r="C1076" s="3" t="s">
        <v>5347</v>
      </c>
      <c r="D1076" s="6" t="s">
        <v>5348</v>
      </c>
      <c r="E1076" s="7" t="s">
        <v>5349</v>
      </c>
      <c r="F1076" s="5" t="str">
        <f>IFERROR(__xludf.DUMMYFUNCTION("GOOGLEFINANCE(""NSE:""&amp;A1076,""name"")"),"Jamna Auto Industries Ltd")</f>
        <v>Jamna Auto Industries Ltd</v>
      </c>
    </row>
    <row r="1077">
      <c r="A1077" s="1" t="s">
        <v>5350</v>
      </c>
      <c r="B1077" s="5" t="s">
        <v>5351</v>
      </c>
      <c r="C1077" s="3" t="s">
        <v>5352</v>
      </c>
      <c r="D1077" s="6" t="s">
        <v>5353</v>
      </c>
      <c r="E1077" s="7" t="s">
        <v>5354</v>
      </c>
      <c r="F1077" s="5" t="str">
        <f>IFERROR(__xludf.DUMMYFUNCTION("GOOGLEFINANCE(""NSE:""&amp;A1077,""name"")"),"Jana Small Finance Bank Ltd")</f>
        <v>Jana Small Finance Bank Ltd</v>
      </c>
    </row>
    <row r="1078">
      <c r="A1078" s="1" t="s">
        <v>5355</v>
      </c>
      <c r="B1078" s="5" t="s">
        <v>5356</v>
      </c>
      <c r="C1078" s="3" t="s">
        <v>5357</v>
      </c>
      <c r="D1078" s="6" t="s">
        <v>5358</v>
      </c>
      <c r="E1078" s="7" t="s">
        <v>5359</v>
      </c>
      <c r="F1078" s="5" t="str">
        <f>IFERROR(__xludf.DUMMYFUNCTION("GOOGLEFINANCE(""NSE:""&amp;A1078,""name"")"),"Jaro Institute of Tech Mgt and Rsrch Ltd")</f>
        <v>Jaro Institute of Tech Mgt and Rsrch Ltd</v>
      </c>
    </row>
    <row r="1079">
      <c r="A1079" s="1" t="s">
        <v>5360</v>
      </c>
      <c r="B1079" s="5" t="s">
        <v>5361</v>
      </c>
      <c r="C1079" s="3" t="s">
        <v>5362</v>
      </c>
      <c r="D1079" s="6" t="s">
        <v>5363</v>
      </c>
      <c r="E1079" s="7" t="s">
        <v>5364</v>
      </c>
      <c r="F1079" s="5" t="str">
        <f>IFERROR(__xludf.DUMMYFUNCTION("GOOGLEFINANCE(""NSE:""&amp;A1079,""name"")"),"Jash Engineering Ltd")</f>
        <v>Jash Engineering Ltd</v>
      </c>
    </row>
    <row r="1080">
      <c r="A1080" s="1" t="s">
        <v>5365</v>
      </c>
      <c r="B1080" s="5" t="s">
        <v>5366</v>
      </c>
      <c r="C1080" s="3" t="s">
        <v>5367</v>
      </c>
      <c r="D1080" s="6" t="s">
        <v>5368</v>
      </c>
      <c r="E1080" s="7" t="s">
        <v>5369</v>
      </c>
      <c r="F1080" s="5" t="str">
        <f>IFERROR(__xludf.DUMMYFUNCTION("GOOGLEFINANCE(""NSE:""&amp;A1080,""name"")"),"Jay Bharat Maruti Ltd")</f>
        <v>Jay Bharat Maruti Ltd</v>
      </c>
    </row>
    <row r="1081">
      <c r="A1081" s="1" t="s">
        <v>5370</v>
      </c>
      <c r="B1081" s="5" t="s">
        <v>5371</v>
      </c>
      <c r="C1081" s="3" t="s">
        <v>5372</v>
      </c>
      <c r="D1081" s="6" t="s">
        <v>5373</v>
      </c>
      <c r="E1081" s="7" t="s">
        <v>5374</v>
      </c>
      <c r="F1081" s="5" t="str">
        <f>IFERROR(__xludf.DUMMYFUNCTION("GOOGLEFINANCE(""NSE:""&amp;A1081,""name"")"),"Jayant Agro-Organics Ltd")</f>
        <v>Jayant Agro-Organics Ltd</v>
      </c>
    </row>
    <row r="1082">
      <c r="A1082" s="1" t="s">
        <v>5375</v>
      </c>
      <c r="B1082" s="5" t="s">
        <v>5376</v>
      </c>
      <c r="C1082" s="3" t="s">
        <v>5377</v>
      </c>
      <c r="D1082" s="6" t="s">
        <v>5378</v>
      </c>
      <c r="E1082" s="7" t="s">
        <v>5379</v>
      </c>
      <c r="F1082" s="5" t="str">
        <f>IFERROR(__xludf.DUMMYFUNCTION("GOOGLEFINANCE(""NSE:""&amp;A1082,""name"")"),"Jayaswal Neco Industries Ltd")</f>
        <v>Jayaswal Neco Industries Ltd</v>
      </c>
    </row>
    <row r="1083">
      <c r="A1083" s="1" t="s">
        <v>5380</v>
      </c>
      <c r="B1083" s="5" t="s">
        <v>5381</v>
      </c>
      <c r="C1083" s="3" t="s">
        <v>5382</v>
      </c>
      <c r="D1083" s="6" t="s">
        <v>5383</v>
      </c>
      <c r="E1083" s="7" t="s">
        <v>5384</v>
      </c>
      <c r="F1083" s="5" t="str">
        <f>IFERROR(__xludf.DUMMYFUNCTION("GOOGLEFINANCE(""NSE:""&amp;A1083,""name"")"),"Jay Shree Tea and Industries Ltd")</f>
        <v>Jay Shree Tea and Industries Ltd</v>
      </c>
    </row>
    <row r="1084">
      <c r="A1084" s="1" t="s">
        <v>5385</v>
      </c>
      <c r="B1084" s="5" t="s">
        <v>5386</v>
      </c>
      <c r="C1084" s="3" t="s">
        <v>5387</v>
      </c>
      <c r="D1084" s="6" t="s">
        <v>5388</v>
      </c>
      <c r="E1084" s="7" t="s">
        <v>5389</v>
      </c>
      <c r="F1084" s="5" t="str">
        <f>IFERROR(__xludf.DUMMYFUNCTION("GOOGLEFINANCE(""NSE:""&amp;A1084,""name"")"),"J B Chemicals and Pharmaceuticals Ltd")</f>
        <v>J B Chemicals and Pharmaceuticals Ltd</v>
      </c>
    </row>
    <row r="1085">
      <c r="A1085" s="1" t="s">
        <v>5390</v>
      </c>
      <c r="B1085" s="5" t="s">
        <v>5391</v>
      </c>
      <c r="C1085" s="3" t="s">
        <v>5392</v>
      </c>
      <c r="D1085" s="6" t="s">
        <v>5393</v>
      </c>
      <c r="E1085" s="7" t="s">
        <v>5394</v>
      </c>
      <c r="F1085" s="5" t="str">
        <f>IFERROR(__xludf.DUMMYFUNCTION("GOOGLEFINANCE(""NSE:""&amp;A1085,""name"")"),"Jbm Auto Ltd")</f>
        <v>Jbm Auto Ltd</v>
      </c>
    </row>
    <row r="1086">
      <c r="A1086" s="1" t="s">
        <v>5395</v>
      </c>
      <c r="B1086" s="5" t="s">
        <v>5396</v>
      </c>
      <c r="C1086" s="3" t="s">
        <v>5397</v>
      </c>
      <c r="D1086" s="6" t="s">
        <v>5398</v>
      </c>
      <c r="E1086" s="7" t="s">
        <v>5399</v>
      </c>
      <c r="F1086" s="5" t="str">
        <f>IFERROR(__xludf.DUMMYFUNCTION("GOOGLEFINANCE(""NSE:""&amp;A1086,""name"")"),"Jeena Sikho Lifecare Ltd")</f>
        <v>Jeena Sikho Lifecare Ltd</v>
      </c>
    </row>
    <row r="1087">
      <c r="A1087" s="1" t="s">
        <v>5400</v>
      </c>
      <c r="B1087" s="5" t="s">
        <v>5401</v>
      </c>
      <c r="C1087" s="3" t="s">
        <v>5402</v>
      </c>
      <c r="D1087" s="6" t="s">
        <v>5403</v>
      </c>
      <c r="E1087" s="7" t="s">
        <v>5404</v>
      </c>
      <c r="F1087" s="5" t="str">
        <f>IFERROR(__xludf.DUMMYFUNCTION("GOOGLEFINANCE(""NSE:""&amp;A1087,""name"")"),"Jet Freight Logistics Ltd")</f>
        <v>Jet Freight Logistics Ltd</v>
      </c>
    </row>
    <row r="1088">
      <c r="A1088" s="1" t="s">
        <v>5405</v>
      </c>
      <c r="B1088" s="5" t="s">
        <v>5406</v>
      </c>
      <c r="C1088" s="3" t="s">
        <v>5407</v>
      </c>
      <c r="D1088" s="6" t="s">
        <v>5408</v>
      </c>
      <c r="E1088" s="7" t="s">
        <v>5409</v>
      </c>
      <c r="F1088" s="5" t="str">
        <f>IFERROR(__xludf.DUMMYFUNCTION("GOOGLEFINANCE(""NSE:""&amp;A1088,""name"")"),"JHS Svendgaard Laboratories Limited")</f>
        <v>JHS Svendgaard Laboratories Limited</v>
      </c>
    </row>
    <row r="1089">
      <c r="A1089" s="1" t="s">
        <v>5410</v>
      </c>
      <c r="B1089" s="5" t="s">
        <v>5411</v>
      </c>
      <c r="C1089" s="3" t="s">
        <v>5412</v>
      </c>
      <c r="D1089" s="6" t="s">
        <v>5413</v>
      </c>
      <c r="E1089" s="7" t="s">
        <v>5414</v>
      </c>
      <c r="F1089" s="5" t="str">
        <f>IFERROR(__xludf.DUMMYFUNCTION("GOOGLEFINANCE(""NSE:""&amp;A1089,""name"")"),"JHS Svendgaard Retail Ventures Ltd")</f>
        <v>JHS Svendgaard Retail Ventures Ltd</v>
      </c>
    </row>
    <row r="1090">
      <c r="A1090" s="1" t="s">
        <v>5415</v>
      </c>
      <c r="B1090" s="5" t="s">
        <v>5416</v>
      </c>
      <c r="C1090" s="3" t="s">
        <v>5417</v>
      </c>
      <c r="D1090" s="6" t="s">
        <v>5418</v>
      </c>
      <c r="E1090" s="7" t="s">
        <v>5419</v>
      </c>
      <c r="F1090" s="5" t="str">
        <f>IFERROR(__xludf.DUMMYFUNCTION("GOOGLEFINANCE(""NSE:""&amp;A1090,""name"")"),"Jindal Drilling and Industries Ltd")</f>
        <v>Jindal Drilling and Industries Ltd</v>
      </c>
    </row>
    <row r="1091">
      <c r="A1091" s="1" t="s">
        <v>5420</v>
      </c>
      <c r="B1091" s="5" t="s">
        <v>5421</v>
      </c>
      <c r="C1091" s="3" t="s">
        <v>5422</v>
      </c>
      <c r="D1091" s="6" t="s">
        <v>5423</v>
      </c>
      <c r="E1091" s="7" t="s">
        <v>5424</v>
      </c>
      <c r="F1091" s="5" t="str">
        <f>IFERROR(__xludf.DUMMYFUNCTION("GOOGLEFINANCE(""NSE:""&amp;A1091,""name"")"),"Jindal Photo Limited")</f>
        <v>Jindal Photo Limited</v>
      </c>
    </row>
    <row r="1092">
      <c r="A1092" s="1" t="s">
        <v>5425</v>
      </c>
      <c r="B1092" s="5" t="s">
        <v>5426</v>
      </c>
      <c r="C1092" s="3" t="s">
        <v>5427</v>
      </c>
      <c r="D1092" s="6" t="s">
        <v>5428</v>
      </c>
      <c r="E1092" s="7" t="s">
        <v>5429</v>
      </c>
      <c r="F1092" s="5" t="str">
        <f>IFERROR(__xludf.DUMMYFUNCTION("GOOGLEFINANCE(""NSE:""&amp;A1092,""name"")"),"Jindal Poly Films Ltd")</f>
        <v>Jindal Poly Films Ltd</v>
      </c>
    </row>
    <row r="1093">
      <c r="A1093" s="1" t="s">
        <v>5430</v>
      </c>
      <c r="B1093" s="5" t="s">
        <v>5431</v>
      </c>
      <c r="C1093" s="3" t="s">
        <v>5432</v>
      </c>
      <c r="D1093" s="6" t="s">
        <v>5433</v>
      </c>
      <c r="E1093" s="7" t="s">
        <v>5434</v>
      </c>
      <c r="F1093" s="5" t="str">
        <f>IFERROR(__xludf.DUMMYFUNCTION("GOOGLEFINANCE(""NSE:""&amp;A1093,""name"")"),"Jindal Poly Investment &amp; Finance Co Ltd")</f>
        <v>Jindal Poly Investment &amp; Finance Co Ltd</v>
      </c>
    </row>
    <row r="1094">
      <c r="A1094" s="1" t="s">
        <v>5435</v>
      </c>
      <c r="B1094" s="5" t="s">
        <v>5436</v>
      </c>
      <c r="C1094" s="3" t="s">
        <v>5437</v>
      </c>
      <c r="D1094" s="6" t="s">
        <v>5438</v>
      </c>
      <c r="E1094" s="7" t="s">
        <v>5439</v>
      </c>
      <c r="F1094" s="5" t="str">
        <f>IFERROR(__xludf.DUMMYFUNCTION("GOOGLEFINANCE(""NSE:""&amp;A1094,""name"")"),"Jindal SAW Ltd")</f>
        <v>Jindal SAW Ltd</v>
      </c>
    </row>
    <row r="1095">
      <c r="A1095" s="1" t="s">
        <v>5440</v>
      </c>
      <c r="B1095" s="5" t="s">
        <v>5441</v>
      </c>
      <c r="C1095" s="3" t="s">
        <v>5442</v>
      </c>
      <c r="D1095" s="6" t="s">
        <v>5443</v>
      </c>
      <c r="E1095" s="7" t="s">
        <v>5444</v>
      </c>
      <c r="F1095" s="5" t="str">
        <f>IFERROR(__xludf.DUMMYFUNCTION("GOOGLEFINANCE(""NSE:""&amp;A1095,""name"")"),"Jindal Stainless Ltd")</f>
        <v>Jindal Stainless Ltd</v>
      </c>
    </row>
    <row r="1096">
      <c r="A1096" s="1" t="s">
        <v>5445</v>
      </c>
      <c r="B1096" s="5" t="s">
        <v>5446</v>
      </c>
      <c r="C1096" s="3" t="s">
        <v>5447</v>
      </c>
      <c r="D1096" s="6" t="s">
        <v>5448</v>
      </c>
      <c r="E1096" s="7" t="s">
        <v>5449</v>
      </c>
      <c r="F1096" s="5" t="str">
        <f>IFERROR(__xludf.DUMMYFUNCTION("GOOGLEFINANCE(""NSE:""&amp;A1096,""name"")"),"Jindal Steel Ltd")</f>
        <v>Jindal Steel Ltd</v>
      </c>
    </row>
    <row r="1097">
      <c r="A1097" s="1" t="s">
        <v>5450</v>
      </c>
      <c r="B1097" s="5" t="s">
        <v>5451</v>
      </c>
      <c r="C1097" s="3" t="s">
        <v>5452</v>
      </c>
      <c r="D1097" s="6" t="s">
        <v>5453</v>
      </c>
      <c r="E1097" s="7" t="s">
        <v>5454</v>
      </c>
      <c r="F1097" s="5" t="str">
        <f>IFERROR(__xludf.DUMMYFUNCTION("GOOGLEFINANCE(""NSE:""&amp;A1097,""name"")"),"Jindal Worldwide Ltd")</f>
        <v>Jindal Worldwide Ltd</v>
      </c>
    </row>
    <row r="1098">
      <c r="A1098" s="1" t="s">
        <v>5455</v>
      </c>
      <c r="B1098" s="5" t="s">
        <v>5456</v>
      </c>
      <c r="C1098" s="3" t="s">
        <v>5457</v>
      </c>
      <c r="D1098" s="6" t="s">
        <v>5458</v>
      </c>
      <c r="E1098" s="7" t="s">
        <v>5459</v>
      </c>
      <c r="F1098" s="5" t="str">
        <f>IFERROR(__xludf.DUMMYFUNCTION("GOOGLEFINANCE(""NSE:""&amp;A1098,""name"")"),"Jio Financial Services Ltd")</f>
        <v>Jio Financial Services Ltd</v>
      </c>
    </row>
    <row r="1099">
      <c r="A1099" s="1" t="s">
        <v>5460</v>
      </c>
      <c r="B1099" s="5" t="s">
        <v>5461</v>
      </c>
      <c r="C1099" s="3" t="s">
        <v>5462</v>
      </c>
      <c r="D1099" s="6" t="s">
        <v>5463</v>
      </c>
      <c r="E1099" s="7" t="s">
        <v>5464</v>
      </c>
      <c r="F1099" s="5" t="str">
        <f>IFERROR(__xludf.DUMMYFUNCTION("GOOGLEFINANCE(""NSE:""&amp;A1099,""name"")"),"JITF Infralogistics Ltd")</f>
        <v>JITF Infralogistics Ltd</v>
      </c>
    </row>
    <row r="1100">
      <c r="A1100" s="1" t="s">
        <v>5465</v>
      </c>
      <c r="B1100" s="5" t="s">
        <v>5466</v>
      </c>
      <c r="C1100" s="3" t="s">
        <v>5467</v>
      </c>
      <c r="D1100" s="6" t="s">
        <v>5468</v>
      </c>
      <c r="E1100" s="7" t="s">
        <v>5469</v>
      </c>
      <c r="F1100" s="5" t="str">
        <f>IFERROR(__xludf.DUMMYFUNCTION("GOOGLEFINANCE(""NSE:""&amp;A1100,""name"")"),"J K Cement Ltd")</f>
        <v>J K Cement Ltd</v>
      </c>
    </row>
    <row r="1101">
      <c r="A1101" s="1" t="s">
        <v>5470</v>
      </c>
      <c r="B1101" s="5" t="s">
        <v>5471</v>
      </c>
      <c r="C1101" s="3" t="s">
        <v>5472</v>
      </c>
      <c r="D1101" s="6" t="s">
        <v>5473</v>
      </c>
      <c r="E1101" s="7" t="s">
        <v>5474</v>
      </c>
      <c r="F1101" s="5" t="str">
        <f>IFERROR(__xludf.DUMMYFUNCTION("GOOGLEFINANCE(""NSE:""&amp;A1101,""name"")"),"JK Lakshmi Cement Ltd")</f>
        <v>JK Lakshmi Cement Ltd</v>
      </c>
    </row>
    <row r="1102">
      <c r="A1102" s="1" t="s">
        <v>5475</v>
      </c>
      <c r="B1102" s="5" t="s">
        <v>5476</v>
      </c>
      <c r="C1102" s="3" t="s">
        <v>5477</v>
      </c>
      <c r="D1102" s="6" t="s">
        <v>5478</v>
      </c>
      <c r="E1102" s="7" t="s">
        <v>5479</v>
      </c>
      <c r="F1102" s="5" t="str">
        <f>IFERROR(__xludf.DUMMYFUNCTION("GOOGLEFINANCE(""NSE:""&amp;A1102,""name"")"),"JK Paper Ltd")</f>
        <v>JK Paper Ltd</v>
      </c>
    </row>
    <row r="1103">
      <c r="A1103" s="1" t="s">
        <v>5480</v>
      </c>
      <c r="B1103" s="5" t="s">
        <v>5481</v>
      </c>
      <c r="C1103" s="3" t="s">
        <v>5482</v>
      </c>
      <c r="D1103" s="6" t="s">
        <v>5483</v>
      </c>
      <c r="E1103" s="7" t="s">
        <v>5484</v>
      </c>
      <c r="F1103" s="5" t="str">
        <f>IFERROR(__xludf.DUMMYFUNCTION("GOOGLEFINANCE(""NSE:""&amp;A1103,""name"")"),"JK Tyre &amp; Industries Ltd")</f>
        <v>JK Tyre &amp; Industries Ltd</v>
      </c>
    </row>
    <row r="1104">
      <c r="A1104" s="1" t="s">
        <v>5485</v>
      </c>
      <c r="B1104" s="5" t="s">
        <v>5486</v>
      </c>
      <c r="C1104" s="3" t="s">
        <v>5487</v>
      </c>
      <c r="D1104" s="6" t="s">
        <v>5488</v>
      </c>
      <c r="E1104" s="7" t="s">
        <v>5489</v>
      </c>
      <c r="F1104" s="5" t="str">
        <f>IFERROR(__xludf.DUMMYFUNCTION("GOOGLEFINANCE(""NSE:""&amp;A1104,""name"")"),"JM Financial Ltd")</f>
        <v>JM Financial Ltd</v>
      </c>
    </row>
    <row r="1105">
      <c r="A1105" s="1" t="s">
        <v>5490</v>
      </c>
      <c r="B1105" s="5" t="s">
        <v>5491</v>
      </c>
      <c r="C1105" s="3" t="s">
        <v>5492</v>
      </c>
      <c r="D1105" s="6" t="s">
        <v>5493</v>
      </c>
      <c r="E1105" s="7" t="s">
        <v>5494</v>
      </c>
      <c r="F1105" s="5" t="str">
        <f>IFERROR(__xludf.DUMMYFUNCTION("GOOGLEFINANCE(""NSE:""&amp;A1105,""name"")"),"JNK India Ltd")</f>
        <v>JNK India Ltd</v>
      </c>
    </row>
    <row r="1106">
      <c r="A1106" s="1" t="s">
        <v>5495</v>
      </c>
      <c r="B1106" s="5" t="s">
        <v>5496</v>
      </c>
      <c r="C1106" s="3" t="s">
        <v>5497</v>
      </c>
      <c r="D1106" s="6" t="s">
        <v>5498</v>
      </c>
      <c r="E1106" s="7" t="s">
        <v>5499</v>
      </c>
      <c r="F1106" s="5" t="str">
        <f>IFERROR(__xludf.DUMMYFUNCTION("GOOGLEFINANCE(""NSE:""&amp;A1106,""name"")"),"Jocil Ltd")</f>
        <v>Jocil Ltd</v>
      </c>
    </row>
    <row r="1107">
      <c r="A1107" s="1" t="s">
        <v>5500</v>
      </c>
      <c r="B1107" s="5" t="s">
        <v>5501</v>
      </c>
      <c r="C1107" s="3" t="s">
        <v>5502</v>
      </c>
      <c r="D1107" s="6" t="s">
        <v>5503</v>
      </c>
      <c r="E1107" s="7" t="s">
        <v>5504</v>
      </c>
      <c r="F1107" s="5" t="str">
        <f>IFERROR(__xludf.DUMMYFUNCTION("GOOGLEFINANCE(""NSE:""&amp;A1107,""name"")"),"Bosch Home Comfort India Ltd")</f>
        <v>Bosch Home Comfort India Ltd</v>
      </c>
    </row>
    <row r="1108">
      <c r="A1108" s="1" t="s">
        <v>5505</v>
      </c>
      <c r="B1108" s="5" t="s">
        <v>5506</v>
      </c>
      <c r="C1108" s="3" t="s">
        <v>5507</v>
      </c>
      <c r="D1108" s="6" t="s">
        <v>5508</v>
      </c>
      <c r="E1108" s="7" t="s">
        <v>5509</v>
      </c>
      <c r="F1108" s="5" t="str">
        <f>IFERROR(__xludf.DUMMYFUNCTION("GOOGLEFINANCE(""NSE:""&amp;A1108,""name"")"),"JSW Cement Ltd")</f>
        <v>JSW Cement Ltd</v>
      </c>
    </row>
    <row r="1109">
      <c r="A1109" s="1" t="s">
        <v>5510</v>
      </c>
      <c r="B1109" s="5" t="s">
        <v>5511</v>
      </c>
      <c r="C1109" s="3" t="s">
        <v>5512</v>
      </c>
      <c r="D1109" s="6" t="s">
        <v>5513</v>
      </c>
      <c r="E1109" s="7" t="s">
        <v>5514</v>
      </c>
      <c r="F1109" s="5" t="str">
        <f>IFERROR(__xludf.DUMMYFUNCTION("GOOGLEFINANCE(""NSE:""&amp;A1109,""name"")"),"JSW Energy Ltd")</f>
        <v>JSW Energy Ltd</v>
      </c>
    </row>
    <row r="1110">
      <c r="A1110" s="1" t="s">
        <v>5515</v>
      </c>
      <c r="B1110" s="5" t="s">
        <v>5516</v>
      </c>
      <c r="C1110" s="3" t="s">
        <v>5517</v>
      </c>
      <c r="D1110" s="6" t="s">
        <v>5518</v>
      </c>
      <c r="E1110" s="7" t="s">
        <v>5519</v>
      </c>
      <c r="F1110" s="5" t="str">
        <f>IFERROR(__xludf.DUMMYFUNCTION("GOOGLEFINANCE(""NSE:""&amp;A1110,""name"")"),"JSW Holdings Ltd")</f>
        <v>JSW Holdings Ltd</v>
      </c>
    </row>
    <row r="1111">
      <c r="A1111" s="1" t="s">
        <v>5520</v>
      </c>
      <c r="B1111" s="5" t="s">
        <v>5521</v>
      </c>
      <c r="C1111" s="3" t="s">
        <v>5522</v>
      </c>
      <c r="D1111" s="6" t="s">
        <v>5523</v>
      </c>
      <c r="E1111" s="7" t="s">
        <v>5524</v>
      </c>
      <c r="F1111" s="5" t="str">
        <f>IFERROR(__xludf.DUMMYFUNCTION("GOOGLEFINANCE(""NSE:""&amp;A1111,""name"")"),"JSW Infrastructure Ltd")</f>
        <v>JSW Infrastructure Ltd</v>
      </c>
    </row>
    <row r="1112">
      <c r="A1112" s="1" t="s">
        <v>5525</v>
      </c>
      <c r="B1112" s="5" t="s">
        <v>5526</v>
      </c>
      <c r="C1112" s="3" t="s">
        <v>5527</v>
      </c>
      <c r="D1112" s="6" t="s">
        <v>5528</v>
      </c>
      <c r="E1112" s="7" t="s">
        <v>5529</v>
      </c>
      <c r="F1112" s="5" t="str">
        <f>IFERROR(__xludf.DUMMYFUNCTION("GOOGLEFINANCE(""NSE:""&amp;A1112,""name"")"),"JSW Steel Ltd")</f>
        <v>JSW Steel Ltd</v>
      </c>
    </row>
    <row r="1113">
      <c r="A1113" s="1" t="s">
        <v>5530</v>
      </c>
      <c r="B1113" s="5" t="s">
        <v>5531</v>
      </c>
      <c r="C1113" s="3" t="s">
        <v>5532</v>
      </c>
      <c r="D1113" s="6" t="s">
        <v>5533</v>
      </c>
      <c r="E1113" s="7" t="s">
        <v>5534</v>
      </c>
      <c r="F1113" s="5" t="str">
        <f>IFERROR(__xludf.DUMMYFUNCTION("GOOGLEFINANCE(""NSE:""&amp;A1113,""name"")"),"JTEKT India Ltd")</f>
        <v>JTEKT India Ltd</v>
      </c>
    </row>
    <row r="1114">
      <c r="A1114" s="1" t="s">
        <v>5535</v>
      </c>
      <c r="B1114" s="5" t="s">
        <v>5536</v>
      </c>
      <c r="C1114" s="3" t="s">
        <v>5537</v>
      </c>
      <c r="D1114" s="6" t="s">
        <v>5538</v>
      </c>
      <c r="E1114" s="7" t="s">
        <v>5539</v>
      </c>
      <c r="F1114" s="5" t="str">
        <f>IFERROR(__xludf.DUMMYFUNCTION("GOOGLEFINANCE(""NSE:""&amp;A1114,""name"")"),"JTL Industries Ltd")</f>
        <v>JTL Industries Ltd</v>
      </c>
    </row>
    <row r="1115">
      <c r="A1115" s="1" t="s">
        <v>5540</v>
      </c>
      <c r="B1115" s="5" t="s">
        <v>5541</v>
      </c>
      <c r="C1115" s="3" t="s">
        <v>5542</v>
      </c>
      <c r="D1115" s="6" t="s">
        <v>5543</v>
      </c>
      <c r="E1115" s="7" t="s">
        <v>5544</v>
      </c>
      <c r="F1115" s="5" t="str">
        <f>IFERROR(__xludf.DUMMYFUNCTION("GOOGLEFINANCE(""NSE:""&amp;A1115,""name"")"),"Jubilant Agri and Consumer Products Ltd")</f>
        <v>Jubilant Agri and Consumer Products Ltd</v>
      </c>
    </row>
    <row r="1116">
      <c r="A1116" s="1" t="s">
        <v>5545</v>
      </c>
      <c r="B1116" s="5" t="s">
        <v>5546</v>
      </c>
      <c r="C1116" s="3" t="s">
        <v>5547</v>
      </c>
      <c r="D1116" s="6" t="s">
        <v>5548</v>
      </c>
      <c r="E1116" s="7" t="s">
        <v>5549</v>
      </c>
      <c r="F1116" s="5" t="str">
        <f>IFERROR(__xludf.DUMMYFUNCTION("GOOGLEFINANCE(""NSE:""&amp;A1116,""name"")"),"Jubilant FoodWorks Ltd")</f>
        <v>Jubilant FoodWorks Ltd</v>
      </c>
    </row>
    <row r="1117">
      <c r="A1117" s="1" t="s">
        <v>5550</v>
      </c>
      <c r="B1117" s="5" t="s">
        <v>5551</v>
      </c>
      <c r="C1117" s="3" t="s">
        <v>5552</v>
      </c>
      <c r="D1117" s="6" t="s">
        <v>5553</v>
      </c>
      <c r="E1117" s="7" t="s">
        <v>5554</v>
      </c>
      <c r="F1117" s="5" t="str">
        <f>IFERROR(__xludf.DUMMYFUNCTION("GOOGLEFINANCE(""NSE:""&amp;A1117,""name"")"),"Jubilant Ingrevia Ltd")</f>
        <v>Jubilant Ingrevia Ltd</v>
      </c>
    </row>
    <row r="1118">
      <c r="A1118" s="1" t="s">
        <v>5555</v>
      </c>
      <c r="B1118" s="5" t="s">
        <v>5556</v>
      </c>
      <c r="C1118" s="3" t="s">
        <v>5557</v>
      </c>
      <c r="D1118" s="6" t="s">
        <v>5558</v>
      </c>
      <c r="E1118" s="7" t="s">
        <v>5559</v>
      </c>
      <c r="F1118" s="5" t="str">
        <f>IFERROR(__xludf.DUMMYFUNCTION("GOOGLEFINANCE(""NSE:""&amp;A1118,""name"")"),"Jubilant Pharmova Ltd")</f>
        <v>Jubilant Pharmova Ltd</v>
      </c>
    </row>
    <row r="1119">
      <c r="A1119" s="1" t="s">
        <v>5560</v>
      </c>
      <c r="B1119" s="5" t="s">
        <v>5561</v>
      </c>
      <c r="C1119" s="3" t="s">
        <v>5562</v>
      </c>
      <c r="D1119" s="6" t="s">
        <v>5563</v>
      </c>
      <c r="E1119" s="7" t="s">
        <v>5564</v>
      </c>
      <c r="F1119" s="5" t="str">
        <f>IFERROR(__xludf.DUMMYFUNCTION("GOOGLEFINANCE(""NSE:""&amp;A1119,""name"")"),"Jullundur Motor Agency (Delhi) Ltd")</f>
        <v>Jullundur Motor Agency (Delhi) Ltd</v>
      </c>
    </row>
    <row r="1120">
      <c r="A1120" s="1" t="s">
        <v>5565</v>
      </c>
      <c r="B1120" s="5" t="s">
        <v>5566</v>
      </c>
      <c r="C1120" s="3" t="s">
        <v>5567</v>
      </c>
      <c r="D1120" s="6" t="s">
        <v>5568</v>
      </c>
      <c r="E1120" s="7" t="s">
        <v>5569</v>
      </c>
      <c r="F1120" s="5" t="str">
        <f>IFERROR(__xludf.DUMMYFUNCTION("GOOGLEFINANCE(""NSE:""&amp;A1120,""name"")"),"Juniper Hotels Ltd")</f>
        <v>Juniper Hotels Ltd</v>
      </c>
    </row>
    <row r="1121">
      <c r="A1121" s="1" t="s">
        <v>5570</v>
      </c>
      <c r="B1121" s="5" t="s">
        <v>5571</v>
      </c>
      <c r="C1121" s="3" t="s">
        <v>5572</v>
      </c>
      <c r="D1121" s="6" t="s">
        <v>5573</v>
      </c>
      <c r="E1121" s="7" t="s">
        <v>5574</v>
      </c>
      <c r="F1121" s="5" t="str">
        <f>IFERROR(__xludf.DUMMYFUNCTION("GOOGLEFINANCE(""NSE:""&amp;A1121,""name"")"),"Jupiter Life Line Hospitals Ltd")</f>
        <v>Jupiter Life Line Hospitals Ltd</v>
      </c>
    </row>
    <row r="1122">
      <c r="A1122" s="1" t="s">
        <v>5575</v>
      </c>
      <c r="B1122" s="5" t="s">
        <v>5576</v>
      </c>
      <c r="C1122" s="3" t="s">
        <v>5577</v>
      </c>
      <c r="D1122" s="6" t="s">
        <v>5578</v>
      </c>
      <c r="E1122" s="7" t="s">
        <v>5579</v>
      </c>
      <c r="F1122" s="5" t="str">
        <f>IFERROR(__xludf.DUMMYFUNCTION("GOOGLEFINANCE(""NSE:""&amp;A1122,""name"")"),"Jupiter Wagons Ltd")</f>
        <v>Jupiter Wagons Ltd</v>
      </c>
    </row>
    <row r="1123">
      <c r="A1123" s="1" t="s">
        <v>5580</v>
      </c>
      <c r="B1123" s="5" t="s">
        <v>5581</v>
      </c>
      <c r="C1123" s="3" t="s">
        <v>5582</v>
      </c>
      <c r="D1123" s="6" t="s">
        <v>5583</v>
      </c>
      <c r="E1123" s="7" t="s">
        <v>5584</v>
      </c>
      <c r="F1123" s="5" t="str">
        <f>IFERROR(__xludf.DUMMYFUNCTION("GOOGLEFINANCE(""NSE:""&amp;A1123,""name"")"),"Just Dial Ltd")</f>
        <v>Just Dial Ltd</v>
      </c>
    </row>
    <row r="1124">
      <c r="A1124" s="1" t="s">
        <v>5585</v>
      </c>
      <c r="B1124" s="5" t="s">
        <v>5586</v>
      </c>
      <c r="C1124" s="3" t="s">
        <v>5587</v>
      </c>
      <c r="D1124" s="6" t="s">
        <v>5588</v>
      </c>
      <c r="E1124" s="7" t="s">
        <v>5589</v>
      </c>
      <c r="F1124" s="5" t="str">
        <f>IFERROR(__xludf.DUMMYFUNCTION("GOOGLEFINANCE(""NSE:""&amp;A1124,""name"")"),"Jyothy Labs Ltd")</f>
        <v>Jyothy Labs Ltd</v>
      </c>
    </row>
    <row r="1125">
      <c r="A1125" s="1" t="s">
        <v>5590</v>
      </c>
      <c r="B1125" s="5" t="s">
        <v>5591</v>
      </c>
      <c r="C1125" s="3" t="s">
        <v>5592</v>
      </c>
      <c r="D1125" s="6" t="s">
        <v>5593</v>
      </c>
      <c r="E1125" s="7" t="s">
        <v>5594</v>
      </c>
      <c r="F1125" s="5" t="str">
        <f>IFERROR(__xludf.DUMMYFUNCTION("GOOGLEFINANCE(""NSE:""&amp;A1125,""name"")"),"Jyoti CNC Automation Ltd")</f>
        <v>Jyoti CNC Automation Ltd</v>
      </c>
    </row>
    <row r="1126">
      <c r="A1126" s="1" t="s">
        <v>5595</v>
      </c>
      <c r="B1126" s="5" t="s">
        <v>5596</v>
      </c>
      <c r="C1126" s="3" t="s">
        <v>5597</v>
      </c>
      <c r="D1126" s="6" t="s">
        <v>5598</v>
      </c>
      <c r="E1126" s="7" t="s">
        <v>5599</v>
      </c>
      <c r="F1126" s="5" t="str">
        <f>IFERROR(__xludf.DUMMYFUNCTION("GOOGLEFINANCE(""NSE:""&amp;A1126,""name"")"),"Jyoti Structures Ltd")</f>
        <v>Jyoti Structures Ltd</v>
      </c>
    </row>
    <row r="1127">
      <c r="A1127" s="1" t="s">
        <v>5600</v>
      </c>
      <c r="B1127" s="5" t="s">
        <v>5601</v>
      </c>
      <c r="C1127" s="3" t="s">
        <v>5602</v>
      </c>
      <c r="D1127" s="6" t="s">
        <v>5603</v>
      </c>
      <c r="E1127" s="7" t="s">
        <v>5604</v>
      </c>
      <c r="F1127" s="5" t="str">
        <f>IFERROR(__xludf.DUMMYFUNCTION("GOOGLEFINANCE(""NSE:""&amp;A1127,""name"")"),"K M Sugar Mills Ltd")</f>
        <v>K M Sugar Mills Ltd</v>
      </c>
    </row>
    <row r="1128">
      <c r="A1128" s="1" t="s">
        <v>5605</v>
      </c>
      <c r="B1128" s="5" t="s">
        <v>5606</v>
      </c>
      <c r="C1128" s="3" t="s">
        <v>5607</v>
      </c>
      <c r="D1128" s="6" t="s">
        <v>5608</v>
      </c>
      <c r="E1128" s="7" t="s">
        <v>5609</v>
      </c>
      <c r="F1128" s="5" t="str">
        <f>IFERROR(__xludf.DUMMYFUNCTION("GOOGLEFINANCE(""NSE:""&amp;A1128,""name"")"),"K.P. Energy Ltd")</f>
        <v>K.P. Energy Ltd</v>
      </c>
    </row>
    <row r="1129">
      <c r="A1129" s="1" t="s">
        <v>5610</v>
      </c>
      <c r="B1129" s="5" t="s">
        <v>5611</v>
      </c>
      <c r="C1129" s="3" t="s">
        <v>5612</v>
      </c>
      <c r="D1129" s="6" t="s">
        <v>5613</v>
      </c>
      <c r="E1129" s="7" t="s">
        <v>5614</v>
      </c>
      <c r="F1129" s="5" t="str">
        <f>IFERROR(__xludf.DUMMYFUNCTION("GOOGLEFINANCE(""NSE:""&amp;A1129,""name"")"),"KPR Mill Ltd")</f>
        <v>KPR Mill Ltd</v>
      </c>
    </row>
    <row r="1130">
      <c r="A1130" s="1" t="s">
        <v>5615</v>
      </c>
      <c r="B1130" s="5" t="s">
        <v>5616</v>
      </c>
      <c r="C1130" s="3" t="s">
        <v>5617</v>
      </c>
      <c r="D1130" s="6" t="s">
        <v>5618</v>
      </c>
      <c r="E1130" s="7" t="s">
        <v>5619</v>
      </c>
      <c r="F1130" s="5" t="str">
        <f>IFERROR(__xludf.DUMMYFUNCTION("GOOGLEFINANCE(""NSE:""&amp;A1130,""name"")"),"Kabra Extrusion Technik Ltd")</f>
        <v>Kabra Extrusion Technik Ltd</v>
      </c>
    </row>
    <row r="1131">
      <c r="A1131" s="1" t="s">
        <v>5620</v>
      </c>
      <c r="B1131" s="5" t="s">
        <v>5621</v>
      </c>
      <c r="C1131" s="3" t="s">
        <v>5622</v>
      </c>
      <c r="D1131" s="6" t="s">
        <v>5623</v>
      </c>
      <c r="E1131" s="7" t="s">
        <v>5624</v>
      </c>
      <c r="F1131" s="5" t="str">
        <f>IFERROR(__xludf.DUMMYFUNCTION("GOOGLEFINANCE(""NSE:""&amp;A1131,""name"")"),"Kajaria Ceramics Ltd")</f>
        <v>Kajaria Ceramics Ltd</v>
      </c>
    </row>
    <row r="1132">
      <c r="A1132" s="1" t="s">
        <v>5625</v>
      </c>
      <c r="B1132" s="5" t="s">
        <v>5626</v>
      </c>
      <c r="C1132" s="3" t="s">
        <v>5627</v>
      </c>
      <c r="D1132" s="6" t="s">
        <v>5628</v>
      </c>
      <c r="E1132" s="7" t="s">
        <v>5629</v>
      </c>
      <c r="F1132" s="5" t="str">
        <f>IFERROR(__xludf.DUMMYFUNCTION("GOOGLEFINANCE(""NSE:""&amp;A1132,""name"")"),"Kakatiya Cement Sugar And Industries Ltd")</f>
        <v>Kakatiya Cement Sugar And Industries Ltd</v>
      </c>
    </row>
    <row r="1133">
      <c r="A1133" s="1" t="s">
        <v>5630</v>
      </c>
      <c r="B1133" s="5" t="s">
        <v>5630</v>
      </c>
      <c r="C1133" s="3" t="s">
        <v>5631</v>
      </c>
      <c r="D1133" s="6" t="s">
        <v>5632</v>
      </c>
      <c r="E1133" s="7" t="s">
        <v>5633</v>
      </c>
      <c r="F1133" s="5" t="str">
        <f>IFERROR(__xludf.DUMMYFUNCTION("GOOGLEFINANCE(""NSE:""&amp;A1133,""name"")"),"Kalpataru Limited")</f>
        <v>Kalpataru Limited</v>
      </c>
    </row>
    <row r="1134">
      <c r="A1134" s="1" t="s">
        <v>5634</v>
      </c>
      <c r="B1134" s="5" t="s">
        <v>5635</v>
      </c>
      <c r="C1134" s="3" t="s">
        <v>5636</v>
      </c>
      <c r="D1134" s="6" t="s">
        <v>5637</v>
      </c>
      <c r="E1134" s="7" t="s">
        <v>5638</v>
      </c>
      <c r="F1134" s="5" t="str">
        <f>IFERROR(__xludf.DUMMYFUNCTION("GOOGLEFINANCE(""NSE:""&amp;A1134,""name"")"),"Kalpataru Projects International Ltd")</f>
        <v>Kalpataru Projects International Ltd</v>
      </c>
    </row>
    <row r="1135">
      <c r="A1135" s="1" t="s">
        <v>5639</v>
      </c>
      <c r="B1135" s="5" t="s">
        <v>5640</v>
      </c>
      <c r="C1135" s="3" t="s">
        <v>5641</v>
      </c>
      <c r="D1135" s="6" t="s">
        <v>5642</v>
      </c>
      <c r="E1135" s="7" t="s">
        <v>5643</v>
      </c>
      <c r="F1135" s="5" t="str">
        <f>IFERROR(__xludf.DUMMYFUNCTION("GOOGLEFINANCE(""NSE:""&amp;A1135,""name"")"),"Kalyan Jewellers India Ltd")</f>
        <v>Kalyan Jewellers India Ltd</v>
      </c>
    </row>
    <row r="1136">
      <c r="A1136" s="1" t="s">
        <v>5644</v>
      </c>
      <c r="B1136" s="5" t="s">
        <v>5645</v>
      </c>
      <c r="C1136" s="3" t="s">
        <v>5646</v>
      </c>
      <c r="D1136" s="6" t="s">
        <v>5647</v>
      </c>
      <c r="E1136" s="7" t="s">
        <v>5648</v>
      </c>
      <c r="F1136" s="5" t="str">
        <f>IFERROR(__xludf.DUMMYFUNCTION("GOOGLEFINANCE(""NSE:""&amp;A1136,""name"")"),"Kalyani Forge Ltd")</f>
        <v>Kalyani Forge Ltd</v>
      </c>
    </row>
    <row r="1137">
      <c r="A1137" s="1" t="s">
        <v>5649</v>
      </c>
      <c r="B1137" s="5" t="s">
        <v>5650</v>
      </c>
      <c r="C1137" s="3" t="s">
        <v>5651</v>
      </c>
      <c r="D1137" s="6" t="s">
        <v>5652</v>
      </c>
      <c r="E1137" s="7" t="s">
        <v>5653</v>
      </c>
      <c r="F1137" s="5" t="str">
        <f>IFERROR(__xludf.DUMMYFUNCTION("GOOGLEFINANCE(""NSE:""&amp;A1137,""name"")"),"Kalyani Investment Company Ltd")</f>
        <v>Kalyani Investment Company Ltd</v>
      </c>
    </row>
    <row r="1138">
      <c r="A1138" s="1" t="s">
        <v>5654</v>
      </c>
      <c r="B1138" s="5" t="s">
        <v>5655</v>
      </c>
      <c r="C1138" s="3" t="s">
        <v>5656</v>
      </c>
      <c r="D1138" s="6" t="s">
        <v>5657</v>
      </c>
      <c r="E1138" s="7" t="s">
        <v>5658</v>
      </c>
      <c r="F1138" s="5" t="str">
        <f>IFERROR(__xludf.DUMMYFUNCTION("GOOGLEFINANCE(""NSE:""&amp;A1138,""name"")"),"Kalyani Steels Ltd")</f>
        <v>Kalyani Steels Ltd</v>
      </c>
    </row>
    <row r="1139">
      <c r="A1139" s="1" t="s">
        <v>5659</v>
      </c>
      <c r="B1139" s="5" t="s">
        <v>5660</v>
      </c>
      <c r="C1139" s="3" t="s">
        <v>5661</v>
      </c>
      <c r="D1139" s="6" t="s">
        <v>5662</v>
      </c>
      <c r="E1139" s="7" t="s">
        <v>5663</v>
      </c>
      <c r="F1139" s="5" t="str">
        <f>IFERROR(__xludf.DUMMYFUNCTION("GOOGLEFINANCE(""NSE:""&amp;A1139,""name"")"),"Kamat Hotels (India) Ltd")</f>
        <v>Kamat Hotels (India) Ltd</v>
      </c>
    </row>
    <row r="1140">
      <c r="A1140" s="1" t="s">
        <v>5664</v>
      </c>
      <c r="B1140" s="5" t="s">
        <v>5665</v>
      </c>
      <c r="C1140" s="3" t="s">
        <v>5666</v>
      </c>
      <c r="D1140" s="6" t="s">
        <v>5667</v>
      </c>
      <c r="E1140" s="7" t="s">
        <v>5668</v>
      </c>
      <c r="F1140" s="5" t="str">
        <f>IFERROR(__xludf.DUMMYFUNCTION("GOOGLEFINANCE(""NSE:""&amp;A1140,""name"")"),"Kamdhenu Ltd")</f>
        <v>Kamdhenu Ltd</v>
      </c>
    </row>
    <row r="1141">
      <c r="A1141" s="1" t="s">
        <v>5669</v>
      </c>
      <c r="B1141" s="5" t="s">
        <v>5670</v>
      </c>
      <c r="C1141" s="3" t="s">
        <v>5671</v>
      </c>
      <c r="D1141" s="6" t="s">
        <v>5672</v>
      </c>
      <c r="E1141" s="7" t="s">
        <v>5673</v>
      </c>
      <c r="F1141" s="5" t="str">
        <f>IFERROR(__xludf.DUMMYFUNCTION("GOOGLEFINANCE(""NSE:""&amp;A1141,""name"")"),"Kamdhenu Ventures Ltd")</f>
        <v>Kamdhenu Ventures Ltd</v>
      </c>
    </row>
    <row r="1142">
      <c r="A1142" s="1" t="s">
        <v>5674</v>
      </c>
      <c r="B1142" s="5" t="s">
        <v>5675</v>
      </c>
      <c r="C1142" s="3" t="s">
        <v>5676</v>
      </c>
      <c r="D1142" s="6" t="s">
        <v>5677</v>
      </c>
      <c r="E1142" s="7" t="s">
        <v>5678</v>
      </c>
      <c r="F1142" s="5" t="str">
        <f>IFERROR(__xludf.DUMMYFUNCTION("GOOGLEFINANCE(""NSE:""&amp;A1142,""name"")"),"Kanoria Chemicals and Industries Ltd")</f>
        <v>Kanoria Chemicals and Industries Ltd</v>
      </c>
    </row>
    <row r="1143">
      <c r="A1143" s="1" t="s">
        <v>5679</v>
      </c>
      <c r="B1143" s="5" t="s">
        <v>5680</v>
      </c>
      <c r="C1143" s="3" t="s">
        <v>5681</v>
      </c>
      <c r="D1143" s="6" t="s">
        <v>5682</v>
      </c>
      <c r="E1143" s="7" t="s">
        <v>5683</v>
      </c>
      <c r="F1143" s="5" t="str">
        <f>IFERROR(__xludf.DUMMYFUNCTION("GOOGLEFINANCE(""NSE:""&amp;A1143,""name"")"),"Kanpur Plastipack Limited")</f>
        <v>Kanpur Plastipack Limited</v>
      </c>
    </row>
    <row r="1144">
      <c r="A1144" s="1" t="s">
        <v>5684</v>
      </c>
      <c r="B1144" s="5" t="s">
        <v>5685</v>
      </c>
      <c r="C1144" s="3" t="s">
        <v>5686</v>
      </c>
      <c r="D1144" s="6" t="s">
        <v>5687</v>
      </c>
      <c r="E1144" s="7" t="s">
        <v>5688</v>
      </c>
      <c r="F1144" s="5" t="str">
        <f>IFERROR(__xludf.DUMMYFUNCTION("GOOGLEFINANCE(""NSE:""&amp;A1144,""name"")"),"Kansai Nerolac Paints Ltd")</f>
        <v>Kansai Nerolac Paints Ltd</v>
      </c>
    </row>
    <row r="1145">
      <c r="A1145" s="1" t="s">
        <v>5689</v>
      </c>
      <c r="B1145" s="5" t="s">
        <v>5690</v>
      </c>
      <c r="C1145" s="3" t="s">
        <v>5691</v>
      </c>
      <c r="D1145" s="6" t="s">
        <v>5692</v>
      </c>
      <c r="E1145" s="7" t="s">
        <v>5693</v>
      </c>
      <c r="F1145" s="5" t="str">
        <f>IFERROR(__xludf.DUMMYFUNCTION("GOOGLEFINANCE(""NSE:""&amp;A1145,""name"")"),"Kapston Services Ltd")</f>
        <v>Kapston Services Ltd</v>
      </c>
    </row>
    <row r="1146">
      <c r="A1146" s="1" t="s">
        <v>5694</v>
      </c>
      <c r="B1146" s="5" t="s">
        <v>5695</v>
      </c>
      <c r="C1146" s="3" t="s">
        <v>5696</v>
      </c>
      <c r="D1146" s="6" t="s">
        <v>5697</v>
      </c>
      <c r="E1146" s="7" t="s">
        <v>5698</v>
      </c>
      <c r="F1146" s="5" t="str">
        <f>IFERROR(__xludf.DUMMYFUNCTION("GOOGLEFINANCE(""NSE:""&amp;A1146,""name"")"),"Karma Energy Ltd")</f>
        <v>Karma Energy Ltd</v>
      </c>
    </row>
    <row r="1147">
      <c r="A1147" s="1" t="s">
        <v>5699</v>
      </c>
      <c r="B1147" s="5" t="s">
        <v>5700</v>
      </c>
      <c r="C1147" s="3" t="s">
        <v>5701</v>
      </c>
      <c r="D1147" s="6" t="s">
        <v>5702</v>
      </c>
      <c r="E1147" s="7" t="s">
        <v>5703</v>
      </c>
      <c r="F1147" s="5" t="str">
        <f>IFERROR(__xludf.DUMMYFUNCTION("GOOGLEFINANCE(""NSE:""&amp;A1147,""name"")"),"Karur Vysya Bank Ltd")</f>
        <v>Karur Vysya Bank Ltd</v>
      </c>
    </row>
    <row r="1148">
      <c r="A1148" s="1" t="s">
        <v>5704</v>
      </c>
      <c r="B1148" s="5" t="s">
        <v>5705</v>
      </c>
      <c r="C1148" s="3" t="s">
        <v>5706</v>
      </c>
      <c r="D1148" s="6" t="s">
        <v>5707</v>
      </c>
      <c r="E1148" s="7" t="s">
        <v>5708</v>
      </c>
      <c r="F1148" s="5" t="str">
        <f>IFERROR(__xludf.DUMMYFUNCTION("GOOGLEFINANCE(""NSE:""&amp;A1148,""name"")"),"Kaushalya Infrastructure Dev Corp Ltd")</f>
        <v>Kaushalya Infrastructure Dev Corp Ltd</v>
      </c>
    </row>
    <row r="1149">
      <c r="A1149" s="1" t="s">
        <v>5709</v>
      </c>
      <c r="B1149" s="5" t="s">
        <v>5710</v>
      </c>
      <c r="C1149" s="3" t="s">
        <v>5711</v>
      </c>
      <c r="D1149" s="6" t="s">
        <v>5712</v>
      </c>
      <c r="E1149" s="7" t="s">
        <v>5713</v>
      </c>
      <c r="F1149" s="5" t="str">
        <f>IFERROR(__xludf.DUMMYFUNCTION("GOOGLEFINANCE(""NSE:""&amp;A1149,""name"")"),"Kaveri Seed Company Ltd")</f>
        <v>Kaveri Seed Company Ltd</v>
      </c>
    </row>
    <row r="1150">
      <c r="A1150" s="1" t="s">
        <v>5714</v>
      </c>
      <c r="B1150" s="5" t="s">
        <v>5715</v>
      </c>
      <c r="C1150" s="3" t="s">
        <v>5716</v>
      </c>
      <c r="D1150" s="6" t="s">
        <v>5717</v>
      </c>
      <c r="E1150" s="7" t="s">
        <v>5718</v>
      </c>
      <c r="F1150" s="5" t="str">
        <f>IFERROR(__xludf.DUMMYFUNCTION("GOOGLEFINANCE(""NSE:""&amp;A1150,""name"")"),"Kavveri Defence &amp; Wireless Tchnlgs Ltd")</f>
        <v>Kavveri Defence &amp; Wireless Tchnlgs Ltd</v>
      </c>
    </row>
    <row r="1151">
      <c r="A1151" s="1" t="s">
        <v>5719</v>
      </c>
      <c r="B1151" s="5" t="s">
        <v>5720</v>
      </c>
      <c r="C1151" s="3" t="s">
        <v>5721</v>
      </c>
      <c r="D1151" s="6" t="s">
        <v>5722</v>
      </c>
      <c r="E1151" s="7" t="s">
        <v>5723</v>
      </c>
      <c r="F1151" s="5" t="str">
        <f>IFERROR(__xludf.DUMMYFUNCTION("GOOGLEFINANCE(""NSE:""&amp;A1151,""name"")"),"Kaya Ltd")</f>
        <v>Kaya Ltd</v>
      </c>
    </row>
    <row r="1152">
      <c r="A1152" s="1" t="s">
        <v>5724</v>
      </c>
      <c r="B1152" s="5" t="s">
        <v>5725</v>
      </c>
      <c r="C1152" s="3" t="s">
        <v>5726</v>
      </c>
      <c r="D1152" s="6" t="s">
        <v>5727</v>
      </c>
      <c r="E1152" s="7" t="s">
        <v>5728</v>
      </c>
      <c r="F1152" s="5" t="str">
        <f>IFERROR(__xludf.DUMMYFUNCTION("GOOGLEFINANCE(""NSE:""&amp;A1152,""name"")"),"Kaynes Technology India Ltd")</f>
        <v>Kaynes Technology India Ltd</v>
      </c>
    </row>
    <row r="1153">
      <c r="A1153" s="1" t="s">
        <v>5729</v>
      </c>
      <c r="B1153" s="5" t="s">
        <v>5730</v>
      </c>
      <c r="C1153" s="3" t="s">
        <v>5731</v>
      </c>
      <c r="D1153" s="6" t="s">
        <v>5732</v>
      </c>
      <c r="E1153" s="7" t="s">
        <v>5733</v>
      </c>
      <c r="F1153" s="5" t="str">
        <f>IFERROR(__xludf.DUMMYFUNCTION("GOOGLEFINANCE(""NSE:""&amp;A1153,""name"")"),"KCP Ltd")</f>
        <v>KCP Ltd</v>
      </c>
    </row>
    <row r="1154">
      <c r="A1154" s="1" t="s">
        <v>5734</v>
      </c>
      <c r="B1154" s="5" t="s">
        <v>5735</v>
      </c>
      <c r="C1154" s="3" t="s">
        <v>5736</v>
      </c>
      <c r="D1154" s="6" t="s">
        <v>5737</v>
      </c>
      <c r="E1154" s="7" t="s">
        <v>5738</v>
      </c>
      <c r="F1154" s="5" t="str">
        <f>IFERROR(__xludf.DUMMYFUNCTION("GOOGLEFINANCE(""NSE:""&amp;A1154,""name"")"),"KCP Sugar and Industries Corp Ltd")</f>
        <v>KCP Sugar and Industries Corp Ltd</v>
      </c>
    </row>
    <row r="1155">
      <c r="A1155" s="1" t="s">
        <v>5739</v>
      </c>
      <c r="B1155" s="5" t="s">
        <v>5740</v>
      </c>
      <c r="C1155" s="3" t="s">
        <v>5741</v>
      </c>
      <c r="D1155" s="6" t="s">
        <v>5742</v>
      </c>
      <c r="E1155" s="7" t="s">
        <v>5743</v>
      </c>
      <c r="F1155" s="5" t="str">
        <f>IFERROR(__xludf.DUMMYFUNCTION("GOOGLEFINANCE(""NSE:""&amp;A1155,""name"")"),"KDDL Ltd")</f>
        <v>KDDL Ltd</v>
      </c>
    </row>
    <row r="1156">
      <c r="A1156" s="1" t="s">
        <v>5744</v>
      </c>
      <c r="B1156" s="5" t="s">
        <v>5745</v>
      </c>
      <c r="C1156" s="3" t="s">
        <v>5746</v>
      </c>
      <c r="D1156" s="6" t="s">
        <v>5747</v>
      </c>
      <c r="E1156" s="7" t="s">
        <v>5748</v>
      </c>
      <c r="F1156" s="5" t="str">
        <f>IFERROR(__xludf.DUMMYFUNCTION("GOOGLEFINANCE(""NSE:""&amp;A1156,""name"")"),"KEC International Ltd")</f>
        <v>KEC International Ltd</v>
      </c>
    </row>
    <row r="1157">
      <c r="A1157" s="1" t="s">
        <v>5749</v>
      </c>
      <c r="B1157" s="5" t="s">
        <v>5750</v>
      </c>
      <c r="C1157" s="3" t="s">
        <v>5751</v>
      </c>
      <c r="D1157" s="6" t="s">
        <v>5752</v>
      </c>
      <c r="E1157" s="7" t="s">
        <v>5753</v>
      </c>
      <c r="F1157" s="5" t="str">
        <f>IFERROR(__xludf.DUMMYFUNCTION("GOOGLEFINANCE(""NSE:""&amp;A1157,""name"")"),"KEI Industries Ltd")</f>
        <v>KEI Industries Ltd</v>
      </c>
    </row>
    <row r="1158">
      <c r="A1158" s="1" t="s">
        <v>5754</v>
      </c>
      <c r="B1158" s="5" t="s">
        <v>5755</v>
      </c>
      <c r="C1158" s="3" t="s">
        <v>5756</v>
      </c>
      <c r="D1158" s="6" t="s">
        <v>5757</v>
      </c>
      <c r="E1158" s="7" t="s">
        <v>5758</v>
      </c>
      <c r="F1158" s="5" t="str">
        <f>IFERROR(__xludf.DUMMYFUNCTION("GOOGLEFINANCE(""NSE:""&amp;A1158,""name"")"),"Kellton Tech Solutions Ltd")</f>
        <v>Kellton Tech Solutions Ltd</v>
      </c>
    </row>
    <row r="1159">
      <c r="A1159" s="1" t="s">
        <v>5759</v>
      </c>
      <c r="B1159" s="5" t="s">
        <v>5760</v>
      </c>
      <c r="C1159" s="3" t="s">
        <v>5761</v>
      </c>
      <c r="D1159" s="6" t="s">
        <v>5762</v>
      </c>
      <c r="E1159" s="7" t="s">
        <v>5763</v>
      </c>
      <c r="F1159" s="5" t="str">
        <f>IFERROR(__xludf.DUMMYFUNCTION("GOOGLEFINANCE(""NSE:""&amp;A1159,""name"")"),"Kernex Microsystems (India) Limited")</f>
        <v>Kernex Microsystems (India) Limited</v>
      </c>
    </row>
    <row r="1160">
      <c r="A1160" s="1" t="s">
        <v>5764</v>
      </c>
      <c r="B1160" s="5" t="s">
        <v>5765</v>
      </c>
      <c r="C1160" s="3" t="s">
        <v>5766</v>
      </c>
      <c r="D1160" s="6" t="s">
        <v>5767</v>
      </c>
      <c r="E1160" s="7" t="s">
        <v>5768</v>
      </c>
      <c r="F1160" s="5" t="str">
        <f>IFERROR(__xludf.DUMMYFUNCTION("GOOGLEFINANCE(""NSE:""&amp;A1160,""name"")"),"Kesoram Industries Ltd")</f>
        <v>Kesoram Industries Ltd</v>
      </c>
    </row>
    <row r="1161">
      <c r="A1161" s="1" t="s">
        <v>5769</v>
      </c>
      <c r="B1161" s="5" t="s">
        <v>5770</v>
      </c>
      <c r="C1161" s="3" t="s">
        <v>5771</v>
      </c>
      <c r="D1161" s="6" t="s">
        <v>5772</v>
      </c>
      <c r="E1161" s="7" t="s">
        <v>5773</v>
      </c>
      <c r="F1161" s="5" t="str">
        <f>IFERROR(__xludf.DUMMYFUNCTION("GOOGLEFINANCE(""NSE:""&amp;A1161,""name"")"),"Kewal Kiran Clothing Limited")</f>
        <v>Kewal Kiran Clothing Limited</v>
      </c>
    </row>
    <row r="1162">
      <c r="A1162" s="1" t="s">
        <v>5774</v>
      </c>
      <c r="B1162" s="5" t="s">
        <v>5775</v>
      </c>
      <c r="C1162" s="3" t="s">
        <v>5776</v>
      </c>
      <c r="D1162" s="6" t="s">
        <v>5777</v>
      </c>
      <c r="E1162" s="7" t="s">
        <v>5778</v>
      </c>
      <c r="F1162" s="5" t="str">
        <f>IFERROR(__xludf.DUMMYFUNCTION("GOOGLEFINANCE(""NSE:""&amp;A1162,""name"")"),"Keynote Financial Services Ltd")</f>
        <v>Keynote Financial Services Ltd</v>
      </c>
    </row>
    <row r="1163">
      <c r="A1163" s="1" t="s">
        <v>5779</v>
      </c>
      <c r="B1163" s="5" t="s">
        <v>5780</v>
      </c>
      <c r="C1163" s="3" t="s">
        <v>5781</v>
      </c>
      <c r="D1163" s="6" t="s">
        <v>5782</v>
      </c>
      <c r="E1163" s="7" t="s">
        <v>5783</v>
      </c>
      <c r="F1163" s="5" t="str">
        <f>IFERROR(__xludf.DUMMYFUNCTION("GOOGLEFINANCE(""NSE:""&amp;A1163,""name"")"),"Keystone Realtors Ltd")</f>
        <v>Keystone Realtors Ltd</v>
      </c>
    </row>
    <row r="1164">
      <c r="A1164" s="1" t="s">
        <v>5784</v>
      </c>
      <c r="B1164" s="5" t="s">
        <v>5785</v>
      </c>
      <c r="C1164" s="3" t="s">
        <v>5786</v>
      </c>
      <c r="D1164" s="6" t="s">
        <v>5787</v>
      </c>
      <c r="E1164" s="7" t="s">
        <v>5788</v>
      </c>
      <c r="F1164" s="5" t="str">
        <f>IFERROR(__xludf.DUMMYFUNCTION("GOOGLEFINANCE(""NSE:""&amp;A1164,""name"")"),"Kfin Technologies Ltd")</f>
        <v>Kfin Technologies Ltd</v>
      </c>
    </row>
    <row r="1165">
      <c r="A1165" s="1" t="s">
        <v>5789</v>
      </c>
      <c r="B1165" s="5" t="s">
        <v>5790</v>
      </c>
      <c r="C1165" s="3" t="s">
        <v>5791</v>
      </c>
      <c r="D1165" s="6" t="s">
        <v>5792</v>
      </c>
      <c r="E1165" s="7" t="s">
        <v>5793</v>
      </c>
      <c r="F1165" s="5" t="str">
        <f>IFERROR(__xludf.DUMMYFUNCTION("GOOGLEFINANCE(""NSE:""&amp;A1165,""name"")"),"Khadim India Limited")</f>
        <v>Khadim India Limited</v>
      </c>
    </row>
    <row r="1166">
      <c r="A1166" s="1" t="s">
        <v>5794</v>
      </c>
      <c r="B1166" s="5" t="s">
        <v>5795</v>
      </c>
      <c r="C1166" s="3" t="s">
        <v>5796</v>
      </c>
      <c r="D1166" s="6" t="s">
        <v>5797</v>
      </c>
      <c r="E1166" s="7" t="s">
        <v>5798</v>
      </c>
      <c r="F1166" s="5" t="str">
        <f>IFERROR(__xludf.DUMMYFUNCTION("GOOGLEFINANCE(""NSE:""&amp;A1166,""name"")"),"Khaitan (India) Ltd")</f>
        <v>Khaitan (India) Ltd</v>
      </c>
    </row>
    <row r="1167">
      <c r="A1167" s="1" t="s">
        <v>5799</v>
      </c>
      <c r="B1167" s="5" t="s">
        <v>5800</v>
      </c>
      <c r="C1167" s="3" t="s">
        <v>5801</v>
      </c>
      <c r="D1167" s="6" t="s">
        <v>5802</v>
      </c>
      <c r="E1167" s="7" t="s">
        <v>5803</v>
      </c>
      <c r="F1167" s="5" t="str">
        <f>IFERROR(__xludf.DUMMYFUNCTION("GOOGLEFINANCE(""NSE:""&amp;A1167,""name"")"),"Khaitan Chemicals And Fertilizers Ltd")</f>
        <v>Khaitan Chemicals And Fertilizers Ltd</v>
      </c>
    </row>
    <row r="1168">
      <c r="A1168" s="1" t="s">
        <v>5804</v>
      </c>
      <c r="B1168" s="5" t="s">
        <v>5805</v>
      </c>
      <c r="C1168" s="3" t="s">
        <v>5806</v>
      </c>
      <c r="D1168" s="6" t="s">
        <v>5807</v>
      </c>
      <c r="E1168" s="7" t="s">
        <v>5808</v>
      </c>
      <c r="F1168" s="5" t="str">
        <f>IFERROR(__xludf.DUMMYFUNCTION("GOOGLEFINANCE(""NSE:""&amp;A1168,""name"")"),"Khandwala Securities Ltd")</f>
        <v>Khandwala Securities Ltd</v>
      </c>
    </row>
    <row r="1169">
      <c r="A1169" s="1" t="s">
        <v>5809</v>
      </c>
      <c r="B1169" s="5" t="s">
        <v>5810</v>
      </c>
      <c r="C1169" s="3" t="s">
        <v>5811</v>
      </c>
      <c r="D1169" s="6" t="s">
        <v>5812</v>
      </c>
      <c r="E1169" s="7" t="s">
        <v>5813</v>
      </c>
      <c r="F1169" s="5" t="str">
        <f>IFERROR(__xludf.DUMMYFUNCTION("GOOGLEFINANCE(""NSE:""&amp;A1169,""name"")"),"Kilitch Drugs (India) Ltd")</f>
        <v>Kilitch Drugs (India) Ltd</v>
      </c>
    </row>
    <row r="1170">
      <c r="A1170" s="1" t="s">
        <v>5814</v>
      </c>
      <c r="B1170" s="5" t="s">
        <v>5815</v>
      </c>
      <c r="C1170" s="3" t="s">
        <v>5816</v>
      </c>
      <c r="D1170" s="6" t="s">
        <v>5817</v>
      </c>
      <c r="E1170" s="7" t="s">
        <v>5818</v>
      </c>
      <c r="F1170" s="5" t="str">
        <f>IFERROR(__xludf.DUMMYFUNCTION("GOOGLEFINANCE(""NSE:""&amp;A1170,""name"")"),"Kingfa Science and Technolgy (India) Ltd")</f>
        <v>Kingfa Science and Technolgy (India) Ltd</v>
      </c>
    </row>
    <row r="1171">
      <c r="A1171" s="1" t="s">
        <v>5819</v>
      </c>
      <c r="B1171" s="5" t="s">
        <v>5820</v>
      </c>
      <c r="C1171" s="3" t="s">
        <v>5821</v>
      </c>
      <c r="D1171" s="6" t="s">
        <v>5822</v>
      </c>
      <c r="E1171" s="7" t="s">
        <v>5823</v>
      </c>
      <c r="F1171" s="5" t="str">
        <f>IFERROR(__xludf.DUMMYFUNCTION("GOOGLEFINANCE(""NSE:""&amp;A1171,""name"")"),"KIOCL Ltd")</f>
        <v>KIOCL Ltd</v>
      </c>
    </row>
    <row r="1172">
      <c r="A1172" s="1" t="s">
        <v>5824</v>
      </c>
      <c r="B1172" s="5" t="s">
        <v>5825</v>
      </c>
      <c r="C1172" s="3" t="s">
        <v>5826</v>
      </c>
      <c r="D1172" s="6" t="s">
        <v>5827</v>
      </c>
      <c r="E1172" s="7" t="s">
        <v>5828</v>
      </c>
      <c r="F1172" s="5" t="str">
        <f>IFERROR(__xludf.DUMMYFUNCTION("GOOGLEFINANCE(""NSE:""&amp;A1172,""name"")"),"Kiri Industries Ltd")</f>
        <v>Kiri Industries Ltd</v>
      </c>
    </row>
    <row r="1173">
      <c r="A1173" s="1" t="s">
        <v>5829</v>
      </c>
      <c r="B1173" s="5" t="s">
        <v>5830</v>
      </c>
      <c r="C1173" s="3" t="s">
        <v>5831</v>
      </c>
      <c r="D1173" s="6" t="s">
        <v>5832</v>
      </c>
      <c r="E1173" s="7" t="s">
        <v>5833</v>
      </c>
      <c r="F1173" s="5" t="str">
        <f>IFERROR(__xludf.DUMMYFUNCTION("GOOGLEFINANCE(""NSE:""&amp;A1173,""name"")"),"Kirloskar Brothers Ltd")</f>
        <v>Kirloskar Brothers Ltd</v>
      </c>
    </row>
    <row r="1174">
      <c r="A1174" s="1" t="s">
        <v>5834</v>
      </c>
      <c r="B1174" s="5" t="s">
        <v>5835</v>
      </c>
      <c r="C1174" s="3" t="s">
        <v>5836</v>
      </c>
      <c r="D1174" s="6" t="s">
        <v>5837</v>
      </c>
      <c r="E1174" s="7" t="s">
        <v>5838</v>
      </c>
      <c r="F1174" s="5" t="str">
        <f>IFERROR(__xludf.DUMMYFUNCTION("GOOGLEFINANCE(""NSE:""&amp;A1174,""name"")"),"Kirloskar Electric Company Ltd")</f>
        <v>Kirloskar Electric Company Ltd</v>
      </c>
    </row>
    <row r="1175">
      <c r="A1175" s="1" t="s">
        <v>5839</v>
      </c>
      <c r="B1175" s="5" t="s">
        <v>5840</v>
      </c>
      <c r="C1175" s="3" t="s">
        <v>5841</v>
      </c>
      <c r="D1175" s="6" t="s">
        <v>5842</v>
      </c>
      <c r="E1175" s="7" t="s">
        <v>5843</v>
      </c>
      <c r="F1175" s="5" t="str">
        <f>IFERROR(__xludf.DUMMYFUNCTION("GOOGLEFINANCE(""NSE:""&amp;A1175,""name"")"),"Kirloskar Industries Ltd")</f>
        <v>Kirloskar Industries Ltd</v>
      </c>
    </row>
    <row r="1176">
      <c r="A1176" s="1" t="s">
        <v>5844</v>
      </c>
      <c r="B1176" s="5" t="s">
        <v>5845</v>
      </c>
      <c r="C1176" s="3" t="s">
        <v>5846</v>
      </c>
      <c r="D1176" s="6" t="s">
        <v>5847</v>
      </c>
      <c r="E1176" s="7" t="s">
        <v>5848</v>
      </c>
      <c r="F1176" s="5" t="str">
        <f>IFERROR(__xludf.DUMMYFUNCTION("GOOGLEFINANCE(""NSE:""&amp;A1176,""name"")"),"Kirloskar Oil Engines Ltd")</f>
        <v>Kirloskar Oil Engines Ltd</v>
      </c>
    </row>
    <row r="1177">
      <c r="A1177" s="1" t="s">
        <v>5849</v>
      </c>
      <c r="B1177" s="5" t="s">
        <v>5850</v>
      </c>
      <c r="C1177" s="3" t="s">
        <v>5851</v>
      </c>
      <c r="D1177" s="6" t="s">
        <v>5852</v>
      </c>
      <c r="E1177" s="7" t="s">
        <v>5853</v>
      </c>
      <c r="F1177" s="5" t="str">
        <f>IFERROR(__xludf.DUMMYFUNCTION("GOOGLEFINANCE(""NSE:""&amp;A1177,""name"")"),"Kirloskar Pneumatic Company Ltd")</f>
        <v>Kirloskar Pneumatic Company Ltd</v>
      </c>
    </row>
    <row r="1178">
      <c r="A1178" s="1" t="s">
        <v>5854</v>
      </c>
      <c r="B1178" s="5" t="s">
        <v>5855</v>
      </c>
      <c r="C1178" s="3" t="s">
        <v>5856</v>
      </c>
      <c r="D1178" s="6" t="s">
        <v>5857</v>
      </c>
      <c r="E1178" s="7" t="s">
        <v>5858</v>
      </c>
      <c r="F1178" s="5" t="str">
        <f>IFERROR(__xludf.DUMMYFUNCTION("GOOGLEFINANCE(""NSE:""&amp;A1178,""name"")"),"Kitex Garments Ltd")</f>
        <v>Kitex Garments Ltd</v>
      </c>
    </row>
    <row r="1179">
      <c r="A1179" s="1" t="s">
        <v>5859</v>
      </c>
      <c r="B1179" s="5" t="s">
        <v>5860</v>
      </c>
      <c r="C1179" s="3" t="s">
        <v>5861</v>
      </c>
      <c r="D1179" s="6" t="s">
        <v>5862</v>
      </c>
      <c r="E1179" s="7" t="s">
        <v>5863</v>
      </c>
      <c r="F1179" s="5" t="str">
        <f>IFERROR(__xludf.DUMMYFUNCTION("GOOGLEFINANCE(""NSE:""&amp;A1179,""name"")"),"#N/A")</f>
        <v>#N/A</v>
      </c>
    </row>
    <row r="1180">
      <c r="A1180" s="1" t="s">
        <v>5864</v>
      </c>
      <c r="B1180" s="5" t="s">
        <v>5865</v>
      </c>
      <c r="C1180" s="3" t="s">
        <v>5866</v>
      </c>
      <c r="D1180" s="6" t="s">
        <v>5867</v>
      </c>
      <c r="E1180" s="7" t="s">
        <v>5868</v>
      </c>
      <c r="F1180" s="5" t="str">
        <f>IFERROR(__xludf.DUMMYFUNCTION("GOOGLEFINANCE(""NSE:""&amp;A1180,""name"")"),"Knowledge Marine &amp; Engineering Works Ltd")</f>
        <v>Knowledge Marine &amp; Engineering Works Ltd</v>
      </c>
    </row>
    <row r="1181">
      <c r="A1181" s="1" t="s">
        <v>5869</v>
      </c>
      <c r="B1181" s="5" t="s">
        <v>5870</v>
      </c>
      <c r="C1181" s="3" t="s">
        <v>5871</v>
      </c>
      <c r="D1181" s="6" t="s">
        <v>5872</v>
      </c>
      <c r="E1181" s="7" t="s">
        <v>5873</v>
      </c>
      <c r="F1181" s="5" t="str">
        <f>IFERROR(__xludf.DUMMYFUNCTION("GOOGLEFINANCE(""NSE:""&amp;A1181,""name"")"),"KNR Constructions Ltd")</f>
        <v>KNR Constructions Ltd</v>
      </c>
    </row>
    <row r="1182">
      <c r="A1182" s="1" t="s">
        <v>5874</v>
      </c>
      <c r="B1182" s="5" t="s">
        <v>5875</v>
      </c>
      <c r="C1182" s="3" t="s">
        <v>5876</v>
      </c>
      <c r="D1182" s="6" t="s">
        <v>5877</v>
      </c>
      <c r="E1182" s="7" t="s">
        <v>5878</v>
      </c>
      <c r="F1182" s="5" t="str">
        <f>IFERROR(__xludf.DUMMYFUNCTION("GOOGLEFINANCE(""NSE:""&amp;A1182,""name"")"),"Kohinoor Foods Ltd")</f>
        <v>Kohinoor Foods Ltd</v>
      </c>
    </row>
    <row r="1183">
      <c r="A1183" s="1" t="s">
        <v>5879</v>
      </c>
      <c r="B1183" s="5" t="s">
        <v>5880</v>
      </c>
      <c r="C1183" s="3" t="s">
        <v>5881</v>
      </c>
      <c r="D1183" s="6" t="s">
        <v>5882</v>
      </c>
      <c r="E1183" s="7" t="s">
        <v>5883</v>
      </c>
      <c r="F1183" s="5" t="str">
        <f>IFERROR(__xludf.DUMMYFUNCTION("GOOGLEFINANCE(""NSE:""&amp;A1183,""name"")"),"Kokuyo Camlin Ltd")</f>
        <v>Kokuyo Camlin Ltd</v>
      </c>
    </row>
    <row r="1184">
      <c r="A1184" s="1" t="s">
        <v>5884</v>
      </c>
      <c r="B1184" s="5" t="s">
        <v>5885</v>
      </c>
      <c r="C1184" s="3" t="s">
        <v>5886</v>
      </c>
      <c r="D1184" s="6" t="s">
        <v>5887</v>
      </c>
      <c r="E1184" s="7" t="s">
        <v>5888</v>
      </c>
      <c r="F1184" s="5" t="str">
        <f>IFERROR(__xludf.DUMMYFUNCTION("GOOGLEFINANCE(""NSE:""&amp;A1184,""name"")"),"Kolte-Patil Developers Ltd")</f>
        <v>Kolte-Patil Developers Ltd</v>
      </c>
    </row>
    <row r="1185">
      <c r="A1185" s="1" t="s">
        <v>5889</v>
      </c>
      <c r="B1185" s="5" t="s">
        <v>5890</v>
      </c>
      <c r="C1185" s="3" t="s">
        <v>5891</v>
      </c>
      <c r="D1185" s="6" t="s">
        <v>5892</v>
      </c>
      <c r="E1185" s="7" t="s">
        <v>5893</v>
      </c>
      <c r="F1185" s="5" t="str">
        <f>IFERROR(__xludf.DUMMYFUNCTION("GOOGLEFINANCE(""NSE:""&amp;A1185,""name"")"),"Kopran Ltd")</f>
        <v>Kopran Ltd</v>
      </c>
    </row>
    <row r="1186">
      <c r="A1186" s="1" t="s">
        <v>5894</v>
      </c>
      <c r="B1186" s="5" t="s">
        <v>5895</v>
      </c>
      <c r="C1186" s="3" t="s">
        <v>5896</v>
      </c>
      <c r="D1186" s="6" t="s">
        <v>5897</v>
      </c>
      <c r="E1186" s="7" t="s">
        <v>5898</v>
      </c>
      <c r="F1186" s="5" t="str">
        <f>IFERROR(__xludf.DUMMYFUNCTION("GOOGLEFINANCE(""NSE:""&amp;A1186,""name"")"),"Kotak Gold ETF")</f>
        <v>Kotak Gold ETF</v>
      </c>
    </row>
    <row r="1187">
      <c r="A1187" s="1" t="s">
        <v>5899</v>
      </c>
      <c r="B1187" s="5" t="s">
        <v>5900</v>
      </c>
      <c r="C1187" s="3" t="s">
        <v>5901</v>
      </c>
      <c r="D1187" s="6" t="s">
        <v>5902</v>
      </c>
      <c r="E1187" s="7" t="s">
        <v>5903</v>
      </c>
      <c r="F1187" s="5" t="str">
        <f>IFERROR(__xludf.DUMMYFUNCTION("GOOGLEFINANCE(""NSE:""&amp;A1187,""name"")"),"Kotak Nifty It ETF")</f>
        <v>Kotak Nifty It ETF</v>
      </c>
    </row>
    <row r="1188">
      <c r="A1188" s="1" t="s">
        <v>5904</v>
      </c>
      <c r="B1188" s="5" t="s">
        <v>5905</v>
      </c>
      <c r="C1188" s="3" t="s">
        <v>5906</v>
      </c>
      <c r="D1188" s="6" t="s">
        <v>5907</v>
      </c>
      <c r="E1188" s="7" t="s">
        <v>5908</v>
      </c>
      <c r="F1188" s="5" t="str">
        <f>IFERROR(__xludf.DUMMYFUNCTION("GOOGLEFINANCE(""NSE:""&amp;A1188,""name"")"),"Kotak Mahindra Bank Ltd Fully Paid Ord. Shrs")</f>
        <v>Kotak Mahindra Bank Ltd Fully Paid Ord. Shrs</v>
      </c>
    </row>
    <row r="1189">
      <c r="A1189" s="1" t="s">
        <v>5909</v>
      </c>
      <c r="B1189" s="5" t="s">
        <v>5910</v>
      </c>
      <c r="C1189" s="3" t="s">
        <v>5911</v>
      </c>
      <c r="D1189" s="6" t="s">
        <v>5912</v>
      </c>
      <c r="E1189" s="7" t="s">
        <v>5913</v>
      </c>
      <c r="F1189" s="5" t="str">
        <f>IFERROR(__xludf.DUMMYFUNCTION("GOOGLEFINANCE(""NSE:""&amp;A1189,""name"")"),"Kotak MSCI India ETF")</f>
        <v>Kotak MSCI India ETF</v>
      </c>
    </row>
    <row r="1190">
      <c r="A1190" s="1" t="s">
        <v>5914</v>
      </c>
      <c r="B1190" s="5" t="s">
        <v>5915</v>
      </c>
      <c r="C1190" s="3" t="s">
        <v>5916</v>
      </c>
      <c r="D1190" s="6" t="s">
        <v>5917</v>
      </c>
      <c r="E1190" s="7" t="s">
        <v>5918</v>
      </c>
      <c r="F1190" s="5" t="str">
        <f>IFERROR(__xludf.DUMMYFUNCTION("GOOGLEFINANCE(""NSE:""&amp;A1190,""name"")"),"Kotak Nifty 100 Equal Weight ETF")</f>
        <v>Kotak Nifty 100 Equal Weight ETF</v>
      </c>
    </row>
    <row r="1191">
      <c r="A1191" s="1" t="s">
        <v>5919</v>
      </c>
      <c r="B1191" s="5" t="s">
        <v>5920</v>
      </c>
      <c r="C1191" s="3" t="s">
        <v>5921</v>
      </c>
      <c r="D1191" s="6" t="s">
        <v>5922</v>
      </c>
      <c r="E1191" s="7" t="s">
        <v>5923</v>
      </c>
      <c r="F1191" s="5" t="str">
        <f>IFERROR(__xludf.DUMMYFUNCTION("GOOGLEFINANCE(""NSE:""&amp;A1191,""name"")"),"Kotak Nifty 100 Low Volatility 30 ETF")</f>
        <v>Kotak Nifty 100 Low Volatility 30 ETF</v>
      </c>
    </row>
    <row r="1192">
      <c r="A1192" s="1" t="s">
        <v>5924</v>
      </c>
      <c r="B1192" s="5" t="s">
        <v>5925</v>
      </c>
      <c r="C1192" s="3" t="s">
        <v>5926</v>
      </c>
      <c r="D1192" s="6" t="s">
        <v>5927</v>
      </c>
      <c r="E1192" s="7" t="s">
        <v>5928</v>
      </c>
      <c r="F1192" s="5" t="str">
        <f>IFERROR(__xludf.DUMMYFUNCTION("GOOGLEFINANCE(""NSE:""&amp;A1192,""name"")"),"Kotak Nifty 1D Rate Liquid ETF")</f>
        <v>Kotak Nifty 1D Rate Liquid ETF</v>
      </c>
    </row>
    <row r="1193">
      <c r="A1193" s="1" t="s">
        <v>5929</v>
      </c>
      <c r="B1193" s="5" t="s">
        <v>5930</v>
      </c>
      <c r="C1193" s="3" t="s">
        <v>5931</v>
      </c>
      <c r="D1193" s="6" t="s">
        <v>5932</v>
      </c>
      <c r="E1193" s="7" t="s">
        <v>5933</v>
      </c>
      <c r="F1193" s="5" t="str">
        <f>IFERROR(__xludf.DUMMYFUNCTION("GOOGLEFINANCE(""NSE:""&amp;A1193,""name"")"),"Kotak Nifty 200 Momentum 30 ETF")</f>
        <v>Kotak Nifty 200 Momentum 30 ETF</v>
      </c>
    </row>
    <row r="1194">
      <c r="A1194" s="1" t="s">
        <v>5934</v>
      </c>
      <c r="B1194" s="5" t="s">
        <v>5935</v>
      </c>
      <c r="C1194" s="3" t="s">
        <v>5936</v>
      </c>
      <c r="D1194" s="6" t="s">
        <v>5937</v>
      </c>
      <c r="E1194" s="7" t="s">
        <v>5938</v>
      </c>
      <c r="F1194" s="5" t="str">
        <f>IFERROR(__xludf.DUMMYFUNCTION("GOOGLEFINANCE(""NSE:""&amp;A1194,""name"")"),"Kotak Nifty Alpha 50 ETF")</f>
        <v>Kotak Nifty Alpha 50 ETF</v>
      </c>
    </row>
    <row r="1195">
      <c r="A1195" s="1" t="s">
        <v>5939</v>
      </c>
      <c r="B1195" s="5" t="s">
        <v>5940</v>
      </c>
      <c r="C1195" s="3" t="s">
        <v>5941</v>
      </c>
      <c r="D1195" s="6" t="s">
        <v>5942</v>
      </c>
      <c r="E1195" s="7" t="s">
        <v>5943</v>
      </c>
      <c r="F1195" s="5" t="str">
        <f>IFERROR(__xludf.DUMMYFUNCTION("GOOGLEFINANCE(""NSE:""&amp;A1195,""name"")"),"Kotak Nifty Chemicals ETF")</f>
        <v>Kotak Nifty Chemicals ETF</v>
      </c>
    </row>
    <row r="1196">
      <c r="A1196" s="1" t="s">
        <v>5944</v>
      </c>
      <c r="B1196" s="5" t="s">
        <v>5945</v>
      </c>
      <c r="C1196" s="3" t="s">
        <v>5946</v>
      </c>
      <c r="D1196" s="6" t="s">
        <v>5947</v>
      </c>
      <c r="E1196" s="7" t="s">
        <v>5948</v>
      </c>
      <c r="F1196" s="5" t="str">
        <f>IFERROR(__xludf.DUMMYFUNCTION("GOOGLEFINANCE(""NSE:""&amp;A1196,""name"")"),"Kotak Nifty India Consumption ETF")</f>
        <v>Kotak Nifty India Consumption ETF</v>
      </c>
    </row>
    <row r="1197">
      <c r="A1197" s="1" t="s">
        <v>5949</v>
      </c>
      <c r="B1197" s="5" t="s">
        <v>5950</v>
      </c>
      <c r="C1197" s="3" t="s">
        <v>5951</v>
      </c>
      <c r="D1197" s="6" t="s">
        <v>5952</v>
      </c>
      <c r="E1197" s="7" t="s">
        <v>5953</v>
      </c>
      <c r="F1197" s="5" t="str">
        <f>IFERROR(__xludf.DUMMYFUNCTION("GOOGLEFINANCE(""NSE:""&amp;A1197,""name"")"),"Kotak Nifty Midcap 150 ETF")</f>
        <v>Kotak Nifty Midcap 150 ETF</v>
      </c>
    </row>
    <row r="1198">
      <c r="A1198" s="1" t="s">
        <v>5954</v>
      </c>
      <c r="B1198" s="5" t="s">
        <v>5955</v>
      </c>
      <c r="C1198" s="3" t="s">
        <v>5956</v>
      </c>
      <c r="D1198" s="6" t="s">
        <v>5957</v>
      </c>
      <c r="E1198" s="7" t="s">
        <v>5958</v>
      </c>
      <c r="F1198" s="5" t="str">
        <f>IFERROR(__xludf.DUMMYFUNCTION("GOOGLEFINANCE(""NSE:""&amp;A1198,""name"")"),"Kotak Nifty Midcap 50 ETF")</f>
        <v>Kotak Nifty Midcap 50 ETF</v>
      </c>
    </row>
    <row r="1199">
      <c r="A1199" s="1" t="s">
        <v>5959</v>
      </c>
      <c r="B1199" s="5" t="s">
        <v>5960</v>
      </c>
      <c r="C1199" s="3" t="s">
        <v>5961</v>
      </c>
      <c r="D1199" s="6" t="s">
        <v>5962</v>
      </c>
      <c r="E1199" s="7" t="s">
        <v>5963</v>
      </c>
      <c r="F1199" s="5" t="str">
        <f>IFERROR(__xludf.DUMMYFUNCTION("GOOGLEFINANCE(""NSE:""&amp;A1199,""name"")"),"Kotak Nifty MNC ETF")</f>
        <v>Kotak Nifty MNC ETF</v>
      </c>
    </row>
    <row r="1200">
      <c r="A1200" s="1" t="s">
        <v>5964</v>
      </c>
      <c r="B1200" s="5" t="s">
        <v>5965</v>
      </c>
      <c r="C1200" s="3" t="s">
        <v>5966</v>
      </c>
      <c r="D1200" s="6" t="s">
        <v>5967</v>
      </c>
      <c r="E1200" s="7" t="s">
        <v>5968</v>
      </c>
      <c r="F1200" s="5" t="str">
        <f>IFERROR(__xludf.DUMMYFUNCTION("GOOGLEFINANCE(""NSE:""&amp;A1200,""name"")"),"Kotak Nifty PSU Bank ETF")</f>
        <v>Kotak Nifty PSU Bank ETF</v>
      </c>
    </row>
    <row r="1201">
      <c r="A1201" s="1" t="s">
        <v>5969</v>
      </c>
      <c r="B1201" s="5" t="s">
        <v>5970</v>
      </c>
      <c r="C1201" s="3" t="s">
        <v>5971</v>
      </c>
      <c r="D1201" s="6" t="s">
        <v>5972</v>
      </c>
      <c r="E1201" s="7" t="s">
        <v>5973</v>
      </c>
      <c r="F1201" s="5" t="str">
        <f>IFERROR(__xludf.DUMMYFUNCTION("GOOGLEFINANCE(""NSE:""&amp;A1201,""name"")"),"Kotak Nifty200 Quality 30 ETF")</f>
        <v>Kotak Nifty200 Quality 30 ETF</v>
      </c>
    </row>
    <row r="1202">
      <c r="A1202" s="1" t="s">
        <v>5974</v>
      </c>
      <c r="B1202" s="5" t="s">
        <v>5975</v>
      </c>
      <c r="C1202" s="3" t="s">
        <v>5976</v>
      </c>
      <c r="D1202" s="6" t="s">
        <v>5977</v>
      </c>
      <c r="E1202" s="7" t="s">
        <v>5978</v>
      </c>
      <c r="F1202" s="5" t="str">
        <f>IFERROR(__xludf.DUMMYFUNCTION("GOOGLEFINANCE(""NSE:""&amp;A1202,""name"")"),"Kotak Silver ETF")</f>
        <v>Kotak Silver ETF</v>
      </c>
    </row>
    <row r="1203">
      <c r="A1203" s="1" t="s">
        <v>5979</v>
      </c>
      <c r="B1203" s="5" t="s">
        <v>5980</v>
      </c>
      <c r="C1203" s="3" t="s">
        <v>5981</v>
      </c>
      <c r="D1203" s="6" t="s">
        <v>5982</v>
      </c>
      <c r="E1203" s="7" t="s">
        <v>5983</v>
      </c>
      <c r="F1203" s="5" t="str">
        <f>IFERROR(__xludf.DUMMYFUNCTION("GOOGLEFINANCE(""NSE:""&amp;A1203,""name"")"),"Kothari Petrochemicals Ltd")</f>
        <v>Kothari Petrochemicals Ltd</v>
      </c>
    </row>
    <row r="1204">
      <c r="A1204" s="1" t="s">
        <v>5984</v>
      </c>
      <c r="B1204" s="5" t="s">
        <v>5985</v>
      </c>
      <c r="C1204" s="3" t="s">
        <v>5986</v>
      </c>
      <c r="D1204" s="6" t="s">
        <v>5987</v>
      </c>
      <c r="E1204" s="7" t="s">
        <v>5988</v>
      </c>
      <c r="F1204" s="5" t="str">
        <f>IFERROR(__xludf.DUMMYFUNCTION("GOOGLEFINANCE(""NSE:""&amp;A1204,""name"")"),"Kothari Products Ltd")</f>
        <v>Kothari Products Ltd</v>
      </c>
    </row>
    <row r="1205">
      <c r="A1205" s="1" t="s">
        <v>5989</v>
      </c>
      <c r="B1205" s="5" t="s">
        <v>5990</v>
      </c>
      <c r="C1205" s="3" t="s">
        <v>5991</v>
      </c>
      <c r="D1205" s="6" t="s">
        <v>5992</v>
      </c>
      <c r="E1205" s="7" t="s">
        <v>5993</v>
      </c>
      <c r="F1205" s="5" t="str">
        <f>IFERROR(__xludf.DUMMYFUNCTION("GOOGLEFINANCE(""NSE:""&amp;A1205,""name"")"),"Kothari Sugars and Chemicals Ltd")</f>
        <v>Kothari Sugars and Chemicals Ltd</v>
      </c>
    </row>
    <row r="1206">
      <c r="A1206" s="1" t="s">
        <v>5994</v>
      </c>
      <c r="B1206" s="5" t="s">
        <v>5995</v>
      </c>
      <c r="C1206" s="3" t="s">
        <v>5996</v>
      </c>
      <c r="D1206" s="6" t="s">
        <v>5997</v>
      </c>
      <c r="E1206" s="7" t="s">
        <v>5998</v>
      </c>
      <c r="F1206" s="5" t="str">
        <f>IFERROR(__xludf.DUMMYFUNCTION("GOOGLEFINANCE(""NSE:""&amp;A1206,""name"")"),"KPI Green Energy Ltd")</f>
        <v>KPI Green Energy Ltd</v>
      </c>
    </row>
    <row r="1207">
      <c r="A1207" s="1" t="s">
        <v>5999</v>
      </c>
      <c r="B1207" s="5" t="s">
        <v>6000</v>
      </c>
      <c r="C1207" s="3" t="s">
        <v>6001</v>
      </c>
      <c r="D1207" s="6" t="s">
        <v>6002</v>
      </c>
      <c r="E1207" s="7" t="s">
        <v>6003</v>
      </c>
      <c r="F1207" s="5" t="str">
        <f>IFERROR(__xludf.DUMMYFUNCTION("GOOGLEFINANCE(""NSE:""&amp;A1207,""name"")"),"KPIT Technologies Ltd")</f>
        <v>KPIT Technologies Ltd</v>
      </c>
    </row>
    <row r="1208">
      <c r="A1208" s="1" t="s">
        <v>6004</v>
      </c>
      <c r="B1208" s="5" t="s">
        <v>6005</v>
      </c>
      <c r="C1208" s="3" t="s">
        <v>6006</v>
      </c>
      <c r="D1208" s="6" t="s">
        <v>6007</v>
      </c>
      <c r="E1208" s="7" t="s">
        <v>6008</v>
      </c>
      <c r="F1208" s="5" t="str">
        <f>IFERROR(__xludf.DUMMYFUNCTION("GOOGLEFINANCE(""NSE:""&amp;A1208,""name"")"),"KRBL Ltd")</f>
        <v>KRBL Ltd</v>
      </c>
    </row>
    <row r="1209">
      <c r="A1209" s="1" t="s">
        <v>6009</v>
      </c>
      <c r="B1209" s="5" t="s">
        <v>6010</v>
      </c>
      <c r="C1209" s="3" t="s">
        <v>6011</v>
      </c>
      <c r="D1209" s="6" t="s">
        <v>6012</v>
      </c>
      <c r="E1209" s="7" t="s">
        <v>6013</v>
      </c>
      <c r="F1209" s="5" t="str">
        <f>IFERROR(__xludf.DUMMYFUNCTION("GOOGLEFINANCE(""NSE:""&amp;A1209,""name"")"),"Krebs Biochemicals And Industries Ltd")</f>
        <v>Krebs Biochemicals And Industries Ltd</v>
      </c>
    </row>
    <row r="1210">
      <c r="A1210" s="1" t="s">
        <v>6014</v>
      </c>
      <c r="B1210" s="5" t="s">
        <v>6015</v>
      </c>
      <c r="C1210" s="3" t="s">
        <v>6016</v>
      </c>
      <c r="D1210" s="6" t="s">
        <v>6017</v>
      </c>
      <c r="E1210" s="7" t="s">
        <v>6018</v>
      </c>
      <c r="F1210" s="5" t="str">
        <f>IFERROR(__xludf.DUMMYFUNCTION("GOOGLEFINANCE(""NSE:""&amp;A1210,""name"")"),"Krishana Phoschem Ltd")</f>
        <v>Krishana Phoschem Ltd</v>
      </c>
    </row>
    <row r="1211">
      <c r="A1211" s="1" t="s">
        <v>6019</v>
      </c>
      <c r="B1211" s="5" t="s">
        <v>6020</v>
      </c>
      <c r="C1211" s="3" t="s">
        <v>6021</v>
      </c>
      <c r="D1211" s="6" t="s">
        <v>6022</v>
      </c>
      <c r="E1211" s="7" t="s">
        <v>6023</v>
      </c>
      <c r="F1211" s="5" t="str">
        <f>IFERROR(__xludf.DUMMYFUNCTION("GOOGLEFINANCE(""NSE:""&amp;A1211,""name"")"),"Krishna Institute Of Medical Sciencs Ltd")</f>
        <v>Krishna Institute Of Medical Sciencs Ltd</v>
      </c>
    </row>
    <row r="1212">
      <c r="A1212" s="1" t="s">
        <v>6024</v>
      </c>
      <c r="B1212" s="5" t="s">
        <v>6025</v>
      </c>
      <c r="C1212" s="3" t="s">
        <v>6026</v>
      </c>
      <c r="D1212" s="6" t="s">
        <v>6027</v>
      </c>
      <c r="E1212" s="7" t="s">
        <v>6028</v>
      </c>
      <c r="F1212" s="5" t="str">
        <f>IFERROR(__xludf.DUMMYFUNCTION("GOOGLEFINANCE(""NSE:""&amp;A1212,""name"")"),"Kriti Industries (India) Limited")</f>
        <v>Kriti Industries (India) Limited</v>
      </c>
    </row>
    <row r="1213">
      <c r="A1213" s="1" t="s">
        <v>6029</v>
      </c>
      <c r="B1213" s="5" t="s">
        <v>6030</v>
      </c>
      <c r="C1213" s="3" t="s">
        <v>6031</v>
      </c>
      <c r="D1213" s="6" t="s">
        <v>6032</v>
      </c>
      <c r="E1213" s="7" t="s">
        <v>6033</v>
      </c>
      <c r="F1213" s="5" t="str">
        <f>IFERROR(__xludf.DUMMYFUNCTION("GOOGLEFINANCE(""NSE:""&amp;A1213,""name"")"),"Kriti Nutrients Limited")</f>
        <v>Kriti Nutrients Limited</v>
      </c>
    </row>
    <row r="1214">
      <c r="A1214" s="1" t="s">
        <v>6034</v>
      </c>
      <c r="B1214" s="5" t="s">
        <v>6035</v>
      </c>
      <c r="C1214" s="3" t="s">
        <v>6036</v>
      </c>
      <c r="D1214" s="6" t="s">
        <v>6037</v>
      </c>
      <c r="E1214" s="7" t="s">
        <v>6038</v>
      </c>
      <c r="F1214" s="5" t="str">
        <f>IFERROR(__xludf.DUMMYFUNCTION("GOOGLEFINANCE(""NSE:""&amp;A1214,""name"")"),"Kritika Wires Ltd")</f>
        <v>Kritika Wires Ltd</v>
      </c>
    </row>
    <row r="1215">
      <c r="A1215" s="1" t="s">
        <v>6039</v>
      </c>
      <c r="B1215" s="5" t="s">
        <v>6040</v>
      </c>
      <c r="C1215" s="3" t="s">
        <v>6041</v>
      </c>
      <c r="D1215" s="6" t="s">
        <v>6042</v>
      </c>
      <c r="E1215" s="7" t="s">
        <v>6043</v>
      </c>
      <c r="F1215" s="5" t="str">
        <f>IFERROR(__xludf.DUMMYFUNCTION("GOOGLEFINANCE(""NSE:""&amp;A1215,""name"")"),"KRN Heat Exchanger and Refrigeration Ltd")</f>
        <v>KRN Heat Exchanger and Refrigeration Ltd</v>
      </c>
    </row>
    <row r="1216">
      <c r="A1216" s="1" t="s">
        <v>6044</v>
      </c>
      <c r="B1216" s="5" t="s">
        <v>6045</v>
      </c>
      <c r="C1216" s="3" t="s">
        <v>6046</v>
      </c>
      <c r="D1216" s="6" t="s">
        <v>6047</v>
      </c>
      <c r="E1216" s="7" t="s">
        <v>6048</v>
      </c>
      <c r="F1216" s="5" t="str">
        <f>IFERROR(__xludf.DUMMYFUNCTION("GOOGLEFINANCE(""NSE:""&amp;A1216,""name"")"),"Kronox Lab Sciences Ltd")</f>
        <v>Kronox Lab Sciences Ltd</v>
      </c>
    </row>
    <row r="1217">
      <c r="A1217" s="1" t="s">
        <v>6049</v>
      </c>
      <c r="B1217" s="5" t="s">
        <v>6050</v>
      </c>
      <c r="C1217" s="3" t="s">
        <v>6051</v>
      </c>
      <c r="D1217" s="6" t="s">
        <v>6052</v>
      </c>
      <c r="E1217" s="7" t="s">
        <v>6053</v>
      </c>
      <c r="F1217" s="5" t="str">
        <f>IFERROR(__xludf.DUMMYFUNCTION("GOOGLEFINANCE(""NSE:""&amp;A1217,""name"")"),"Kross Ltd")</f>
        <v>Kross Ltd</v>
      </c>
    </row>
    <row r="1218">
      <c r="A1218" s="1" t="s">
        <v>6054</v>
      </c>
      <c r="B1218" s="5" t="s">
        <v>6055</v>
      </c>
      <c r="C1218" s="3" t="s">
        <v>6056</v>
      </c>
      <c r="D1218" s="6" t="s">
        <v>6057</v>
      </c>
      <c r="E1218" s="7" t="s">
        <v>6058</v>
      </c>
      <c r="F1218" s="5" t="str">
        <f>IFERROR(__xludf.DUMMYFUNCTION("GOOGLEFINANCE(""NSE:""&amp;A1218,""name"")"),"Krsnaa Diagnostics Ltd")</f>
        <v>Krsnaa Diagnostics Ltd</v>
      </c>
    </row>
    <row r="1219">
      <c r="A1219" s="1" t="s">
        <v>6059</v>
      </c>
      <c r="B1219" s="5" t="s">
        <v>6060</v>
      </c>
      <c r="C1219" s="3" t="s">
        <v>6061</v>
      </c>
      <c r="D1219" s="6" t="s">
        <v>6062</v>
      </c>
      <c r="E1219" s="7" t="s">
        <v>6063</v>
      </c>
      <c r="F1219" s="5" t="str">
        <f>IFERROR(__xludf.DUMMYFUNCTION("GOOGLEFINANCE(""NSE:""&amp;A1219,""name"")"),"Krystal Integrated Services Ltd")</f>
        <v>Krystal Integrated Services Ltd</v>
      </c>
    </row>
    <row r="1220">
      <c r="A1220" s="1" t="s">
        <v>6064</v>
      </c>
      <c r="B1220" s="5" t="s">
        <v>6065</v>
      </c>
      <c r="C1220" s="3" t="s">
        <v>6066</v>
      </c>
      <c r="D1220" s="6" t="s">
        <v>6067</v>
      </c>
      <c r="E1220" s="7" t="s">
        <v>6068</v>
      </c>
      <c r="F1220" s="5" t="str">
        <f>IFERROR(__xludf.DUMMYFUNCTION("GOOGLEFINANCE(""NSE:""&amp;A1220,""name"")"),"KSB Ltd")</f>
        <v>KSB Ltd</v>
      </c>
    </row>
    <row r="1221">
      <c r="A1221" s="1" t="s">
        <v>6069</v>
      </c>
      <c r="B1221" s="5" t="s">
        <v>6070</v>
      </c>
      <c r="C1221" s="3" t="s">
        <v>6071</v>
      </c>
      <c r="D1221" s="6" t="s">
        <v>6072</v>
      </c>
      <c r="E1221" s="7" t="s">
        <v>6073</v>
      </c>
      <c r="F1221" s="5" t="str">
        <f>IFERROR(__xludf.DUMMYFUNCTION("GOOGLEFINANCE(""NSE:""&amp;A1221,""name"")"),"Ksolves India Ltd")</f>
        <v>Ksolves India Ltd</v>
      </c>
    </row>
    <row r="1222">
      <c r="A1222" s="1" t="s">
        <v>6074</v>
      </c>
      <c r="B1222" s="5" t="s">
        <v>6075</v>
      </c>
      <c r="C1222" s="3" t="s">
        <v>6076</v>
      </c>
      <c r="D1222" s="6" t="s">
        <v>6077</v>
      </c>
      <c r="E1222" s="7" t="s">
        <v>6078</v>
      </c>
      <c r="F1222" s="5" t="str">
        <f>IFERROR(__xludf.DUMMYFUNCTION("GOOGLEFINANCE(""NSE:""&amp;A1222,""name"")"),"KSR Footwear Ltd")</f>
        <v>KSR Footwear Ltd</v>
      </c>
    </row>
    <row r="1223">
      <c r="A1223" s="1" t="s">
        <v>6079</v>
      </c>
      <c r="B1223" s="5" t="s">
        <v>6080</v>
      </c>
      <c r="C1223" s="3" t="s">
        <v>6081</v>
      </c>
      <c r="D1223" s="6" t="s">
        <v>6082</v>
      </c>
      <c r="E1223" s="7" t="s">
        <v>6083</v>
      </c>
      <c r="F1223" s="5" t="str">
        <f>IFERROR(__xludf.DUMMYFUNCTION("GOOGLEFINANCE(""NSE:""&amp;A1223,""name"")"),"Kuantum Papers Ltd")</f>
        <v>Kuantum Papers Ltd</v>
      </c>
    </row>
    <row r="1224">
      <c r="A1224" s="1" t="s">
        <v>6084</v>
      </c>
      <c r="B1224" s="5" t="s">
        <v>6085</v>
      </c>
      <c r="C1224" s="3" t="s">
        <v>6086</v>
      </c>
      <c r="D1224" s="6" t="s">
        <v>6087</v>
      </c>
      <c r="E1224" s="7" t="s">
        <v>6088</v>
      </c>
      <c r="F1224" s="5" t="str">
        <f>IFERROR(__xludf.DUMMYFUNCTION("GOOGLEFINANCE(""NSE:""&amp;A1224,""name"")"),"LT Foods Ltd")</f>
        <v>LT Foods Ltd</v>
      </c>
    </row>
    <row r="1225">
      <c r="A1225" s="1" t="s">
        <v>6089</v>
      </c>
      <c r="B1225" s="5" t="s">
        <v>6090</v>
      </c>
      <c r="C1225" s="3" t="s">
        <v>6091</v>
      </c>
      <c r="D1225" s="6" t="s">
        <v>6092</v>
      </c>
      <c r="E1225" s="7" t="s">
        <v>6093</v>
      </c>
      <c r="F1225" s="5" t="str">
        <f>IFERROR(__xludf.DUMMYFUNCTION("GOOGLEFINANCE(""NSE:""&amp;A1225,""name"")"),"L&amp;T Finance Ltd")</f>
        <v>L&amp;T Finance Ltd</v>
      </c>
    </row>
    <row r="1226">
      <c r="A1226" s="1" t="s">
        <v>6094</v>
      </c>
      <c r="B1226" s="5" t="s">
        <v>6095</v>
      </c>
      <c r="C1226" s="3" t="s">
        <v>6096</v>
      </c>
      <c r="D1226" s="6" t="s">
        <v>6097</v>
      </c>
      <c r="E1226" s="7" t="s">
        <v>6098</v>
      </c>
      <c r="F1226" s="5" t="str">
        <f>IFERROR(__xludf.DUMMYFUNCTION("GOOGLEFINANCE(""NSE:""&amp;A1226,""name"")"),"L&amp;T Technology Services Ltd")</f>
        <v>L&amp;T Technology Services Ltd</v>
      </c>
    </row>
    <row r="1227">
      <c r="A1227" s="1" t="s">
        <v>6099</v>
      </c>
      <c r="B1227" s="5" t="s">
        <v>6100</v>
      </c>
      <c r="C1227" s="3" t="s">
        <v>6101</v>
      </c>
      <c r="D1227" s="6" t="s">
        <v>6102</v>
      </c>
      <c r="E1227" s="7" t="s">
        <v>6103</v>
      </c>
      <c r="F1227" s="5" t="str">
        <f>IFERROR(__xludf.DUMMYFUNCTION("GOOGLEFINANCE(""NSE:""&amp;A1227,""name"")"),"La Opala R G Ltd")</f>
        <v>La Opala R G Ltd</v>
      </c>
    </row>
    <row r="1228">
      <c r="A1228" s="1" t="s">
        <v>6104</v>
      </c>
      <c r="B1228" s="5" t="s">
        <v>6105</v>
      </c>
      <c r="C1228" s="3" t="s">
        <v>6106</v>
      </c>
      <c r="D1228" s="6" t="s">
        <v>6107</v>
      </c>
      <c r="E1228" s="7" t="s">
        <v>6108</v>
      </c>
      <c r="F1228" s="5" t="str">
        <f>IFERROR(__xludf.DUMMYFUNCTION("GOOGLEFINANCE(""NSE:""&amp;A1228,""name"")"),"Lagnam Spintex Ltd")</f>
        <v>Lagnam Spintex Ltd</v>
      </c>
    </row>
    <row r="1229">
      <c r="A1229" s="1" t="s">
        <v>6109</v>
      </c>
      <c r="B1229" s="5" t="s">
        <v>6110</v>
      </c>
      <c r="C1229" s="3" t="s">
        <v>6111</v>
      </c>
      <c r="D1229" s="6" t="s">
        <v>6112</v>
      </c>
      <c r="E1229" s="7" t="s">
        <v>6113</v>
      </c>
      <c r="F1229" s="5" t="str">
        <f>IFERROR(__xludf.DUMMYFUNCTION("GOOGLEFINANCE(""NSE:""&amp;A1229,""name"")"),"Lakshmi Finance and Industrial Corp Ltd")</f>
        <v>Lakshmi Finance and Industrial Corp Ltd</v>
      </c>
    </row>
    <row r="1230">
      <c r="A1230" s="1" t="s">
        <v>6114</v>
      </c>
      <c r="B1230" s="5" t="s">
        <v>6115</v>
      </c>
      <c r="C1230" s="3" t="s">
        <v>6116</v>
      </c>
      <c r="D1230" s="6" t="s">
        <v>6117</v>
      </c>
      <c r="E1230" s="7" t="s">
        <v>6118</v>
      </c>
      <c r="F1230" s="5" t="str">
        <f>IFERROR(__xludf.DUMMYFUNCTION("GOOGLEFINANCE(""NSE:""&amp;A1230,""name"")"),"Lambodhara Textiles Ltd")</f>
        <v>Lambodhara Textiles Ltd</v>
      </c>
    </row>
    <row r="1231">
      <c r="A1231" s="1" t="s">
        <v>6119</v>
      </c>
      <c r="B1231" s="5" t="s">
        <v>6120</v>
      </c>
      <c r="C1231" s="3" t="s">
        <v>6121</v>
      </c>
      <c r="D1231" s="6" t="s">
        <v>6122</v>
      </c>
      <c r="E1231" s="7" t="s">
        <v>6123</v>
      </c>
      <c r="F1231" s="5" t="str">
        <f>IFERROR(__xludf.DUMMYFUNCTION("GOOGLEFINANCE(""NSE:""&amp;A1231,""name"")"),"Lancor Holdings Ltd")</f>
        <v>Lancor Holdings Ltd</v>
      </c>
    </row>
    <row r="1232">
      <c r="A1232" s="1" t="s">
        <v>6124</v>
      </c>
      <c r="B1232" s="5" t="s">
        <v>6125</v>
      </c>
      <c r="C1232" s="3" t="s">
        <v>6126</v>
      </c>
      <c r="D1232" s="6" t="s">
        <v>6127</v>
      </c>
      <c r="E1232" s="7" t="s">
        <v>6128</v>
      </c>
      <c r="F1232" s="5" t="str">
        <f>IFERROR(__xludf.DUMMYFUNCTION("GOOGLEFINANCE(""NSE:""&amp;A1232,""name"")"),"Landmark Cars Ltd")</f>
        <v>Landmark Cars Ltd</v>
      </c>
    </row>
    <row r="1233">
      <c r="A1233" s="1" t="s">
        <v>6129</v>
      </c>
      <c r="B1233" s="5" t="s">
        <v>6130</v>
      </c>
      <c r="C1233" s="3" t="s">
        <v>6131</v>
      </c>
      <c r="D1233" s="6" t="s">
        <v>6132</v>
      </c>
      <c r="E1233" s="7" t="s">
        <v>6133</v>
      </c>
      <c r="F1233" s="5" t="str">
        <f>IFERROR(__xludf.DUMMYFUNCTION("GOOGLEFINANCE(""NSE:""&amp;A1233,""name"")"),"Landmark Property Development Co Ltd")</f>
        <v>Landmark Property Development Co Ltd</v>
      </c>
    </row>
    <row r="1234">
      <c r="A1234" s="1" t="s">
        <v>6134</v>
      </c>
      <c r="B1234" s="5" t="s">
        <v>6135</v>
      </c>
      <c r="C1234" s="3" t="s">
        <v>6136</v>
      </c>
      <c r="D1234" s="6" t="s">
        <v>6137</v>
      </c>
      <c r="E1234" s="7" t="s">
        <v>6138</v>
      </c>
      <c r="F1234" s="5" t="str">
        <f>IFERROR(__xludf.DUMMYFUNCTION("GOOGLEFINANCE(""NSE:""&amp;A1234,""name"")"),"Larsen and Toubro Ltd")</f>
        <v>Larsen and Toubro Ltd</v>
      </c>
    </row>
    <row r="1235">
      <c r="A1235" s="1" t="s">
        <v>6139</v>
      </c>
      <c r="B1235" s="5" t="s">
        <v>6140</v>
      </c>
      <c r="C1235" s="3" t="s">
        <v>6141</v>
      </c>
      <c r="D1235" s="6" t="s">
        <v>6142</v>
      </c>
      <c r="E1235" s="7" t="s">
        <v>6143</v>
      </c>
      <c r="F1235" s="5" t="str">
        <f>IFERROR(__xludf.DUMMYFUNCTION("GOOGLEFINANCE(""NSE:""&amp;A1235,""name"")"),"Lasa Supergenerics Ltd")</f>
        <v>Lasa Supergenerics Ltd</v>
      </c>
    </row>
    <row r="1236">
      <c r="A1236" s="1" t="s">
        <v>6144</v>
      </c>
      <c r="B1236" s="5" t="s">
        <v>6145</v>
      </c>
      <c r="C1236" s="3" t="s">
        <v>6146</v>
      </c>
      <c r="D1236" s="6" t="s">
        <v>6147</v>
      </c>
      <c r="E1236" s="7" t="s">
        <v>6148</v>
      </c>
      <c r="F1236" s="5" t="str">
        <f>IFERROR(__xludf.DUMMYFUNCTION("GOOGLEFINANCE(""NSE:""&amp;A1236,""name"")"),"Latent View Analytics Ltd")</f>
        <v>Latent View Analytics Ltd</v>
      </c>
    </row>
    <row r="1237">
      <c r="A1237" s="1" t="s">
        <v>6149</v>
      </c>
      <c r="B1237" s="5" t="s">
        <v>6150</v>
      </c>
      <c r="C1237" s="3" t="s">
        <v>6151</v>
      </c>
      <c r="D1237" s="6" t="s">
        <v>6152</v>
      </c>
      <c r="E1237" s="7" t="s">
        <v>6153</v>
      </c>
      <c r="F1237" s="5" t="str">
        <f>IFERROR(__xludf.DUMMYFUNCTION("GOOGLEFINANCE(""NSE:""&amp;A1237,""name"")"),"Latteys Industries Ltd")</f>
        <v>Latteys Industries Ltd</v>
      </c>
    </row>
    <row r="1238">
      <c r="A1238" s="1" t="s">
        <v>6154</v>
      </c>
      <c r="B1238" s="5" t="s">
        <v>6155</v>
      </c>
      <c r="C1238" s="3" t="s">
        <v>6156</v>
      </c>
      <c r="D1238" s="6" t="s">
        <v>6157</v>
      </c>
      <c r="E1238" s="7" t="s">
        <v>6158</v>
      </c>
      <c r="F1238" s="5" t="str">
        <f>IFERROR(__xludf.DUMMYFUNCTION("GOOGLEFINANCE(""NSE:""&amp;A1238,""name"")"),"Laurus Labs Ltd")</f>
        <v>Laurus Labs Ltd</v>
      </c>
    </row>
    <row r="1239">
      <c r="A1239" s="1" t="s">
        <v>6159</v>
      </c>
      <c r="B1239" s="5" t="s">
        <v>6160</v>
      </c>
      <c r="C1239" s="3" t="s">
        <v>6161</v>
      </c>
      <c r="D1239" s="6" t="s">
        <v>6162</v>
      </c>
      <c r="E1239" s="7" t="s">
        <v>6163</v>
      </c>
      <c r="F1239" s="5" t="str">
        <f>IFERROR(__xludf.DUMMYFUNCTION("GOOGLEFINANCE(""NSE:""&amp;A1239,""name"")"),"Laxmi Cotspin Ltd")</f>
        <v>Laxmi Cotspin Ltd</v>
      </c>
    </row>
    <row r="1240">
      <c r="A1240" s="1" t="s">
        <v>6164</v>
      </c>
      <c r="B1240" s="5" t="s">
        <v>6165</v>
      </c>
      <c r="C1240" s="3" t="s">
        <v>6166</v>
      </c>
      <c r="D1240" s="6" t="s">
        <v>6167</v>
      </c>
      <c r="E1240" s="7" t="s">
        <v>6168</v>
      </c>
      <c r="F1240" s="5" t="str">
        <f>IFERROR(__xludf.DUMMYFUNCTION("GOOGLEFINANCE(""NSE:""&amp;A1240,""name"")"),"Laxmi Dental Ltd")</f>
        <v>Laxmi Dental Ltd</v>
      </c>
    </row>
    <row r="1241">
      <c r="A1241" s="1" t="s">
        <v>6169</v>
      </c>
      <c r="B1241" s="5" t="s">
        <v>6170</v>
      </c>
      <c r="C1241" s="3" t="s">
        <v>6171</v>
      </c>
      <c r="D1241" s="6" t="s">
        <v>6172</v>
      </c>
      <c r="E1241" s="7" t="s">
        <v>6173</v>
      </c>
      <c r="F1241" s="5" t="str">
        <f>IFERROR(__xludf.DUMMYFUNCTION("GOOGLEFINANCE(""NSE:""&amp;A1241,""name"")"),"Laxmi Goldorna House Ltd")</f>
        <v>Laxmi Goldorna House Ltd</v>
      </c>
    </row>
    <row r="1242">
      <c r="A1242" s="1" t="s">
        <v>6174</v>
      </c>
      <c r="B1242" s="5" t="s">
        <v>6175</v>
      </c>
      <c r="C1242" s="3" t="s">
        <v>6176</v>
      </c>
      <c r="D1242" s="6" t="s">
        <v>6177</v>
      </c>
      <c r="E1242" s="7" t="s">
        <v>6178</v>
      </c>
      <c r="F1242" s="5" t="str">
        <f>IFERROR(__xludf.DUMMYFUNCTION("GOOGLEFINANCE(""NSE:""&amp;A1242,""name"")"),"Laxmi India Finance Ltd")</f>
        <v>Laxmi India Finance Ltd</v>
      </c>
    </row>
    <row r="1243">
      <c r="A1243" s="1" t="s">
        <v>6179</v>
      </c>
      <c r="B1243" s="5" t="s">
        <v>6180</v>
      </c>
      <c r="C1243" s="3" t="s">
        <v>6181</v>
      </c>
      <c r="D1243" s="6" t="s">
        <v>6182</v>
      </c>
      <c r="E1243" s="7" t="s">
        <v>6183</v>
      </c>
      <c r="F1243" s="5" t="str">
        <f>IFERROR(__xludf.DUMMYFUNCTION("GOOGLEFINANCE(""NSE:""&amp;A1243,""name"")"),"Laxmi Organic Industries Ltd")</f>
        <v>Laxmi Organic Industries Ltd</v>
      </c>
    </row>
    <row r="1244">
      <c r="A1244" s="1" t="s">
        <v>6184</v>
      </c>
      <c r="B1244" s="5" t="s">
        <v>6185</v>
      </c>
      <c r="C1244" s="3" t="s">
        <v>6186</v>
      </c>
      <c r="D1244" s="6" t="s">
        <v>6187</v>
      </c>
      <c r="E1244" s="7" t="s">
        <v>6188</v>
      </c>
      <c r="F1244" s="5" t="str">
        <f>IFERROR(__xludf.DUMMYFUNCTION("GOOGLEFINANCE(""NSE:""&amp;A1244,""name"")"),"#N/A")</f>
        <v>#N/A</v>
      </c>
    </row>
    <row r="1245">
      <c r="A1245" s="1" t="s">
        <v>6189</v>
      </c>
      <c r="B1245" s="5" t="s">
        <v>6190</v>
      </c>
      <c r="C1245" s="3" t="s">
        <v>6191</v>
      </c>
      <c r="D1245" s="6" t="s">
        <v>6192</v>
      </c>
      <c r="E1245" s="7" t="s">
        <v>6193</v>
      </c>
      <c r="F1245" s="5" t="str">
        <f>IFERROR(__xludf.DUMMYFUNCTION("GOOGLEFINANCE(""NSE:""&amp;A1245,""name"")"),"Le Travenues Technology Ltd")</f>
        <v>Le Travenues Technology Ltd</v>
      </c>
    </row>
    <row r="1246">
      <c r="A1246" s="1" t="s">
        <v>6194</v>
      </c>
      <c r="B1246" s="5" t="s">
        <v>6195</v>
      </c>
      <c r="C1246" s="3" t="s">
        <v>6196</v>
      </c>
      <c r="D1246" s="6" t="s">
        <v>6197</v>
      </c>
      <c r="E1246" s="7" t="s">
        <v>6198</v>
      </c>
      <c r="F1246" s="5" t="str">
        <f>IFERROR(__xludf.DUMMYFUNCTION("GOOGLEFINANCE(""NSE:""&amp;A1246,""name"")"),"Lemon Tree Hotels Ltd")</f>
        <v>Lemon Tree Hotels Ltd</v>
      </c>
    </row>
    <row r="1247">
      <c r="A1247" s="1" t="s">
        <v>6199</v>
      </c>
      <c r="B1247" s="5" t="s">
        <v>6200</v>
      </c>
      <c r="C1247" s="3" t="s">
        <v>6201</v>
      </c>
      <c r="D1247" s="6" t="s">
        <v>6202</v>
      </c>
      <c r="E1247" s="7" t="s">
        <v>6203</v>
      </c>
      <c r="F1247" s="5" t="str">
        <f>IFERROR(__xludf.DUMMYFUNCTION("GOOGLEFINANCE(""NSE:""&amp;A1247,""name"")"),"Lenskart Solutions Ltd")</f>
        <v>Lenskart Solutions Ltd</v>
      </c>
    </row>
    <row r="1248">
      <c r="A1248" s="1" t="s">
        <v>6204</v>
      </c>
      <c r="B1248" s="5" t="s">
        <v>6205</v>
      </c>
      <c r="C1248" s="3" t="s">
        <v>6206</v>
      </c>
      <c r="D1248" s="6" t="s">
        <v>6207</v>
      </c>
      <c r="E1248" s="7" t="s">
        <v>6208</v>
      </c>
      <c r="F1248" s="5" t="str">
        <f>IFERROR(__xludf.DUMMYFUNCTION("GOOGLEFINANCE(""NSE:""&amp;A1248,""name"")"),"Lexus Granito (India) Ltd")</f>
        <v>Lexus Granito (India) Ltd</v>
      </c>
    </row>
    <row r="1249">
      <c r="A1249" s="1" t="s">
        <v>6209</v>
      </c>
      <c r="B1249" s="5" t="s">
        <v>6210</v>
      </c>
      <c r="C1249" s="3" t="s">
        <v>6211</v>
      </c>
      <c r="D1249" s="6" t="s">
        <v>6212</v>
      </c>
      <c r="E1249" s="7" t="s">
        <v>6213</v>
      </c>
      <c r="F1249" s="5" t="str">
        <f>IFERROR(__xludf.DUMMYFUNCTION("GOOGLEFINANCE(""NSE:""&amp;A1249,""name"")"),"LG Balakrishnan &amp; Bros Ltd")</f>
        <v>LG Balakrishnan &amp; Bros Ltd</v>
      </c>
    </row>
    <row r="1250">
      <c r="A1250" s="1" t="s">
        <v>6214</v>
      </c>
      <c r="B1250" s="5" t="s">
        <v>6215</v>
      </c>
      <c r="C1250" s="3" t="s">
        <v>6216</v>
      </c>
      <c r="D1250" s="6" t="s">
        <v>6217</v>
      </c>
      <c r="E1250" s="7" t="s">
        <v>6218</v>
      </c>
      <c r="F1250" s="5" t="str">
        <f>IFERROR(__xludf.DUMMYFUNCTION("GOOGLEFINANCE(""NSE:""&amp;A1250,""name"")"),"LG Electronics India Ltd")</f>
        <v>LG Electronics India Ltd</v>
      </c>
    </row>
    <row r="1251">
      <c r="A1251" s="1" t="s">
        <v>6219</v>
      </c>
      <c r="B1251" s="5" t="s">
        <v>6220</v>
      </c>
      <c r="C1251" s="3" t="s">
        <v>6221</v>
      </c>
      <c r="D1251" s="6" t="s">
        <v>6222</v>
      </c>
      <c r="E1251" s="7" t="s">
        <v>6223</v>
      </c>
      <c r="F1251" s="5" t="str">
        <f>IFERROR(__xludf.DUMMYFUNCTION("GOOGLEFINANCE(""NSE:""&amp;A1251,""name"")"),"Libas Consumer Products Ltd")</f>
        <v>Libas Consumer Products Ltd</v>
      </c>
    </row>
    <row r="1252">
      <c r="A1252" s="1" t="s">
        <v>6224</v>
      </c>
      <c r="B1252" s="5" t="s">
        <v>6225</v>
      </c>
      <c r="C1252" s="3" t="s">
        <v>6226</v>
      </c>
      <c r="D1252" s="6" t="s">
        <v>6227</v>
      </c>
      <c r="E1252" s="7" t="s">
        <v>6228</v>
      </c>
      <c r="F1252" s="5" t="str">
        <f>IFERROR(__xludf.DUMMYFUNCTION("GOOGLEFINANCE(""NSE:""&amp;A1252,""name"")"),"Liberty Shoes Ltd")</f>
        <v>Liberty Shoes Ltd</v>
      </c>
    </row>
    <row r="1253">
      <c r="A1253" s="1" t="s">
        <v>6229</v>
      </c>
      <c r="B1253" s="5" t="s">
        <v>6230</v>
      </c>
      <c r="C1253" s="3" t="s">
        <v>6231</v>
      </c>
      <c r="D1253" s="6" t="s">
        <v>6232</v>
      </c>
      <c r="E1253" s="7" t="s">
        <v>6233</v>
      </c>
      <c r="F1253" s="5" t="str">
        <f>IFERROR(__xludf.DUMMYFUNCTION("GOOGLEFINANCE(""NSE:""&amp;A1253,""name"")"),"LIC Housing Finance Ltd")</f>
        <v>LIC Housing Finance Ltd</v>
      </c>
    </row>
    <row r="1254">
      <c r="A1254" s="1" t="s">
        <v>6234</v>
      </c>
      <c r="B1254" s="5" t="s">
        <v>6235</v>
      </c>
      <c r="C1254" s="3" t="s">
        <v>6236</v>
      </c>
      <c r="D1254" s="6" t="s">
        <v>6237</v>
      </c>
      <c r="E1254" s="7" t="s">
        <v>6238</v>
      </c>
      <c r="F1254" s="5" t="str">
        <f>IFERROR(__xludf.DUMMYFUNCTION("GOOGLEFINANCE(""NSE:""&amp;A1254,""name"")"),"LIC MF Gold Exchange Traded Fund")</f>
        <v>LIC MF Gold Exchange Traded Fund</v>
      </c>
    </row>
    <row r="1255">
      <c r="A1255" s="1" t="s">
        <v>6239</v>
      </c>
      <c r="B1255" s="5" t="s">
        <v>6240</v>
      </c>
      <c r="C1255" s="3" t="s">
        <v>6241</v>
      </c>
      <c r="D1255" s="6" t="s">
        <v>6242</v>
      </c>
      <c r="E1255" s="7" t="s">
        <v>6243</v>
      </c>
      <c r="F1255" s="5" t="str">
        <f>IFERROR(__xludf.DUMMYFUNCTION("GOOGLEFINANCE(""NSE:""&amp;A1255,""name"")"),"LIC MF Nifty Midcap 100 ETF")</f>
        <v>LIC MF Nifty Midcap 100 ETF</v>
      </c>
    </row>
    <row r="1256">
      <c r="A1256" s="1" t="s">
        <v>6244</v>
      </c>
      <c r="B1256" s="5" t="s">
        <v>6245</v>
      </c>
      <c r="C1256" s="3" t="s">
        <v>6246</v>
      </c>
      <c r="D1256" s="6" t="s">
        <v>6247</v>
      </c>
      <c r="E1256" s="7" t="s">
        <v>6248</v>
      </c>
      <c r="F1256" s="5" t="str">
        <f>IFERROR(__xludf.DUMMYFUNCTION("GOOGLEFINANCE(""NSE:""&amp;A1256,""name"")"),"LIC MF Nifty 100 ETF")</f>
        <v>LIC MF Nifty 100 ETF</v>
      </c>
    </row>
    <row r="1257">
      <c r="A1257" s="1" t="s">
        <v>6249</v>
      </c>
      <c r="B1257" s="5" t="s">
        <v>6250</v>
      </c>
      <c r="C1257" s="3" t="s">
        <v>6251</v>
      </c>
      <c r="D1257" s="6" t="s">
        <v>6252</v>
      </c>
      <c r="E1257" s="7" t="s">
        <v>6253</v>
      </c>
      <c r="F1257" s="5" t="str">
        <f>IFERROR(__xludf.DUMMYFUNCTION("GOOGLEFINANCE(""NSE:""&amp;A1257,""name"")"),"LIC MF Nifty 50 ETF")</f>
        <v>LIC MF Nifty 50 ETF</v>
      </c>
    </row>
    <row r="1258">
      <c r="A1258" s="1" t="s">
        <v>6254</v>
      </c>
      <c r="B1258" s="5" t="s">
        <v>6255</v>
      </c>
      <c r="C1258" s="3" t="s">
        <v>6256</v>
      </c>
      <c r="D1258" s="6" t="s">
        <v>6257</v>
      </c>
      <c r="E1258" s="7" t="s">
        <v>6258</v>
      </c>
      <c r="F1258" s="5" t="str">
        <f>IFERROR(__xludf.DUMMYFUNCTION("GOOGLEFINANCE(""NSE:""&amp;A1258,""name"")"),"LIC MF BSE Sensex ETF")</f>
        <v>LIC MF BSE Sensex ETF</v>
      </c>
    </row>
    <row r="1259">
      <c r="A1259" s="1" t="s">
        <v>6259</v>
      </c>
      <c r="B1259" s="5" t="s">
        <v>6260</v>
      </c>
      <c r="C1259" s="3" t="s">
        <v>6261</v>
      </c>
      <c r="D1259" s="6" t="s">
        <v>6262</v>
      </c>
      <c r="E1259" s="7" t="s">
        <v>6263</v>
      </c>
      <c r="F1259" s="5" t="str">
        <f>IFERROR(__xludf.DUMMYFUNCTION("GOOGLEFINANCE(""NSE:""&amp;A1259,""name"")"),"LIC MF Nifty 8-13 yr G-Sec ETF")</f>
        <v>LIC MF Nifty 8-13 yr G-Sec ETF</v>
      </c>
    </row>
    <row r="1260">
      <c r="A1260" s="1" t="s">
        <v>6264</v>
      </c>
      <c r="B1260" s="5" t="s">
        <v>6265</v>
      </c>
      <c r="C1260" s="3" t="s">
        <v>6266</v>
      </c>
      <c r="D1260" s="6" t="s">
        <v>6267</v>
      </c>
      <c r="E1260" s="7" t="s">
        <v>6268</v>
      </c>
      <c r="F1260" s="5" t="str">
        <f>IFERROR(__xludf.DUMMYFUNCTION("GOOGLEFINANCE(""NSE:""&amp;A1260,""name"")"),"Life Insurance Corporation of India")</f>
        <v>Life Insurance Corporation of India</v>
      </c>
    </row>
    <row r="1261">
      <c r="A1261" s="1" t="s">
        <v>6269</v>
      </c>
      <c r="B1261" s="5" t="s">
        <v>6270</v>
      </c>
      <c r="C1261" s="3" t="s">
        <v>6271</v>
      </c>
      <c r="D1261" s="6" t="s">
        <v>6272</v>
      </c>
      <c r="E1261" s="7" t="s">
        <v>6273</v>
      </c>
      <c r="F1261" s="5" t="str">
        <f>IFERROR(__xludf.DUMMYFUNCTION("GOOGLEFINANCE(""NSE:""&amp;A1261,""name"")"),"Likhitha Infrastructure Ltd")</f>
        <v>Likhitha Infrastructure Ltd</v>
      </c>
    </row>
    <row r="1262">
      <c r="A1262" s="1" t="s">
        <v>6274</v>
      </c>
      <c r="B1262" s="5" t="s">
        <v>6275</v>
      </c>
      <c r="C1262" s="3" t="s">
        <v>6276</v>
      </c>
      <c r="D1262" s="6" t="s">
        <v>6277</v>
      </c>
      <c r="E1262" s="7" t="s">
        <v>6278</v>
      </c>
      <c r="F1262" s="5" t="str">
        <f>IFERROR(__xludf.DUMMYFUNCTION("GOOGLEFINANCE(""NSE:""&amp;A1262,""name"")"),"Linc Ltd")</f>
        <v>Linc Ltd</v>
      </c>
    </row>
    <row r="1263">
      <c r="A1263" s="1" t="s">
        <v>6279</v>
      </c>
      <c r="B1263" s="5" t="s">
        <v>6280</v>
      </c>
      <c r="C1263" s="3" t="s">
        <v>6281</v>
      </c>
      <c r="D1263" s="6" t="s">
        <v>6282</v>
      </c>
      <c r="E1263" s="7" t="s">
        <v>6283</v>
      </c>
      <c r="F1263" s="5" t="str">
        <f>IFERROR(__xludf.DUMMYFUNCTION("GOOGLEFINANCE(""NSE:""&amp;A1263,""name"")"),"Lincoln Pharmaceuticals Ltd")</f>
        <v>Lincoln Pharmaceuticals Ltd</v>
      </c>
    </row>
    <row r="1264">
      <c r="A1264" s="1" t="s">
        <v>6284</v>
      </c>
      <c r="B1264" s="5" t="s">
        <v>6285</v>
      </c>
      <c r="C1264" s="3" t="s">
        <v>6286</v>
      </c>
      <c r="D1264" s="6" t="s">
        <v>6287</v>
      </c>
      <c r="E1264" s="7" t="s">
        <v>6288</v>
      </c>
      <c r="F1264" s="5" t="str">
        <f>IFERROR(__xludf.DUMMYFUNCTION("GOOGLEFINANCE(""NSE:""&amp;A1264,""name"")"),"Linde India Ltd")</f>
        <v>Linde India Ltd</v>
      </c>
    </row>
    <row r="1265">
      <c r="A1265" s="1" t="s">
        <v>6289</v>
      </c>
      <c r="B1265" s="5" t="s">
        <v>6290</v>
      </c>
      <c r="C1265" s="3" t="s">
        <v>6291</v>
      </c>
      <c r="D1265" s="6" t="s">
        <v>6292</v>
      </c>
      <c r="E1265" s="7" t="s">
        <v>6293</v>
      </c>
      <c r="F1265" s="5" t="str">
        <f>IFERROR(__xludf.DUMMYFUNCTION("GOOGLEFINANCE(""NSE:""&amp;A1265,""name"")"),"Lloyds Engineering Works Ltd")</f>
        <v>Lloyds Engineering Works Ltd</v>
      </c>
    </row>
    <row r="1266">
      <c r="A1266" s="1" t="s">
        <v>6294</v>
      </c>
      <c r="B1266" s="5" t="s">
        <v>6295</v>
      </c>
      <c r="C1266" s="3" t="s">
        <v>6296</v>
      </c>
      <c r="D1266" s="6" t="s">
        <v>6297</v>
      </c>
      <c r="E1266" s="7" t="s">
        <v>6298</v>
      </c>
      <c r="F1266" s="5" t="str">
        <f>IFERROR(__xludf.DUMMYFUNCTION("GOOGLEFINANCE(""NSE:""&amp;A1266,""name"")"),"Lloyds Enterprises Ltd")</f>
        <v>Lloyds Enterprises Ltd</v>
      </c>
    </row>
    <row r="1267">
      <c r="A1267" s="1" t="s">
        <v>6299</v>
      </c>
      <c r="B1267" s="5" t="s">
        <v>6300</v>
      </c>
      <c r="C1267" s="3" t="s">
        <v>6301</v>
      </c>
      <c r="D1267" s="6" t="s">
        <v>6302</v>
      </c>
      <c r="E1267" s="7" t="s">
        <v>6303</v>
      </c>
      <c r="F1267" s="5" t="str">
        <f>IFERROR(__xludf.DUMMYFUNCTION("GOOGLEFINANCE(""NSE:""&amp;A1267,""name"")"),"Lloyds Metals And Energy Ltd")</f>
        <v>Lloyds Metals And Energy Ltd</v>
      </c>
    </row>
    <row r="1268">
      <c r="A1268" s="1" t="s">
        <v>6304</v>
      </c>
      <c r="B1268" s="5" t="s">
        <v>6305</v>
      </c>
      <c r="C1268" s="3" t="s">
        <v>6306</v>
      </c>
      <c r="D1268" s="6" t="s">
        <v>6307</v>
      </c>
      <c r="E1268" s="7" t="s">
        <v>6308</v>
      </c>
      <c r="F1268" s="5" t="str">
        <f>IFERROR(__xludf.DUMMYFUNCTION("GOOGLEFINANCE(""NSE:""&amp;A1268,""name"")"),"LMW Ltd")</f>
        <v>LMW Ltd</v>
      </c>
    </row>
    <row r="1269">
      <c r="A1269" s="1" t="s">
        <v>6309</v>
      </c>
      <c r="B1269" s="5" t="s">
        <v>6310</v>
      </c>
      <c r="C1269" s="3" t="s">
        <v>6311</v>
      </c>
      <c r="D1269" s="6" t="s">
        <v>6312</v>
      </c>
      <c r="E1269" s="7" t="s">
        <v>6313</v>
      </c>
      <c r="F1269" s="5" t="str">
        <f>IFERROR(__xludf.DUMMYFUNCTION("GOOGLEFINANCE(""NSE:""&amp;A1269,""name"")"),"Lokesh Machines Ltd")</f>
        <v>Lokesh Machines Ltd</v>
      </c>
    </row>
    <row r="1270">
      <c r="A1270" s="1" t="s">
        <v>6314</v>
      </c>
      <c r="B1270" s="5" t="s">
        <v>6315</v>
      </c>
      <c r="C1270" s="3" t="s">
        <v>6316</v>
      </c>
      <c r="D1270" s="6" t="s">
        <v>6317</v>
      </c>
      <c r="E1270" s="7" t="s">
        <v>6318</v>
      </c>
      <c r="F1270" s="5" t="str">
        <f>IFERROR(__xludf.DUMMYFUNCTION("GOOGLEFINANCE(""NSE:""&amp;A1270,""name"")"),"Lords Chloro Alkali Ltd")</f>
        <v>Lords Chloro Alkali Ltd</v>
      </c>
    </row>
    <row r="1271">
      <c r="A1271" s="1" t="s">
        <v>6319</v>
      </c>
      <c r="B1271" s="5" t="s">
        <v>6320</v>
      </c>
      <c r="C1271" s="3" t="s">
        <v>6321</v>
      </c>
      <c r="D1271" s="6" t="s">
        <v>6322</v>
      </c>
      <c r="E1271" s="7" t="s">
        <v>6323</v>
      </c>
      <c r="F1271" s="5" t="str">
        <f>IFERROR(__xludf.DUMMYFUNCTION("GOOGLEFINANCE(""NSE:""&amp;A1271,""name"")"),"Lorenzini Apparels Ltd")</f>
        <v>Lorenzini Apparels Ltd</v>
      </c>
    </row>
    <row r="1272">
      <c r="A1272" s="1" t="s">
        <v>6324</v>
      </c>
      <c r="B1272" s="5" t="s">
        <v>6325</v>
      </c>
      <c r="C1272" s="3" t="s">
        <v>6326</v>
      </c>
      <c r="D1272" s="6" t="s">
        <v>6327</v>
      </c>
      <c r="E1272" s="7" t="s">
        <v>6328</v>
      </c>
      <c r="F1272" s="5" t="str">
        <f>IFERROR(__xludf.DUMMYFUNCTION("GOOGLEFINANCE(""NSE:""&amp;A1272,""name"")"),"Lotus Eye Hospital and Institute Ltd")</f>
        <v>Lotus Eye Hospital and Institute Ltd</v>
      </c>
    </row>
    <row r="1273">
      <c r="A1273" s="1" t="s">
        <v>6329</v>
      </c>
      <c r="B1273" s="5" t="s">
        <v>6330</v>
      </c>
      <c r="C1273" s="3" t="s">
        <v>6331</v>
      </c>
      <c r="D1273" s="6" t="s">
        <v>6332</v>
      </c>
      <c r="E1273" s="7" t="s">
        <v>6333</v>
      </c>
      <c r="F1273" s="5" t="str">
        <f>IFERROR(__xludf.DUMMYFUNCTION("GOOGLEFINANCE(""NSE:""&amp;A1273,""name"")"),"Lovable Lingerie Ltd")</f>
        <v>Lovable Lingerie Ltd</v>
      </c>
    </row>
    <row r="1274">
      <c r="A1274" s="1" t="s">
        <v>6334</v>
      </c>
      <c r="B1274" s="5" t="s">
        <v>6335</v>
      </c>
      <c r="C1274" s="3" t="s">
        <v>6336</v>
      </c>
      <c r="D1274" s="6" t="s">
        <v>6337</v>
      </c>
      <c r="E1274" s="7" t="s">
        <v>6338</v>
      </c>
      <c r="F1274" s="5" t="str">
        <f>IFERROR(__xludf.DUMMYFUNCTION("GOOGLEFINANCE(""NSE:""&amp;A1274,""name"")"),"Loyal Textile Mills Ltd")</f>
        <v>Loyal Textile Mills Ltd</v>
      </c>
    </row>
    <row r="1275">
      <c r="A1275" s="1" t="s">
        <v>6339</v>
      </c>
      <c r="B1275" s="5" t="s">
        <v>6340</v>
      </c>
      <c r="C1275" s="3" t="s">
        <v>6341</v>
      </c>
      <c r="D1275" s="6" t="s">
        <v>6342</v>
      </c>
      <c r="E1275" s="7" t="s">
        <v>6343</v>
      </c>
      <c r="F1275" s="5" t="str">
        <f>IFERROR(__xludf.DUMMYFUNCTION("GOOGLEFINANCE(""NSE:""&amp;A1275,""name"")"),"LTIMindtree Ltd")</f>
        <v>LTIMindtree Ltd</v>
      </c>
    </row>
    <row r="1276">
      <c r="A1276" s="1" t="s">
        <v>6344</v>
      </c>
      <c r="B1276" s="5" t="s">
        <v>6345</v>
      </c>
      <c r="C1276" s="3" t="s">
        <v>6346</v>
      </c>
      <c r="D1276" s="6" t="s">
        <v>6347</v>
      </c>
      <c r="E1276" s="7" t="s">
        <v>6348</v>
      </c>
      <c r="F1276" s="5" t="str">
        <f>IFERROR(__xludf.DUMMYFUNCTION("GOOGLEFINANCE(""NSE:""&amp;A1276,""name"")"),"Lumax AutoTechnologies Ltd")</f>
        <v>Lumax AutoTechnologies Ltd</v>
      </c>
    </row>
    <row r="1277">
      <c r="A1277" s="1" t="s">
        <v>6349</v>
      </c>
      <c r="B1277" s="5" t="s">
        <v>6350</v>
      </c>
      <c r="C1277" s="3" t="s">
        <v>6351</v>
      </c>
      <c r="D1277" s="6" t="s">
        <v>6352</v>
      </c>
      <c r="E1277" s="7" t="s">
        <v>6353</v>
      </c>
      <c r="F1277" s="5" t="str">
        <f>IFERROR(__xludf.DUMMYFUNCTION("GOOGLEFINANCE(""NSE:""&amp;A1277,""name"")"),"Lumax Industries Ltd")</f>
        <v>Lumax Industries Ltd</v>
      </c>
    </row>
    <row r="1278">
      <c r="A1278" s="1" t="s">
        <v>6354</v>
      </c>
      <c r="B1278" s="5" t="s">
        <v>6355</v>
      </c>
      <c r="C1278" s="3" t="s">
        <v>6356</v>
      </c>
      <c r="D1278" s="6" t="s">
        <v>6357</v>
      </c>
      <c r="E1278" s="7" t="s">
        <v>6358</v>
      </c>
      <c r="F1278" s="5" t="str">
        <f>IFERROR(__xludf.DUMMYFUNCTION("GOOGLEFINANCE(""NSE:""&amp;A1278,""name"")"),"Lupin Ltd")</f>
        <v>Lupin Ltd</v>
      </c>
    </row>
    <row r="1279">
      <c r="A1279" s="1" t="s">
        <v>6359</v>
      </c>
      <c r="B1279" s="5" t="s">
        <v>6360</v>
      </c>
      <c r="C1279" s="3" t="s">
        <v>6361</v>
      </c>
      <c r="D1279" s="6" t="s">
        <v>6362</v>
      </c>
      <c r="E1279" s="7" t="s">
        <v>6363</v>
      </c>
      <c r="F1279" s="5" t="str">
        <f>IFERROR(__xludf.DUMMYFUNCTION("GOOGLEFINANCE(""NSE:""&amp;A1279,""name"")"),"Lux Industries Ltd")</f>
        <v>Lux Industries Ltd</v>
      </c>
    </row>
    <row r="1280">
      <c r="A1280" s="1" t="s">
        <v>6364</v>
      </c>
      <c r="B1280" s="5" t="s">
        <v>6365</v>
      </c>
      <c r="C1280" s="3" t="s">
        <v>6366</v>
      </c>
      <c r="D1280" s="6" t="s">
        <v>6367</v>
      </c>
      <c r="E1280" s="7" t="s">
        <v>6368</v>
      </c>
      <c r="F1280" s="5" t="str">
        <f>IFERROR(__xludf.DUMMYFUNCTION("GOOGLEFINANCE(""NSE:""&amp;A1280,""name"")"),"Lyka Labs Ltd")</f>
        <v>Lyka Labs Ltd</v>
      </c>
    </row>
    <row r="1281">
      <c r="A1281" s="1" t="s">
        <v>6369</v>
      </c>
      <c r="B1281" s="5" t="s">
        <v>6370</v>
      </c>
      <c r="C1281" s="3" t="s">
        <v>6371</v>
      </c>
      <c r="D1281" s="6" t="s">
        <v>6372</v>
      </c>
      <c r="E1281" s="7" t="s">
        <v>6373</v>
      </c>
      <c r="F1281" s="5" t="str">
        <f>IFERROR(__xludf.DUMMYFUNCTION("GOOGLEFINANCE(""NSE:""&amp;A1281,""name"")"),"M &amp; B Engineering Ltd")</f>
        <v>M &amp; B Engineering Ltd</v>
      </c>
    </row>
    <row r="1282">
      <c r="A1282" s="1" t="s">
        <v>6374</v>
      </c>
      <c r="B1282" s="5" t="s">
        <v>6375</v>
      </c>
      <c r="C1282" s="3" t="s">
        <v>6376</v>
      </c>
      <c r="D1282" s="6" t="s">
        <v>6377</v>
      </c>
      <c r="E1282" s="7" t="s">
        <v>6378</v>
      </c>
      <c r="F1282" s="5" t="str">
        <f>IFERROR(__xludf.DUMMYFUNCTION("GOOGLEFINANCE(""NSE:""&amp;A1282,""name"")"),"M K Proteins Ltd")</f>
        <v>M K Proteins Ltd</v>
      </c>
    </row>
    <row r="1283">
      <c r="A1283" s="1" t="s">
        <v>6379</v>
      </c>
      <c r="B1283" s="5" t="s">
        <v>6380</v>
      </c>
      <c r="C1283" s="3" t="s">
        <v>6381</v>
      </c>
      <c r="D1283" s="6" t="s">
        <v>6382</v>
      </c>
      <c r="E1283" s="7" t="s">
        <v>6383</v>
      </c>
      <c r="F1283" s="5" t="str">
        <f>IFERROR(__xludf.DUMMYFUNCTION("GOOGLEFINANCE(""NSE:""&amp;A1283,""name"")"),"Maan Aluminium Ltd")</f>
        <v>Maan Aluminium Ltd</v>
      </c>
    </row>
    <row r="1284">
      <c r="A1284" s="1" t="s">
        <v>6384</v>
      </c>
      <c r="B1284" s="5" t="s">
        <v>6385</v>
      </c>
      <c r="C1284" s="3" t="s">
        <v>6386</v>
      </c>
      <c r="D1284" s="6" t="s">
        <v>6387</v>
      </c>
      <c r="E1284" s="7" t="s">
        <v>6388</v>
      </c>
      <c r="F1284" s="5" t="str">
        <f>IFERROR(__xludf.DUMMYFUNCTION("GOOGLEFINANCE(""NSE:""&amp;A1284,""name"")"),"Macpower CNC Machines Ltd")</f>
        <v>Macpower CNC Machines Ltd</v>
      </c>
    </row>
    <row r="1285">
      <c r="A1285" s="1" t="s">
        <v>6389</v>
      </c>
      <c r="B1285" s="5" t="s">
        <v>6390</v>
      </c>
      <c r="C1285" s="3" t="s">
        <v>6391</v>
      </c>
      <c r="D1285" s="6" t="s">
        <v>6392</v>
      </c>
      <c r="E1285" s="7" t="s">
        <v>6393</v>
      </c>
      <c r="F1285" s="5" t="str">
        <f>IFERROR(__xludf.DUMMYFUNCTION("GOOGLEFINANCE(""NSE:""&amp;A1285,""name"")"),"Lodha Developers Ltd")</f>
        <v>Lodha Developers Ltd</v>
      </c>
    </row>
    <row r="1286">
      <c r="A1286" s="1" t="s">
        <v>6394</v>
      </c>
      <c r="B1286" s="5" t="s">
        <v>6395</v>
      </c>
      <c r="C1286" s="3" t="s">
        <v>6396</v>
      </c>
      <c r="D1286" s="6" t="s">
        <v>6397</v>
      </c>
      <c r="E1286" s="7" t="s">
        <v>6398</v>
      </c>
      <c r="F1286" s="5" t="str">
        <f>IFERROR(__xludf.DUMMYFUNCTION("GOOGLEFINANCE(""NSE:""&amp;A1286,""name"")"),"Madhav Copper Ltd")</f>
        <v>Madhav Copper Ltd</v>
      </c>
    </row>
    <row r="1287">
      <c r="A1287" s="1" t="s">
        <v>6399</v>
      </c>
      <c r="B1287" s="5" t="s">
        <v>6400</v>
      </c>
      <c r="C1287" s="3" t="s">
        <v>6401</v>
      </c>
      <c r="D1287" s="6" t="s">
        <v>6402</v>
      </c>
      <c r="E1287" s="7" t="s">
        <v>6403</v>
      </c>
      <c r="F1287" s="5" t="str">
        <f>IFERROR(__xludf.DUMMYFUNCTION("GOOGLEFINANCE(""NSE:""&amp;A1287,""name"")"),"Madhav Marbles and Granites Ltd")</f>
        <v>Madhav Marbles and Granites Ltd</v>
      </c>
    </row>
    <row r="1288">
      <c r="A1288" s="1" t="s">
        <v>6404</v>
      </c>
      <c r="B1288" s="5" t="s">
        <v>6405</v>
      </c>
      <c r="C1288" s="3" t="s">
        <v>6406</v>
      </c>
      <c r="D1288" s="6" t="s">
        <v>6407</v>
      </c>
      <c r="E1288" s="7" t="s">
        <v>6408</v>
      </c>
      <c r="F1288" s="5" t="str">
        <f>IFERROR(__xludf.DUMMYFUNCTION("GOOGLEFINANCE(""NSE:""&amp;A1288,""name"")"),"Madhucon Projects Ltd")</f>
        <v>Madhucon Projects Ltd</v>
      </c>
    </row>
    <row r="1289">
      <c r="A1289" s="1" t="s">
        <v>6409</v>
      </c>
      <c r="B1289" s="5" t="s">
        <v>6410</v>
      </c>
      <c r="C1289" s="3" t="s">
        <v>6411</v>
      </c>
      <c r="D1289" s="6" t="s">
        <v>6412</v>
      </c>
      <c r="E1289" s="7" t="s">
        <v>6413</v>
      </c>
      <c r="F1289" s="5" t="str">
        <f>IFERROR(__xludf.DUMMYFUNCTION("GOOGLEFINANCE(""NSE:""&amp;A1289,""name"")"),"Madhya Bharat Agro products Ltd")</f>
        <v>Madhya Bharat Agro products Ltd</v>
      </c>
    </row>
    <row r="1290">
      <c r="A1290" s="1" t="s">
        <v>6414</v>
      </c>
      <c r="B1290" s="5" t="s">
        <v>6415</v>
      </c>
      <c r="C1290" s="3" t="s">
        <v>6416</v>
      </c>
      <c r="D1290" s="6" t="s">
        <v>6417</v>
      </c>
      <c r="E1290" s="7" t="s">
        <v>6418</v>
      </c>
      <c r="F1290" s="5" t="str">
        <f>IFERROR(__xludf.DUMMYFUNCTION("GOOGLEFINANCE(""NSE:""&amp;A1290,""name"")"),"Madras Fertilizers Ltd")</f>
        <v>Madras Fertilizers Ltd</v>
      </c>
    </row>
    <row r="1291">
      <c r="A1291" s="1" t="s">
        <v>6419</v>
      </c>
      <c r="B1291" s="5" t="s">
        <v>6420</v>
      </c>
      <c r="C1291" s="3" t="s">
        <v>6421</v>
      </c>
      <c r="D1291" s="6" t="s">
        <v>6422</v>
      </c>
      <c r="E1291" s="7" t="s">
        <v>6423</v>
      </c>
      <c r="F1291" s="5" t="str">
        <f>IFERROR(__xludf.DUMMYFUNCTION("GOOGLEFINANCE(""NSE:""&amp;A1291,""name"")"),"Magadh Sugar &amp; Energy Ltd")</f>
        <v>Magadh Sugar &amp; Energy Ltd</v>
      </c>
    </row>
    <row r="1292">
      <c r="A1292" s="1" t="s">
        <v>6424</v>
      </c>
      <c r="B1292" s="5" t="s">
        <v>6425</v>
      </c>
      <c r="C1292" s="3" t="s">
        <v>6426</v>
      </c>
      <c r="D1292" s="6" t="s">
        <v>6427</v>
      </c>
      <c r="E1292" s="7" t="s">
        <v>6428</v>
      </c>
      <c r="F1292" s="5" t="str">
        <f>IFERROR(__xludf.DUMMYFUNCTION("GOOGLEFINANCE(""NSE:""&amp;A1292,""name"")"),"Magellanic Cloud Ltd")</f>
        <v>Magellanic Cloud Ltd</v>
      </c>
    </row>
    <row r="1293">
      <c r="A1293" s="1" t="s">
        <v>6429</v>
      </c>
      <c r="B1293" s="5" t="s">
        <v>6430</v>
      </c>
      <c r="C1293" s="3" t="s">
        <v>6431</v>
      </c>
      <c r="D1293" s="6" t="s">
        <v>6432</v>
      </c>
      <c r="E1293" s="7" t="s">
        <v>6433</v>
      </c>
      <c r="F1293" s="5" t="str">
        <f>IFERROR(__xludf.DUMMYFUNCTION("GOOGLEFINANCE(""NSE:""&amp;A1293,""name"")"),"Magnum Ventures Ltd")</f>
        <v>Magnum Ventures Ltd</v>
      </c>
    </row>
    <row r="1294">
      <c r="A1294" s="1" t="s">
        <v>6434</v>
      </c>
      <c r="B1294" s="5" t="s">
        <v>6435</v>
      </c>
      <c r="C1294" s="3" t="s">
        <v>6436</v>
      </c>
      <c r="D1294" s="6" t="s">
        <v>6437</v>
      </c>
      <c r="E1294" s="7" t="s">
        <v>6438</v>
      </c>
      <c r="F1294" s="5" t="str">
        <f>IFERROR(__xludf.DUMMYFUNCTION("GOOGLEFINANCE(""NSE:""&amp;A1294,""name"")"),"Maha Rashtra Apex Corporation Ltd")</f>
        <v>Maha Rashtra Apex Corporation Ltd</v>
      </c>
    </row>
    <row r="1295">
      <c r="A1295" s="1" t="s">
        <v>6439</v>
      </c>
      <c r="B1295" s="5" t="s">
        <v>6440</v>
      </c>
      <c r="C1295" s="3" t="s">
        <v>6441</v>
      </c>
      <c r="D1295" s="6" t="s">
        <v>6442</v>
      </c>
      <c r="E1295" s="7" t="s">
        <v>6443</v>
      </c>
      <c r="F1295" s="5" t="str">
        <f>IFERROR(__xludf.DUMMYFUNCTION("GOOGLEFINANCE(""NSE:""&amp;A1295,""name"")"),"Mahalaxmi Fabric Mills Ltd")</f>
        <v>Mahalaxmi Fabric Mills Ltd</v>
      </c>
    </row>
    <row r="1296">
      <c r="A1296" s="1" t="s">
        <v>6444</v>
      </c>
      <c r="B1296" s="5" t="s">
        <v>6445</v>
      </c>
      <c r="C1296" s="3" t="s">
        <v>6446</v>
      </c>
      <c r="D1296" s="6" t="s">
        <v>6447</v>
      </c>
      <c r="E1296" s="7" t="s">
        <v>6448</v>
      </c>
      <c r="F1296" s="5" t="str">
        <f>IFERROR(__xludf.DUMMYFUNCTION("GOOGLEFINANCE(""NSE:""&amp;A1296,""name"")"),"Mahalaxmi Rubtech Ltd")</f>
        <v>Mahalaxmi Rubtech Ltd</v>
      </c>
    </row>
    <row r="1297">
      <c r="A1297" s="1" t="s">
        <v>6449</v>
      </c>
      <c r="B1297" s="5" t="s">
        <v>6450</v>
      </c>
      <c r="C1297" s="3" t="s">
        <v>6451</v>
      </c>
      <c r="D1297" s="6" t="s">
        <v>6452</v>
      </c>
      <c r="E1297" s="7" t="s">
        <v>6453</v>
      </c>
      <c r="F1297" s="5" t="str">
        <f>IFERROR(__xludf.DUMMYFUNCTION("GOOGLEFINANCE(""NSE:""&amp;A1297,""name"")"),"Mahamaya Steel Industries Ltd")</f>
        <v>Mahamaya Steel Industries Ltd</v>
      </c>
    </row>
    <row r="1298">
      <c r="A1298" s="1" t="s">
        <v>6454</v>
      </c>
      <c r="B1298" s="5" t="s">
        <v>6455</v>
      </c>
      <c r="C1298" s="3" t="s">
        <v>6456</v>
      </c>
      <c r="D1298" s="6" t="s">
        <v>6457</v>
      </c>
      <c r="E1298" s="7" t="s">
        <v>6458</v>
      </c>
      <c r="F1298" s="5" t="str">
        <f>IFERROR(__xludf.DUMMYFUNCTION("GOOGLEFINANCE(""NSE:""&amp;A1298,""name"")"),"Mahanagar Gas Ltd")</f>
        <v>Mahanagar Gas Ltd</v>
      </c>
    </row>
    <row r="1299">
      <c r="A1299" s="1" t="s">
        <v>6459</v>
      </c>
      <c r="B1299" s="5" t="s">
        <v>6460</v>
      </c>
      <c r="C1299" s="3" t="s">
        <v>6461</v>
      </c>
      <c r="D1299" s="6" t="s">
        <v>6462</v>
      </c>
      <c r="E1299" s="7" t="s">
        <v>6463</v>
      </c>
      <c r="F1299" s="5" t="str">
        <f>IFERROR(__xludf.DUMMYFUNCTION("GOOGLEFINANCE(""NSE:""&amp;A1299,""name"")"),"Mahanagar Telephone Nigam Ltd")</f>
        <v>Mahanagar Telephone Nigam Ltd</v>
      </c>
    </row>
    <row r="1300">
      <c r="A1300" s="1" t="s">
        <v>6464</v>
      </c>
      <c r="B1300" s="5" t="s">
        <v>6465</v>
      </c>
      <c r="C1300" s="3" t="s">
        <v>6466</v>
      </c>
      <c r="D1300" s="6" t="s">
        <v>6467</v>
      </c>
      <c r="E1300" s="7" t="s">
        <v>6468</v>
      </c>
      <c r="F1300" s="5" t="str">
        <f>IFERROR(__xludf.DUMMYFUNCTION("GOOGLEFINANCE(""NSE:""&amp;A1300,""name"")"),"Maharashtra Scooters Ltd")</f>
        <v>Maharashtra Scooters Ltd</v>
      </c>
    </row>
    <row r="1301">
      <c r="A1301" s="1" t="s">
        <v>6469</v>
      </c>
      <c r="B1301" s="5" t="s">
        <v>6470</v>
      </c>
      <c r="C1301" s="3" t="s">
        <v>6471</v>
      </c>
      <c r="D1301" s="6" t="s">
        <v>6472</v>
      </c>
      <c r="E1301" s="7" t="s">
        <v>6473</v>
      </c>
      <c r="F1301" s="5" t="str">
        <f>IFERROR(__xludf.DUMMYFUNCTION("GOOGLEFINANCE(""NSE:""&amp;A1301,""name"")"),"Maharashtra Seamless Ltd")</f>
        <v>Maharashtra Seamless Ltd</v>
      </c>
    </row>
    <row r="1302">
      <c r="A1302" s="1" t="s">
        <v>6474</v>
      </c>
      <c r="B1302" s="5" t="s">
        <v>6475</v>
      </c>
      <c r="C1302" s="3" t="s">
        <v>6476</v>
      </c>
      <c r="D1302" s="6" t="s">
        <v>6477</v>
      </c>
      <c r="E1302" s="7" t="s">
        <v>6478</v>
      </c>
      <c r="F1302" s="5" t="str">
        <f>IFERROR(__xludf.DUMMYFUNCTION("GOOGLEFINANCE(""NSE:""&amp;A1302,""name"")"),"Maheshwari Logistics Ltd")</f>
        <v>Maheshwari Logistics Ltd</v>
      </c>
    </row>
    <row r="1303">
      <c r="A1303" s="1" t="s">
        <v>6479</v>
      </c>
      <c r="B1303" s="5" t="s">
        <v>6480</v>
      </c>
      <c r="C1303" s="3" t="s">
        <v>6481</v>
      </c>
      <c r="D1303" s="6" t="s">
        <v>6482</v>
      </c>
      <c r="E1303" s="7" t="s">
        <v>6483</v>
      </c>
      <c r="F1303" s="5" t="str">
        <f>IFERROR(__xludf.DUMMYFUNCTION("GOOGLEFINANCE(""NSE:""&amp;A1303,""name"")"),"Mahindra and Mahindra Financial Svcs Ltd")</f>
        <v>Mahindra and Mahindra Financial Svcs Ltd</v>
      </c>
    </row>
    <row r="1304">
      <c r="A1304" s="1" t="s">
        <v>6484</v>
      </c>
      <c r="B1304" s="5" t="s">
        <v>6485</v>
      </c>
      <c r="C1304" s="3" t="s">
        <v>6486</v>
      </c>
      <c r="D1304" s="6" t="s">
        <v>6487</v>
      </c>
      <c r="E1304" s="7" t="s">
        <v>6488</v>
      </c>
      <c r="F1304" s="5" t="str">
        <f>IFERROR(__xludf.DUMMYFUNCTION("GOOGLEFINANCE(""NSE:""&amp;A1304,""name"")"),"Mahindra And Mahindra Ltd")</f>
        <v>Mahindra And Mahindra Ltd</v>
      </c>
    </row>
    <row r="1305">
      <c r="A1305" s="1" t="s">
        <v>6489</v>
      </c>
      <c r="B1305" s="5" t="s">
        <v>6490</v>
      </c>
      <c r="C1305" s="3" t="s">
        <v>6491</v>
      </c>
      <c r="D1305" s="6" t="s">
        <v>6492</v>
      </c>
      <c r="E1305" s="7" t="s">
        <v>6493</v>
      </c>
      <c r="F1305" s="5" t="str">
        <f>IFERROR(__xludf.DUMMYFUNCTION("GOOGLEFINANCE(""NSE:""&amp;A1305,""name"")"),"Mahindra EPC Irrigation Ltd")</f>
        <v>Mahindra EPC Irrigation Ltd</v>
      </c>
    </row>
    <row r="1306">
      <c r="A1306" s="1" t="s">
        <v>6494</v>
      </c>
      <c r="B1306" s="5" t="s">
        <v>6495</v>
      </c>
      <c r="C1306" s="3" t="s">
        <v>6496</v>
      </c>
      <c r="D1306" s="6" t="s">
        <v>6497</v>
      </c>
      <c r="E1306" s="7" t="s">
        <v>6498</v>
      </c>
      <c r="F1306" s="5" t="str">
        <f>IFERROR(__xludf.DUMMYFUNCTION("GOOGLEFINANCE(""NSE:""&amp;A1306,""name"")"),"Mahindra Holidays and Resorts India Ltd")</f>
        <v>Mahindra Holidays and Resorts India Ltd</v>
      </c>
    </row>
    <row r="1307">
      <c r="A1307" s="1" t="s">
        <v>6499</v>
      </c>
      <c r="B1307" s="5" t="s">
        <v>6500</v>
      </c>
      <c r="C1307" s="3" t="s">
        <v>6501</v>
      </c>
      <c r="D1307" s="6" t="s">
        <v>6502</v>
      </c>
      <c r="E1307" s="7" t="s">
        <v>6503</v>
      </c>
      <c r="F1307" s="5" t="str">
        <f>IFERROR(__xludf.DUMMYFUNCTION("GOOGLEFINANCE(""NSE:""&amp;A1307,""name"")"),"Mahindra Lifespace Developers Ltd")</f>
        <v>Mahindra Lifespace Developers Ltd</v>
      </c>
    </row>
    <row r="1308">
      <c r="A1308" s="1" t="s">
        <v>6504</v>
      </c>
      <c r="B1308" s="5" t="s">
        <v>6505</v>
      </c>
      <c r="C1308" s="3" t="s">
        <v>6506</v>
      </c>
      <c r="D1308" s="6" t="s">
        <v>6507</v>
      </c>
      <c r="E1308" s="7" t="s">
        <v>6508</v>
      </c>
      <c r="F1308" s="5" t="str">
        <f>IFERROR(__xludf.DUMMYFUNCTION("GOOGLEFINANCE(""NSE:""&amp;A1308,""name"")"),"Mahindra Logistics Ltd")</f>
        <v>Mahindra Logistics Ltd</v>
      </c>
    </row>
    <row r="1309">
      <c r="A1309" s="1" t="s">
        <v>6509</v>
      </c>
      <c r="B1309" s="5" t="s">
        <v>6510</v>
      </c>
      <c r="C1309" s="3" t="s">
        <v>6511</v>
      </c>
      <c r="D1309" s="6" t="s">
        <v>6512</v>
      </c>
      <c r="E1309" s="7" t="s">
        <v>6513</v>
      </c>
      <c r="F1309" s="5" t="str">
        <f>IFERROR(__xludf.DUMMYFUNCTION("GOOGLEFINANCE(""NSE:""&amp;A1309,""name"")"),"Maithan Alloys Ltd")</f>
        <v>Maithan Alloys Ltd</v>
      </c>
    </row>
    <row r="1310">
      <c r="A1310" s="1" t="s">
        <v>6514</v>
      </c>
      <c r="B1310" s="5" t="s">
        <v>6515</v>
      </c>
      <c r="C1310" s="3" t="s">
        <v>6516</v>
      </c>
      <c r="D1310" s="6" t="s">
        <v>6517</v>
      </c>
      <c r="E1310" s="7" t="s">
        <v>6518</v>
      </c>
      <c r="F1310" s="5" t="str">
        <f>IFERROR(__xludf.DUMMYFUNCTION("GOOGLEFINANCE(""NSE:""&amp;A1310,""name"")"),"Mallcom (India) Ltd")</f>
        <v>Mallcom (India) Ltd</v>
      </c>
    </row>
    <row r="1311">
      <c r="A1311" s="1" t="s">
        <v>6519</v>
      </c>
      <c r="B1311" s="5" t="s">
        <v>6520</v>
      </c>
      <c r="C1311" s="3" t="s">
        <v>6521</v>
      </c>
      <c r="D1311" s="6" t="s">
        <v>6522</v>
      </c>
      <c r="E1311" s="7" t="s">
        <v>6523</v>
      </c>
      <c r="F1311" s="5" t="str">
        <f>IFERROR(__xludf.DUMMYFUNCTION("GOOGLEFINANCE(""NSE:""&amp;A1311,""name"")"),"Malu Paper Mills Ltd")</f>
        <v>Malu Paper Mills Ltd</v>
      </c>
    </row>
    <row r="1312">
      <c r="A1312" s="1" t="s">
        <v>6524</v>
      </c>
      <c r="B1312" s="5" t="s">
        <v>6525</v>
      </c>
      <c r="C1312" s="3" t="s">
        <v>6526</v>
      </c>
      <c r="D1312" s="6" t="s">
        <v>6527</v>
      </c>
      <c r="E1312" s="7" t="s">
        <v>6528</v>
      </c>
      <c r="F1312" s="5" t="str">
        <f>IFERROR(__xludf.DUMMYFUNCTION("GOOGLEFINANCE(""NSE:""&amp;A1312,""name"")"),"Mamata Machinery Ltd")</f>
        <v>Mamata Machinery Ltd</v>
      </c>
    </row>
    <row r="1313">
      <c r="A1313" s="1" t="s">
        <v>6529</v>
      </c>
      <c r="B1313" s="5" t="s">
        <v>6530</v>
      </c>
      <c r="C1313" s="3" t="s">
        <v>6531</v>
      </c>
      <c r="D1313" s="6" t="s">
        <v>6532</v>
      </c>
      <c r="E1313" s="7" t="s">
        <v>6533</v>
      </c>
      <c r="F1313" s="5" t="str">
        <f>IFERROR(__xludf.DUMMYFUNCTION("GOOGLEFINANCE(""NSE:""&amp;A1313,""name"")"),"Man Industries (India) Ltd")</f>
        <v>Man Industries (India) Ltd</v>
      </c>
    </row>
    <row r="1314">
      <c r="A1314" s="1" t="s">
        <v>6534</v>
      </c>
      <c r="B1314" s="5" t="s">
        <v>6535</v>
      </c>
      <c r="C1314" s="3" t="s">
        <v>6536</v>
      </c>
      <c r="D1314" s="6" t="s">
        <v>6537</v>
      </c>
      <c r="E1314" s="7" t="s">
        <v>6538</v>
      </c>
      <c r="F1314" s="5" t="str">
        <f>IFERROR(__xludf.DUMMYFUNCTION("GOOGLEFINANCE(""NSE:""&amp;A1314,""name"")"),"Man Infraconstruction Ltd")</f>
        <v>Man Infraconstruction Ltd</v>
      </c>
    </row>
    <row r="1315">
      <c r="A1315" s="1" t="s">
        <v>6539</v>
      </c>
      <c r="B1315" s="5" t="s">
        <v>6540</v>
      </c>
      <c r="C1315" s="3" t="s">
        <v>6541</v>
      </c>
      <c r="D1315" s="6" t="s">
        <v>6542</v>
      </c>
      <c r="E1315" s="7" t="s">
        <v>6543</v>
      </c>
      <c r="F1315" s="5" t="str">
        <f>IFERROR(__xludf.DUMMYFUNCTION("GOOGLEFINANCE(""NSE:""&amp;A1315,""name"")"),"Manaksia Aluminium Co Ltd")</f>
        <v>Manaksia Aluminium Co Ltd</v>
      </c>
    </row>
    <row r="1316">
      <c r="A1316" s="1" t="s">
        <v>6544</v>
      </c>
      <c r="B1316" s="5" t="s">
        <v>6545</v>
      </c>
      <c r="C1316" s="3" t="s">
        <v>6546</v>
      </c>
      <c r="D1316" s="6" t="s">
        <v>6547</v>
      </c>
      <c r="E1316" s="7" t="s">
        <v>6548</v>
      </c>
      <c r="F1316" s="5" t="str">
        <f>IFERROR(__xludf.DUMMYFUNCTION("GOOGLEFINANCE(""NSE:""&amp;A1316,""name"")"),"Manaksia Coated Metals &amp; Industries Ltd")</f>
        <v>Manaksia Coated Metals &amp; Industries Ltd</v>
      </c>
    </row>
    <row r="1317">
      <c r="A1317" s="1" t="s">
        <v>6549</v>
      </c>
      <c r="B1317" s="5" t="s">
        <v>6550</v>
      </c>
      <c r="C1317" s="3" t="s">
        <v>6551</v>
      </c>
      <c r="D1317" s="6" t="s">
        <v>6552</v>
      </c>
      <c r="E1317" s="7" t="s">
        <v>6553</v>
      </c>
      <c r="F1317" s="5" t="str">
        <f>IFERROR(__xludf.DUMMYFUNCTION("GOOGLEFINANCE(""NSE:""&amp;A1317,""name"")"),"Manaksia Ltd")</f>
        <v>Manaksia Ltd</v>
      </c>
    </row>
    <row r="1318">
      <c r="A1318" s="1" t="s">
        <v>6554</v>
      </c>
      <c r="B1318" s="5" t="s">
        <v>6555</v>
      </c>
      <c r="C1318" s="3" t="s">
        <v>6556</v>
      </c>
      <c r="D1318" s="6" t="s">
        <v>6557</v>
      </c>
      <c r="E1318" s="7" t="s">
        <v>6558</v>
      </c>
      <c r="F1318" s="5" t="str">
        <f>IFERROR(__xludf.DUMMYFUNCTION("GOOGLEFINANCE(""NSE:""&amp;A1318,""name"")"),"Manaksia Steels Ltd")</f>
        <v>Manaksia Steels Ltd</v>
      </c>
    </row>
    <row r="1319">
      <c r="A1319" s="1" t="s">
        <v>6559</v>
      </c>
      <c r="B1319" s="5" t="s">
        <v>6560</v>
      </c>
      <c r="C1319" s="3" t="s">
        <v>6561</v>
      </c>
      <c r="D1319" s="6" t="s">
        <v>6562</v>
      </c>
      <c r="E1319" s="7" t="s">
        <v>6563</v>
      </c>
      <c r="F1319" s="5" t="str">
        <f>IFERROR(__xludf.DUMMYFUNCTION("GOOGLEFINANCE(""NSE:""&amp;A1319,""name"")"),"Manali Petrochemicals Ltd")</f>
        <v>Manali Petrochemicals Ltd</v>
      </c>
    </row>
    <row r="1320">
      <c r="A1320" s="1" t="s">
        <v>6564</v>
      </c>
      <c r="B1320" s="5" t="s">
        <v>6565</v>
      </c>
      <c r="C1320" s="3" t="s">
        <v>6566</v>
      </c>
      <c r="D1320" s="6" t="s">
        <v>6567</v>
      </c>
      <c r="E1320" s="7" t="s">
        <v>6568</v>
      </c>
      <c r="F1320" s="5" t="str">
        <f>IFERROR(__xludf.DUMMYFUNCTION("GOOGLEFINANCE(""NSE:""&amp;A1320,""name"")"),"Manappuram Finance Ltd")</f>
        <v>Manappuram Finance Ltd</v>
      </c>
    </row>
    <row r="1321">
      <c r="A1321" s="1" t="s">
        <v>6569</v>
      </c>
      <c r="B1321" s="5" t="s">
        <v>6570</v>
      </c>
      <c r="C1321" s="3" t="s">
        <v>6571</v>
      </c>
      <c r="D1321" s="6" t="s">
        <v>6572</v>
      </c>
      <c r="E1321" s="7" t="s">
        <v>6573</v>
      </c>
      <c r="F1321" s="5" t="str">
        <f>IFERROR(__xludf.DUMMYFUNCTION("GOOGLEFINANCE(""NSE:""&amp;A1321,""name"")"),"Manba Finance Ltd")</f>
        <v>Manba Finance Ltd</v>
      </c>
    </row>
    <row r="1322">
      <c r="A1322" s="1" t="s">
        <v>6574</v>
      </c>
      <c r="B1322" s="5" t="s">
        <v>6575</v>
      </c>
      <c r="C1322" s="3" t="s">
        <v>6576</v>
      </c>
      <c r="D1322" s="6" t="s">
        <v>6577</v>
      </c>
      <c r="E1322" s="7" t="s">
        <v>6578</v>
      </c>
      <c r="F1322" s="5" t="str">
        <f>IFERROR(__xludf.DUMMYFUNCTION("GOOGLEFINANCE(""NSE:""&amp;A1322,""name"")"),"Mangal Credit and Fincorp Ltd")</f>
        <v>Mangal Credit and Fincorp Ltd</v>
      </c>
    </row>
    <row r="1323">
      <c r="A1323" s="1" t="s">
        <v>6579</v>
      </c>
      <c r="B1323" s="5" t="s">
        <v>6580</v>
      </c>
      <c r="C1323" s="3" t="s">
        <v>6581</v>
      </c>
      <c r="D1323" s="6" t="s">
        <v>6582</v>
      </c>
      <c r="E1323" s="7" t="s">
        <v>6583</v>
      </c>
      <c r="F1323" s="5" t="str">
        <f>IFERROR(__xludf.DUMMYFUNCTION("GOOGLEFINANCE(""NSE:""&amp;A1323,""name"")"),"Mangal Electrical Industries Ltd")</f>
        <v>Mangal Electrical Industries Ltd</v>
      </c>
    </row>
    <row r="1324">
      <c r="A1324" s="1" t="s">
        <v>6584</v>
      </c>
      <c r="B1324" s="5" t="s">
        <v>6585</v>
      </c>
      <c r="C1324" s="3" t="s">
        <v>6586</v>
      </c>
      <c r="D1324" s="6" t="s">
        <v>6587</v>
      </c>
      <c r="E1324" s="7" t="s">
        <v>6588</v>
      </c>
      <c r="F1324" s="5" t="str">
        <f>IFERROR(__xludf.DUMMYFUNCTION("GOOGLEFINANCE(""NSE:""&amp;A1324,""name"")"),"Mangalam Cement Ltd")</f>
        <v>Mangalam Cement Ltd</v>
      </c>
    </row>
    <row r="1325">
      <c r="A1325" s="1" t="s">
        <v>6589</v>
      </c>
      <c r="B1325" s="5" t="s">
        <v>6590</v>
      </c>
      <c r="C1325" s="3" t="s">
        <v>6591</v>
      </c>
      <c r="D1325" s="6" t="s">
        <v>6592</v>
      </c>
      <c r="E1325" s="7" t="s">
        <v>6593</v>
      </c>
      <c r="F1325" s="5" t="str">
        <f>IFERROR(__xludf.DUMMYFUNCTION("GOOGLEFINANCE(""NSE:""&amp;A1325,""name"")"),"Mangalam Drugs and Organics Ltd")</f>
        <v>Mangalam Drugs and Organics Ltd</v>
      </c>
    </row>
    <row r="1326">
      <c r="A1326" s="1" t="s">
        <v>6594</v>
      </c>
      <c r="B1326" s="5" t="s">
        <v>6595</v>
      </c>
      <c r="C1326" s="3" t="s">
        <v>6596</v>
      </c>
      <c r="D1326" s="6" t="s">
        <v>6597</v>
      </c>
      <c r="E1326" s="7" t="s">
        <v>6598</v>
      </c>
      <c r="F1326" s="5" t="str">
        <f>IFERROR(__xludf.DUMMYFUNCTION("GOOGLEFINANCE(""NSE:""&amp;A1326,""name"")"),"Mangalam Global Enterprise Ltd")</f>
        <v>Mangalam Global Enterprise Ltd</v>
      </c>
    </row>
    <row r="1327">
      <c r="A1327" s="1" t="s">
        <v>6599</v>
      </c>
      <c r="B1327" s="5" t="s">
        <v>6600</v>
      </c>
      <c r="C1327" s="3" t="s">
        <v>6601</v>
      </c>
      <c r="D1327" s="6" t="s">
        <v>6602</v>
      </c>
      <c r="E1327" s="7" t="s">
        <v>6603</v>
      </c>
      <c r="F1327" s="5" t="str">
        <f>IFERROR(__xludf.DUMMYFUNCTION("GOOGLEFINANCE(""NSE:""&amp;A1327,""name"")"),"Mangalam Organics Ltd")</f>
        <v>Mangalam Organics Ltd</v>
      </c>
    </row>
    <row r="1328">
      <c r="A1328" s="1" t="s">
        <v>6604</v>
      </c>
      <c r="B1328" s="5" t="s">
        <v>6605</v>
      </c>
      <c r="C1328" s="3" t="s">
        <v>6606</v>
      </c>
      <c r="D1328" s="6" t="s">
        <v>6607</v>
      </c>
      <c r="E1328" s="7" t="s">
        <v>6608</v>
      </c>
      <c r="F1328" s="5" t="str">
        <f>IFERROR(__xludf.DUMMYFUNCTION("GOOGLEFINANCE(""NSE:""&amp;A1328,""name"")"),"Mangalam Worldwide Ltd")</f>
        <v>Mangalam Worldwide Ltd</v>
      </c>
    </row>
    <row r="1329">
      <c r="A1329" s="1" t="s">
        <v>6609</v>
      </c>
      <c r="B1329" s="5" t="s">
        <v>6610</v>
      </c>
      <c r="C1329" s="3" t="s">
        <v>6611</v>
      </c>
      <c r="D1329" s="6" t="s">
        <v>6612</v>
      </c>
      <c r="E1329" s="7" t="s">
        <v>6613</v>
      </c>
      <c r="F1329" s="5" t="str">
        <f>IFERROR(__xludf.DUMMYFUNCTION("GOOGLEFINANCE(""NSE:""&amp;A1329,""name"")"),"Mangalore Refinery and Petrochmcls Ltd")</f>
        <v>Mangalore Refinery and Petrochmcls Ltd</v>
      </c>
    </row>
    <row r="1330">
      <c r="A1330" s="1" t="s">
        <v>6614</v>
      </c>
      <c r="B1330" s="5" t="s">
        <v>6615</v>
      </c>
      <c r="C1330" s="3" t="s">
        <v>6616</v>
      </c>
      <c r="D1330" s="6" t="s">
        <v>6617</v>
      </c>
      <c r="E1330" s="7" t="s">
        <v>6618</v>
      </c>
      <c r="F1330" s="5" t="str">
        <f>IFERROR(__xludf.DUMMYFUNCTION("GOOGLEFINANCE(""NSE:""&amp;A1330,""name"")"),"Mankind Pharma Ltd")</f>
        <v>Mankind Pharma Ltd</v>
      </c>
    </row>
    <row r="1331">
      <c r="A1331" s="1" t="s">
        <v>6619</v>
      </c>
      <c r="B1331" s="5" t="s">
        <v>6620</v>
      </c>
      <c r="C1331" s="3" t="s">
        <v>6621</v>
      </c>
      <c r="D1331" s="6" t="s">
        <v>6622</v>
      </c>
      <c r="E1331" s="7" t="s">
        <v>6623</v>
      </c>
      <c r="F1331" s="5" t="str">
        <f>IFERROR(__xludf.DUMMYFUNCTION("GOOGLEFINANCE(""NSE:""&amp;A1331,""name"")"),"Manoj Vaibhav Gems N Jewellers Ltd")</f>
        <v>Manoj Vaibhav Gems N Jewellers Ltd</v>
      </c>
    </row>
    <row r="1332">
      <c r="A1332" s="1" t="s">
        <v>6624</v>
      </c>
      <c r="B1332" s="5" t="s">
        <v>6625</v>
      </c>
      <c r="C1332" s="3" t="s">
        <v>6626</v>
      </c>
      <c r="D1332" s="6" t="s">
        <v>6627</v>
      </c>
      <c r="E1332" s="7" t="s">
        <v>6628</v>
      </c>
      <c r="F1332" s="5" t="str">
        <f>IFERROR(__xludf.DUMMYFUNCTION("GOOGLEFINANCE(""NSE:""&amp;A1332,""name"")"),"Manomay Tex India Ltd")</f>
        <v>Manomay Tex India Ltd</v>
      </c>
    </row>
    <row r="1333">
      <c r="A1333" s="1" t="s">
        <v>6629</v>
      </c>
      <c r="B1333" s="5" t="s">
        <v>6630</v>
      </c>
      <c r="C1333" s="3" t="s">
        <v>6631</v>
      </c>
      <c r="D1333" s="6" t="s">
        <v>6632</v>
      </c>
      <c r="E1333" s="7" t="s">
        <v>6633</v>
      </c>
      <c r="F1333" s="5" t="str">
        <f>IFERROR(__xludf.DUMMYFUNCTION("GOOGLEFINANCE(""NSE:""&amp;A1333,""name"")"),"Manorama Industries Ltd")</f>
        <v>Manorama Industries Ltd</v>
      </c>
    </row>
    <row r="1334">
      <c r="A1334" s="1" t="s">
        <v>6634</v>
      </c>
      <c r="B1334" s="5" t="s">
        <v>6635</v>
      </c>
      <c r="C1334" s="3" t="s">
        <v>6636</v>
      </c>
      <c r="D1334" s="6" t="s">
        <v>6637</v>
      </c>
      <c r="E1334" s="7" t="s">
        <v>6638</v>
      </c>
      <c r="F1334" s="5" t="str">
        <f>IFERROR(__xludf.DUMMYFUNCTION("GOOGLEFINANCE(""NSE:""&amp;A1334,""name"")"),"Manugraph India Ltd")</f>
        <v>Manugraph India Ltd</v>
      </c>
    </row>
    <row r="1335">
      <c r="A1335" s="1" t="s">
        <v>6639</v>
      </c>
      <c r="B1335" s="5" t="s">
        <v>6640</v>
      </c>
      <c r="C1335" s="3" t="s">
        <v>6641</v>
      </c>
      <c r="D1335" s="6" t="s">
        <v>6642</v>
      </c>
      <c r="E1335" s="7" t="s">
        <v>6643</v>
      </c>
      <c r="F1335" s="5" t="str">
        <f>IFERROR(__xludf.DUMMYFUNCTION("GOOGLEFINANCE(""NSE:""&amp;A1335,""name"")"),"Maral Overseas Ltd")</f>
        <v>Maral Overseas Ltd</v>
      </c>
    </row>
    <row r="1336">
      <c r="A1336" s="1" t="s">
        <v>6644</v>
      </c>
      <c r="B1336" s="5" t="s">
        <v>6645</v>
      </c>
      <c r="C1336" s="3" t="s">
        <v>6646</v>
      </c>
      <c r="D1336" s="6" t="s">
        <v>6647</v>
      </c>
      <c r="E1336" s="7" t="s">
        <v>6648</v>
      </c>
      <c r="F1336" s="5" t="str">
        <f>IFERROR(__xludf.DUMMYFUNCTION("GOOGLEFINANCE(""NSE:""&amp;A1336,""name"")"),"Marathon Nextgen Realty Ltd")</f>
        <v>Marathon Nextgen Realty Ltd</v>
      </c>
    </row>
    <row r="1337">
      <c r="A1337" s="1" t="s">
        <v>6649</v>
      </c>
      <c r="B1337" s="5" t="s">
        <v>6650</v>
      </c>
      <c r="C1337" s="3" t="s">
        <v>6651</v>
      </c>
      <c r="D1337" s="6" t="s">
        <v>6652</v>
      </c>
      <c r="E1337" s="7" t="s">
        <v>6653</v>
      </c>
      <c r="F1337" s="5" t="str">
        <f>IFERROR(__xludf.DUMMYFUNCTION("GOOGLEFINANCE(""NSE:""&amp;A1337,""name"")"),"Marico Ltd")</f>
        <v>Marico Ltd</v>
      </c>
    </row>
    <row r="1338">
      <c r="A1338" s="1" t="s">
        <v>6654</v>
      </c>
      <c r="B1338" s="5" t="s">
        <v>6655</v>
      </c>
      <c r="C1338" s="3" t="s">
        <v>6656</v>
      </c>
      <c r="D1338" s="6" t="s">
        <v>6657</v>
      </c>
      <c r="E1338" s="7" t="s">
        <v>6658</v>
      </c>
      <c r="F1338" s="5" t="str">
        <f>IFERROR(__xludf.DUMMYFUNCTION("GOOGLEFINANCE(""NSE:""&amp;A1338,""name"")"),"Marine Electricals (India) Ltd")</f>
        <v>Marine Electricals (India) Ltd</v>
      </c>
    </row>
    <row r="1339">
      <c r="A1339" s="1" t="s">
        <v>6659</v>
      </c>
      <c r="B1339" s="5" t="s">
        <v>6660</v>
      </c>
      <c r="C1339" s="3" t="s">
        <v>6661</v>
      </c>
      <c r="D1339" s="6" t="s">
        <v>6662</v>
      </c>
      <c r="E1339" s="7" t="s">
        <v>6663</v>
      </c>
      <c r="F1339" s="5" t="str">
        <f>IFERROR(__xludf.DUMMYFUNCTION("GOOGLEFINANCE(""NSE:""&amp;A1339,""name"")"),"Markolines Pavement Technologies Ltd")</f>
        <v>Markolines Pavement Technologies Ltd</v>
      </c>
    </row>
    <row r="1340">
      <c r="A1340" s="1" t="s">
        <v>6664</v>
      </c>
      <c r="B1340" s="5" t="s">
        <v>6665</v>
      </c>
      <c r="C1340" s="3" t="s">
        <v>6666</v>
      </c>
      <c r="D1340" s="6" t="s">
        <v>6667</v>
      </c>
      <c r="E1340" s="7" t="s">
        <v>6668</v>
      </c>
      <c r="F1340" s="5" t="str">
        <f>IFERROR(__xludf.DUMMYFUNCTION("GOOGLEFINANCE(""NSE:""&amp;A1340,""name"")"),"Marksans Pharma Ltd")</f>
        <v>Marksans Pharma Ltd</v>
      </c>
    </row>
    <row r="1341">
      <c r="A1341" s="1" t="s">
        <v>6669</v>
      </c>
      <c r="B1341" s="5" t="s">
        <v>6670</v>
      </c>
      <c r="C1341" s="3" t="s">
        <v>6671</v>
      </c>
      <c r="D1341" s="6" t="s">
        <v>6672</v>
      </c>
      <c r="E1341" s="7" t="s">
        <v>6673</v>
      </c>
      <c r="F1341" s="5" t="str">
        <f>IFERROR(__xludf.DUMMYFUNCTION("GOOGLEFINANCE(""NSE:""&amp;A1341,""name"")"),"Maruti Suzuki India Ltd")</f>
        <v>Maruti Suzuki India Ltd</v>
      </c>
    </row>
    <row r="1342">
      <c r="A1342" s="1" t="s">
        <v>6674</v>
      </c>
      <c r="B1342" s="5" t="s">
        <v>6675</v>
      </c>
      <c r="C1342" s="3" t="s">
        <v>6676</v>
      </c>
      <c r="D1342" s="6" t="s">
        <v>6677</v>
      </c>
      <c r="E1342" s="7" t="s">
        <v>6678</v>
      </c>
      <c r="F1342" s="5" t="str">
        <f>IFERROR(__xludf.DUMMYFUNCTION("GOOGLEFINANCE(""NSE:""&amp;A1342,""name"")"),"MAS Financial Services Ltd")</f>
        <v>MAS Financial Services Ltd</v>
      </c>
    </row>
    <row r="1343">
      <c r="A1343" s="1" t="s">
        <v>6679</v>
      </c>
      <c r="B1343" s="5" t="s">
        <v>6680</v>
      </c>
      <c r="C1343" s="3" t="s">
        <v>6681</v>
      </c>
      <c r="D1343" s="6" t="s">
        <v>6682</v>
      </c>
      <c r="E1343" s="7" t="s">
        <v>6683</v>
      </c>
      <c r="F1343" s="5" t="str">
        <f>IFERROR(__xludf.DUMMYFUNCTION("GOOGLEFINANCE(""NSE:""&amp;A1343,""name"")"),"Mask Investments Ltd")</f>
        <v>Mask Investments Ltd</v>
      </c>
    </row>
    <row r="1344">
      <c r="A1344" s="1" t="s">
        <v>6684</v>
      </c>
      <c r="B1344" s="5" t="s">
        <v>6685</v>
      </c>
      <c r="C1344" s="3" t="s">
        <v>6686</v>
      </c>
      <c r="D1344" s="6" t="s">
        <v>6687</v>
      </c>
      <c r="E1344" s="7" t="s">
        <v>6688</v>
      </c>
      <c r="F1344" s="5" t="str">
        <f>IFERROR(__xludf.DUMMYFUNCTION("GOOGLEFINANCE(""NSE:""&amp;A1344,""name"")"),"Mastek Ltd")</f>
        <v>Mastek Ltd</v>
      </c>
    </row>
    <row r="1345">
      <c r="A1345" s="1" t="s">
        <v>6689</v>
      </c>
      <c r="B1345" s="5" t="s">
        <v>6690</v>
      </c>
      <c r="C1345" s="3" t="s">
        <v>6691</v>
      </c>
      <c r="D1345" s="6" t="s">
        <v>6692</v>
      </c>
      <c r="E1345" s="7" t="s">
        <v>6693</v>
      </c>
      <c r="F1345" s="5" t="str">
        <f>IFERROR(__xludf.DUMMYFUNCTION("GOOGLEFINANCE(""NSE:""&amp;A1345,""name"")"),"Master Trust Ltd")</f>
        <v>Master Trust Ltd</v>
      </c>
    </row>
    <row r="1346">
      <c r="A1346" s="1" t="s">
        <v>6694</v>
      </c>
      <c r="B1346" s="5" t="s">
        <v>6695</v>
      </c>
      <c r="C1346" s="3" t="s">
        <v>6696</v>
      </c>
      <c r="D1346" s="6" t="s">
        <v>6697</v>
      </c>
      <c r="E1346" s="7" t="s">
        <v>6698</v>
      </c>
      <c r="F1346" s="5" t="str">
        <f>IFERROR(__xludf.DUMMYFUNCTION("GOOGLEFINANCE(""NSE:""&amp;A1346,""name"")"),"MATRIMONY.COM Ltd")</f>
        <v>MATRIMONY.COM Ltd</v>
      </c>
    </row>
    <row r="1347">
      <c r="A1347" s="1" t="s">
        <v>6699</v>
      </c>
      <c r="B1347" s="5" t="s">
        <v>6700</v>
      </c>
      <c r="C1347" s="3" t="s">
        <v>6701</v>
      </c>
      <c r="D1347" s="6" t="s">
        <v>6702</v>
      </c>
      <c r="E1347" s="7" t="s">
        <v>6703</v>
      </c>
      <c r="F1347" s="5" t="str">
        <f>IFERROR(__xludf.DUMMYFUNCTION("GOOGLEFINANCE(""NSE:""&amp;A1347,""name"")"),"Mawana Sugars Ltd")</f>
        <v>Mawana Sugars Ltd</v>
      </c>
    </row>
    <row r="1348">
      <c r="A1348" s="1" t="s">
        <v>6704</v>
      </c>
      <c r="B1348" s="5" t="s">
        <v>6705</v>
      </c>
      <c r="C1348" s="3" t="s">
        <v>6706</v>
      </c>
      <c r="D1348" s="6" t="s">
        <v>6707</v>
      </c>
      <c r="E1348" s="7" t="s">
        <v>6708</v>
      </c>
      <c r="F1348" s="5" t="str">
        <f>IFERROR(__xludf.DUMMYFUNCTION("GOOGLEFINANCE(""NSE:""&amp;A1348,""name"")"),"Max Estates Ltd")</f>
        <v>Max Estates Ltd</v>
      </c>
    </row>
    <row r="1349">
      <c r="A1349" s="1" t="s">
        <v>6709</v>
      </c>
      <c r="B1349" s="5" t="s">
        <v>6710</v>
      </c>
      <c r="C1349" s="3" t="s">
        <v>6711</v>
      </c>
      <c r="D1349" s="6" t="s">
        <v>6712</v>
      </c>
      <c r="E1349" s="7" t="s">
        <v>6713</v>
      </c>
      <c r="F1349" s="5" t="str">
        <f>IFERROR(__xludf.DUMMYFUNCTION("GOOGLEFINANCE(""NSE:""&amp;A1349,""name"")"),"Max Financial Services Ltd")</f>
        <v>Max Financial Services Ltd</v>
      </c>
    </row>
    <row r="1350">
      <c r="A1350" s="1" t="s">
        <v>6714</v>
      </c>
      <c r="B1350" s="5" t="s">
        <v>6715</v>
      </c>
      <c r="C1350" s="3" t="s">
        <v>6716</v>
      </c>
      <c r="D1350" s="6" t="s">
        <v>6717</v>
      </c>
      <c r="E1350" s="7" t="s">
        <v>6718</v>
      </c>
      <c r="F1350" s="5" t="str">
        <f>IFERROR(__xludf.DUMMYFUNCTION("GOOGLEFINANCE(""NSE:""&amp;A1350,""name"")"),"Max Healthcare Institute Ltd")</f>
        <v>Max Healthcare Institute Ltd</v>
      </c>
    </row>
    <row r="1351">
      <c r="A1351" s="1" t="s">
        <v>6719</v>
      </c>
      <c r="B1351" s="5" t="s">
        <v>6720</v>
      </c>
      <c r="C1351" s="3" t="s">
        <v>6721</v>
      </c>
      <c r="D1351" s="6" t="s">
        <v>6722</v>
      </c>
      <c r="E1351" s="7" t="s">
        <v>6723</v>
      </c>
      <c r="F1351" s="5" t="str">
        <f>IFERROR(__xludf.DUMMYFUNCTION("GOOGLEFINANCE(""NSE:""&amp;A1351,""name"")"),"Max India Ltd")</f>
        <v>Max India Ltd</v>
      </c>
    </row>
    <row r="1352">
      <c r="A1352" s="1" t="s">
        <v>6724</v>
      </c>
      <c r="B1352" s="5" t="s">
        <v>6725</v>
      </c>
      <c r="C1352" s="3" t="s">
        <v>6726</v>
      </c>
      <c r="D1352" s="6" t="s">
        <v>6727</v>
      </c>
      <c r="E1352" s="7" t="s">
        <v>6728</v>
      </c>
      <c r="F1352" s="5" t="str">
        <f>IFERROR(__xludf.DUMMYFUNCTION("GOOGLEFINANCE(""NSE:""&amp;A1352,""name"")"),"Mayur Uniquoters Ltd")</f>
        <v>Mayur Uniquoters Ltd</v>
      </c>
    </row>
    <row r="1353">
      <c r="A1353" s="1" t="s">
        <v>6729</v>
      </c>
      <c r="B1353" s="5" t="s">
        <v>6730</v>
      </c>
      <c r="C1353" s="3" t="s">
        <v>6731</v>
      </c>
      <c r="D1353" s="6" t="s">
        <v>6732</v>
      </c>
      <c r="E1353" s="7" t="s">
        <v>6733</v>
      </c>
      <c r="F1353" s="5" t="str">
        <f>IFERROR(__xludf.DUMMYFUNCTION("GOOGLEFINANCE(""NSE:""&amp;A1353,""name"")"),"Mazagon Dock Shipbuilders Ltd")</f>
        <v>Mazagon Dock Shipbuilders Ltd</v>
      </c>
    </row>
    <row r="1354">
      <c r="A1354" s="1" t="s">
        <v>6734</v>
      </c>
      <c r="B1354" s="5" t="s">
        <v>6735</v>
      </c>
      <c r="C1354" s="3" t="s">
        <v>6736</v>
      </c>
      <c r="D1354" s="6" t="s">
        <v>6737</v>
      </c>
      <c r="E1354" s="7" t="s">
        <v>6738</v>
      </c>
      <c r="F1354" s="5" t="str">
        <f>IFERROR(__xludf.DUMMYFUNCTION("GOOGLEFINANCE(""NSE:""&amp;A1354,""name"")"),"Mazda Ltd")</f>
        <v>Mazda Ltd</v>
      </c>
    </row>
    <row r="1355">
      <c r="A1355" s="1" t="s">
        <v>6739</v>
      </c>
      <c r="B1355" s="5" t="s">
        <v>6740</v>
      </c>
      <c r="C1355" s="3" t="s">
        <v>6741</v>
      </c>
      <c r="D1355" s="6" t="s">
        <v>6742</v>
      </c>
      <c r="E1355" s="7" t="s">
        <v>6743</v>
      </c>
      <c r="F1355" s="5" t="str">
        <f>IFERROR(__xludf.DUMMYFUNCTION("GOOGLEFINANCE(""NSE:""&amp;A1355,""name"")"),"MBL Infrastructure Ltd")</f>
        <v>MBL Infrastructure Ltd</v>
      </c>
    </row>
    <row r="1356">
      <c r="A1356" s="1" t="s">
        <v>6744</v>
      </c>
      <c r="B1356" s="5" t="s">
        <v>6745</v>
      </c>
      <c r="C1356" s="3" t="s">
        <v>6746</v>
      </c>
      <c r="D1356" s="6" t="s">
        <v>6747</v>
      </c>
      <c r="E1356" s="7" t="s">
        <v>6748</v>
      </c>
      <c r="F1356" s="5" t="str">
        <f>IFERROR(__xludf.DUMMYFUNCTION("GOOGLEFINANCE(""NSE:""&amp;A1356,""name"")"),"McLeod Russel India Ltd")</f>
        <v>McLeod Russel India Ltd</v>
      </c>
    </row>
    <row r="1357">
      <c r="A1357" s="1" t="s">
        <v>6749</v>
      </c>
      <c r="B1357" s="5" t="s">
        <v>6750</v>
      </c>
      <c r="C1357" s="3" t="s">
        <v>6751</v>
      </c>
      <c r="D1357" s="6" t="s">
        <v>6752</v>
      </c>
      <c r="E1357" s="7" t="s">
        <v>6753</v>
      </c>
      <c r="F1357" s="5" t="str">
        <f>IFERROR(__xludf.DUMMYFUNCTION("GOOGLEFINANCE(""NSE:""&amp;A1357,""name"")"),"Medi Assist Healthcare Services Ltd")</f>
        <v>Medi Assist Healthcare Services Ltd</v>
      </c>
    </row>
    <row r="1358">
      <c r="A1358" s="1" t="s">
        <v>6754</v>
      </c>
      <c r="B1358" s="5" t="s">
        <v>6755</v>
      </c>
      <c r="C1358" s="3" t="s">
        <v>6756</v>
      </c>
      <c r="D1358" s="6" t="s">
        <v>6757</v>
      </c>
      <c r="E1358" s="7" t="s">
        <v>6758</v>
      </c>
      <c r="F1358" s="5" t="str">
        <f>IFERROR(__xludf.DUMMYFUNCTION("GOOGLEFINANCE(""NSE:""&amp;A1358,""name"")"),"Medicamen Biotech Ltd")</f>
        <v>Medicamen Biotech Ltd</v>
      </c>
    </row>
    <row r="1359">
      <c r="A1359" s="1" t="s">
        <v>6759</v>
      </c>
      <c r="B1359" s="5" t="s">
        <v>6760</v>
      </c>
      <c r="C1359" s="3" t="s">
        <v>6761</v>
      </c>
      <c r="D1359" s="6" t="s">
        <v>6762</v>
      </c>
      <c r="E1359" s="7" t="s">
        <v>6763</v>
      </c>
      <c r="F1359" s="5" t="str">
        <f>IFERROR(__xludf.DUMMYFUNCTION("GOOGLEFINANCE(""NSE:""&amp;A1359,""name"")"),"Medico Remedies Ltd")</f>
        <v>Medico Remedies Ltd</v>
      </c>
    </row>
    <row r="1360">
      <c r="A1360" s="1" t="s">
        <v>6764</v>
      </c>
      <c r="B1360" s="5" t="s">
        <v>6765</v>
      </c>
      <c r="C1360" s="3" t="s">
        <v>6766</v>
      </c>
      <c r="D1360" s="6" t="s">
        <v>6767</v>
      </c>
      <c r="E1360" s="7" t="s">
        <v>6768</v>
      </c>
      <c r="F1360" s="5" t="str">
        <f>IFERROR(__xludf.DUMMYFUNCTION("GOOGLEFINANCE(""NSE:""&amp;A1360,""name"")"),"MedPlus Health Services Ltd")</f>
        <v>MedPlus Health Services Ltd</v>
      </c>
    </row>
    <row r="1361">
      <c r="A1361" s="1" t="s">
        <v>6769</v>
      </c>
      <c r="B1361" s="5" t="s">
        <v>6770</v>
      </c>
      <c r="C1361" s="3" t="s">
        <v>6771</v>
      </c>
      <c r="D1361" s="6" t="s">
        <v>6772</v>
      </c>
      <c r="E1361" s="7" t="s">
        <v>6773</v>
      </c>
      <c r="F1361" s="5" t="str">
        <f>IFERROR(__xludf.DUMMYFUNCTION("GOOGLEFINANCE(""NSE:""&amp;A1361,""name"")"),"Megasoft Ltd")</f>
        <v>Megasoft Ltd</v>
      </c>
    </row>
    <row r="1362">
      <c r="A1362" s="1" t="s">
        <v>6774</v>
      </c>
      <c r="B1362" s="5" t="s">
        <v>6775</v>
      </c>
      <c r="C1362" s="3" t="s">
        <v>6776</v>
      </c>
      <c r="D1362" s="6" t="s">
        <v>6777</v>
      </c>
      <c r="E1362" s="7" t="s">
        <v>6778</v>
      </c>
      <c r="F1362" s="5" t="str">
        <f>IFERROR(__xludf.DUMMYFUNCTION("GOOGLEFINANCE(""NSE:""&amp;A1362,""name"")"),"Megastar Foods Ltd")</f>
        <v>Megastar Foods Ltd</v>
      </c>
    </row>
    <row r="1363">
      <c r="A1363" s="1" t="s">
        <v>6779</v>
      </c>
      <c r="B1363" s="5" t="s">
        <v>6780</v>
      </c>
      <c r="C1363" s="3" t="s">
        <v>6781</v>
      </c>
      <c r="D1363" s="6" t="s">
        <v>6782</v>
      </c>
      <c r="E1363" s="7" t="s">
        <v>6783</v>
      </c>
      <c r="F1363" s="5" t="str">
        <f>IFERROR(__xludf.DUMMYFUNCTION("GOOGLEFINANCE(""NSE:""&amp;A1363,""name"")"),"Meghmani Organics Ltd")</f>
        <v>Meghmani Organics Ltd</v>
      </c>
    </row>
    <row r="1364">
      <c r="A1364" s="1" t="s">
        <v>6784</v>
      </c>
      <c r="B1364" s="5" t="s">
        <v>6785</v>
      </c>
      <c r="C1364" s="3" t="s">
        <v>6786</v>
      </c>
      <c r="D1364" s="6" t="s">
        <v>6787</v>
      </c>
      <c r="E1364" s="7" t="s">
        <v>6788</v>
      </c>
      <c r="F1364" s="5" t="str">
        <f>IFERROR(__xludf.DUMMYFUNCTION("GOOGLEFINANCE(""NSE:""&amp;A1364,""name"")"),"Menon Bearings Ltd")</f>
        <v>Menon Bearings Ltd</v>
      </c>
    </row>
    <row r="1365">
      <c r="A1365" s="1" t="s">
        <v>6789</v>
      </c>
      <c r="B1365" s="5" t="s">
        <v>6790</v>
      </c>
      <c r="C1365" s="3" t="s">
        <v>6791</v>
      </c>
      <c r="D1365" s="6" t="s">
        <v>6792</v>
      </c>
      <c r="E1365" s="7" t="s">
        <v>6793</v>
      </c>
      <c r="F1365" s="5" t="str">
        <f>IFERROR(__xludf.DUMMYFUNCTION("GOOGLEFINANCE(""NSE:""&amp;A1365,""name"")"),"Metro Brands Ltd")</f>
        <v>Metro Brands Ltd</v>
      </c>
    </row>
    <row r="1366">
      <c r="A1366" s="1" t="s">
        <v>6794</v>
      </c>
      <c r="B1366" s="5" t="s">
        <v>6795</v>
      </c>
      <c r="C1366" s="3" t="s">
        <v>6796</v>
      </c>
      <c r="D1366" s="6" t="s">
        <v>6797</v>
      </c>
      <c r="E1366" s="7" t="s">
        <v>6798</v>
      </c>
      <c r="F1366" s="5" t="str">
        <f>IFERROR(__xludf.DUMMYFUNCTION("GOOGLEFINANCE(""NSE:""&amp;A1366,""name"")"),"Metropolis Healthcare Ltd")</f>
        <v>Metropolis Healthcare Ltd</v>
      </c>
    </row>
    <row r="1367">
      <c r="A1367" s="1" t="s">
        <v>6799</v>
      </c>
      <c r="B1367" s="5" t="s">
        <v>6800</v>
      </c>
      <c r="C1367" s="3" t="s">
        <v>6801</v>
      </c>
      <c r="D1367" s="6" t="s">
        <v>6802</v>
      </c>
      <c r="E1367" s="7" t="s">
        <v>6803</v>
      </c>
      <c r="F1367" s="5" t="str">
        <f>IFERROR(__xludf.DUMMYFUNCTION("GOOGLEFINANCE(""NSE:""&amp;A1367,""name"")"),"MIC Electronics Ltd")</f>
        <v>MIC Electronics Ltd</v>
      </c>
    </row>
    <row r="1368">
      <c r="A1368" s="1" t="s">
        <v>6804</v>
      </c>
      <c r="B1368" s="5" t="s">
        <v>6805</v>
      </c>
      <c r="C1368" s="3" t="s">
        <v>6806</v>
      </c>
      <c r="D1368" s="6" t="s">
        <v>6807</v>
      </c>
      <c r="E1368" s="7" t="s">
        <v>6808</v>
      </c>
      <c r="F1368" s="5" t="str">
        <f>IFERROR(__xludf.DUMMYFUNCTION("GOOGLEFINANCE(""NSE:""&amp;A1368,""name"")"),"Midwest Ltd")</f>
        <v>Midwest Ltd</v>
      </c>
    </row>
    <row r="1369">
      <c r="A1369" s="1" t="s">
        <v>6809</v>
      </c>
      <c r="B1369" s="5" t="s">
        <v>6810</v>
      </c>
      <c r="C1369" s="3" t="s">
        <v>6811</v>
      </c>
      <c r="D1369" s="6" t="s">
        <v>6812</v>
      </c>
      <c r="E1369" s="7" t="s">
        <v>6813</v>
      </c>
      <c r="F1369" s="5" t="str">
        <f>IFERROR(__xludf.DUMMYFUNCTION("GOOGLEFINANCE(""NSE:""&amp;A1369,""name"")"),"Minda Corporation Ltd")</f>
        <v>Minda Corporation Ltd</v>
      </c>
    </row>
    <row r="1370">
      <c r="A1370" s="1" t="s">
        <v>6814</v>
      </c>
      <c r="B1370" s="5" t="s">
        <v>6815</v>
      </c>
      <c r="C1370" s="3" t="s">
        <v>6816</v>
      </c>
      <c r="D1370" s="6" t="s">
        <v>6817</v>
      </c>
      <c r="E1370" s="7" t="s">
        <v>6818</v>
      </c>
      <c r="F1370" s="5" t="str">
        <f>IFERROR(__xludf.DUMMYFUNCTION("GOOGLEFINANCE(""NSE:""&amp;A1370,""name"")"),"Mindteck (India) Ltd")</f>
        <v>Mindteck (India) Ltd</v>
      </c>
    </row>
    <row r="1371">
      <c r="A1371" s="1" t="s">
        <v>6819</v>
      </c>
      <c r="B1371" s="5" t="s">
        <v>6820</v>
      </c>
      <c r="C1371" s="3" t="s">
        <v>6821</v>
      </c>
      <c r="D1371" s="6" t="s">
        <v>6822</v>
      </c>
      <c r="E1371" s="7" t="s">
        <v>6823</v>
      </c>
      <c r="F1371" s="5" t="str">
        <f>IFERROR(__xludf.DUMMYFUNCTION("GOOGLEFINANCE(""NSE:""&amp;A1371,""name"")"),"Mirae Asset Nifty Midsmallcap400 Momentum Quality 100 ETF")</f>
        <v>Mirae Asset Nifty Midsmallcap400 Momentum Quality 100 ETF</v>
      </c>
    </row>
    <row r="1372">
      <c r="A1372" s="1" t="s">
        <v>6824</v>
      </c>
      <c r="B1372" s="5" t="s">
        <v>6825</v>
      </c>
      <c r="C1372" s="3" t="s">
        <v>6826</v>
      </c>
      <c r="D1372" s="6" t="s">
        <v>6827</v>
      </c>
      <c r="E1372" s="7" t="s">
        <v>6828</v>
      </c>
      <c r="F1372" s="5" t="str">
        <f>IFERROR(__xludf.DUMMYFUNCTION("GOOGLEFINANCE(""NSE:""&amp;A1372,""name"")"),"Mirae Asset BSE 200 Equal Weight ETF")</f>
        <v>Mirae Asset BSE 200 Equal Weight ETF</v>
      </c>
    </row>
    <row r="1373">
      <c r="A1373" s="1" t="s">
        <v>6829</v>
      </c>
      <c r="B1373" s="5" t="s">
        <v>6830</v>
      </c>
      <c r="C1373" s="3" t="s">
        <v>6831</v>
      </c>
      <c r="D1373" s="6" t="s">
        <v>6832</v>
      </c>
      <c r="E1373" s="7" t="s">
        <v>6833</v>
      </c>
      <c r="F1373" s="5" t="str">
        <f>IFERROR(__xludf.DUMMYFUNCTION("GOOGLEFINANCE(""NSE:""&amp;A1373,""name"")"),"Mirae Asset BSE Select IPO ETF")</f>
        <v>Mirae Asset BSE Select IPO ETF</v>
      </c>
    </row>
    <row r="1374">
      <c r="A1374" s="1" t="s">
        <v>6834</v>
      </c>
      <c r="B1374" s="5" t="s">
        <v>6835</v>
      </c>
      <c r="C1374" s="3" t="s">
        <v>6836</v>
      </c>
      <c r="D1374" s="6" t="s">
        <v>6837</v>
      </c>
      <c r="E1374" s="7" t="s">
        <v>6838</v>
      </c>
      <c r="F1374" s="5" t="str">
        <f>IFERROR(__xludf.DUMMYFUNCTION("GOOGLEFINANCE(""NSE:""&amp;A1374,""name"")"),"Mirae Asset Gold ETF")</f>
        <v>Mirae Asset Gold ETF</v>
      </c>
    </row>
    <row r="1375">
      <c r="A1375" s="1" t="s">
        <v>6839</v>
      </c>
      <c r="B1375" s="5" t="s">
        <v>6840</v>
      </c>
      <c r="C1375" s="3" t="s">
        <v>6841</v>
      </c>
      <c r="D1375" s="6" t="s">
        <v>6842</v>
      </c>
      <c r="E1375" s="7" t="s">
        <v>6843</v>
      </c>
      <c r="F1375" s="5" t="str">
        <f>IFERROR(__xludf.DUMMYFUNCTION("GOOGLEFINANCE(""NSE:""&amp;A1375,""name"")"),"Mirae Asset Hang Seng TECH ETF")</f>
        <v>Mirae Asset Hang Seng TECH ETF</v>
      </c>
    </row>
    <row r="1376">
      <c r="A1376" s="1" t="s">
        <v>6844</v>
      </c>
      <c r="B1376" s="5" t="s">
        <v>6845</v>
      </c>
      <c r="C1376" s="3" t="s">
        <v>6846</v>
      </c>
      <c r="D1376" s="6" t="s">
        <v>6847</v>
      </c>
      <c r="E1376" s="7" t="s">
        <v>6848</v>
      </c>
      <c r="F1376" s="5" t="str">
        <f>IFERROR(__xludf.DUMMYFUNCTION("GOOGLEFINANCE(""NSE:""&amp;A1376,""name"")"),"Mirae Asset Nifty 100 ESG Sector Leaders ETF")</f>
        <v>Mirae Asset Nifty 100 ESG Sector Leaders ETF</v>
      </c>
    </row>
    <row r="1377">
      <c r="A1377" s="1" t="s">
        <v>6849</v>
      </c>
      <c r="B1377" s="5" t="s">
        <v>6850</v>
      </c>
      <c r="C1377" s="3" t="s">
        <v>6851</v>
      </c>
      <c r="D1377" s="6" t="s">
        <v>6852</v>
      </c>
      <c r="E1377" s="7" t="s">
        <v>6853</v>
      </c>
      <c r="F1377" s="5" t="str">
        <f>IFERROR(__xludf.DUMMYFUNCTION("GOOGLEFINANCE(""NSE:""&amp;A1377,""name"")"),"Mirae Asset Nifty 100 Low Volatility 30 ETF")</f>
        <v>Mirae Asset Nifty 100 Low Volatility 30 ETF</v>
      </c>
    </row>
    <row r="1378">
      <c r="A1378" s="1" t="s">
        <v>6854</v>
      </c>
      <c r="B1378" s="5" t="s">
        <v>6855</v>
      </c>
      <c r="C1378" s="3" t="s">
        <v>6856</v>
      </c>
      <c r="D1378" s="6" t="s">
        <v>6857</v>
      </c>
      <c r="E1378" s="7" t="s">
        <v>6858</v>
      </c>
      <c r="F1378" s="5" t="str">
        <f>IFERROR(__xludf.DUMMYFUNCTION("GOOGLEFINANCE(""NSE:""&amp;A1378,""name"")"),"Mirae Asset Nifty 1D Rate Liquid ETF - IDCW")</f>
        <v>Mirae Asset Nifty 1D Rate Liquid ETF - IDCW</v>
      </c>
    </row>
    <row r="1379">
      <c r="A1379" s="1" t="s">
        <v>6859</v>
      </c>
      <c r="B1379" s="5" t="s">
        <v>6860</v>
      </c>
      <c r="C1379" s="3" t="s">
        <v>6861</v>
      </c>
      <c r="D1379" s="6" t="s">
        <v>6862</v>
      </c>
      <c r="E1379" s="7" t="s">
        <v>6863</v>
      </c>
      <c r="F1379" s="5" t="str">
        <f>IFERROR(__xludf.DUMMYFUNCTION("GOOGLEFINANCE(""NSE:""&amp;A1379,""name"")"),"Mirae Asset Nifty 1D Rate Liquid ETF - Growth")</f>
        <v>Mirae Asset Nifty 1D Rate Liquid ETF - Growth</v>
      </c>
    </row>
    <row r="1380">
      <c r="A1380" s="1" t="s">
        <v>6864</v>
      </c>
      <c r="B1380" s="5" t="s">
        <v>6865</v>
      </c>
      <c r="C1380" s="3" t="s">
        <v>6866</v>
      </c>
      <c r="D1380" s="6" t="s">
        <v>6867</v>
      </c>
      <c r="E1380" s="7" t="s">
        <v>6868</v>
      </c>
      <c r="F1380" s="5" t="str">
        <f>IFERROR(__xludf.DUMMYFUNCTION("GOOGLEFINANCE(""NSE:""&amp;A1380,""name"")"),"Mirae Asset Nifty 200 Alpha 30 ETF")</f>
        <v>Mirae Asset Nifty 200 Alpha 30 ETF</v>
      </c>
    </row>
    <row r="1381">
      <c r="A1381" s="1" t="s">
        <v>6869</v>
      </c>
      <c r="B1381" s="5" t="s">
        <v>6870</v>
      </c>
      <c r="C1381" s="3" t="s">
        <v>6871</v>
      </c>
      <c r="D1381" s="6" t="s">
        <v>6872</v>
      </c>
      <c r="E1381" s="7" t="s">
        <v>6873</v>
      </c>
      <c r="F1381" s="5" t="str">
        <f>IFERROR(__xludf.DUMMYFUNCTION("GOOGLEFINANCE(""NSE:""&amp;A1381,""name"")"),"Mirae Asset Nifty 8-13 yr G-Sec ETF")</f>
        <v>Mirae Asset Nifty 8-13 yr G-Sec ETF</v>
      </c>
    </row>
    <row r="1382">
      <c r="A1382" s="1" t="s">
        <v>6874</v>
      </c>
      <c r="B1382" s="5" t="s">
        <v>6875</v>
      </c>
      <c r="C1382" s="3" t="s">
        <v>6876</v>
      </c>
      <c r="D1382" s="6" t="s">
        <v>6877</v>
      </c>
      <c r="E1382" s="7" t="s">
        <v>6878</v>
      </c>
      <c r="F1382" s="5" t="str">
        <f>IFERROR(__xludf.DUMMYFUNCTION("GOOGLEFINANCE(""NSE:""&amp;A1382,""name"")"),"Mirae Asset Nifty Bank ETF")</f>
        <v>Mirae Asset Nifty Bank ETF</v>
      </c>
    </row>
    <row r="1383">
      <c r="A1383" s="1" t="s">
        <v>6879</v>
      </c>
      <c r="B1383" s="5" t="s">
        <v>6880</v>
      </c>
      <c r="C1383" s="3" t="s">
        <v>6881</v>
      </c>
      <c r="D1383" s="6" t="s">
        <v>6882</v>
      </c>
      <c r="E1383" s="7" t="s">
        <v>6883</v>
      </c>
      <c r="F1383" s="5" t="str">
        <f>IFERROR(__xludf.DUMMYFUNCTION("GOOGLEFINANCE(""NSE:""&amp;A1383,""name"")"),"Mirae Asset Nifty EV and New Age Automotive ETF")</f>
        <v>Mirae Asset Nifty EV and New Age Automotive ETF</v>
      </c>
    </row>
    <row r="1384">
      <c r="A1384" s="1" t="s">
        <v>6884</v>
      </c>
      <c r="B1384" s="5" t="s">
        <v>6885</v>
      </c>
      <c r="C1384" s="3" t="s">
        <v>6886</v>
      </c>
      <c r="D1384" s="6" t="s">
        <v>6887</v>
      </c>
      <c r="E1384" s="7" t="s">
        <v>6888</v>
      </c>
      <c r="F1384" s="5" t="str">
        <f>IFERROR(__xludf.DUMMYFUNCTION("GOOGLEFINANCE(""NSE:""&amp;A1384,""name"")"),"Mirae Asset Nifty Financial Services ETF")</f>
        <v>Mirae Asset Nifty Financial Services ETF</v>
      </c>
    </row>
    <row r="1385">
      <c r="A1385" s="1" t="s">
        <v>6889</v>
      </c>
      <c r="B1385" s="5" t="s">
        <v>6890</v>
      </c>
      <c r="C1385" s="3" t="s">
        <v>6891</v>
      </c>
      <c r="D1385" s="6" t="s">
        <v>6892</v>
      </c>
      <c r="E1385" s="7" t="s">
        <v>6893</v>
      </c>
      <c r="F1385" s="5" t="str">
        <f>IFERROR(__xludf.DUMMYFUNCTION("GOOGLEFINANCE(""NSE:""&amp;A1385,""name"")"),"Mirae Asset Nifty India Internet ETF")</f>
        <v>Mirae Asset Nifty India Internet ETF</v>
      </c>
    </row>
    <row r="1386">
      <c r="A1386" s="1" t="s">
        <v>6894</v>
      </c>
      <c r="B1386" s="5" t="s">
        <v>6895</v>
      </c>
      <c r="C1386" s="3" t="s">
        <v>6896</v>
      </c>
      <c r="D1386" s="6" t="s">
        <v>6897</v>
      </c>
      <c r="E1386" s="7" t="s">
        <v>6898</v>
      </c>
      <c r="F1386" s="5" t="str">
        <f>IFERROR(__xludf.DUMMYFUNCTION("GOOGLEFINANCE(""NSE:""&amp;A1386,""name"")"),"Mirae Asset Nifty India Manufacturing ETF")</f>
        <v>Mirae Asset Nifty India Manufacturing ETF</v>
      </c>
    </row>
    <row r="1387">
      <c r="A1387" s="1" t="s">
        <v>6899</v>
      </c>
      <c r="B1387" s="5" t="s">
        <v>6900</v>
      </c>
      <c r="C1387" s="3" t="s">
        <v>6901</v>
      </c>
      <c r="D1387" s="6" t="s">
        <v>6902</v>
      </c>
      <c r="E1387" s="7" t="s">
        <v>6903</v>
      </c>
      <c r="F1387" s="5" t="str">
        <f>IFERROR(__xludf.DUMMYFUNCTION("GOOGLEFINANCE(""NSE:""&amp;A1387,""name"")"),"Mirae Asset Nifty India New Age Consumption ETF")</f>
        <v>Mirae Asset Nifty India New Age Consumption ETF</v>
      </c>
    </row>
    <row r="1388">
      <c r="A1388" s="1" t="s">
        <v>6904</v>
      </c>
      <c r="B1388" s="5" t="s">
        <v>6905</v>
      </c>
      <c r="C1388" s="3" t="s">
        <v>6906</v>
      </c>
      <c r="D1388" s="6" t="s">
        <v>6907</v>
      </c>
      <c r="E1388" s="7" t="s">
        <v>6908</v>
      </c>
      <c r="F1388" s="5" t="str">
        <f>IFERROR(__xludf.DUMMYFUNCTION("GOOGLEFINANCE(""NSE:""&amp;A1388,""name"")"),"Mirae Asset Nifty IT ETF")</f>
        <v>Mirae Asset Nifty IT ETF</v>
      </c>
    </row>
    <row r="1389">
      <c r="A1389" s="1" t="s">
        <v>6909</v>
      </c>
      <c r="B1389" s="5" t="s">
        <v>6910</v>
      </c>
      <c r="C1389" s="3" t="s">
        <v>6911</v>
      </c>
      <c r="D1389" s="6" t="s">
        <v>6912</v>
      </c>
      <c r="E1389" s="7" t="s">
        <v>6913</v>
      </c>
      <c r="F1389" s="5" t="str">
        <f>IFERROR(__xludf.DUMMYFUNCTION("GOOGLEFINANCE(""NSE:""&amp;A1389,""name"")"),"Mirae Asset Nifty Metal ETF")</f>
        <v>Mirae Asset Nifty Metal ETF</v>
      </c>
    </row>
    <row r="1390">
      <c r="A1390" s="1" t="s">
        <v>6914</v>
      </c>
      <c r="B1390" s="5" t="s">
        <v>6915</v>
      </c>
      <c r="C1390" s="3" t="s">
        <v>6916</v>
      </c>
      <c r="D1390" s="6" t="s">
        <v>6917</v>
      </c>
      <c r="E1390" s="7" t="s">
        <v>6918</v>
      </c>
      <c r="F1390" s="5" t="str">
        <f>IFERROR(__xludf.DUMMYFUNCTION("GOOGLEFINANCE(""NSE:""&amp;A1390,""name"")"),"Mirae Asset Nifty Midcap 150 ETF")</f>
        <v>Mirae Asset Nifty Midcap 150 ETF</v>
      </c>
    </row>
    <row r="1391">
      <c r="A1391" s="1" t="s">
        <v>6919</v>
      </c>
      <c r="B1391" s="5" t="s">
        <v>6920</v>
      </c>
      <c r="C1391" s="3" t="s">
        <v>6921</v>
      </c>
      <c r="D1391" s="6" t="s">
        <v>6922</v>
      </c>
      <c r="E1391" s="7" t="s">
        <v>6923</v>
      </c>
      <c r="F1391" s="5" t="str">
        <f>IFERROR(__xludf.DUMMYFUNCTION("GOOGLEFINANCE(""NSE:""&amp;A1391,""name"")"),"Mirae Asset Nifty Next 50 ETF")</f>
        <v>Mirae Asset Nifty Next 50 ETF</v>
      </c>
    </row>
    <row r="1392">
      <c r="A1392" s="1" t="s">
        <v>6924</v>
      </c>
      <c r="B1392" s="5" t="s">
        <v>6925</v>
      </c>
      <c r="C1392" s="3" t="s">
        <v>6926</v>
      </c>
      <c r="D1392" s="6" t="s">
        <v>6927</v>
      </c>
      <c r="E1392" s="7" t="s">
        <v>6928</v>
      </c>
      <c r="F1392" s="5" t="str">
        <f>IFERROR(__xludf.DUMMYFUNCTION("GOOGLEFINANCE(""NSE:""&amp;A1392,""name"")"),"Mirae Asset Nifty PSU Bank ETF")</f>
        <v>Mirae Asset Nifty PSU Bank ETF</v>
      </c>
    </row>
    <row r="1393">
      <c r="A1393" s="1" t="s">
        <v>6929</v>
      </c>
      <c r="B1393" s="5" t="s">
        <v>6930</v>
      </c>
      <c r="C1393" s="3" t="s">
        <v>6931</v>
      </c>
      <c r="D1393" s="6" t="s">
        <v>6932</v>
      </c>
      <c r="E1393" s="7" t="s">
        <v>6933</v>
      </c>
      <c r="F1393" s="5" t="str">
        <f>IFERROR(__xludf.DUMMYFUNCTION("GOOGLEFINANCE(""NSE:""&amp;A1393,""name"")"),"Mirae Asset Nifty Smallcap 250 Momentum Ql 100 ETF")</f>
        <v>Mirae Asset Nifty Smallcap 250 Momentum Ql 100 ETF</v>
      </c>
    </row>
    <row r="1394">
      <c r="A1394" s="1" t="s">
        <v>6934</v>
      </c>
      <c r="B1394" s="5" t="s">
        <v>6935</v>
      </c>
      <c r="C1394" s="3" t="s">
        <v>6936</v>
      </c>
      <c r="D1394" s="6" t="s">
        <v>6937</v>
      </c>
      <c r="E1394" s="7" t="s">
        <v>6938</v>
      </c>
      <c r="F1394" s="5" t="str">
        <f>IFERROR(__xludf.DUMMYFUNCTION("GOOGLEFINANCE(""NSE:""&amp;A1394,""name"")"),"Mirae Asset Nifty50 Equal Weight ETF")</f>
        <v>Mirae Asset Nifty50 Equal Weight ETF</v>
      </c>
    </row>
    <row r="1395">
      <c r="A1395" s="1" t="s">
        <v>6939</v>
      </c>
      <c r="B1395" s="5" t="s">
        <v>6940</v>
      </c>
      <c r="C1395" s="3" t="s">
        <v>6941</v>
      </c>
      <c r="D1395" s="6" t="s">
        <v>6942</v>
      </c>
      <c r="E1395" s="7" t="s">
        <v>6943</v>
      </c>
      <c r="F1395" s="5" t="str">
        <f>IFERROR(__xludf.DUMMYFUNCTION("GOOGLEFINANCE(""NSE:""&amp;A1395,""name"")"),"Mirae Asset Nifty500 Multicap 50:25:25 ETF")</f>
        <v>Mirae Asset Nifty500 Multicap 50:25:25 ETF</v>
      </c>
    </row>
    <row r="1396">
      <c r="A1396" s="1" t="s">
        <v>6944</v>
      </c>
      <c r="B1396" s="5" t="s">
        <v>6945</v>
      </c>
      <c r="C1396" s="3" t="s">
        <v>6946</v>
      </c>
      <c r="D1396" s="6" t="s">
        <v>6947</v>
      </c>
      <c r="E1396" s="7" t="s">
        <v>6948</v>
      </c>
      <c r="F1396" s="5" t="str">
        <f>IFERROR(__xludf.DUMMYFUNCTION("GOOGLEFINANCE(""NSE:""&amp;A1396,""name"")"),"Mirae Asset NYSE FANG+ ETF")</f>
        <v>Mirae Asset NYSE FANG+ ETF</v>
      </c>
    </row>
    <row r="1397">
      <c r="A1397" s="1" t="s">
        <v>6949</v>
      </c>
      <c r="B1397" s="5" t="s">
        <v>6950</v>
      </c>
      <c r="C1397" s="3" t="s">
        <v>6951</v>
      </c>
      <c r="D1397" s="6" t="s">
        <v>6952</v>
      </c>
      <c r="E1397" s="7" t="s">
        <v>6953</v>
      </c>
      <c r="F1397" s="5" t="str">
        <f>IFERROR(__xludf.DUMMYFUNCTION("GOOGLEFINANCE(""NSE:""&amp;A1397,""name"")"),"Mirae Asset S&amp;P 500 Top 50 ETF")</f>
        <v>Mirae Asset S&amp;P 500 Top 50 ETF</v>
      </c>
    </row>
    <row r="1398">
      <c r="A1398" s="1" t="s">
        <v>6954</v>
      </c>
      <c r="B1398" s="5" t="s">
        <v>6955</v>
      </c>
      <c r="C1398" s="3" t="s">
        <v>6956</v>
      </c>
      <c r="D1398" s="6" t="s">
        <v>6957</v>
      </c>
      <c r="E1398" s="7" t="s">
        <v>6958</v>
      </c>
      <c r="F1398" s="5" t="str">
        <f>IFERROR(__xludf.DUMMYFUNCTION("GOOGLEFINANCE(""NSE:""&amp;A1398,""name"")"),"Mirae Asset BSE Sensex ETF")</f>
        <v>Mirae Asset BSE Sensex ETF</v>
      </c>
    </row>
    <row r="1399">
      <c r="A1399" s="1" t="s">
        <v>6959</v>
      </c>
      <c r="B1399" s="5" t="s">
        <v>6960</v>
      </c>
      <c r="C1399" s="3" t="s">
        <v>6961</v>
      </c>
      <c r="D1399" s="6" t="s">
        <v>6962</v>
      </c>
      <c r="E1399" s="7" t="s">
        <v>6963</v>
      </c>
      <c r="F1399" s="5" t="str">
        <f>IFERROR(__xludf.DUMMYFUNCTION("GOOGLEFINANCE(""NSE:""&amp;A1399,""name"")"),"Mirae Asset Silver ETF")</f>
        <v>Mirae Asset Silver ETF</v>
      </c>
    </row>
    <row r="1400">
      <c r="A1400" s="1" t="s">
        <v>6964</v>
      </c>
      <c r="B1400" s="5" t="s">
        <v>6965</v>
      </c>
      <c r="C1400" s="3" t="s">
        <v>6966</v>
      </c>
      <c r="D1400" s="6" t="s">
        <v>6967</v>
      </c>
      <c r="E1400" s="7" t="s">
        <v>6968</v>
      </c>
      <c r="F1400" s="5" t="str">
        <f>IFERROR(__xludf.DUMMYFUNCTION("GOOGLEFINANCE(""NSE:""&amp;A1400,""name"")"),"MIRC Electronics Ltd")</f>
        <v>MIRC Electronics Ltd</v>
      </c>
    </row>
    <row r="1401">
      <c r="A1401" s="1" t="s">
        <v>6969</v>
      </c>
      <c r="B1401" s="5" t="s">
        <v>6970</v>
      </c>
      <c r="C1401" s="3" t="s">
        <v>6971</v>
      </c>
      <c r="D1401" s="6" t="s">
        <v>6972</v>
      </c>
      <c r="E1401" s="7" t="s">
        <v>6973</v>
      </c>
      <c r="F1401" s="5" t="str">
        <f>IFERROR(__xludf.DUMMYFUNCTION("GOOGLEFINANCE(""NSE:""&amp;A1401,""name"")"),"Mirza International Ltd")</f>
        <v>Mirza International Ltd</v>
      </c>
    </row>
    <row r="1402">
      <c r="A1402" s="1" t="s">
        <v>6974</v>
      </c>
      <c r="B1402" s="5" t="s">
        <v>6975</v>
      </c>
      <c r="C1402" s="3" t="s">
        <v>6976</v>
      </c>
      <c r="D1402" s="6" t="s">
        <v>6977</v>
      </c>
      <c r="E1402" s="7" t="s">
        <v>6978</v>
      </c>
      <c r="F1402" s="5" t="str">
        <f>IFERROR(__xludf.DUMMYFUNCTION("GOOGLEFINANCE(""NSE:""&amp;A1402,""name"")"),"Mishra Dhatu Nigam Ltd")</f>
        <v>Mishra Dhatu Nigam Ltd</v>
      </c>
    </row>
    <row r="1403">
      <c r="A1403" s="1" t="s">
        <v>6979</v>
      </c>
      <c r="B1403" s="5" t="s">
        <v>6980</v>
      </c>
      <c r="C1403" s="3" t="s">
        <v>6981</v>
      </c>
      <c r="D1403" s="6" t="s">
        <v>6982</v>
      </c>
      <c r="E1403" s="7" t="s">
        <v>6983</v>
      </c>
      <c r="F1403" s="5" t="str">
        <f>IFERROR(__xludf.DUMMYFUNCTION("GOOGLEFINANCE(""NSE:""&amp;A1403,""name"")"),"MITCON Consultancy &amp; Engineering Svs Ltd")</f>
        <v>MITCON Consultancy &amp; Engineering Svs Ltd</v>
      </c>
    </row>
    <row r="1404">
      <c r="A1404" s="1" t="s">
        <v>6984</v>
      </c>
      <c r="B1404" s="5" t="s">
        <v>6985</v>
      </c>
      <c r="C1404" s="3" t="s">
        <v>6986</v>
      </c>
      <c r="D1404" s="6" t="s">
        <v>6987</v>
      </c>
      <c r="E1404" s="7" t="s">
        <v>6988</v>
      </c>
      <c r="F1404" s="5" t="str">
        <f>IFERROR(__xludf.DUMMYFUNCTION("GOOGLEFINANCE(""NSE:""&amp;A1404,""name"")"),"MM Forgings Ltd")</f>
        <v>MM Forgings Ltd</v>
      </c>
    </row>
    <row r="1405">
      <c r="A1405" s="1" t="s">
        <v>6989</v>
      </c>
      <c r="B1405" s="5" t="s">
        <v>6990</v>
      </c>
      <c r="C1405" s="3" t="s">
        <v>6991</v>
      </c>
      <c r="D1405" s="6" t="s">
        <v>6992</v>
      </c>
      <c r="E1405" s="7" t="s">
        <v>6993</v>
      </c>
      <c r="F1405" s="5" t="str">
        <f>IFERROR(__xludf.DUMMYFUNCTION("GOOGLEFINANCE(""NSE:""&amp;A1405,""name"")"),"MMP Industries Ltd")</f>
        <v>MMP Industries Ltd</v>
      </c>
    </row>
    <row r="1406">
      <c r="A1406" s="1" t="s">
        <v>6994</v>
      </c>
      <c r="B1406" s="5" t="s">
        <v>6995</v>
      </c>
      <c r="C1406" s="3" t="s">
        <v>6996</v>
      </c>
      <c r="D1406" s="6" t="s">
        <v>6997</v>
      </c>
      <c r="E1406" s="7" t="s">
        <v>6998</v>
      </c>
      <c r="F1406" s="5" t="str">
        <f>IFERROR(__xludf.DUMMYFUNCTION("GOOGLEFINANCE(""NSE:""&amp;A1406,""name"")"),"MMTC Ltd")</f>
        <v>MMTC Ltd</v>
      </c>
    </row>
    <row r="1407">
      <c r="A1407" s="1" t="s">
        <v>6999</v>
      </c>
      <c r="B1407" s="5" t="s">
        <v>7000</v>
      </c>
      <c r="C1407" s="3" t="s">
        <v>7001</v>
      </c>
      <c r="D1407" s="6" t="s">
        <v>7002</v>
      </c>
      <c r="E1407" s="7" t="s">
        <v>7003</v>
      </c>
      <c r="F1407" s="5" t="str">
        <f>IFERROR(__xludf.DUMMYFUNCTION("GOOGLEFINANCE(""NSE:""&amp;A1407,""name"")"),"Modern Threads (India) Ltd")</f>
        <v>Modern Threads (India) Ltd</v>
      </c>
    </row>
    <row r="1408">
      <c r="A1408" s="1" t="s">
        <v>7004</v>
      </c>
      <c r="B1408" s="5" t="s">
        <v>7005</v>
      </c>
      <c r="C1408" s="3" t="s">
        <v>7006</v>
      </c>
      <c r="D1408" s="6" t="s">
        <v>7007</v>
      </c>
      <c r="E1408" s="7" t="s">
        <v>7008</v>
      </c>
      <c r="F1408" s="5" t="str">
        <f>IFERROR(__xludf.DUMMYFUNCTION("GOOGLEFINANCE(""NSE:""&amp;A1408,""name"")"),"Modi Rubber Ltd")</f>
        <v>Modi Rubber Ltd</v>
      </c>
    </row>
    <row r="1409">
      <c r="A1409" s="1" t="s">
        <v>7009</v>
      </c>
      <c r="B1409" s="5" t="s">
        <v>7010</v>
      </c>
      <c r="C1409" s="3" t="s">
        <v>7011</v>
      </c>
      <c r="D1409" s="6" t="s">
        <v>7012</v>
      </c>
      <c r="E1409" s="7" t="s">
        <v>7013</v>
      </c>
      <c r="F1409" s="5" t="str">
        <f>IFERROR(__xludf.DUMMYFUNCTION("GOOGLEFINANCE(""NSE:""&amp;A1409,""name"")"),"Modi's Navnirman Ltd")</f>
        <v>Modi's Navnirman Ltd</v>
      </c>
    </row>
    <row r="1410">
      <c r="A1410" s="1" t="s">
        <v>7014</v>
      </c>
      <c r="B1410" s="5" t="s">
        <v>7015</v>
      </c>
      <c r="C1410" s="3" t="s">
        <v>7016</v>
      </c>
      <c r="D1410" s="6" t="s">
        <v>7017</v>
      </c>
      <c r="E1410" s="7" t="s">
        <v>7018</v>
      </c>
      <c r="F1410" s="5" t="str">
        <f>IFERROR(__xludf.DUMMYFUNCTION("GOOGLEFINANCE(""NSE:""&amp;A1410,""name"")"),"Modison Ltd")</f>
        <v>Modison Ltd</v>
      </c>
    </row>
    <row r="1411">
      <c r="A1411" s="1" t="s">
        <v>7019</v>
      </c>
      <c r="B1411" s="5" t="s">
        <v>7020</v>
      </c>
      <c r="C1411" s="3" t="s">
        <v>7021</v>
      </c>
      <c r="D1411" s="6" t="s">
        <v>7022</v>
      </c>
      <c r="E1411" s="7" t="s">
        <v>7023</v>
      </c>
      <c r="F1411" s="5" t="str">
        <f>IFERROR(__xludf.DUMMYFUNCTION("GOOGLEFINANCE(""NSE:""&amp;A1411,""name"")"),"Mohit Industries Ltd")</f>
        <v>Mohit Industries Ltd</v>
      </c>
    </row>
    <row r="1412">
      <c r="A1412" s="1" t="s">
        <v>7024</v>
      </c>
      <c r="B1412" s="5" t="s">
        <v>7025</v>
      </c>
      <c r="C1412" s="3" t="s">
        <v>7026</v>
      </c>
      <c r="D1412" s="6" t="s">
        <v>7027</v>
      </c>
      <c r="E1412" s="7" t="s">
        <v>7028</v>
      </c>
      <c r="F1412" s="5" t="str">
        <f>IFERROR(__xludf.DUMMYFUNCTION("GOOGLEFINANCE(""NSE:""&amp;A1412,""name"")"),"Moil Ltd")</f>
        <v>Moil Ltd</v>
      </c>
    </row>
    <row r="1413">
      <c r="A1413" s="1" t="s">
        <v>7029</v>
      </c>
      <c r="B1413" s="5" t="s">
        <v>7030</v>
      </c>
      <c r="C1413" s="3" t="s">
        <v>7031</v>
      </c>
      <c r="D1413" s="6" t="s">
        <v>7032</v>
      </c>
      <c r="E1413" s="7" t="s">
        <v>7033</v>
      </c>
      <c r="F1413" s="5" t="str">
        <f>IFERROR(__xludf.DUMMYFUNCTION("GOOGLEFINANCE(""NSE:""&amp;A1413,""name"")"),"Moksh Ornaments Ltd")</f>
        <v>Moksh Ornaments Ltd</v>
      </c>
    </row>
    <row r="1414">
      <c r="A1414" s="1" t="s">
        <v>7034</v>
      </c>
      <c r="B1414" s="5" t="s">
        <v>7035</v>
      </c>
      <c r="C1414" s="3" t="s">
        <v>7036</v>
      </c>
      <c r="D1414" s="6" t="s">
        <v>7037</v>
      </c>
      <c r="E1414" s="7" t="s">
        <v>7038</v>
      </c>
      <c r="F1414" s="5" t="str">
        <f>IFERROR(__xludf.DUMMYFUNCTION("GOOGLEFINANCE(""NSE:""&amp;A1414,""name"")"),"Mold-Tek Packaging Ltd")</f>
        <v>Mold-Tek Packaging Ltd</v>
      </c>
    </row>
    <row r="1415">
      <c r="A1415" s="1" t="s">
        <v>7039</v>
      </c>
      <c r="B1415" s="5" t="s">
        <v>7040</v>
      </c>
      <c r="C1415" s="3" t="s">
        <v>7041</v>
      </c>
      <c r="D1415" s="6" t="s">
        <v>7042</v>
      </c>
      <c r="E1415" s="7" t="s">
        <v>7043</v>
      </c>
      <c r="F1415" s="5" t="str">
        <f>IFERROR(__xludf.DUMMYFUNCTION("GOOGLEFINANCE(""NSE:""&amp;A1415,""name"")"),"Mold-Tek Technologies Ltd")</f>
        <v>Mold-Tek Technologies Ltd</v>
      </c>
    </row>
    <row r="1416">
      <c r="A1416" s="1" t="s">
        <v>7044</v>
      </c>
      <c r="B1416" s="5" t="s">
        <v>7044</v>
      </c>
      <c r="C1416" s="3" t="s">
        <v>7045</v>
      </c>
      <c r="D1416" s="6" t="s">
        <v>7046</v>
      </c>
      <c r="E1416" s="7" t="s">
        <v>7047</v>
      </c>
      <c r="F1416" s="5" t="str">
        <f>IFERROR(__xludf.DUMMYFUNCTION("GOOGLEFINANCE(""NSE:""&amp;A1416,""name"")"),"Motilal Oswal Nifty India Manufacturing ETF")</f>
        <v>Motilal Oswal Nifty India Manufacturing ETF</v>
      </c>
    </row>
    <row r="1417">
      <c r="A1417" s="1" t="s">
        <v>7048</v>
      </c>
      <c r="B1417" s="5" t="s">
        <v>7049</v>
      </c>
      <c r="C1417" s="3" t="s">
        <v>7050</v>
      </c>
      <c r="D1417" s="6" t="s">
        <v>7051</v>
      </c>
      <c r="E1417" s="7" t="s">
        <v>7052</v>
      </c>
      <c r="F1417" s="5" t="str">
        <f>IFERROR(__xludf.DUMMYFUNCTION("GOOGLEFINANCE(""NSE:""&amp;A1417,""name"")"),"Monarch Networth Capital Ltd")</f>
        <v>Monarch Networth Capital Ltd</v>
      </c>
    </row>
    <row r="1418">
      <c r="A1418" s="1" t="s">
        <v>7053</v>
      </c>
      <c r="B1418" s="5" t="s">
        <v>7054</v>
      </c>
      <c r="C1418" s="3" t="s">
        <v>7055</v>
      </c>
      <c r="D1418" s="6" t="s">
        <v>7056</v>
      </c>
      <c r="E1418" s="7" t="s">
        <v>7057</v>
      </c>
      <c r="F1418" s="5" t="str">
        <f>IFERROR(__xludf.DUMMYFUNCTION("GOOGLEFINANCE(""NSE:""&amp;A1418,""name"")"),"Moneyboxx Finance Ltd")</f>
        <v>Moneyboxx Finance Ltd</v>
      </c>
    </row>
    <row r="1419">
      <c r="A1419" s="1" t="s">
        <v>7058</v>
      </c>
      <c r="B1419" s="5" t="s">
        <v>7059</v>
      </c>
      <c r="C1419" s="3" t="s">
        <v>7060</v>
      </c>
      <c r="D1419" s="6" t="s">
        <v>7061</v>
      </c>
      <c r="E1419" s="7" t="s">
        <v>7062</v>
      </c>
      <c r="F1419" s="5" t="str">
        <f>IFERROR(__xludf.DUMMYFUNCTION("GOOGLEFINANCE(""NSE:""&amp;A1419,""name"")"),"Monte Carlo Fashions Ltd")</f>
        <v>Monte Carlo Fashions Ltd</v>
      </c>
    </row>
    <row r="1420">
      <c r="A1420" s="1" t="s">
        <v>7063</v>
      </c>
      <c r="B1420" s="5" t="s">
        <v>7064</v>
      </c>
      <c r="C1420" s="3" t="s">
        <v>7065</v>
      </c>
      <c r="D1420" s="6" t="s">
        <v>7066</v>
      </c>
      <c r="E1420" s="7" t="s">
        <v>7067</v>
      </c>
      <c r="F1420" s="5" t="str">
        <f>IFERROR(__xludf.DUMMYFUNCTION("GOOGLEFINANCE(""NSE:""&amp;A1420,""name"")"),"Morarjee Textiles Ltd")</f>
        <v>Morarjee Textiles Ltd</v>
      </c>
    </row>
    <row r="1421">
      <c r="A1421" s="1" t="s">
        <v>7068</v>
      </c>
      <c r="B1421" s="5" t="s">
        <v>7069</v>
      </c>
      <c r="C1421" s="3" t="s">
        <v>7070</v>
      </c>
      <c r="D1421" s="6" t="s">
        <v>7071</v>
      </c>
      <c r="E1421" s="7" t="s">
        <v>7072</v>
      </c>
      <c r="F1421" s="5" t="str">
        <f>IFERROR(__xludf.DUMMYFUNCTION("GOOGLEFINANCE(""NSE:""&amp;A1421,""name"")"),"Morepen Laboratories Ltd")</f>
        <v>Morepen Laboratories Ltd</v>
      </c>
    </row>
    <row r="1422">
      <c r="A1422" s="1" t="s">
        <v>7073</v>
      </c>
      <c r="B1422" s="5" t="s">
        <v>7074</v>
      </c>
      <c r="C1422" s="3" t="s">
        <v>7075</v>
      </c>
      <c r="D1422" s="6" t="s">
        <v>7076</v>
      </c>
      <c r="E1422" s="7" t="s">
        <v>7077</v>
      </c>
      <c r="F1422" s="5" t="str">
        <f>IFERROR(__xludf.DUMMYFUNCTION("GOOGLEFINANCE(""NSE:""&amp;A1422,""name"")"),"Moschip Technologies Ltd")</f>
        <v>Moschip Technologies Ltd</v>
      </c>
    </row>
    <row r="1423">
      <c r="A1423" s="1" t="s">
        <v>7078</v>
      </c>
      <c r="B1423" s="5" t="s">
        <v>7079</v>
      </c>
      <c r="C1423" s="3" t="s">
        <v>7080</v>
      </c>
      <c r="D1423" s="6" t="s">
        <v>7081</v>
      </c>
      <c r="E1423" s="7" t="s">
        <v>7082</v>
      </c>
      <c r="F1423" s="5" t="str">
        <f>IFERROR(__xludf.DUMMYFUNCTION("GOOGLEFINANCE(""NSE:""&amp;A1423,""name"")"),"Samvardhana Motherson International Ltd")</f>
        <v>Samvardhana Motherson International Ltd</v>
      </c>
    </row>
    <row r="1424">
      <c r="A1424" s="1" t="s">
        <v>7083</v>
      </c>
      <c r="B1424" s="5" t="s">
        <v>7084</v>
      </c>
      <c r="C1424" s="3" t="s">
        <v>7085</v>
      </c>
      <c r="D1424" s="6" t="s">
        <v>7086</v>
      </c>
      <c r="E1424" s="7" t="s">
        <v>7087</v>
      </c>
      <c r="F1424" s="5" t="str">
        <f>IFERROR(__xludf.DUMMYFUNCTION("GOOGLEFINANCE(""NSE:""&amp;A1424,""name"")"),"Motherson Sumi Wiring India Ltd")</f>
        <v>Motherson Sumi Wiring India Ltd</v>
      </c>
    </row>
    <row r="1425">
      <c r="A1425" s="1" t="s">
        <v>7088</v>
      </c>
      <c r="B1425" s="5" t="s">
        <v>7089</v>
      </c>
      <c r="C1425" s="3" t="s">
        <v>7090</v>
      </c>
      <c r="D1425" s="6" t="s">
        <v>7091</v>
      </c>
      <c r="E1425" s="7" t="s">
        <v>7092</v>
      </c>
      <c r="F1425" s="5" t="str">
        <f>IFERROR(__xludf.DUMMYFUNCTION("GOOGLEFINANCE(""NSE:""&amp;A1425,""name"")"),"Motilal Oswal Nifty 5 year BM G-Sec ETF")</f>
        <v>Motilal Oswal Nifty 5 year BM G-Sec ETF</v>
      </c>
    </row>
    <row r="1426">
      <c r="A1426" s="1" t="s">
        <v>7093</v>
      </c>
      <c r="B1426" s="5" t="s">
        <v>7094</v>
      </c>
      <c r="C1426" s="3" t="s">
        <v>7095</v>
      </c>
      <c r="D1426" s="6" t="s">
        <v>7096</v>
      </c>
      <c r="E1426" s="7" t="s">
        <v>7097</v>
      </c>
      <c r="F1426" s="5" t="str">
        <f>IFERROR(__xludf.DUMMYFUNCTION("GOOGLEFINANCE(""NSE:""&amp;A1426,""name"")"),"Motilal Oswal BSE India Infrastructure ETF")</f>
        <v>Motilal Oswal BSE India Infrastructure ETF</v>
      </c>
    </row>
    <row r="1427">
      <c r="A1427" s="1" t="s">
        <v>7098</v>
      </c>
      <c r="B1427" s="5" t="s">
        <v>7099</v>
      </c>
      <c r="C1427" s="3" t="s">
        <v>7100</v>
      </c>
      <c r="D1427" s="6" t="s">
        <v>7101</v>
      </c>
      <c r="E1427" s="7" t="s">
        <v>7102</v>
      </c>
      <c r="F1427" s="5" t="str">
        <f>IFERROR(__xludf.DUMMYFUNCTION("GOOGLEFINANCE(""NSE:""&amp;A1427,""name"")"),"Motilal Oswal Bse Select Ipo ETF")</f>
        <v>Motilal Oswal Bse Select Ipo ETF</v>
      </c>
    </row>
    <row r="1428">
      <c r="A1428" s="1" t="s">
        <v>7103</v>
      </c>
      <c r="B1428" s="5" t="s">
        <v>7104</v>
      </c>
      <c r="C1428" s="3" t="s">
        <v>7105</v>
      </c>
      <c r="D1428" s="6" t="s">
        <v>7106</v>
      </c>
      <c r="E1428" s="7" t="s">
        <v>7107</v>
      </c>
      <c r="F1428" s="5" t="str">
        <f>IFERROR(__xludf.DUMMYFUNCTION("GOOGLEFINANCE(""NSE:""&amp;A1428,""name"")"),"Motilal Oswal Financial Services Ltd")</f>
        <v>Motilal Oswal Financial Services Ltd</v>
      </c>
    </row>
    <row r="1429">
      <c r="A1429" s="1" t="s">
        <v>7108</v>
      </c>
      <c r="B1429" s="5" t="s">
        <v>7109</v>
      </c>
      <c r="C1429" s="3" t="s">
        <v>7110</v>
      </c>
      <c r="D1429" s="6" t="s">
        <v>7111</v>
      </c>
      <c r="E1429" s="7" t="s">
        <v>7112</v>
      </c>
      <c r="F1429" s="5" t="str">
        <f>IFERROR(__xludf.DUMMYFUNCTION("GOOGLEFINANCE(""NSE:""&amp;A1429,""name"")"),"Motilal Oswal Gold ETF")</f>
        <v>Motilal Oswal Gold ETF</v>
      </c>
    </row>
    <row r="1430">
      <c r="A1430" s="1" t="s">
        <v>7113</v>
      </c>
      <c r="B1430" s="5" t="s">
        <v>7114</v>
      </c>
      <c r="C1430" s="3" t="s">
        <v>7115</v>
      </c>
      <c r="D1430" s="6" t="s">
        <v>7116</v>
      </c>
      <c r="E1430" s="7" t="s">
        <v>7117</v>
      </c>
      <c r="F1430" s="5" t="str">
        <f>IFERROR(__xludf.DUMMYFUNCTION("GOOGLEFINANCE(""NSE:""&amp;A1430,""name"")"),"Motilal Oswal Nifty 50 ETF")</f>
        <v>Motilal Oswal Nifty 50 ETF</v>
      </c>
    </row>
    <row r="1431">
      <c r="A1431" s="1" t="s">
        <v>7118</v>
      </c>
      <c r="B1431" s="5" t="s">
        <v>7119</v>
      </c>
      <c r="C1431" s="3" t="s">
        <v>7120</v>
      </c>
      <c r="D1431" s="6" t="s">
        <v>7121</v>
      </c>
      <c r="E1431" s="7" t="s">
        <v>7122</v>
      </c>
      <c r="F1431" s="5" t="str">
        <f>IFERROR(__xludf.DUMMYFUNCTION("GOOGLEFINANCE(""NSE:""&amp;A1431,""name"")"),"Motilal Oswal Nifty Midcap 100 ETF")</f>
        <v>Motilal Oswal Nifty Midcap 100 ETF</v>
      </c>
    </row>
    <row r="1432">
      <c r="A1432" s="1" t="s">
        <v>7123</v>
      </c>
      <c r="B1432" s="5" t="s">
        <v>7124</v>
      </c>
      <c r="C1432" s="3" t="s">
        <v>7125</v>
      </c>
      <c r="D1432" s="6" t="s">
        <v>7126</v>
      </c>
      <c r="E1432" s="7" t="s">
        <v>7127</v>
      </c>
      <c r="F1432" s="5" t="str">
        <f>IFERROR(__xludf.DUMMYFUNCTION("GOOGLEFINANCE(""NSE:""&amp;A1432,""name"")"),"Motilal Oswal NASDAQ 100 ETF")</f>
        <v>Motilal Oswal NASDAQ 100 ETF</v>
      </c>
    </row>
    <row r="1433">
      <c r="A1433" s="1" t="s">
        <v>7128</v>
      </c>
      <c r="B1433" s="5" t="s">
        <v>7129</v>
      </c>
      <c r="C1433" s="3" t="s">
        <v>7130</v>
      </c>
      <c r="D1433" s="6" t="s">
        <v>7131</v>
      </c>
      <c r="E1433" s="7" t="s">
        <v>7132</v>
      </c>
      <c r="F1433" s="5" t="str">
        <f>IFERROR(__xludf.DUMMYFUNCTION("GOOGLEFINANCE(""NSE:""&amp;A1433,""name"")"),"Motilal Oswal NASDAQ Q 50 ETF")</f>
        <v>Motilal Oswal NASDAQ Q 50 ETF</v>
      </c>
    </row>
    <row r="1434">
      <c r="A1434" s="1" t="s">
        <v>7133</v>
      </c>
      <c r="B1434" s="5" t="s">
        <v>7134</v>
      </c>
      <c r="C1434" s="3" t="s">
        <v>7135</v>
      </c>
      <c r="D1434" s="6" t="s">
        <v>7136</v>
      </c>
      <c r="E1434" s="7" t="s">
        <v>7137</v>
      </c>
      <c r="F1434" s="5" t="str">
        <f>IFERROR(__xludf.DUMMYFUNCTION("GOOGLEFINANCE(""NSE:""&amp;A1434,""name"")"),"Motilal Oswal Nifty 100 ETF")</f>
        <v>Motilal Oswal Nifty 100 ETF</v>
      </c>
    </row>
    <row r="1435">
      <c r="A1435" s="1" t="s">
        <v>7138</v>
      </c>
      <c r="B1435" s="5" t="s">
        <v>7139</v>
      </c>
      <c r="C1435" s="3" t="s">
        <v>7140</v>
      </c>
      <c r="D1435" s="6" t="s">
        <v>7141</v>
      </c>
      <c r="E1435" s="7" t="s">
        <v>7142</v>
      </c>
      <c r="F1435" s="5" t="str">
        <f>IFERROR(__xludf.DUMMYFUNCTION("GOOGLEFINANCE(""NSE:""&amp;A1435,""name"")"),"Motilal Oswal Nifty 200 Momentum 30 ETF")</f>
        <v>Motilal Oswal Nifty 200 Momentum 30 ETF</v>
      </c>
    </row>
    <row r="1436">
      <c r="A1436" s="1" t="s">
        <v>7143</v>
      </c>
      <c r="B1436" s="5" t="s">
        <v>7144</v>
      </c>
      <c r="C1436" s="3" t="s">
        <v>7145</v>
      </c>
      <c r="D1436" s="6" t="s">
        <v>7146</v>
      </c>
      <c r="E1436" s="7" t="s">
        <v>7147</v>
      </c>
      <c r="F1436" s="5" t="str">
        <f>IFERROR(__xludf.DUMMYFUNCTION("GOOGLEFINANCE(""NSE:""&amp;A1436,""name"")"),"Motilal Oswal Nifty 50 Equal Weight ETF")</f>
        <v>Motilal Oswal Nifty 50 Equal Weight ETF</v>
      </c>
    </row>
    <row r="1437">
      <c r="A1437" s="1" t="s">
        <v>7148</v>
      </c>
      <c r="B1437" s="5" t="s">
        <v>7149</v>
      </c>
      <c r="C1437" s="3" t="s">
        <v>7150</v>
      </c>
      <c r="D1437" s="6" t="s">
        <v>7151</v>
      </c>
      <c r="E1437" s="7" t="s">
        <v>7152</v>
      </c>
      <c r="F1437" s="5" t="str">
        <f>IFERROR(__xludf.DUMMYFUNCTION("GOOGLEFINANCE(""NSE:""&amp;A1437,""name"")"),"Motilal Oswal Nifty 500 ETF")</f>
        <v>Motilal Oswal Nifty 500 ETF</v>
      </c>
    </row>
    <row r="1438">
      <c r="A1438" s="1" t="s">
        <v>7153</v>
      </c>
      <c r="B1438" s="5" t="s">
        <v>7154</v>
      </c>
      <c r="C1438" s="3" t="s">
        <v>7155</v>
      </c>
      <c r="D1438" s="6" t="s">
        <v>7156</v>
      </c>
      <c r="E1438" s="7" t="s">
        <v>7157</v>
      </c>
      <c r="F1438" s="5" t="str">
        <f>IFERROR(__xludf.DUMMYFUNCTION("GOOGLEFINANCE(""NSE:""&amp;A1438,""name"")"),"Motilal Oswal Nifty 500 Momentum 50 ETF")</f>
        <v>Motilal Oswal Nifty 500 Momentum 50 ETF</v>
      </c>
    </row>
    <row r="1439">
      <c r="A1439" s="1" t="s">
        <v>7158</v>
      </c>
      <c r="B1439" s="5" t="s">
        <v>7159</v>
      </c>
      <c r="C1439" s="3" t="s">
        <v>7160</v>
      </c>
      <c r="D1439" s="6" t="s">
        <v>7161</v>
      </c>
      <c r="E1439" s="7" t="s">
        <v>7162</v>
      </c>
      <c r="F1439" s="5" t="str">
        <f>IFERROR(__xludf.DUMMYFUNCTION("GOOGLEFINANCE(""NSE:""&amp;A1439,""name"")"),"Motilal Oswal Nifty Alpha 50 ETF")</f>
        <v>Motilal Oswal Nifty Alpha 50 ETF</v>
      </c>
    </row>
    <row r="1440">
      <c r="A1440" s="1" t="s">
        <v>7163</v>
      </c>
      <c r="B1440" s="5" t="s">
        <v>7164</v>
      </c>
      <c r="C1440" s="3" t="s">
        <v>7165</v>
      </c>
      <c r="D1440" s="6" t="s">
        <v>7166</v>
      </c>
      <c r="E1440" s="7" t="s">
        <v>7167</v>
      </c>
      <c r="F1440" s="5" t="str">
        <f>IFERROR(__xludf.DUMMYFUNCTION("GOOGLEFINANCE(""NSE:""&amp;A1440,""name"")"),"Motilal Oswal Nifty Capital Market ETF")</f>
        <v>Motilal Oswal Nifty Capital Market ETF</v>
      </c>
    </row>
    <row r="1441">
      <c r="A1441" s="1" t="s">
        <v>7168</v>
      </c>
      <c r="B1441" s="5" t="s">
        <v>7169</v>
      </c>
      <c r="C1441" s="3" t="s">
        <v>7170</v>
      </c>
      <c r="D1441" s="6" t="s">
        <v>7171</v>
      </c>
      <c r="E1441" s="7" t="s">
        <v>7172</v>
      </c>
      <c r="F1441" s="5" t="str">
        <f>IFERROR(__xludf.DUMMYFUNCTION("GOOGLEFINANCE(""NSE:""&amp;A1441,""name"")"),"Motilal Oswal Nifty Energy ETF")</f>
        <v>Motilal Oswal Nifty Energy ETF</v>
      </c>
    </row>
    <row r="1442">
      <c r="A1442" s="1" t="s">
        <v>7173</v>
      </c>
      <c r="B1442" s="5" t="s">
        <v>7174</v>
      </c>
      <c r="C1442" s="3" t="s">
        <v>7175</v>
      </c>
      <c r="D1442" s="6" t="s">
        <v>7176</v>
      </c>
      <c r="E1442" s="7" t="s">
        <v>7177</v>
      </c>
      <c r="F1442" s="5" t="str">
        <f>IFERROR(__xludf.DUMMYFUNCTION("GOOGLEFINANCE(""NSE:""&amp;A1442,""name"")"),"Motilal Oswal Nifty India Defence ETF")</f>
        <v>Motilal Oswal Nifty India Defence ETF</v>
      </c>
    </row>
    <row r="1443">
      <c r="A1443" s="1" t="s">
        <v>7178</v>
      </c>
      <c r="B1443" s="5" t="s">
        <v>7179</v>
      </c>
      <c r="C1443" s="3" t="s">
        <v>7180</v>
      </c>
      <c r="D1443" s="6" t="s">
        <v>7181</v>
      </c>
      <c r="E1443" s="7" t="s">
        <v>7182</v>
      </c>
      <c r="F1443" s="5" t="str">
        <f>IFERROR(__xludf.DUMMYFUNCTION("GOOGLEFINANCE(""NSE:""&amp;A1443,""name"")"),"Motilal Oswal Nifty India Tourism ETF")</f>
        <v>Motilal Oswal Nifty India Tourism ETF</v>
      </c>
    </row>
    <row r="1444">
      <c r="A1444" s="1" t="s">
        <v>7183</v>
      </c>
      <c r="B1444" s="5" t="s">
        <v>7184</v>
      </c>
      <c r="C1444" s="3" t="s">
        <v>7185</v>
      </c>
      <c r="D1444" s="6" t="s">
        <v>7186</v>
      </c>
      <c r="E1444" s="7" t="s">
        <v>7187</v>
      </c>
      <c r="F1444" s="5" t="str">
        <f>IFERROR(__xludf.DUMMYFUNCTION("GOOGLEFINANCE(""NSE:""&amp;A1444,""name"")"),"Motilal Oswal Nifty Midcap150 Momentum 50 ETF")</f>
        <v>Motilal Oswal Nifty Midcap150 Momentum 50 ETF</v>
      </c>
    </row>
    <row r="1445">
      <c r="A1445" s="1" t="s">
        <v>7188</v>
      </c>
      <c r="B1445" s="5" t="s">
        <v>7189</v>
      </c>
      <c r="C1445" s="3" t="s">
        <v>7190</v>
      </c>
      <c r="D1445" s="6" t="s">
        <v>7191</v>
      </c>
      <c r="E1445" s="7" t="s">
        <v>7192</v>
      </c>
      <c r="F1445" s="5" t="str">
        <f>IFERROR(__xludf.DUMMYFUNCTION("GOOGLEFINANCE(""NSE:""&amp;A1445,""name"")"),"Motilal Oswal Nifty Next 50 ETF")</f>
        <v>Motilal Oswal Nifty Next 50 ETF</v>
      </c>
    </row>
    <row r="1446">
      <c r="A1446" s="1" t="s">
        <v>7193</v>
      </c>
      <c r="B1446" s="5" t="s">
        <v>7194</v>
      </c>
      <c r="C1446" s="3" t="s">
        <v>7195</v>
      </c>
      <c r="D1446" s="6" t="s">
        <v>7196</v>
      </c>
      <c r="E1446" s="7" t="s">
        <v>7197</v>
      </c>
      <c r="F1446" s="5" t="str">
        <f>IFERROR(__xludf.DUMMYFUNCTION("GOOGLEFINANCE(""NSE:""&amp;A1446,""name"")"),"Motilal Oswal Nifty PSE ETF")</f>
        <v>Motilal Oswal Nifty PSE ETF</v>
      </c>
    </row>
    <row r="1447">
      <c r="A1447" s="1" t="s">
        <v>7198</v>
      </c>
      <c r="B1447" s="5" t="s">
        <v>7199</v>
      </c>
      <c r="C1447" s="3" t="s">
        <v>7200</v>
      </c>
      <c r="D1447" s="6" t="s">
        <v>7201</v>
      </c>
      <c r="E1447" s="7" t="s">
        <v>7202</v>
      </c>
      <c r="F1447" s="5" t="str">
        <f>IFERROR(__xludf.DUMMYFUNCTION("GOOGLEFINANCE(""NSE:""&amp;A1447,""name"")"),"Motilal Oswal Nifty Realty ETF")</f>
        <v>Motilal Oswal Nifty Realty ETF</v>
      </c>
    </row>
    <row r="1448">
      <c r="A1448" s="1" t="s">
        <v>7203</v>
      </c>
      <c r="B1448" s="5" t="s">
        <v>7204</v>
      </c>
      <c r="C1448" s="3" t="s">
        <v>7205</v>
      </c>
      <c r="D1448" s="6" t="s">
        <v>7206</v>
      </c>
      <c r="E1448" s="7" t="s">
        <v>7207</v>
      </c>
      <c r="F1448" s="5" t="str">
        <f>IFERROR(__xludf.DUMMYFUNCTION("GOOGLEFINANCE(""NSE:""&amp;A1448,""name"")"),"Motilal Oswal Nifty Services Sector ETF")</f>
        <v>Motilal Oswal Nifty Services Sector ETF</v>
      </c>
    </row>
    <row r="1449">
      <c r="A1449" s="1" t="s">
        <v>7208</v>
      </c>
      <c r="B1449" s="5" t="s">
        <v>7209</v>
      </c>
      <c r="C1449" s="3" t="s">
        <v>7210</v>
      </c>
      <c r="D1449" s="6" t="s">
        <v>7211</v>
      </c>
      <c r="E1449" s="7" t="s">
        <v>7212</v>
      </c>
      <c r="F1449" s="5" t="str">
        <f>IFERROR(__xludf.DUMMYFUNCTION("GOOGLEFINANCE(""NSE:""&amp;A1449,""name"")"),"Motilal Oswal Nifty Smallcap 250 ETF")</f>
        <v>Motilal Oswal Nifty Smallcap 250 ETF</v>
      </c>
    </row>
    <row r="1450">
      <c r="A1450" s="1" t="s">
        <v>7213</v>
      </c>
      <c r="B1450" s="5" t="s">
        <v>7214</v>
      </c>
      <c r="C1450" s="3" t="s">
        <v>7215</v>
      </c>
      <c r="D1450" s="6" t="s">
        <v>7216</v>
      </c>
      <c r="E1450" s="7" t="s">
        <v>7217</v>
      </c>
      <c r="F1450" s="5" t="str">
        <f>IFERROR(__xludf.DUMMYFUNCTION("GOOGLEFINANCE(""NSE:""&amp;A1450,""name"")"),"Motilal Oswal BSE Enhanced Value ETF")</f>
        <v>Motilal Oswal BSE Enhanced Value ETF</v>
      </c>
    </row>
    <row r="1451">
      <c r="A1451" s="1" t="s">
        <v>7218</v>
      </c>
      <c r="B1451" s="5" t="s">
        <v>7219</v>
      </c>
      <c r="C1451" s="3" t="s">
        <v>7220</v>
      </c>
      <c r="D1451" s="6" t="s">
        <v>7221</v>
      </c>
      <c r="E1451" s="7" t="s">
        <v>7222</v>
      </c>
      <c r="F1451" s="5" t="str">
        <f>IFERROR(__xludf.DUMMYFUNCTION("GOOGLEFINANCE(""NSE:""&amp;A1451,""name"")"),"Motilal Oswal BSE Healthcare ETF")</f>
        <v>Motilal Oswal BSE Healthcare ETF</v>
      </c>
    </row>
    <row r="1452">
      <c r="A1452" s="1" t="s">
        <v>7223</v>
      </c>
      <c r="B1452" s="5" t="s">
        <v>7224</v>
      </c>
      <c r="C1452" s="3" t="s">
        <v>7225</v>
      </c>
      <c r="D1452" s="6" t="s">
        <v>7226</v>
      </c>
      <c r="E1452" s="7" t="s">
        <v>7227</v>
      </c>
      <c r="F1452" s="5" t="str">
        <f>IFERROR(__xludf.DUMMYFUNCTION("GOOGLEFINANCE(""NSE:""&amp;A1452,""name"")"),"Motilal Oswal BSE Low Volatility ETF")</f>
        <v>Motilal Oswal BSE Low Volatility ETF</v>
      </c>
    </row>
    <row r="1453">
      <c r="A1453" s="1" t="s">
        <v>7228</v>
      </c>
      <c r="B1453" s="5" t="s">
        <v>7229</v>
      </c>
      <c r="C1453" s="3" t="s">
        <v>7230</v>
      </c>
      <c r="D1453" s="6" t="s">
        <v>7231</v>
      </c>
      <c r="E1453" s="7" t="s">
        <v>7232</v>
      </c>
      <c r="F1453" s="5" t="str">
        <f>IFERROR(__xludf.DUMMYFUNCTION("GOOGLEFINANCE(""NSE:""&amp;A1453,""name"")"),"Motilal Oswal BSE Quality ETF")</f>
        <v>Motilal Oswal BSE Quality ETF</v>
      </c>
    </row>
    <row r="1454">
      <c r="A1454" s="1" t="s">
        <v>7233</v>
      </c>
      <c r="B1454" s="5" t="s">
        <v>7234</v>
      </c>
      <c r="C1454" s="3" t="s">
        <v>7235</v>
      </c>
      <c r="D1454" s="6" t="s">
        <v>7236</v>
      </c>
      <c r="E1454" s="7" t="s">
        <v>7237</v>
      </c>
      <c r="F1454" s="5" t="str">
        <f>IFERROR(__xludf.DUMMYFUNCTION("GOOGLEFINANCE(""NSE:""&amp;A1454,""name"")"),"Motilal Oswal Silver ETF")</f>
        <v>Motilal Oswal Silver ETF</v>
      </c>
    </row>
    <row r="1455">
      <c r="A1455" s="1" t="s">
        <v>7238</v>
      </c>
      <c r="B1455" s="5" t="s">
        <v>7239</v>
      </c>
      <c r="C1455" s="3" t="s">
        <v>7240</v>
      </c>
      <c r="D1455" s="6" t="s">
        <v>7241</v>
      </c>
      <c r="E1455" s="7" t="s">
        <v>7242</v>
      </c>
      <c r="F1455" s="5" t="str">
        <f>IFERROR(__xludf.DUMMYFUNCTION("GOOGLEFINANCE(""NSE:""&amp;A1455,""name"")"),"Motisons Jewellers Ltd")</f>
        <v>Motisons Jewellers Ltd</v>
      </c>
    </row>
    <row r="1456">
      <c r="A1456" s="1" t="s">
        <v>7243</v>
      </c>
      <c r="B1456" s="5" t="s">
        <v>7244</v>
      </c>
      <c r="C1456" s="3" t="s">
        <v>7245</v>
      </c>
      <c r="D1456" s="6" t="s">
        <v>7246</v>
      </c>
      <c r="E1456" s="7" t="s">
        <v>7247</v>
      </c>
      <c r="F1456" s="5" t="str">
        <f>IFERROR(__xludf.DUMMYFUNCTION("GOOGLEFINANCE(""NSE:""&amp;A1456,""name"")"),"Mphasis Ltd")</f>
        <v>Mphasis Ltd</v>
      </c>
    </row>
    <row r="1457">
      <c r="A1457" s="1" t="s">
        <v>7248</v>
      </c>
      <c r="B1457" s="5" t="s">
        <v>7249</v>
      </c>
      <c r="C1457" s="3" t="s">
        <v>7250</v>
      </c>
      <c r="D1457" s="6" t="s">
        <v>7251</v>
      </c>
      <c r="E1457" s="7" t="s">
        <v>7252</v>
      </c>
      <c r="F1457" s="5" t="str">
        <f>IFERROR(__xludf.DUMMYFUNCTION("GOOGLEFINANCE(""NSE:""&amp;A1457,""name"")"),"Mps Ltd")</f>
        <v>Mps Ltd</v>
      </c>
    </row>
    <row r="1458">
      <c r="A1458" s="1" t="s">
        <v>7253</v>
      </c>
      <c r="B1458" s="5" t="s">
        <v>7254</v>
      </c>
      <c r="C1458" s="3" t="s">
        <v>7255</v>
      </c>
      <c r="D1458" s="6" t="s">
        <v>7256</v>
      </c>
      <c r="E1458" s="7" t="s">
        <v>7257</v>
      </c>
      <c r="F1458" s="5" t="str">
        <f>IFERROR(__xludf.DUMMYFUNCTION("GOOGLEFINANCE(""NSE:""&amp;A1458,""name"")"),"MRF Ltd")</f>
        <v>MRF Ltd</v>
      </c>
    </row>
    <row r="1459">
      <c r="A1459" s="1" t="s">
        <v>7258</v>
      </c>
      <c r="B1459" s="5" t="s">
        <v>7259</v>
      </c>
      <c r="C1459" s="3" t="s">
        <v>7260</v>
      </c>
      <c r="D1459" s="6" t="s">
        <v>7261</v>
      </c>
      <c r="E1459" s="7" t="s">
        <v>7262</v>
      </c>
      <c r="F1459" s="5" t="str">
        <f>IFERROR(__xludf.DUMMYFUNCTION("GOOGLEFINANCE(""NSE:""&amp;A1459,""name"")"),"Mrs. Bectors Food Specialities Ltd")</f>
        <v>Mrs. Bectors Food Specialities Ltd</v>
      </c>
    </row>
    <row r="1460">
      <c r="A1460" s="1" t="s">
        <v>7263</v>
      </c>
      <c r="B1460" s="5" t="s">
        <v>7264</v>
      </c>
      <c r="C1460" s="3" t="s">
        <v>7265</v>
      </c>
      <c r="D1460" s="6" t="s">
        <v>7266</v>
      </c>
      <c r="E1460" s="7" t="s">
        <v>7267</v>
      </c>
      <c r="F1460" s="5" t="str">
        <f>IFERROR(__xludf.DUMMYFUNCTION("GOOGLEFINANCE(""NSE:""&amp;A1460,""name"")"),"MSP Steel &amp; Power Ltd")</f>
        <v>MSP Steel &amp; Power Ltd</v>
      </c>
    </row>
    <row r="1461">
      <c r="A1461" s="1" t="s">
        <v>7268</v>
      </c>
      <c r="B1461" s="5" t="s">
        <v>7269</v>
      </c>
      <c r="C1461" s="3" t="s">
        <v>7270</v>
      </c>
      <c r="D1461" s="6" t="s">
        <v>7271</v>
      </c>
      <c r="E1461" s="7" t="s">
        <v>7272</v>
      </c>
      <c r="F1461" s="5" t="str">
        <f>IFERROR(__xludf.DUMMYFUNCTION("GOOGLEFINANCE(""NSE:""&amp;A1461,""name"")"),"MSTC Ltd")</f>
        <v>MSTC Ltd</v>
      </c>
    </row>
    <row r="1462">
      <c r="A1462" s="1" t="s">
        <v>7273</v>
      </c>
      <c r="B1462" s="5" t="s">
        <v>7274</v>
      </c>
      <c r="C1462" s="3" t="s">
        <v>7275</v>
      </c>
      <c r="D1462" s="6" t="s">
        <v>7276</v>
      </c>
      <c r="E1462" s="7" t="s">
        <v>7277</v>
      </c>
      <c r="F1462" s="5" t="str">
        <f>IFERROR(__xludf.DUMMYFUNCTION("GOOGLEFINANCE(""NSE:""&amp;A1462,""name"")"),"MTAR Technologies Ltd")</f>
        <v>MTAR Technologies Ltd</v>
      </c>
    </row>
    <row r="1463">
      <c r="A1463" s="1" t="s">
        <v>7278</v>
      </c>
      <c r="B1463" s="5" t="s">
        <v>7279</v>
      </c>
      <c r="C1463" s="3" t="s">
        <v>7280</v>
      </c>
      <c r="D1463" s="6" t="s">
        <v>7281</v>
      </c>
      <c r="E1463" s="7" t="s">
        <v>7282</v>
      </c>
      <c r="F1463" s="5" t="str">
        <f>IFERROR(__xludf.DUMMYFUNCTION("GOOGLEFINANCE(""NSE:""&amp;A1463,""name"")"),"Mufin Green Finance Ltd")</f>
        <v>Mufin Green Finance Ltd</v>
      </c>
    </row>
    <row r="1464">
      <c r="A1464" s="1" t="s">
        <v>7283</v>
      </c>
      <c r="B1464" s="5" t="s">
        <v>7284</v>
      </c>
      <c r="C1464" s="3" t="s">
        <v>7285</v>
      </c>
      <c r="D1464" s="6" t="s">
        <v>7286</v>
      </c>
      <c r="E1464" s="7" t="s">
        <v>7287</v>
      </c>
      <c r="F1464" s="5" t="str">
        <f>IFERROR(__xludf.DUMMYFUNCTION("GOOGLEFINANCE(""NSE:""&amp;A1464,""name"")"),"Mukand Ltd")</f>
        <v>Mukand Ltd</v>
      </c>
    </row>
    <row r="1465">
      <c r="A1465" s="1" t="s">
        <v>7288</v>
      </c>
      <c r="B1465" s="5" t="s">
        <v>7289</v>
      </c>
      <c r="C1465" s="3" t="s">
        <v>7290</v>
      </c>
      <c r="D1465" s="6" t="s">
        <v>7291</v>
      </c>
      <c r="E1465" s="7" t="s">
        <v>7292</v>
      </c>
      <c r="F1465" s="5" t="str">
        <f>IFERROR(__xludf.DUMMYFUNCTION("GOOGLEFINANCE(""NSE:""&amp;A1465,""name"")"),"Mukka Proteins Ltd")</f>
        <v>Mukka Proteins Ltd</v>
      </c>
    </row>
    <row r="1466">
      <c r="A1466" s="1" t="s">
        <v>7293</v>
      </c>
      <c r="B1466" s="5" t="s">
        <v>7294</v>
      </c>
      <c r="C1466" s="3" t="s">
        <v>7295</v>
      </c>
      <c r="D1466" s="6" t="s">
        <v>7296</v>
      </c>
      <c r="E1466" s="7" t="s">
        <v>7297</v>
      </c>
      <c r="F1466" s="5" t="str">
        <f>IFERROR(__xludf.DUMMYFUNCTION("GOOGLEFINANCE(""NSE:""&amp;A1466,""name"")"),"Mukta Arts Ltd")</f>
        <v>Mukta Arts Ltd</v>
      </c>
    </row>
    <row r="1467">
      <c r="A1467" s="1" t="s">
        <v>7298</v>
      </c>
      <c r="B1467" s="5" t="s">
        <v>7299</v>
      </c>
      <c r="C1467" s="3" t="s">
        <v>7300</v>
      </c>
      <c r="D1467" s="6" t="s">
        <v>7301</v>
      </c>
      <c r="E1467" s="7" t="s">
        <v>7302</v>
      </c>
      <c r="F1467" s="5" t="str">
        <f>IFERROR(__xludf.DUMMYFUNCTION("GOOGLEFINANCE(""NSE:""&amp;A1467,""name"")"),"Multi Commodity Exchange Of India Ltd")</f>
        <v>Multi Commodity Exchange Of India Ltd</v>
      </c>
    </row>
    <row r="1468">
      <c r="A1468" s="1" t="s">
        <v>7303</v>
      </c>
      <c r="B1468" s="5" t="s">
        <v>7304</v>
      </c>
      <c r="C1468" s="3" t="s">
        <v>7305</v>
      </c>
      <c r="D1468" s="6" t="s">
        <v>7306</v>
      </c>
      <c r="E1468" s="7" t="s">
        <v>7307</v>
      </c>
      <c r="F1468" s="5" t="str">
        <f>IFERROR(__xludf.DUMMYFUNCTION("GOOGLEFINANCE(""NSE:""&amp;A1468,""name"")"),"Munjal Auto Industries Ltd")</f>
        <v>Munjal Auto Industries Ltd</v>
      </c>
    </row>
    <row r="1469">
      <c r="A1469" s="1" t="s">
        <v>7308</v>
      </c>
      <c r="B1469" s="5" t="s">
        <v>7309</v>
      </c>
      <c r="C1469" s="3" t="s">
        <v>7310</v>
      </c>
      <c r="D1469" s="6" t="s">
        <v>7311</v>
      </c>
      <c r="E1469" s="7" t="s">
        <v>7312</v>
      </c>
      <c r="F1469" s="5" t="str">
        <f>IFERROR(__xludf.DUMMYFUNCTION("GOOGLEFINANCE(""NSE:""&amp;A1469,""name"")"),"Munjal Showa Ltd")</f>
        <v>Munjal Showa Ltd</v>
      </c>
    </row>
    <row r="1470">
      <c r="A1470" s="1" t="s">
        <v>7313</v>
      </c>
      <c r="B1470" s="5" t="s">
        <v>7314</v>
      </c>
      <c r="C1470" s="3" t="s">
        <v>7315</v>
      </c>
      <c r="D1470" s="6" t="s">
        <v>7316</v>
      </c>
      <c r="E1470" s="7" t="s">
        <v>7317</v>
      </c>
      <c r="F1470" s="5" t="str">
        <f>IFERROR(__xludf.DUMMYFUNCTION("GOOGLEFINANCE(""NSE:""&amp;A1470,""name"")"),"Murudeshwar Ceramics Ltd")</f>
        <v>Murudeshwar Ceramics Ltd</v>
      </c>
    </row>
    <row r="1471">
      <c r="A1471" s="1" t="s">
        <v>7318</v>
      </c>
      <c r="B1471" s="5" t="s">
        <v>7319</v>
      </c>
      <c r="C1471" s="3" t="s">
        <v>7320</v>
      </c>
      <c r="D1471" s="6" t="s">
        <v>7321</v>
      </c>
      <c r="E1471" s="7" t="s">
        <v>7322</v>
      </c>
      <c r="F1471" s="5" t="str">
        <f>IFERROR(__xludf.DUMMYFUNCTION("GOOGLEFINANCE(""NSE:""&amp;A1471,""name"")"),"Music Broadcast Ltd")</f>
        <v>Music Broadcast Ltd</v>
      </c>
    </row>
    <row r="1472">
      <c r="A1472" s="1" t="s">
        <v>7323</v>
      </c>
      <c r="B1472" s="5" t="s">
        <v>7324</v>
      </c>
      <c r="C1472" s="3" t="s">
        <v>7325</v>
      </c>
      <c r="D1472" s="6" t="s">
        <v>7326</v>
      </c>
      <c r="E1472" s="7" t="s">
        <v>7327</v>
      </c>
      <c r="F1472" s="5" t="str">
        <f>IFERROR(__xludf.DUMMYFUNCTION("GOOGLEFINANCE(""NSE:""&amp;A1472,""name"")"),"Muthoot Capital Services Ltd")</f>
        <v>Muthoot Capital Services Ltd</v>
      </c>
    </row>
    <row r="1473">
      <c r="A1473" s="1" t="s">
        <v>7328</v>
      </c>
      <c r="B1473" s="5" t="s">
        <v>7329</v>
      </c>
      <c r="C1473" s="3" t="s">
        <v>7330</v>
      </c>
      <c r="D1473" s="6" t="s">
        <v>7331</v>
      </c>
      <c r="E1473" s="7" t="s">
        <v>7332</v>
      </c>
      <c r="F1473" s="5" t="str">
        <f>IFERROR(__xludf.DUMMYFUNCTION("GOOGLEFINANCE(""NSE:""&amp;A1473,""name"")"),"Muthoot Finance Ltd")</f>
        <v>Muthoot Finance Ltd</v>
      </c>
    </row>
    <row r="1474">
      <c r="A1474" s="1" t="s">
        <v>7333</v>
      </c>
      <c r="B1474" s="5" t="s">
        <v>7334</v>
      </c>
      <c r="C1474" s="3" t="s">
        <v>7335</v>
      </c>
      <c r="D1474" s="6" t="s">
        <v>7336</v>
      </c>
      <c r="E1474" s="7" t="s">
        <v>7337</v>
      </c>
      <c r="F1474" s="5" t="str">
        <f>IFERROR(__xludf.DUMMYFUNCTION("GOOGLEFINANCE(""NSE:""&amp;A1474,""name"")"),"Muthoot Microfin Ltd")</f>
        <v>Muthoot Microfin Ltd</v>
      </c>
    </row>
    <row r="1475">
      <c r="A1475" s="1" t="s">
        <v>7338</v>
      </c>
      <c r="B1475" s="5" t="s">
        <v>7339</v>
      </c>
      <c r="C1475" s="3" t="s">
        <v>7340</v>
      </c>
      <c r="D1475" s="6" t="s">
        <v>7341</v>
      </c>
      <c r="E1475" s="7" t="s">
        <v>7342</v>
      </c>
      <c r="F1475" s="5" t="str">
        <f>IFERROR(__xludf.DUMMYFUNCTION("GOOGLEFINANCE(""NSE:""&amp;A1475,""name"")"),"N R Agarwal Industries Ltd")</f>
        <v>N R Agarwal Industries Ltd</v>
      </c>
    </row>
    <row r="1476">
      <c r="A1476" s="1" t="s">
        <v>7343</v>
      </c>
      <c r="B1476" s="5" t="s">
        <v>7344</v>
      </c>
      <c r="C1476" s="3" t="s">
        <v>7345</v>
      </c>
      <c r="D1476" s="6" t="s">
        <v>7346</v>
      </c>
      <c r="E1476" s="7" t="s">
        <v>7347</v>
      </c>
      <c r="F1476" s="5" t="str">
        <f>IFERROR(__xludf.DUMMYFUNCTION("GOOGLEFINANCE(""NSE:""&amp;A1476,""name"")"),"NBI Industrial Finance Company Ltd")</f>
        <v>NBI Industrial Finance Company Ltd</v>
      </c>
    </row>
    <row r="1477">
      <c r="A1477" s="1" t="s">
        <v>7348</v>
      </c>
      <c r="B1477" s="5" t="s">
        <v>7349</v>
      </c>
      <c r="C1477" s="3" t="s">
        <v>7350</v>
      </c>
      <c r="D1477" s="6" t="s">
        <v>7351</v>
      </c>
      <c r="E1477" s="7" t="s">
        <v>7352</v>
      </c>
      <c r="F1477" s="5" t="str">
        <f>IFERROR(__xludf.DUMMYFUNCTION("GOOGLEFINANCE(""NSE:""&amp;A1477,""name"")"),"NACL Industries Ltd")</f>
        <v>NACL Industries Ltd</v>
      </c>
    </row>
    <row r="1478">
      <c r="A1478" s="1" t="s">
        <v>7353</v>
      </c>
      <c r="B1478" s="5" t="s">
        <v>7354</v>
      </c>
      <c r="C1478" s="3" t="s">
        <v>7355</v>
      </c>
      <c r="D1478" s="6" t="s">
        <v>7356</v>
      </c>
      <c r="E1478" s="7" t="s">
        <v>7357</v>
      </c>
      <c r="F1478" s="5" t="str">
        <f>IFERROR(__xludf.DUMMYFUNCTION("GOOGLEFINANCE(""NSE:""&amp;A1478,""name"")"),"Naga Dhunseri Group Ltd")</f>
        <v>Naga Dhunseri Group Ltd</v>
      </c>
    </row>
    <row r="1479">
      <c r="A1479" s="1" t="s">
        <v>7358</v>
      </c>
      <c r="B1479" s="5" t="s">
        <v>7359</v>
      </c>
      <c r="C1479" s="3" t="s">
        <v>7360</v>
      </c>
      <c r="D1479" s="6" t="s">
        <v>7361</v>
      </c>
      <c r="E1479" s="7" t="s">
        <v>7362</v>
      </c>
      <c r="F1479" s="5" t="str">
        <f>IFERROR(__xludf.DUMMYFUNCTION("GOOGLEFINANCE(""NSE:""&amp;A1479,""name"")"),"Nagreeka Capital &amp; Infrastructure Ltd")</f>
        <v>Nagreeka Capital &amp; Infrastructure Ltd</v>
      </c>
    </row>
    <row r="1480">
      <c r="A1480" s="1" t="s">
        <v>7363</v>
      </c>
      <c r="B1480" s="5" t="s">
        <v>7364</v>
      </c>
      <c r="C1480" s="3" t="s">
        <v>7365</v>
      </c>
      <c r="D1480" s="6" t="s">
        <v>7366</v>
      </c>
      <c r="E1480" s="7" t="s">
        <v>7367</v>
      </c>
      <c r="F1480" s="5" t="str">
        <f>IFERROR(__xludf.DUMMYFUNCTION("GOOGLEFINANCE(""NSE:""&amp;A1480,""name"")"),"Nagreeka Exports Ltd")</f>
        <v>Nagreeka Exports Ltd</v>
      </c>
    </row>
    <row r="1481">
      <c r="A1481" s="1" t="s">
        <v>7368</v>
      </c>
      <c r="B1481" s="5" t="s">
        <v>7369</v>
      </c>
      <c r="C1481" s="3" t="s">
        <v>7370</v>
      </c>
      <c r="D1481" s="6" t="s">
        <v>7371</v>
      </c>
      <c r="E1481" s="7" t="s">
        <v>7372</v>
      </c>
      <c r="F1481" s="5" t="str">
        <f>IFERROR(__xludf.DUMMYFUNCTION("GOOGLEFINANCE(""NSE:""&amp;A1481,""name"")"),"Nahar Capital and Financial Services Ltd")</f>
        <v>Nahar Capital and Financial Services Ltd</v>
      </c>
    </row>
    <row r="1482">
      <c r="A1482" s="1" t="s">
        <v>7373</v>
      </c>
      <c r="B1482" s="5" t="s">
        <v>7374</v>
      </c>
      <c r="C1482" s="3" t="s">
        <v>7375</v>
      </c>
      <c r="D1482" s="6" t="s">
        <v>7376</v>
      </c>
      <c r="E1482" s="7" t="s">
        <v>7377</v>
      </c>
      <c r="F1482" s="5" t="str">
        <f>IFERROR(__xludf.DUMMYFUNCTION("GOOGLEFINANCE(""NSE:""&amp;A1482,""name"")"),"Nahar Industrial Enterprises Ltd")</f>
        <v>Nahar Industrial Enterprises Ltd</v>
      </c>
    </row>
    <row r="1483">
      <c r="A1483" s="1" t="s">
        <v>7378</v>
      </c>
      <c r="B1483" s="5" t="s">
        <v>7379</v>
      </c>
      <c r="C1483" s="3" t="s">
        <v>7380</v>
      </c>
      <c r="D1483" s="6" t="s">
        <v>7381</v>
      </c>
      <c r="E1483" s="7" t="s">
        <v>7382</v>
      </c>
      <c r="F1483" s="5" t="str">
        <f>IFERROR(__xludf.DUMMYFUNCTION("GOOGLEFINANCE(""NSE:""&amp;A1483,""name"")"),"Nahar Poly Films Ltd")</f>
        <v>Nahar Poly Films Ltd</v>
      </c>
    </row>
    <row r="1484">
      <c r="A1484" s="1" t="s">
        <v>7383</v>
      </c>
      <c r="B1484" s="5" t="s">
        <v>7384</v>
      </c>
      <c r="C1484" s="3" t="s">
        <v>7385</v>
      </c>
      <c r="D1484" s="6" t="s">
        <v>7386</v>
      </c>
      <c r="E1484" s="7" t="s">
        <v>7387</v>
      </c>
      <c r="F1484" s="5" t="str">
        <f>IFERROR(__xludf.DUMMYFUNCTION("GOOGLEFINANCE(""NSE:""&amp;A1484,""name"")"),"Nahar Spinning Mills Ltd")</f>
        <v>Nahar Spinning Mills Ltd</v>
      </c>
    </row>
    <row r="1485">
      <c r="A1485" s="1" t="s">
        <v>7388</v>
      </c>
      <c r="B1485" s="5" t="s">
        <v>7389</v>
      </c>
      <c r="C1485" s="3" t="s">
        <v>7390</v>
      </c>
      <c r="D1485" s="6" t="s">
        <v>7391</v>
      </c>
      <c r="E1485" s="7" t="s">
        <v>7392</v>
      </c>
      <c r="F1485" s="5" t="str">
        <f>IFERROR(__xludf.DUMMYFUNCTION("GOOGLEFINANCE(""NSE:""&amp;A1485,""name"")"),"Nakoda Group of Industries Ltd")</f>
        <v>Nakoda Group of Industries Ltd</v>
      </c>
    </row>
    <row r="1486">
      <c r="A1486" s="1" t="s">
        <v>7393</v>
      </c>
      <c r="B1486" s="5" t="s">
        <v>7394</v>
      </c>
      <c r="C1486" s="3" t="s">
        <v>7395</v>
      </c>
      <c r="D1486" s="6" t="s">
        <v>7396</v>
      </c>
      <c r="E1486" s="7" t="s">
        <v>7397</v>
      </c>
      <c r="F1486" s="5" t="str">
        <f>IFERROR(__xludf.DUMMYFUNCTION("GOOGLEFINANCE(""NSE:""&amp;A1486,""name"")"),"Nalwa Sons Investments Ltd")</f>
        <v>Nalwa Sons Investments Ltd</v>
      </c>
    </row>
    <row r="1487">
      <c r="A1487" s="1" t="s">
        <v>7398</v>
      </c>
      <c r="B1487" s="5" t="s">
        <v>7399</v>
      </c>
      <c r="C1487" s="3" t="s">
        <v>7400</v>
      </c>
      <c r="D1487" s="6" t="s">
        <v>7401</v>
      </c>
      <c r="E1487" s="7" t="s">
        <v>7402</v>
      </c>
      <c r="F1487" s="5" t="str">
        <f>IFERROR(__xludf.DUMMYFUNCTION("GOOGLEFINANCE(""NSE:""&amp;A1487,""name"")"),"Nandani Creation Ltd")</f>
        <v>Nandani Creation Ltd</v>
      </c>
    </row>
    <row r="1488">
      <c r="A1488" s="1" t="s">
        <v>7403</v>
      </c>
      <c r="B1488" s="5" t="s">
        <v>7404</v>
      </c>
      <c r="C1488" s="3" t="s">
        <v>7405</v>
      </c>
      <c r="D1488" s="6" t="s">
        <v>7406</v>
      </c>
      <c r="E1488" s="7" t="s">
        <v>7407</v>
      </c>
      <c r="F1488" s="5" t="str">
        <f>IFERROR(__xludf.DUMMYFUNCTION("GOOGLEFINANCE(""NSE:""&amp;A1488,""name"")"),"Narayana Hrudayalaya Ltd")</f>
        <v>Narayana Hrudayalaya Ltd</v>
      </c>
    </row>
    <row r="1489">
      <c r="A1489" s="1" t="s">
        <v>7408</v>
      </c>
      <c r="B1489" s="5" t="s">
        <v>7409</v>
      </c>
      <c r="C1489" s="3" t="s">
        <v>7410</v>
      </c>
      <c r="D1489" s="6" t="s">
        <v>7411</v>
      </c>
      <c r="E1489" s="7" t="s">
        <v>7412</v>
      </c>
      <c r="F1489" s="5" t="str">
        <f>IFERROR(__xludf.DUMMYFUNCTION("GOOGLEFINANCE(""NSE:""&amp;A1489,""name"")"),"Narmada Agrobase Ltd")</f>
        <v>Narmada Agrobase Ltd</v>
      </c>
    </row>
    <row r="1490">
      <c r="A1490" s="1" t="s">
        <v>7413</v>
      </c>
      <c r="B1490" s="5" t="s">
        <v>7414</v>
      </c>
      <c r="C1490" s="3" t="s">
        <v>7415</v>
      </c>
      <c r="D1490" s="6" t="s">
        <v>7416</v>
      </c>
      <c r="E1490" s="7" t="s">
        <v>7417</v>
      </c>
      <c r="F1490" s="5" t="str">
        <f>IFERROR(__xludf.DUMMYFUNCTION("GOOGLEFINANCE(""NSE:""&amp;A1490,""name"")"),"Natco Pharma Ltd")</f>
        <v>Natco Pharma Ltd</v>
      </c>
    </row>
    <row r="1491">
      <c r="A1491" s="1" t="s">
        <v>7418</v>
      </c>
      <c r="B1491" s="5" t="s">
        <v>7419</v>
      </c>
      <c r="C1491" s="3" t="s">
        <v>7420</v>
      </c>
      <c r="D1491" s="6" t="s">
        <v>7421</v>
      </c>
      <c r="E1491" s="7" t="s">
        <v>7422</v>
      </c>
      <c r="F1491" s="5" t="str">
        <f>IFERROR(__xludf.DUMMYFUNCTION("GOOGLEFINANCE(""NSE:""&amp;A1491,""name"")"),"Nath Bio-Genes (I) Ltd")</f>
        <v>Nath Bio-Genes (I) Ltd</v>
      </c>
    </row>
    <row r="1492">
      <c r="A1492" s="1" t="s">
        <v>7423</v>
      </c>
      <c r="B1492" s="5" t="s">
        <v>7424</v>
      </c>
      <c r="C1492" s="3" t="s">
        <v>7425</v>
      </c>
      <c r="D1492" s="6" t="s">
        <v>7426</v>
      </c>
      <c r="E1492" s="7" t="s">
        <v>7427</v>
      </c>
      <c r="F1492" s="5" t="str">
        <f>IFERROR(__xludf.DUMMYFUNCTION("GOOGLEFINANCE(""NSE:""&amp;A1492,""name"")"),"National Aluminium Co Ltd")</f>
        <v>National Aluminium Co Ltd</v>
      </c>
    </row>
    <row r="1493">
      <c r="A1493" s="1" t="s">
        <v>7428</v>
      </c>
      <c r="B1493" s="5" t="s">
        <v>7429</v>
      </c>
      <c r="C1493" s="3" t="s">
        <v>7430</v>
      </c>
      <c r="D1493" s="6" t="s">
        <v>7431</v>
      </c>
      <c r="E1493" s="7" t="s">
        <v>7432</v>
      </c>
      <c r="F1493" s="5" t="str">
        <f>IFERROR(__xludf.DUMMYFUNCTION("GOOGLEFINANCE(""NSE:""&amp;A1493,""name"")"),"National Fertilizers Limited")</f>
        <v>National Fertilizers Limited</v>
      </c>
    </row>
    <row r="1494">
      <c r="A1494" s="1" t="s">
        <v>7433</v>
      </c>
      <c r="B1494" s="5" t="s">
        <v>7434</v>
      </c>
      <c r="C1494" s="3" t="s">
        <v>7435</v>
      </c>
      <c r="D1494" s="6" t="s">
        <v>7436</v>
      </c>
      <c r="E1494" s="7" t="s">
        <v>7437</v>
      </c>
      <c r="F1494" s="5" t="str">
        <f>IFERROR(__xludf.DUMMYFUNCTION("GOOGLEFINANCE(""NSE:""&amp;A1494,""name"")"),"Natural Capsules Ltd")</f>
        <v>Natural Capsules Ltd</v>
      </c>
    </row>
    <row r="1495">
      <c r="A1495" s="1" t="s">
        <v>7438</v>
      </c>
      <c r="B1495" s="5" t="s">
        <v>7439</v>
      </c>
      <c r="C1495" s="3" t="s">
        <v>7440</v>
      </c>
      <c r="D1495" s="6" t="s">
        <v>7441</v>
      </c>
      <c r="E1495" s="7" t="s">
        <v>7442</v>
      </c>
      <c r="F1495" s="5" t="str">
        <f>IFERROR(__xludf.DUMMYFUNCTION("GOOGLEFINANCE(""NSE:""&amp;A1495,""name"")"),"Nava Limited")</f>
        <v>Nava Limited</v>
      </c>
    </row>
    <row r="1496">
      <c r="A1496" s="1" t="s">
        <v>7443</v>
      </c>
      <c r="B1496" s="5" t="s">
        <v>7444</v>
      </c>
      <c r="C1496" s="3" t="s">
        <v>7445</v>
      </c>
      <c r="D1496" s="6" t="s">
        <v>7446</v>
      </c>
      <c r="E1496" s="7" t="s">
        <v>7447</v>
      </c>
      <c r="F1496" s="5" t="str">
        <f>IFERROR(__xludf.DUMMYFUNCTION("GOOGLEFINANCE(""NSE:""&amp;A1496,""name"")"),"Navin Fluorine International Limited")</f>
        <v>Navin Fluorine International Limited</v>
      </c>
    </row>
    <row r="1497">
      <c r="A1497" s="1" t="s">
        <v>7448</v>
      </c>
      <c r="B1497" s="5" t="s">
        <v>7449</v>
      </c>
      <c r="C1497" s="3" t="s">
        <v>7450</v>
      </c>
      <c r="D1497" s="6" t="s">
        <v>7451</v>
      </c>
      <c r="E1497" s="7" t="s">
        <v>7452</v>
      </c>
      <c r="F1497" s="5" t="str">
        <f>IFERROR(__xludf.DUMMYFUNCTION("GOOGLEFINANCE(""NSE:""&amp;A1497,""name"")"),"Navkar Corporation Ltd")</f>
        <v>Navkar Corporation Ltd</v>
      </c>
    </row>
    <row r="1498">
      <c r="A1498" s="1" t="s">
        <v>7453</v>
      </c>
      <c r="B1498" s="5" t="s">
        <v>7454</v>
      </c>
      <c r="C1498" s="3" t="s">
        <v>7455</v>
      </c>
      <c r="D1498" s="6" t="s">
        <v>7456</v>
      </c>
      <c r="E1498" s="7" t="s">
        <v>7457</v>
      </c>
      <c r="F1498" s="5" t="str">
        <f>IFERROR(__xludf.DUMMYFUNCTION("GOOGLEFINANCE(""NSE:""&amp;A1498,""name"")"),"Navneet Education Ltd")</f>
        <v>Navneet Education Ltd</v>
      </c>
    </row>
    <row r="1499">
      <c r="A1499" s="1" t="s">
        <v>7458</v>
      </c>
      <c r="B1499" s="5" t="s">
        <v>7459</v>
      </c>
      <c r="C1499" s="3" t="s">
        <v>7460</v>
      </c>
      <c r="D1499" s="6" t="s">
        <v>7461</v>
      </c>
      <c r="E1499" s="7" t="s">
        <v>7462</v>
      </c>
      <c r="F1499" s="5" t="str">
        <f>IFERROR(__xludf.DUMMYFUNCTION("GOOGLEFINANCE(""NSE:""&amp;A1499,""name"")"),"Nazara Technologies Ltd")</f>
        <v>Nazara Technologies Ltd</v>
      </c>
    </row>
    <row r="1500">
      <c r="A1500" s="1" t="s">
        <v>7463</v>
      </c>
      <c r="B1500" s="5" t="s">
        <v>7464</v>
      </c>
      <c r="C1500" s="3" t="s">
        <v>7465</v>
      </c>
      <c r="D1500" s="6" t="s">
        <v>7466</v>
      </c>
      <c r="E1500" s="7" t="s">
        <v>7467</v>
      </c>
      <c r="F1500" s="5" t="str">
        <f>IFERROR(__xludf.DUMMYFUNCTION("GOOGLEFINANCE(""NSE:""&amp;A1500,""name"")"),"NBCC (India) Ltd")</f>
        <v>NBCC (India) Ltd</v>
      </c>
    </row>
    <row r="1501">
      <c r="A1501" s="1" t="s">
        <v>7468</v>
      </c>
      <c r="B1501" s="5" t="s">
        <v>7469</v>
      </c>
      <c r="C1501" s="3" t="s">
        <v>7470</v>
      </c>
      <c r="D1501" s="6" t="s">
        <v>7471</v>
      </c>
      <c r="E1501" s="7" t="s">
        <v>7472</v>
      </c>
      <c r="F1501" s="5" t="str">
        <f>IFERROR(__xludf.DUMMYFUNCTION("GOOGLEFINANCE(""NSE:""&amp;A1501,""name"")"),"NCC Ltd")</f>
        <v>NCC Ltd</v>
      </c>
    </row>
    <row r="1502">
      <c r="A1502" s="1" t="s">
        <v>7473</v>
      </c>
      <c r="B1502" s="5" t="s">
        <v>7474</v>
      </c>
      <c r="C1502" s="3" t="s">
        <v>7475</v>
      </c>
      <c r="D1502" s="6" t="s">
        <v>7476</v>
      </c>
      <c r="E1502" s="7" t="s">
        <v>7477</v>
      </c>
      <c r="F1502" s="5" t="str">
        <f>IFERROR(__xludf.DUMMYFUNCTION("GOOGLEFINANCE(""NSE:""&amp;A1502,""name"")"),"Ncl Industries Ltd")</f>
        <v>Ncl Industries Ltd</v>
      </c>
    </row>
    <row r="1503">
      <c r="A1503" s="1" t="s">
        <v>7478</v>
      </c>
      <c r="B1503" s="5" t="s">
        <v>7479</v>
      </c>
      <c r="C1503" s="3" t="s">
        <v>7480</v>
      </c>
      <c r="D1503" s="6" t="s">
        <v>7481</v>
      </c>
      <c r="E1503" s="7" t="s">
        <v>7482</v>
      </c>
      <c r="F1503" s="5" t="str">
        <f>IFERROR(__xludf.DUMMYFUNCTION("GOOGLEFINANCE(""NSE:""&amp;A1503,""name"")"),"NDL Ventures Ltd")</f>
        <v>NDL Ventures Ltd</v>
      </c>
    </row>
    <row r="1504">
      <c r="A1504" s="1" t="s">
        <v>7483</v>
      </c>
      <c r="B1504" s="5" t="s">
        <v>7484</v>
      </c>
      <c r="C1504" s="3" t="s">
        <v>7485</v>
      </c>
      <c r="D1504" s="6" t="s">
        <v>7486</v>
      </c>
      <c r="E1504" s="7" t="s">
        <v>7487</v>
      </c>
      <c r="F1504" s="5" t="str">
        <f>IFERROR(__xludf.DUMMYFUNCTION("GOOGLEFINANCE(""NSE:""&amp;A1504,""name"")"),"NDR Auto Components Ltd")</f>
        <v>NDR Auto Components Ltd</v>
      </c>
    </row>
    <row r="1505">
      <c r="A1505" s="1" t="s">
        <v>7488</v>
      </c>
      <c r="B1505" s="5" t="s">
        <v>7489</v>
      </c>
      <c r="C1505" s="3" t="s">
        <v>7490</v>
      </c>
      <c r="D1505" s="6" t="s">
        <v>7491</v>
      </c>
      <c r="E1505" s="7" t="s">
        <v>7492</v>
      </c>
      <c r="F1505" s="5" t="str">
        <f>IFERROR(__xludf.DUMMYFUNCTION("GOOGLEFINANCE(""NSE:""&amp;A1505,""name"")"),"Nectar Lifesciences Ltd")</f>
        <v>Nectar Lifesciences Ltd</v>
      </c>
    </row>
    <row r="1506">
      <c r="A1506" s="1" t="s">
        <v>7493</v>
      </c>
      <c r="B1506" s="5" t="s">
        <v>7494</v>
      </c>
      <c r="C1506" s="3" t="s">
        <v>7495</v>
      </c>
      <c r="D1506" s="6" t="s">
        <v>7496</v>
      </c>
      <c r="E1506" s="7" t="s">
        <v>7497</v>
      </c>
      <c r="F1506" s="5" t="str">
        <f>IFERROR(__xludf.DUMMYFUNCTION("GOOGLEFINANCE(""NSE:""&amp;A1506,""name"")"),"Nelcast Ltd")</f>
        <v>Nelcast Ltd</v>
      </c>
    </row>
    <row r="1507">
      <c r="A1507" s="1" t="s">
        <v>7498</v>
      </c>
      <c r="B1507" s="5" t="s">
        <v>7499</v>
      </c>
      <c r="C1507" s="3" t="s">
        <v>7500</v>
      </c>
      <c r="D1507" s="6" t="s">
        <v>7501</v>
      </c>
      <c r="E1507" s="7" t="s">
        <v>7502</v>
      </c>
      <c r="F1507" s="5" t="str">
        <f>IFERROR(__xludf.DUMMYFUNCTION("GOOGLEFINANCE(""NSE:""&amp;A1507,""name"")"),"Nelco Ltd")</f>
        <v>Nelco Ltd</v>
      </c>
    </row>
    <row r="1508">
      <c r="A1508" s="1" t="s">
        <v>7503</v>
      </c>
      <c r="B1508" s="5" t="s">
        <v>7504</v>
      </c>
      <c r="C1508" s="3" t="s">
        <v>7505</v>
      </c>
      <c r="D1508" s="6" t="s">
        <v>7506</v>
      </c>
      <c r="E1508" s="7" t="s">
        <v>7507</v>
      </c>
      <c r="F1508" s="5" t="str">
        <f>IFERROR(__xludf.DUMMYFUNCTION("GOOGLEFINANCE(""NSE:""&amp;A1508,""name"")"),"Neogen Chemicals Ltd")</f>
        <v>Neogen Chemicals Ltd</v>
      </c>
    </row>
    <row r="1509">
      <c r="A1509" s="1" t="s">
        <v>7508</v>
      </c>
      <c r="B1509" s="5" t="s">
        <v>7509</v>
      </c>
      <c r="C1509" s="3" t="s">
        <v>7510</v>
      </c>
      <c r="D1509" s="6" t="s">
        <v>7511</v>
      </c>
      <c r="E1509" s="7" t="s">
        <v>7512</v>
      </c>
      <c r="F1509" s="5" t="str">
        <f>IFERROR(__xludf.DUMMYFUNCTION("GOOGLEFINANCE(""NSE:""&amp;A1509,""name"")"),"NESCO Ltd")</f>
        <v>NESCO Ltd</v>
      </c>
    </row>
    <row r="1510">
      <c r="A1510" s="1" t="s">
        <v>7513</v>
      </c>
      <c r="B1510" s="5" t="s">
        <v>7514</v>
      </c>
      <c r="C1510" s="3" t="s">
        <v>7515</v>
      </c>
      <c r="D1510" s="6" t="s">
        <v>7516</v>
      </c>
      <c r="E1510" s="7" t="s">
        <v>7517</v>
      </c>
      <c r="F1510" s="5" t="str">
        <f>IFERROR(__xludf.DUMMYFUNCTION("GOOGLEFINANCE(""NSE:""&amp;A1510,""name"")"),"Nestle India Ltd")</f>
        <v>Nestle India Ltd</v>
      </c>
    </row>
    <row r="1511">
      <c r="A1511" s="1" t="s">
        <v>7518</v>
      </c>
      <c r="B1511" s="5" t="s">
        <v>7519</v>
      </c>
      <c r="C1511" s="3" t="s">
        <v>7520</v>
      </c>
      <c r="D1511" s="6" t="s">
        <v>7521</v>
      </c>
      <c r="E1511" s="7" t="s">
        <v>7522</v>
      </c>
      <c r="F1511" s="5" t="str">
        <f>IFERROR(__xludf.DUMMYFUNCTION("GOOGLEFINANCE(""NSE:""&amp;A1511,""name"")"),"Netweb Technologies India Ltd")</f>
        <v>Netweb Technologies India Ltd</v>
      </c>
    </row>
    <row r="1512">
      <c r="A1512" s="1" t="s">
        <v>7523</v>
      </c>
      <c r="B1512" s="5" t="s">
        <v>7524</v>
      </c>
      <c r="C1512" s="3" t="s">
        <v>7525</v>
      </c>
      <c r="D1512" s="6" t="s">
        <v>7526</v>
      </c>
      <c r="E1512" s="7" t="s">
        <v>7527</v>
      </c>
      <c r="F1512" s="5" t="str">
        <f>IFERROR(__xludf.DUMMYFUNCTION("GOOGLEFINANCE(""NSE:""&amp;A1512,""name"")"),"Network People Services Technologies Ltd")</f>
        <v>Network People Services Technologies Ltd</v>
      </c>
    </row>
    <row r="1513">
      <c r="A1513" s="1" t="s">
        <v>7528</v>
      </c>
      <c r="B1513" s="5" t="s">
        <v>7529</v>
      </c>
      <c r="C1513" s="3" t="s">
        <v>7530</v>
      </c>
      <c r="D1513" s="6" t="s">
        <v>7531</v>
      </c>
      <c r="E1513" s="7" t="s">
        <v>7532</v>
      </c>
      <c r="F1513" s="5" t="str">
        <f>IFERROR(__xludf.DUMMYFUNCTION("GOOGLEFINANCE(""NSE:""&amp;A1513,""name"")"),"Network18 Media &amp; Investments Ltd")</f>
        <v>Network18 Media &amp; Investments Ltd</v>
      </c>
    </row>
    <row r="1514">
      <c r="A1514" s="1" t="s">
        <v>7533</v>
      </c>
      <c r="B1514" s="5" t="s">
        <v>7534</v>
      </c>
      <c r="C1514" s="3" t="s">
        <v>7535</v>
      </c>
      <c r="D1514" s="6" t="s">
        <v>7536</v>
      </c>
      <c r="E1514" s="7" t="s">
        <v>7537</v>
      </c>
      <c r="F1514" s="5" t="str">
        <f>IFERROR(__xludf.DUMMYFUNCTION("GOOGLEFINANCE(""NSE:""&amp;A1514,""name"")"),"Neuland Laboratories Ltd")</f>
        <v>Neuland Laboratories Ltd</v>
      </c>
    </row>
    <row r="1515">
      <c r="A1515" s="1" t="s">
        <v>7538</v>
      </c>
      <c r="B1515" s="5" t="s">
        <v>7539</v>
      </c>
      <c r="C1515" s="3" t="s">
        <v>7540</v>
      </c>
      <c r="D1515" s="6" t="s">
        <v>7541</v>
      </c>
      <c r="E1515" s="7" t="s">
        <v>7542</v>
      </c>
      <c r="F1515" s="5" t="str">
        <f>IFERROR(__xludf.DUMMYFUNCTION("GOOGLEFINANCE(""NSE:""&amp;A1515,""name"")"),"New Delhi Television Ltd")</f>
        <v>New Delhi Television Ltd</v>
      </c>
    </row>
    <row r="1516">
      <c r="A1516" s="1" t="s">
        <v>7543</v>
      </c>
      <c r="B1516" s="5" t="s">
        <v>7544</v>
      </c>
      <c r="C1516" s="3" t="s">
        <v>7545</v>
      </c>
      <c r="D1516" s="6" t="s">
        <v>7546</v>
      </c>
      <c r="E1516" s="7" t="s">
        <v>7547</v>
      </c>
      <c r="F1516" s="5" t="str">
        <f>IFERROR(__xludf.DUMMYFUNCTION("GOOGLEFINANCE(""NSE:""&amp;A1516,""name"")"),"New India Assurance Company Ltd")</f>
        <v>New India Assurance Company Ltd</v>
      </c>
    </row>
    <row r="1517">
      <c r="A1517" s="1" t="s">
        <v>7548</v>
      </c>
      <c r="B1517" s="5" t="s">
        <v>7549</v>
      </c>
      <c r="C1517" s="3" t="s">
        <v>7550</v>
      </c>
      <c r="D1517" s="6" t="s">
        <v>7551</v>
      </c>
      <c r="E1517" s="7" t="s">
        <v>7552</v>
      </c>
      <c r="F1517" s="5" t="str">
        <f>IFERROR(__xludf.DUMMYFUNCTION("GOOGLEFINANCE(""NSE:""&amp;A1517,""name"")"),"Newgen Software Technologies Ltd")</f>
        <v>Newgen Software Technologies Ltd</v>
      </c>
    </row>
    <row r="1518">
      <c r="A1518" s="1" t="s">
        <v>7553</v>
      </c>
      <c r="B1518" s="5" t="s">
        <v>7554</v>
      </c>
      <c r="C1518" s="3" t="s">
        <v>7555</v>
      </c>
      <c r="D1518" s="6" t="s">
        <v>7556</v>
      </c>
      <c r="E1518" s="7" t="s">
        <v>7557</v>
      </c>
      <c r="F1518" s="5" t="str">
        <f>IFERROR(__xludf.DUMMYFUNCTION("GOOGLEFINANCE(""NSE:""&amp;A1518,""name"")"),"Next Mediaworks Ltd")</f>
        <v>Next Mediaworks Ltd</v>
      </c>
    </row>
    <row r="1519">
      <c r="A1519" s="1" t="s">
        <v>7558</v>
      </c>
      <c r="B1519" s="5" t="s">
        <v>7559</v>
      </c>
      <c r="C1519" s="3" t="s">
        <v>7560</v>
      </c>
      <c r="D1519" s="6" t="s">
        <v>7561</v>
      </c>
      <c r="E1519" s="7" t="s">
        <v>7562</v>
      </c>
      <c r="F1519" s="5" t="str">
        <f>IFERROR(__xludf.DUMMYFUNCTION("GOOGLEFINANCE(""NSE:""&amp;A1519,""name"")"),"Ngl Fine Chem Ltd")</f>
        <v>Ngl Fine Chem Ltd</v>
      </c>
    </row>
    <row r="1520">
      <c r="A1520" s="1" t="s">
        <v>7563</v>
      </c>
      <c r="B1520" s="5" t="s">
        <v>7564</v>
      </c>
      <c r="C1520" s="3" t="s">
        <v>7565</v>
      </c>
      <c r="D1520" s="6" t="s">
        <v>7566</v>
      </c>
      <c r="E1520" s="7" t="s">
        <v>7567</v>
      </c>
      <c r="F1520" s="5" t="str">
        <f>IFERROR(__xludf.DUMMYFUNCTION("GOOGLEFINANCE(""NSE:""&amp;A1520,""name"")"),"NHPC Ltd")</f>
        <v>NHPC Ltd</v>
      </c>
    </row>
    <row r="1521">
      <c r="A1521" s="1" t="s">
        <v>7568</v>
      </c>
      <c r="B1521" s="5" t="s">
        <v>7569</v>
      </c>
      <c r="C1521" s="3" t="s">
        <v>7570</v>
      </c>
      <c r="D1521" s="6" t="s">
        <v>7571</v>
      </c>
      <c r="E1521" s="7" t="s">
        <v>7572</v>
      </c>
      <c r="F1521" s="5" t="str">
        <f>IFERROR(__xludf.DUMMYFUNCTION("GOOGLEFINANCE(""NSE:""&amp;A1521,""name"")"),"Nibe Ltd")</f>
        <v>Nibe Ltd</v>
      </c>
    </row>
    <row r="1522">
      <c r="A1522" s="1" t="s">
        <v>7573</v>
      </c>
      <c r="B1522" s="5" t="s">
        <v>7573</v>
      </c>
      <c r="C1522" s="3" t="s">
        <v>7574</v>
      </c>
      <c r="D1522" s="6" t="s">
        <v>7575</v>
      </c>
      <c r="E1522" s="7" t="s">
        <v>7576</v>
      </c>
      <c r="F1522" s="5" t="str">
        <f>IFERROR(__xludf.DUMMYFUNCTION("GOOGLEFINANCE(""NSE:""&amp;A1522,""name"")"),"#N/A")</f>
        <v>#N/A</v>
      </c>
    </row>
    <row r="1523">
      <c r="A1523" s="1" t="s">
        <v>7577</v>
      </c>
      <c r="B1523" s="5" t="s">
        <v>7578</v>
      </c>
      <c r="C1523" s="3" t="s">
        <v>7579</v>
      </c>
      <c r="D1523" s="6" t="s">
        <v>7580</v>
      </c>
      <c r="E1523" s="7" t="s">
        <v>7581</v>
      </c>
      <c r="F1523" s="5" t="str">
        <f>IFERROR(__xludf.DUMMYFUNCTION("GOOGLEFINANCE(""NSE:""&amp;A1523,""name"")"),"#N/A")</f>
        <v>#N/A</v>
      </c>
    </row>
    <row r="1524">
      <c r="A1524" s="1" t="s">
        <v>7582</v>
      </c>
      <c r="B1524" s="5" t="s">
        <v>7583</v>
      </c>
      <c r="C1524" s="3" t="s">
        <v>7584</v>
      </c>
      <c r="D1524" s="6" t="s">
        <v>7585</v>
      </c>
      <c r="E1524" s="7" t="s">
        <v>7586</v>
      </c>
      <c r="F1524" s="5" t="str">
        <f>IFERROR(__xludf.DUMMYFUNCTION("GOOGLEFINANCE(""NSE:""&amp;A1524,""name"")"),"#N/A")</f>
        <v>#N/A</v>
      </c>
    </row>
    <row r="1525">
      <c r="A1525" s="1" t="s">
        <v>7587</v>
      </c>
      <c r="B1525" s="5" t="s">
        <v>7588</v>
      </c>
      <c r="C1525" s="3" t="s">
        <v>7589</v>
      </c>
      <c r="D1525" s="6" t="s">
        <v>7590</v>
      </c>
      <c r="E1525" s="7" t="s">
        <v>7591</v>
      </c>
      <c r="F1525" s="5" t="str">
        <f>IFERROR(__xludf.DUMMYFUNCTION("GOOGLEFINANCE(""NSE:""&amp;A1525,""name"")"),"#N/A")</f>
        <v>#N/A</v>
      </c>
    </row>
    <row r="1526">
      <c r="A1526" s="1" t="s">
        <v>7592</v>
      </c>
      <c r="B1526" s="5" t="s">
        <v>7592</v>
      </c>
      <c r="C1526" s="3" t="s">
        <v>7593</v>
      </c>
      <c r="D1526" s="6" t="s">
        <v>7594</v>
      </c>
      <c r="E1526" s="7" t="s">
        <v>7595</v>
      </c>
      <c r="F1526" s="5" t="str">
        <f>IFERROR(__xludf.DUMMYFUNCTION("GOOGLEFINANCE(""NSE:""&amp;A1526,""name"")"),"Kotak Nifty 50 ETF")</f>
        <v>Kotak Nifty 50 ETF</v>
      </c>
    </row>
    <row r="1527">
      <c r="A1527" s="1" t="s">
        <v>7596</v>
      </c>
      <c r="B1527" s="5" t="s">
        <v>7596</v>
      </c>
      <c r="C1527" s="3" t="s">
        <v>7597</v>
      </c>
      <c r="D1527" s="6" t="s">
        <v>7598</v>
      </c>
      <c r="E1527" s="7" t="s">
        <v>7599</v>
      </c>
      <c r="F1527" s="5" t="str">
        <f>IFERROR(__xludf.DUMMYFUNCTION("GOOGLEFINANCE(""NSE:""&amp;A1527,""name"")"),"#N/A")</f>
        <v>#N/A</v>
      </c>
    </row>
    <row r="1528">
      <c r="A1528" s="1" t="s">
        <v>7600</v>
      </c>
      <c r="B1528" s="5" t="s">
        <v>7600</v>
      </c>
      <c r="C1528" s="3" t="s">
        <v>7601</v>
      </c>
      <c r="D1528" s="6" t="s">
        <v>7602</v>
      </c>
      <c r="E1528" s="7" t="s">
        <v>7603</v>
      </c>
      <c r="F1528" s="5" t="str">
        <f>IFERROR(__xludf.DUMMYFUNCTION("GOOGLEFINANCE(""NSE:""&amp;A1528,""name"")"),"#N/A")</f>
        <v>#N/A</v>
      </c>
    </row>
    <row r="1529">
      <c r="A1529" s="1" t="s">
        <v>7604</v>
      </c>
      <c r="B1529" s="5" t="s">
        <v>7604</v>
      </c>
      <c r="C1529" s="3" t="s">
        <v>7605</v>
      </c>
      <c r="D1529" s="6" t="s">
        <v>7606</v>
      </c>
      <c r="E1529" s="7" t="s">
        <v>7607</v>
      </c>
      <c r="F1529" s="5" t="str">
        <f>IFERROR(__xludf.DUMMYFUNCTION("GOOGLEFINANCE(""NSE:""&amp;A1529,""name"")"),"#N/A")</f>
        <v>#N/A</v>
      </c>
    </row>
    <row r="1530">
      <c r="A1530" s="1" t="s">
        <v>7608</v>
      </c>
      <c r="B1530" s="5" t="s">
        <v>7608</v>
      </c>
      <c r="C1530" s="3" t="s">
        <v>7609</v>
      </c>
      <c r="D1530" s="6" t="s">
        <v>7610</v>
      </c>
      <c r="E1530" s="7" t="s">
        <v>7611</v>
      </c>
      <c r="F1530" s="5" t="str">
        <f>IFERROR(__xludf.DUMMYFUNCTION("GOOGLEFINANCE(""NSE:""&amp;A1530,""name"")"),"#N/A")</f>
        <v>#N/A</v>
      </c>
    </row>
    <row r="1531">
      <c r="A1531" s="1" t="s">
        <v>7612</v>
      </c>
      <c r="B1531" s="5" t="s">
        <v>7612</v>
      </c>
      <c r="C1531" s="3" t="s">
        <v>7613</v>
      </c>
      <c r="D1531" s="6" t="s">
        <v>7614</v>
      </c>
      <c r="E1531" s="7" t="s">
        <v>7615</v>
      </c>
      <c r="F1531" s="5" t="str">
        <f>IFERROR(__xludf.DUMMYFUNCTION("GOOGLEFINANCE(""NSE:""&amp;A1531,""name"")"),"#N/A")</f>
        <v>#N/A</v>
      </c>
    </row>
    <row r="1532">
      <c r="A1532" s="1" t="s">
        <v>7616</v>
      </c>
      <c r="B1532" s="5" t="s">
        <v>7616</v>
      </c>
      <c r="C1532" s="3" t="s">
        <v>7617</v>
      </c>
      <c r="D1532" s="6" t="s">
        <v>7618</v>
      </c>
      <c r="E1532" s="7" t="s">
        <v>7619</v>
      </c>
      <c r="F1532" s="5" t="str">
        <f>IFERROR(__xludf.DUMMYFUNCTION("GOOGLEFINANCE(""NSE:""&amp;A1532,""name"")"),"#N/A")</f>
        <v>#N/A</v>
      </c>
    </row>
    <row r="1533">
      <c r="A1533" s="1" t="s">
        <v>7620</v>
      </c>
      <c r="B1533" s="5" t="s">
        <v>7620</v>
      </c>
      <c r="C1533" s="3" t="s">
        <v>7621</v>
      </c>
      <c r="D1533" s="6" t="s">
        <v>7622</v>
      </c>
      <c r="E1533" s="7" t="s">
        <v>7623</v>
      </c>
      <c r="F1533" s="5" t="str">
        <f>IFERROR(__xludf.DUMMYFUNCTION("GOOGLEFINANCE(""NSE:""&amp;A1533,""name"")"),"#N/A")</f>
        <v>#N/A</v>
      </c>
    </row>
    <row r="1534">
      <c r="A1534" s="1" t="s">
        <v>7624</v>
      </c>
      <c r="B1534" s="5" t="s">
        <v>7624</v>
      </c>
      <c r="C1534" s="3" t="s">
        <v>7625</v>
      </c>
      <c r="D1534" s="6" t="s">
        <v>7626</v>
      </c>
      <c r="E1534" s="7" t="s">
        <v>7627</v>
      </c>
      <c r="F1534" s="5" t="str">
        <f>IFERROR(__xludf.DUMMYFUNCTION("GOOGLEFINANCE(""NSE:""&amp;A1534,""name"")"),"#N/A")</f>
        <v>#N/A</v>
      </c>
    </row>
    <row r="1535">
      <c r="A1535" s="1" t="s">
        <v>7628</v>
      </c>
      <c r="B1535" s="5" t="s">
        <v>7628</v>
      </c>
      <c r="C1535" s="3" t="s">
        <v>7629</v>
      </c>
      <c r="D1535" s="6" t="s">
        <v>7630</v>
      </c>
      <c r="E1535" s="7" t="s">
        <v>7631</v>
      </c>
      <c r="F1535" s="5" t="str">
        <f>IFERROR(__xludf.DUMMYFUNCTION("GOOGLEFINANCE(""NSE:""&amp;A1535,""name"")"),"#N/A")</f>
        <v>#N/A</v>
      </c>
    </row>
    <row r="1536">
      <c r="A1536" s="1" t="s">
        <v>7632</v>
      </c>
      <c r="B1536" s="5" t="s">
        <v>7632</v>
      </c>
      <c r="C1536" s="3" t="s">
        <v>7633</v>
      </c>
      <c r="D1536" s="6" t="s">
        <v>7634</v>
      </c>
      <c r="E1536" s="7" t="s">
        <v>7635</v>
      </c>
      <c r="F1536" s="5" t="str">
        <f>IFERROR(__xludf.DUMMYFUNCTION("GOOGLEFINANCE(""NSE:""&amp;A1536,""name"")"),"#N/A")</f>
        <v>#N/A</v>
      </c>
    </row>
    <row r="1537">
      <c r="A1537" s="1" t="s">
        <v>7636</v>
      </c>
      <c r="B1537" s="5" t="s">
        <v>7637</v>
      </c>
      <c r="C1537" s="3" t="s">
        <v>7638</v>
      </c>
      <c r="D1537" s="6" t="s">
        <v>7639</v>
      </c>
      <c r="E1537" s="7" t="s">
        <v>7640</v>
      </c>
      <c r="F1537" s="5" t="str">
        <f>IFERROR(__xludf.DUMMYFUNCTION("GOOGLEFINANCE(""NSE:""&amp;A1537,""name"")"),"Kotak Nifty 50 Value 20 ETF")</f>
        <v>Kotak Nifty 50 Value 20 ETF</v>
      </c>
    </row>
    <row r="1538">
      <c r="A1538" s="1" t="s">
        <v>7641</v>
      </c>
      <c r="B1538" s="5" t="s">
        <v>7641</v>
      </c>
      <c r="C1538" s="3" t="s">
        <v>7642</v>
      </c>
      <c r="D1538" s="6" t="s">
        <v>7643</v>
      </c>
      <c r="E1538" s="7" t="s">
        <v>7644</v>
      </c>
      <c r="F1538" s="5" t="str">
        <f>IFERROR(__xludf.DUMMYFUNCTION("GOOGLEFINANCE(""NSE:""&amp;A1538,""name"")"),"#N/A")</f>
        <v>#N/A</v>
      </c>
    </row>
    <row r="1539">
      <c r="A1539" s="1" t="s">
        <v>7645</v>
      </c>
      <c r="B1539" s="5" t="s">
        <v>7645</v>
      </c>
      <c r="C1539" s="3" t="s">
        <v>7646</v>
      </c>
      <c r="D1539" s="6" t="s">
        <v>7647</v>
      </c>
      <c r="E1539" s="7" t="s">
        <v>7648</v>
      </c>
      <c r="F1539" s="5" t="str">
        <f>IFERROR(__xludf.DUMMYFUNCTION("GOOGLEFINANCE(""NSE:""&amp;A1539,""name"")"),"#N/A")</f>
        <v>#N/A</v>
      </c>
    </row>
    <row r="1540">
      <c r="A1540" s="1" t="s">
        <v>7649</v>
      </c>
      <c r="B1540" s="5" t="s">
        <v>7649</v>
      </c>
      <c r="C1540" s="3" t="s">
        <v>7650</v>
      </c>
      <c r="D1540" s="6" t="s">
        <v>7651</v>
      </c>
      <c r="E1540" s="7" t="s">
        <v>7652</v>
      </c>
      <c r="F1540" s="5" t="str">
        <f>IFERROR(__xludf.DUMMYFUNCTION("GOOGLEFINANCE(""NSE:""&amp;A1540,""name"")"),"#N/A")</f>
        <v>#N/A</v>
      </c>
    </row>
    <row r="1541">
      <c r="A1541" s="1" t="s">
        <v>7653</v>
      </c>
      <c r="B1541" s="5" t="s">
        <v>7653</v>
      </c>
      <c r="C1541" s="3" t="s">
        <v>7654</v>
      </c>
      <c r="D1541" s="6" t="s">
        <v>7655</v>
      </c>
      <c r="E1541" s="7" t="s">
        <v>7656</v>
      </c>
      <c r="F1541" s="5" t="str">
        <f>IFERROR(__xludf.DUMMYFUNCTION("GOOGLEFINANCE(""NSE:""&amp;A1541,""name"")"),"#N/A")</f>
        <v>#N/A</v>
      </c>
    </row>
    <row r="1542">
      <c r="A1542" s="1" t="s">
        <v>7657</v>
      </c>
      <c r="B1542" s="5" t="s">
        <v>7657</v>
      </c>
      <c r="C1542" s="3" t="s">
        <v>7658</v>
      </c>
      <c r="D1542" s="6" t="s">
        <v>7659</v>
      </c>
      <c r="E1542" s="7" t="s">
        <v>7660</v>
      </c>
      <c r="F1542" s="5" t="str">
        <f>IFERROR(__xludf.DUMMYFUNCTION("GOOGLEFINANCE(""NSE:""&amp;A1542,""name"")"),"#N/A")</f>
        <v>#N/A</v>
      </c>
    </row>
    <row r="1543">
      <c r="A1543" s="1" t="s">
        <v>7661</v>
      </c>
      <c r="B1543" s="5" t="s">
        <v>7661</v>
      </c>
      <c r="C1543" s="3" t="s">
        <v>7662</v>
      </c>
      <c r="D1543" s="6" t="s">
        <v>7663</v>
      </c>
      <c r="E1543" s="7" t="s">
        <v>7664</v>
      </c>
      <c r="F1543" s="5" t="str">
        <f>IFERROR(__xludf.DUMMYFUNCTION("GOOGLEFINANCE(""NSE:""&amp;A1543,""name"")"),"#N/A")</f>
        <v>#N/A</v>
      </c>
    </row>
    <row r="1544">
      <c r="A1544" s="1" t="s">
        <v>7665</v>
      </c>
      <c r="B1544" s="5" t="s">
        <v>7665</v>
      </c>
      <c r="C1544" s="3" t="s">
        <v>7666</v>
      </c>
      <c r="D1544" s="6" t="s">
        <v>7667</v>
      </c>
      <c r="E1544" s="7" t="s">
        <v>7668</v>
      </c>
      <c r="F1544" s="5" t="str">
        <f>IFERROR(__xludf.DUMMYFUNCTION("GOOGLEFINANCE(""NSE:""&amp;A1544,""name"")"),"#N/A")</f>
        <v>#N/A</v>
      </c>
    </row>
    <row r="1545">
      <c r="A1545" s="1" t="s">
        <v>7669</v>
      </c>
      <c r="B1545" s="5" t="s">
        <v>7669</v>
      </c>
      <c r="C1545" s="3" t="s">
        <v>7670</v>
      </c>
      <c r="D1545" s="6" t="s">
        <v>7671</v>
      </c>
      <c r="E1545" s="7" t="s">
        <v>7672</v>
      </c>
      <c r="F1545" s="5" t="str">
        <f>IFERROR(__xludf.DUMMYFUNCTION("GOOGLEFINANCE(""NSE:""&amp;A1545,""name"")"),"#N/A")</f>
        <v>#N/A</v>
      </c>
    </row>
    <row r="1546">
      <c r="A1546" s="1" t="s">
        <v>7673</v>
      </c>
      <c r="B1546" s="5" t="s">
        <v>7673</v>
      </c>
      <c r="C1546" s="3" t="s">
        <v>7674</v>
      </c>
      <c r="D1546" s="6" t="s">
        <v>7675</v>
      </c>
      <c r="E1546" s="7" t="s">
        <v>7676</v>
      </c>
      <c r="F1546" s="5" t="str">
        <f>IFERROR(__xludf.DUMMYFUNCTION("GOOGLEFINANCE(""NSE:""&amp;A1546,""name"")"),"#N/A")</f>
        <v>#N/A</v>
      </c>
    </row>
    <row r="1547">
      <c r="A1547" s="1" t="s">
        <v>7677</v>
      </c>
      <c r="B1547" s="5" t="s">
        <v>7677</v>
      </c>
      <c r="C1547" s="3" t="s">
        <v>7678</v>
      </c>
      <c r="D1547" s="6" t="s">
        <v>7679</v>
      </c>
      <c r="E1547" s="7" t="s">
        <v>7680</v>
      </c>
      <c r="F1547" s="5" t="str">
        <f>IFERROR(__xludf.DUMMYFUNCTION("GOOGLEFINANCE(""NSE:""&amp;A1547,""name"")"),"#N/A")</f>
        <v>#N/A</v>
      </c>
    </row>
    <row r="1548">
      <c r="A1548" s="1" t="s">
        <v>7681</v>
      </c>
      <c r="B1548" s="5" t="s">
        <v>7681</v>
      </c>
      <c r="C1548" s="3" t="s">
        <v>7682</v>
      </c>
      <c r="D1548" s="6" t="s">
        <v>7683</v>
      </c>
      <c r="E1548" s="7" t="s">
        <v>7684</v>
      </c>
      <c r="F1548" s="5" t="str">
        <f>IFERROR(__xludf.DUMMYFUNCTION("GOOGLEFINANCE(""NSE:""&amp;A1548,""name"")"),"#N/A")</f>
        <v>#N/A</v>
      </c>
    </row>
    <row r="1549">
      <c r="A1549" s="1" t="s">
        <v>7685</v>
      </c>
      <c r="B1549" s="5" t="s">
        <v>7685</v>
      </c>
      <c r="C1549" s="3" t="s">
        <v>7686</v>
      </c>
      <c r="D1549" s="6" t="s">
        <v>7687</v>
      </c>
      <c r="E1549" s="7" t="s">
        <v>7688</v>
      </c>
      <c r="F1549" s="5" t="str">
        <f>IFERROR(__xludf.DUMMYFUNCTION("GOOGLEFINANCE(""NSE:""&amp;A1549,""name"")"),"#N/A")</f>
        <v>#N/A</v>
      </c>
    </row>
    <row r="1550">
      <c r="A1550" s="1" t="s">
        <v>7689</v>
      </c>
      <c r="B1550" s="5" t="s">
        <v>7689</v>
      </c>
      <c r="C1550" s="3" t="s">
        <v>7690</v>
      </c>
      <c r="D1550" s="6" t="s">
        <v>7691</v>
      </c>
      <c r="E1550" s="7" t="s">
        <v>7692</v>
      </c>
      <c r="F1550" s="5" t="str">
        <f>IFERROR(__xludf.DUMMYFUNCTION("GOOGLEFINANCE(""NSE:""&amp;A1550,""name"")"),"#N/A")</f>
        <v>#N/A</v>
      </c>
    </row>
    <row r="1551">
      <c r="A1551" s="1" t="s">
        <v>7693</v>
      </c>
      <c r="B1551" s="5" t="s">
        <v>7693</v>
      </c>
      <c r="C1551" s="3" t="s">
        <v>7694</v>
      </c>
      <c r="D1551" s="6" t="s">
        <v>7695</v>
      </c>
      <c r="E1551" s="7" t="s">
        <v>7696</v>
      </c>
      <c r="F1551" s="5" t="str">
        <f>IFERROR(__xludf.DUMMYFUNCTION("GOOGLEFINANCE(""NSE:""&amp;A1551,""name"")"),"#N/A")</f>
        <v>#N/A</v>
      </c>
    </row>
    <row r="1552">
      <c r="A1552" s="1" t="s">
        <v>7697</v>
      </c>
      <c r="B1552" s="5" t="s">
        <v>7697</v>
      </c>
      <c r="C1552" s="3" t="s">
        <v>7698</v>
      </c>
      <c r="D1552" s="6" t="s">
        <v>7699</v>
      </c>
      <c r="E1552" s="7" t="s">
        <v>7700</v>
      </c>
      <c r="F1552" s="5" t="str">
        <f>IFERROR(__xludf.DUMMYFUNCTION("GOOGLEFINANCE(""NSE:""&amp;A1552,""name"")"),"Nippon India ETF Nifty 50 BeES")</f>
        <v>Nippon India ETF Nifty 50 BeES</v>
      </c>
    </row>
    <row r="1553">
      <c r="A1553" s="1" t="s">
        <v>7701</v>
      </c>
      <c r="B1553" s="5" t="s">
        <v>7701</v>
      </c>
      <c r="C1553" s="3" t="s">
        <v>7702</v>
      </c>
      <c r="D1553" s="6" t="s">
        <v>7703</v>
      </c>
      <c r="E1553" s="7" t="s">
        <v>7704</v>
      </c>
      <c r="F1553" s="5" t="str">
        <f>IFERROR(__xludf.DUMMYFUNCTION("GOOGLEFINANCE(""NSE:""&amp;A1553,""name"")"),"#N/A")</f>
        <v>#N/A</v>
      </c>
    </row>
    <row r="1554">
      <c r="A1554" s="1" t="s">
        <v>7705</v>
      </c>
      <c r="B1554" s="5" t="s">
        <v>7705</v>
      </c>
      <c r="C1554" s="3" t="s">
        <v>7706</v>
      </c>
      <c r="D1554" s="6" t="s">
        <v>7707</v>
      </c>
      <c r="E1554" s="7" t="s">
        <v>7708</v>
      </c>
      <c r="F1554" s="5" t="str">
        <f>IFERROR(__xludf.DUMMYFUNCTION("GOOGLEFINANCE(""NSE:""&amp;A1554,""name"")"),"#N/A")</f>
        <v>#N/A</v>
      </c>
    </row>
    <row r="1555">
      <c r="A1555" s="1" t="s">
        <v>7709</v>
      </c>
      <c r="B1555" s="5" t="s">
        <v>7709</v>
      </c>
      <c r="C1555" s="3" t="s">
        <v>7710</v>
      </c>
      <c r="D1555" s="6" t="s">
        <v>7711</v>
      </c>
      <c r="E1555" s="7" t="s">
        <v>7712</v>
      </c>
      <c r="F1555" s="5" t="str">
        <f>IFERROR(__xludf.DUMMYFUNCTION("GOOGLEFINANCE(""NSE:""&amp;A1555,""name"")"),"#N/A")</f>
        <v>#N/A</v>
      </c>
    </row>
    <row r="1556">
      <c r="A1556" s="1" t="s">
        <v>7713</v>
      </c>
      <c r="B1556" s="5" t="s">
        <v>7713</v>
      </c>
      <c r="C1556" s="3" t="s">
        <v>7714</v>
      </c>
      <c r="D1556" s="6" t="s">
        <v>7715</v>
      </c>
      <c r="E1556" s="7" t="s">
        <v>7716</v>
      </c>
      <c r="F1556" s="5" t="str">
        <f>IFERROR(__xludf.DUMMYFUNCTION("GOOGLEFINANCE(""NSE:""&amp;A1556,""name"")"),"#N/A")</f>
        <v>#N/A</v>
      </c>
    </row>
    <row r="1557">
      <c r="A1557" s="1" t="s">
        <v>7717</v>
      </c>
      <c r="B1557" s="5" t="s">
        <v>7717</v>
      </c>
      <c r="C1557" s="3" t="s">
        <v>7718</v>
      </c>
      <c r="D1557" s="6" t="s">
        <v>7719</v>
      </c>
      <c r="E1557" s="7" t="s">
        <v>7720</v>
      </c>
      <c r="F1557" s="5" t="str">
        <f>IFERROR(__xludf.DUMMYFUNCTION("GOOGLEFINANCE(""NSE:""&amp;A1557,""name"")"),"#N/A")</f>
        <v>#N/A</v>
      </c>
    </row>
    <row r="1558">
      <c r="A1558" s="1" t="s">
        <v>7721</v>
      </c>
      <c r="B1558" s="5" t="s">
        <v>7721</v>
      </c>
      <c r="C1558" s="3" t="s">
        <v>7722</v>
      </c>
      <c r="D1558" s="6" t="s">
        <v>7723</v>
      </c>
      <c r="E1558" s="7" t="s">
        <v>7724</v>
      </c>
      <c r="F1558" s="5" t="str">
        <f>IFERROR(__xludf.DUMMYFUNCTION("GOOGLEFINANCE(""NSE:""&amp;A1558,""name"")"),"#N/A")</f>
        <v>#N/A</v>
      </c>
    </row>
    <row r="1559">
      <c r="A1559" s="1" t="s">
        <v>7725</v>
      </c>
      <c r="B1559" s="5" t="s">
        <v>7725</v>
      </c>
      <c r="C1559" s="3" t="s">
        <v>7726</v>
      </c>
      <c r="D1559" s="6" t="s">
        <v>7727</v>
      </c>
      <c r="E1559" s="7" t="s">
        <v>7728</v>
      </c>
      <c r="F1559" s="5" t="str">
        <f>IFERROR(__xludf.DUMMYFUNCTION("GOOGLEFINANCE(""NSE:""&amp;A1559,""name"")"),"Mirae Asset Nifty 50 ETF")</f>
        <v>Mirae Asset Nifty 50 ETF</v>
      </c>
    </row>
    <row r="1560">
      <c r="A1560" s="1" t="s">
        <v>7729</v>
      </c>
      <c r="B1560" s="5" t="s">
        <v>7729</v>
      </c>
      <c r="C1560" s="3" t="s">
        <v>7730</v>
      </c>
      <c r="D1560" s="6" t="s">
        <v>7731</v>
      </c>
      <c r="E1560" s="7" t="s">
        <v>7732</v>
      </c>
      <c r="F1560" s="5" t="str">
        <f>IFERROR(__xludf.DUMMYFUNCTION("GOOGLEFINANCE(""NSE:""&amp;A1560,""name"")"),"#N/A")</f>
        <v>#N/A</v>
      </c>
    </row>
    <row r="1561">
      <c r="A1561" s="1" t="s">
        <v>7733</v>
      </c>
      <c r="B1561" s="5" t="s">
        <v>7733</v>
      </c>
      <c r="C1561" s="3" t="s">
        <v>7734</v>
      </c>
      <c r="D1561" s="6" t="s">
        <v>7735</v>
      </c>
      <c r="E1561" s="7" t="s">
        <v>7736</v>
      </c>
      <c r="F1561" s="5" t="str">
        <f>IFERROR(__xludf.DUMMYFUNCTION("GOOGLEFINANCE(""NSE:""&amp;A1561,""name"")"),"#N/A")</f>
        <v>#N/A</v>
      </c>
    </row>
    <row r="1562">
      <c r="A1562" s="1" t="s">
        <v>7737</v>
      </c>
      <c r="B1562" s="5" t="s">
        <v>7737</v>
      </c>
      <c r="C1562" s="3" t="s">
        <v>7738</v>
      </c>
      <c r="D1562" s="6" t="s">
        <v>7739</v>
      </c>
      <c r="E1562" s="7" t="s">
        <v>7740</v>
      </c>
      <c r="F1562" s="5" t="str">
        <f>IFERROR(__xludf.DUMMYFUNCTION("GOOGLEFINANCE(""NSE:""&amp;A1562,""name"")"),"#N/A")</f>
        <v>#N/A</v>
      </c>
    </row>
    <row r="1563">
      <c r="A1563" s="1" t="s">
        <v>7741</v>
      </c>
      <c r="B1563" s="5" t="s">
        <v>7741</v>
      </c>
      <c r="C1563" s="3" t="s">
        <v>7742</v>
      </c>
      <c r="D1563" s="6" t="s">
        <v>7743</v>
      </c>
      <c r="E1563" s="7" t="s">
        <v>7744</v>
      </c>
      <c r="F1563" s="5" t="str">
        <f>IFERROR(__xludf.DUMMYFUNCTION("GOOGLEFINANCE(""NSE:""&amp;A1563,""name"")"),"#N/A")</f>
        <v>#N/A</v>
      </c>
    </row>
    <row r="1564">
      <c r="A1564" s="1" t="s">
        <v>7745</v>
      </c>
      <c r="B1564" s="5" t="s">
        <v>7745</v>
      </c>
      <c r="C1564" s="3" t="s">
        <v>7746</v>
      </c>
      <c r="D1564" s="6" t="s">
        <v>7747</v>
      </c>
      <c r="E1564" s="7" t="s">
        <v>7748</v>
      </c>
      <c r="F1564" s="5" t="str">
        <f>IFERROR(__xludf.DUMMYFUNCTION("GOOGLEFINANCE(""NSE:""&amp;A1564,""name"")"),"#N/A")</f>
        <v>#N/A</v>
      </c>
    </row>
    <row r="1565">
      <c r="A1565" s="1" t="s">
        <v>7749</v>
      </c>
      <c r="B1565" s="5" t="s">
        <v>7749</v>
      </c>
      <c r="C1565" s="3" t="s">
        <v>7750</v>
      </c>
      <c r="D1565" s="6" t="s">
        <v>7751</v>
      </c>
      <c r="E1565" s="7" t="s">
        <v>7752</v>
      </c>
      <c r="F1565" s="5" t="str">
        <f>IFERROR(__xludf.DUMMYFUNCTION("GOOGLEFINANCE(""NSE:""&amp;A1565,""name"")"),"#N/A")</f>
        <v>#N/A</v>
      </c>
    </row>
    <row r="1566">
      <c r="A1566" s="1" t="s">
        <v>7753</v>
      </c>
      <c r="B1566" s="5" t="s">
        <v>7753</v>
      </c>
      <c r="C1566" s="3" t="s">
        <v>7754</v>
      </c>
      <c r="D1566" s="6" t="s">
        <v>7755</v>
      </c>
      <c r="E1566" s="7" t="s">
        <v>7756</v>
      </c>
      <c r="F1566" s="5" t="str">
        <f>IFERROR(__xludf.DUMMYFUNCTION("GOOGLEFINANCE(""NSE:""&amp;A1566,""name"")"),"#N/A")</f>
        <v>#N/A</v>
      </c>
    </row>
    <row r="1567">
      <c r="A1567" s="1" t="s">
        <v>7757</v>
      </c>
      <c r="B1567" s="5" t="s">
        <v>7757</v>
      </c>
      <c r="C1567" s="3" t="s">
        <v>7758</v>
      </c>
      <c r="D1567" s="6" t="s">
        <v>7759</v>
      </c>
      <c r="E1567" s="7" t="s">
        <v>7760</v>
      </c>
      <c r="F1567" s="5" t="str">
        <f>IFERROR(__xludf.DUMMYFUNCTION("GOOGLEFINANCE(""NSE:""&amp;A1567,""name"")"),"#N/A")</f>
        <v>#N/A</v>
      </c>
    </row>
    <row r="1568">
      <c r="A1568" s="1" t="s">
        <v>7761</v>
      </c>
      <c r="B1568" s="5" t="s">
        <v>7761</v>
      </c>
      <c r="C1568" s="3" t="s">
        <v>7762</v>
      </c>
      <c r="D1568" s="6" t="s">
        <v>7763</v>
      </c>
      <c r="E1568" s="7" t="s">
        <v>7764</v>
      </c>
      <c r="F1568" s="5" t="str">
        <f>IFERROR(__xludf.DUMMYFUNCTION("GOOGLEFINANCE(""NSE:""&amp;A1568,""name"")"),"#N/A")</f>
        <v>#N/A</v>
      </c>
    </row>
    <row r="1569">
      <c r="A1569" s="1" t="s">
        <v>7765</v>
      </c>
      <c r="B1569" s="5" t="s">
        <v>7765</v>
      </c>
      <c r="C1569" s="3" t="s">
        <v>7766</v>
      </c>
      <c r="D1569" s="6" t="s">
        <v>7767</v>
      </c>
      <c r="E1569" s="7" t="s">
        <v>7768</v>
      </c>
      <c r="F1569" s="5" t="str">
        <f>IFERROR(__xludf.DUMMYFUNCTION("GOOGLEFINANCE(""NSE:""&amp;A1569,""name"")"),"#N/A")</f>
        <v>#N/A</v>
      </c>
    </row>
    <row r="1570">
      <c r="A1570" s="1" t="s">
        <v>7769</v>
      </c>
      <c r="B1570" s="5" t="s">
        <v>7769</v>
      </c>
      <c r="C1570" s="3" t="s">
        <v>7770</v>
      </c>
      <c r="D1570" s="6" t="s">
        <v>7771</v>
      </c>
      <c r="E1570" s="7" t="s">
        <v>7772</v>
      </c>
      <c r="F1570" s="5" t="str">
        <f>IFERROR(__xludf.DUMMYFUNCTION("GOOGLEFINANCE(""NSE:""&amp;A1570,""name"")"),"#N/A")</f>
        <v>#N/A</v>
      </c>
    </row>
    <row r="1571">
      <c r="A1571" s="1" t="s">
        <v>7773</v>
      </c>
      <c r="B1571" s="5" t="s">
        <v>7773</v>
      </c>
      <c r="C1571" s="3" t="s">
        <v>7774</v>
      </c>
      <c r="D1571" s="6" t="s">
        <v>7775</v>
      </c>
      <c r="E1571" s="7" t="s">
        <v>7776</v>
      </c>
      <c r="F1571" s="5" t="str">
        <f>IFERROR(__xludf.DUMMYFUNCTION("GOOGLEFINANCE(""NSE:""&amp;A1571,""name"")"),"#N/A")</f>
        <v>#N/A</v>
      </c>
    </row>
    <row r="1572">
      <c r="A1572" s="1" t="s">
        <v>7777</v>
      </c>
      <c r="B1572" s="5" t="s">
        <v>7777</v>
      </c>
      <c r="C1572" s="3" t="s">
        <v>7778</v>
      </c>
      <c r="D1572" s="6" t="s">
        <v>7779</v>
      </c>
      <c r="E1572" s="7" t="s">
        <v>7780</v>
      </c>
      <c r="F1572" s="5" t="str">
        <f>IFERROR(__xludf.DUMMYFUNCTION("GOOGLEFINANCE(""NSE:""&amp;A1572,""name"")"),"Icici Prudential Nifty 50 Etf")</f>
        <v>Icici Prudential Nifty 50 Etf</v>
      </c>
    </row>
    <row r="1573">
      <c r="A1573" s="1" t="s">
        <v>7781</v>
      </c>
      <c r="B1573" s="5" t="s">
        <v>7781</v>
      </c>
      <c r="C1573" s="3" t="s">
        <v>7782</v>
      </c>
      <c r="D1573" s="6" t="s">
        <v>7783</v>
      </c>
      <c r="E1573" s="7" t="s">
        <v>7784</v>
      </c>
      <c r="F1573" s="5" t="str">
        <f>IFERROR(__xludf.DUMMYFUNCTION("GOOGLEFINANCE(""NSE:""&amp;A1573,""name"")"),"#N/A")</f>
        <v>#N/A</v>
      </c>
    </row>
    <row r="1574">
      <c r="A1574" s="1" t="s">
        <v>7785</v>
      </c>
      <c r="B1574" s="5" t="s">
        <v>7785</v>
      </c>
      <c r="C1574" s="3" t="s">
        <v>7786</v>
      </c>
      <c r="D1574" s="6" t="s">
        <v>7787</v>
      </c>
      <c r="E1574" s="7" t="s">
        <v>7788</v>
      </c>
      <c r="F1574" s="5" t="str">
        <f>IFERROR(__xludf.DUMMYFUNCTION("GOOGLEFINANCE(""NSE:""&amp;A1574,""name"")"),"#N/A")</f>
        <v>#N/A</v>
      </c>
    </row>
    <row r="1575">
      <c r="A1575" s="1" t="s">
        <v>7789</v>
      </c>
      <c r="B1575" s="5" t="s">
        <v>7789</v>
      </c>
      <c r="C1575" s="3" t="s">
        <v>7790</v>
      </c>
      <c r="D1575" s="6" t="s">
        <v>7791</v>
      </c>
      <c r="E1575" s="7" t="s">
        <v>7792</v>
      </c>
      <c r="F1575" s="5" t="str">
        <f>IFERROR(__xludf.DUMMYFUNCTION("GOOGLEFINANCE(""NSE:""&amp;A1575,""name"")"),"#N/A")</f>
        <v>#N/A</v>
      </c>
    </row>
    <row r="1576">
      <c r="A1576" s="1" t="s">
        <v>7793</v>
      </c>
      <c r="B1576" s="5" t="s">
        <v>7793</v>
      </c>
      <c r="C1576" s="3" t="s">
        <v>7794</v>
      </c>
      <c r="D1576" s="6" t="s">
        <v>7795</v>
      </c>
      <c r="E1576" s="7" t="s">
        <v>7796</v>
      </c>
      <c r="F1576" s="5" t="str">
        <f>IFERROR(__xludf.DUMMYFUNCTION("GOOGLEFINANCE(""NSE:""&amp;A1576,""name"")"),"#N/A")</f>
        <v>#N/A</v>
      </c>
    </row>
    <row r="1577">
      <c r="A1577" s="1" t="s">
        <v>7797</v>
      </c>
      <c r="B1577" s="5" t="s">
        <v>7797</v>
      </c>
      <c r="C1577" s="3" t="s">
        <v>7798</v>
      </c>
      <c r="D1577" s="6" t="s">
        <v>7799</v>
      </c>
      <c r="E1577" s="7" t="s">
        <v>7800</v>
      </c>
      <c r="F1577" s="5" t="str">
        <f>IFERROR(__xludf.DUMMYFUNCTION("GOOGLEFINANCE(""NSE:""&amp;A1577,""name"")"),"#N/A")</f>
        <v>#N/A</v>
      </c>
    </row>
    <row r="1578">
      <c r="A1578" s="1" t="s">
        <v>7801</v>
      </c>
      <c r="B1578" s="5" t="s">
        <v>7801</v>
      </c>
      <c r="C1578" s="3" t="s">
        <v>7802</v>
      </c>
      <c r="D1578" s="6" t="s">
        <v>7803</v>
      </c>
      <c r="E1578" s="7" t="s">
        <v>7804</v>
      </c>
      <c r="F1578" s="5" t="str">
        <f>IFERROR(__xludf.DUMMYFUNCTION("GOOGLEFINANCE(""NSE:""&amp;A1578,""name"")"),"#N/A")</f>
        <v>#N/A</v>
      </c>
    </row>
    <row r="1579">
      <c r="A1579" s="1" t="s">
        <v>7805</v>
      </c>
      <c r="B1579" s="5" t="s">
        <v>7805</v>
      </c>
      <c r="C1579" s="3" t="s">
        <v>7806</v>
      </c>
      <c r="D1579" s="6" t="s">
        <v>7807</v>
      </c>
      <c r="E1579" s="7" t="s">
        <v>7808</v>
      </c>
      <c r="F1579" s="5" t="str">
        <f>IFERROR(__xludf.DUMMYFUNCTION("GOOGLEFINANCE(""NSE:""&amp;A1579,""name"")"),"#N/A")</f>
        <v>#N/A</v>
      </c>
    </row>
    <row r="1580">
      <c r="A1580" s="1" t="s">
        <v>7809</v>
      </c>
      <c r="B1580" s="5" t="s">
        <v>7809</v>
      </c>
      <c r="C1580" s="3" t="s">
        <v>7810</v>
      </c>
      <c r="D1580" s="6" t="s">
        <v>7811</v>
      </c>
      <c r="E1580" s="7" t="s">
        <v>7812</v>
      </c>
      <c r="F1580" s="5" t="str">
        <f>IFERROR(__xludf.DUMMYFUNCTION("GOOGLEFINANCE(""NSE:""&amp;A1580,""name"")"),"#N/A")</f>
        <v>#N/A</v>
      </c>
    </row>
    <row r="1581">
      <c r="A1581" s="1" t="s">
        <v>7813</v>
      </c>
      <c r="B1581" s="5" t="s">
        <v>7813</v>
      </c>
      <c r="C1581" s="3" t="s">
        <v>7814</v>
      </c>
      <c r="D1581" s="6" t="s">
        <v>7815</v>
      </c>
      <c r="E1581" s="7" t="s">
        <v>7816</v>
      </c>
      <c r="F1581" s="5" t="str">
        <f>IFERROR(__xludf.DUMMYFUNCTION("GOOGLEFINANCE(""NSE:""&amp;A1581,""name"")"),"#N/A")</f>
        <v>#N/A</v>
      </c>
    </row>
    <row r="1582">
      <c r="A1582" s="1" t="s">
        <v>7817</v>
      </c>
      <c r="B1582" s="5" t="s">
        <v>7817</v>
      </c>
      <c r="C1582" s="3" t="s">
        <v>7818</v>
      </c>
      <c r="D1582" s="6" t="s">
        <v>7819</v>
      </c>
      <c r="E1582" s="7" t="s">
        <v>7820</v>
      </c>
      <c r="F1582" s="5" t="str">
        <f>IFERROR(__xludf.DUMMYFUNCTION("GOOGLEFINANCE(""NSE:""&amp;A1582,""name"")"),"#N/A")</f>
        <v>#N/A</v>
      </c>
    </row>
    <row r="1583">
      <c r="A1583" s="1" t="s">
        <v>7821</v>
      </c>
      <c r="B1583" s="5" t="s">
        <v>7821</v>
      </c>
      <c r="C1583" s="3" t="s">
        <v>7822</v>
      </c>
      <c r="D1583" s="6" t="s">
        <v>7823</v>
      </c>
      <c r="E1583" s="7" t="s">
        <v>7824</v>
      </c>
      <c r="F1583" s="5" t="str">
        <f>IFERROR(__xludf.DUMMYFUNCTION("GOOGLEFINANCE(""NSE:""&amp;A1583,""name"")"),"#N/A")</f>
        <v>#N/A</v>
      </c>
    </row>
    <row r="1584">
      <c r="A1584" s="1" t="s">
        <v>7825</v>
      </c>
      <c r="B1584" s="5" t="s">
        <v>7825</v>
      </c>
      <c r="C1584" s="3" t="s">
        <v>7826</v>
      </c>
      <c r="D1584" s="6" t="s">
        <v>7827</v>
      </c>
      <c r="E1584" s="7" t="s">
        <v>7828</v>
      </c>
      <c r="F1584" s="5" t="str">
        <f>IFERROR(__xludf.DUMMYFUNCTION("GOOGLEFINANCE(""NSE:""&amp;A1584,""name"")"),"#N/A")</f>
        <v>#N/A</v>
      </c>
    </row>
    <row r="1585">
      <c r="A1585" s="1" t="s">
        <v>7829</v>
      </c>
      <c r="B1585" s="5" t="s">
        <v>7829</v>
      </c>
      <c r="C1585" s="3" t="s">
        <v>7830</v>
      </c>
      <c r="D1585" s="6" t="s">
        <v>7831</v>
      </c>
      <c r="E1585" s="7" t="s">
        <v>7832</v>
      </c>
      <c r="F1585" s="5" t="str">
        <f>IFERROR(__xludf.DUMMYFUNCTION("GOOGLEFINANCE(""NSE:""&amp;A1585,""name"")"),"#N/A")</f>
        <v>#N/A</v>
      </c>
    </row>
    <row r="1586">
      <c r="A1586" s="1" t="s">
        <v>7833</v>
      </c>
      <c r="B1586" s="5" t="s">
        <v>7833</v>
      </c>
      <c r="C1586" s="3" t="s">
        <v>7834</v>
      </c>
      <c r="D1586" s="6" t="s">
        <v>7835</v>
      </c>
      <c r="E1586" s="7" t="s">
        <v>7836</v>
      </c>
      <c r="F1586" s="5" t="str">
        <f>IFERROR(__xludf.DUMMYFUNCTION("GOOGLEFINANCE(""NSE:""&amp;A1586,""name"")"),"#N/A")</f>
        <v>#N/A</v>
      </c>
    </row>
    <row r="1587">
      <c r="A1587" s="1" t="s">
        <v>7837</v>
      </c>
      <c r="B1587" s="5" t="s">
        <v>7837</v>
      </c>
      <c r="C1587" s="3" t="s">
        <v>7838</v>
      </c>
      <c r="D1587" s="6" t="s">
        <v>7839</v>
      </c>
      <c r="E1587" s="7" t="s">
        <v>7840</v>
      </c>
      <c r="F1587" s="5" t="str">
        <f>IFERROR(__xludf.DUMMYFUNCTION("GOOGLEFINANCE(""NSE:""&amp;A1587,""name"")"),"#N/A")</f>
        <v>#N/A</v>
      </c>
    </row>
    <row r="1588">
      <c r="A1588" s="1" t="s">
        <v>7841</v>
      </c>
      <c r="B1588" s="5" t="s">
        <v>7841</v>
      </c>
      <c r="C1588" s="3" t="s">
        <v>7842</v>
      </c>
      <c r="D1588" s="6" t="s">
        <v>7843</v>
      </c>
      <c r="E1588" s="7" t="s">
        <v>7844</v>
      </c>
      <c r="F1588" s="5" t="str">
        <f>IFERROR(__xludf.DUMMYFUNCTION("GOOGLEFINANCE(""NSE:""&amp;A1588,""name"")"),"#N/A")</f>
        <v>#N/A</v>
      </c>
    </row>
    <row r="1589">
      <c r="A1589" s="1" t="s">
        <v>7845</v>
      </c>
      <c r="B1589" s="5" t="s">
        <v>7845</v>
      </c>
      <c r="C1589" s="3" t="s">
        <v>7846</v>
      </c>
      <c r="D1589" s="6" t="s">
        <v>7847</v>
      </c>
      <c r="E1589" s="7" t="s">
        <v>7848</v>
      </c>
      <c r="F1589" s="5" t="str">
        <f>IFERROR(__xludf.DUMMYFUNCTION("GOOGLEFINANCE(""NSE:""&amp;A1589,""name"")"),"#N/A")</f>
        <v>#N/A</v>
      </c>
    </row>
    <row r="1590">
      <c r="A1590" s="1" t="s">
        <v>7849</v>
      </c>
      <c r="B1590" s="5" t="s">
        <v>7849</v>
      </c>
      <c r="C1590" s="3" t="s">
        <v>7850</v>
      </c>
      <c r="D1590" s="6" t="s">
        <v>7851</v>
      </c>
      <c r="E1590" s="7" t="s">
        <v>7852</v>
      </c>
      <c r="F1590" s="5" t="str">
        <f>IFERROR(__xludf.DUMMYFUNCTION("GOOGLEFINANCE(""NSE:""&amp;A1590,""name"")"),"#N/A")</f>
        <v>#N/A</v>
      </c>
    </row>
    <row r="1591">
      <c r="A1591" s="1" t="s">
        <v>7853</v>
      </c>
      <c r="B1591" s="5" t="s">
        <v>7853</v>
      </c>
      <c r="C1591" s="3" t="s">
        <v>7854</v>
      </c>
      <c r="D1591" s="6" t="s">
        <v>7855</v>
      </c>
      <c r="E1591" s="7" t="s">
        <v>7856</v>
      </c>
      <c r="F1591" s="5" t="str">
        <f>IFERROR(__xludf.DUMMYFUNCTION("GOOGLEFINANCE(""NSE:""&amp;A1591,""name"")"),"#N/A")</f>
        <v>#N/A</v>
      </c>
    </row>
    <row r="1592">
      <c r="A1592" s="1" t="s">
        <v>7857</v>
      </c>
      <c r="B1592" s="5" t="s">
        <v>7857</v>
      </c>
      <c r="C1592" s="3" t="s">
        <v>7858</v>
      </c>
      <c r="D1592" s="6" t="s">
        <v>7859</v>
      </c>
      <c r="E1592" s="7" t="s">
        <v>7860</v>
      </c>
      <c r="F1592" s="5" t="str">
        <f>IFERROR(__xludf.DUMMYFUNCTION("GOOGLEFINANCE(""NSE:""&amp;A1592,""name"")"),"#N/A")</f>
        <v>#N/A</v>
      </c>
    </row>
    <row r="1593">
      <c r="A1593" s="1" t="s">
        <v>7861</v>
      </c>
      <c r="B1593" s="5" t="s">
        <v>7861</v>
      </c>
      <c r="C1593" s="3" t="s">
        <v>7862</v>
      </c>
      <c r="D1593" s="6" t="s">
        <v>7863</v>
      </c>
      <c r="E1593" s="7" t="s">
        <v>7864</v>
      </c>
      <c r="F1593" s="5" t="str">
        <f>IFERROR(__xludf.DUMMYFUNCTION("GOOGLEFINANCE(""NSE:""&amp;A1593,""name"")"),"#N/A")</f>
        <v>#N/A</v>
      </c>
    </row>
    <row r="1594">
      <c r="A1594" s="1" t="s">
        <v>7865</v>
      </c>
      <c r="B1594" s="5" t="s">
        <v>7865</v>
      </c>
      <c r="C1594" s="3" t="s">
        <v>7866</v>
      </c>
      <c r="D1594" s="6" t="s">
        <v>7867</v>
      </c>
      <c r="E1594" s="7" t="s">
        <v>7868</v>
      </c>
      <c r="F1594" s="5" t="str">
        <f>IFERROR(__xludf.DUMMYFUNCTION("GOOGLEFINANCE(""NSE:""&amp;A1594,""name"")"),"#N/A")</f>
        <v>#N/A</v>
      </c>
    </row>
    <row r="1595">
      <c r="A1595" s="1" t="s">
        <v>7869</v>
      </c>
      <c r="B1595" s="5" t="s">
        <v>7869</v>
      </c>
      <c r="C1595" s="3" t="s">
        <v>7870</v>
      </c>
      <c r="D1595" s="6" t="s">
        <v>7871</v>
      </c>
      <c r="E1595" s="7" t="s">
        <v>7872</v>
      </c>
      <c r="F1595" s="5" t="str">
        <f>IFERROR(__xludf.DUMMYFUNCTION("GOOGLEFINANCE(""NSE:""&amp;A1595,""name"")"),"#N/A")</f>
        <v>#N/A</v>
      </c>
    </row>
    <row r="1596">
      <c r="A1596" s="1" t="s">
        <v>7873</v>
      </c>
      <c r="B1596" s="5" t="s">
        <v>7873</v>
      </c>
      <c r="C1596" s="3" t="s">
        <v>7874</v>
      </c>
      <c r="D1596" s="6" t="s">
        <v>7875</v>
      </c>
      <c r="E1596" s="7" t="s">
        <v>7876</v>
      </c>
      <c r="F1596" s="5" t="str">
        <f>IFERROR(__xludf.DUMMYFUNCTION("GOOGLEFINANCE(""NSE:""&amp;A1596,""name"")"),"#N/A")</f>
        <v>#N/A</v>
      </c>
    </row>
    <row r="1597">
      <c r="A1597" s="1" t="s">
        <v>7877</v>
      </c>
      <c r="B1597" s="5" t="s">
        <v>7877</v>
      </c>
      <c r="C1597" s="3" t="s">
        <v>7878</v>
      </c>
      <c r="D1597" s="6" t="s">
        <v>7879</v>
      </c>
      <c r="E1597" s="7" t="s">
        <v>7880</v>
      </c>
      <c r="F1597" s="5" t="str">
        <f>IFERROR(__xludf.DUMMYFUNCTION("GOOGLEFINANCE(""NSE:""&amp;A1597,""name"")"),"#N/A")</f>
        <v>#N/A</v>
      </c>
    </row>
    <row r="1598">
      <c r="A1598" s="1" t="s">
        <v>7881</v>
      </c>
      <c r="B1598" s="5" t="s">
        <v>7881</v>
      </c>
      <c r="C1598" s="3" t="s">
        <v>7882</v>
      </c>
      <c r="D1598" s="6" t="s">
        <v>7883</v>
      </c>
      <c r="E1598" s="7" t="s">
        <v>7884</v>
      </c>
      <c r="F1598" s="5" t="str">
        <f>IFERROR(__xludf.DUMMYFUNCTION("GOOGLEFINANCE(""NSE:""&amp;A1598,""name"")"),"#N/A")</f>
        <v>#N/A</v>
      </c>
    </row>
    <row r="1599">
      <c r="A1599" s="1" t="s">
        <v>7885</v>
      </c>
      <c r="B1599" s="5" t="s">
        <v>7885</v>
      </c>
      <c r="C1599" s="3" t="s">
        <v>7886</v>
      </c>
      <c r="D1599" s="6" t="s">
        <v>7887</v>
      </c>
      <c r="E1599" s="7" t="s">
        <v>7888</v>
      </c>
      <c r="F1599" s="5" t="str">
        <f>IFERROR(__xludf.DUMMYFUNCTION("GOOGLEFINANCE(""NSE:""&amp;A1599,""name"")"),"#N/A")</f>
        <v>#N/A</v>
      </c>
    </row>
    <row r="1600">
      <c r="A1600" s="1" t="s">
        <v>7889</v>
      </c>
      <c r="B1600" s="5" t="s">
        <v>7890</v>
      </c>
      <c r="C1600" s="3" t="s">
        <v>7891</v>
      </c>
      <c r="D1600" s="6" t="s">
        <v>7892</v>
      </c>
      <c r="E1600" s="7" t="s">
        <v>7893</v>
      </c>
      <c r="F1600" s="5" t="str">
        <f>IFERROR(__xludf.DUMMYFUNCTION("GOOGLEFINANCE(""NSE:""&amp;A1600,""name"")"),"Niit Learning Systems Ltd")</f>
        <v>Niit Learning Systems Ltd</v>
      </c>
    </row>
    <row r="1601">
      <c r="A1601" s="1" t="s">
        <v>7894</v>
      </c>
      <c r="B1601" s="5" t="s">
        <v>7895</v>
      </c>
      <c r="C1601" s="3" t="s">
        <v>7896</v>
      </c>
      <c r="D1601" s="6" t="s">
        <v>7897</v>
      </c>
      <c r="E1601" s="7" t="s">
        <v>7898</v>
      </c>
      <c r="F1601" s="5" t="str">
        <f>IFERROR(__xludf.DUMMYFUNCTION("GOOGLEFINANCE(""NSE:""&amp;A1601,""name"")"),"NIIT Ltd")</f>
        <v>NIIT Ltd</v>
      </c>
    </row>
    <row r="1602">
      <c r="A1602" s="1" t="s">
        <v>7899</v>
      </c>
      <c r="B1602" s="5" t="s">
        <v>7900</v>
      </c>
      <c r="C1602" s="3" t="s">
        <v>7901</v>
      </c>
      <c r="D1602" s="6" t="s">
        <v>7902</v>
      </c>
      <c r="E1602" s="7" t="s">
        <v>7903</v>
      </c>
      <c r="F1602" s="5" t="str">
        <f>IFERROR(__xludf.DUMMYFUNCTION("GOOGLEFINANCE(""NSE:""&amp;A1602,""name"")"),"Nila Infrastructures Ltd")</f>
        <v>Nila Infrastructures Ltd</v>
      </c>
    </row>
    <row r="1603">
      <c r="A1603" s="1" t="s">
        <v>7904</v>
      </c>
      <c r="B1603" s="5" t="s">
        <v>7905</v>
      </c>
      <c r="C1603" s="3" t="s">
        <v>7906</v>
      </c>
      <c r="D1603" s="6" t="s">
        <v>7907</v>
      </c>
      <c r="E1603" s="7" t="s">
        <v>7908</v>
      </c>
      <c r="F1603" s="5" t="str">
        <f>IFERROR(__xludf.DUMMYFUNCTION("GOOGLEFINANCE(""NSE:""&amp;A1603,""name"")"),"Nila Spaces Ltd")</f>
        <v>Nila Spaces Ltd</v>
      </c>
    </row>
    <row r="1604">
      <c r="A1604" s="1" t="s">
        <v>7909</v>
      </c>
      <c r="B1604" s="5" t="s">
        <v>7910</v>
      </c>
      <c r="C1604" s="3" t="s">
        <v>7911</v>
      </c>
      <c r="D1604" s="6" t="s">
        <v>7912</v>
      </c>
      <c r="E1604" s="7" t="s">
        <v>7913</v>
      </c>
      <c r="F1604" s="5" t="str">
        <f>IFERROR(__xludf.DUMMYFUNCTION("GOOGLEFINANCE(""NSE:""&amp;A1604,""name"")"),"Nilkamal Ltd")</f>
        <v>Nilkamal Ltd</v>
      </c>
    </row>
    <row r="1605">
      <c r="A1605" s="1" t="s">
        <v>7914</v>
      </c>
      <c r="B1605" s="5" t="s">
        <v>7915</v>
      </c>
      <c r="C1605" s="3" t="s">
        <v>7916</v>
      </c>
      <c r="D1605" s="6" t="s">
        <v>7917</v>
      </c>
      <c r="E1605" s="7" t="s">
        <v>7918</v>
      </c>
      <c r="F1605" s="5" t="str">
        <f>IFERROR(__xludf.DUMMYFUNCTION("GOOGLEFINANCE(""NSE:""&amp;A1605,""name"")"),"NINtec Systems Ltd")</f>
        <v>NINtec Systems Ltd</v>
      </c>
    </row>
    <row r="1606">
      <c r="A1606" s="1" t="s">
        <v>7919</v>
      </c>
      <c r="B1606" s="5" t="s">
        <v>7920</v>
      </c>
      <c r="C1606" s="3" t="s">
        <v>7921</v>
      </c>
      <c r="D1606" s="6" t="s">
        <v>7922</v>
      </c>
      <c r="E1606" s="7" t="s">
        <v>7923</v>
      </c>
      <c r="F1606" s="5" t="str">
        <f>IFERROR(__xludf.DUMMYFUNCTION("GOOGLEFINANCE(""NSE:""&amp;A1606,""name"")"),"Nippon India BSE Sensex Next 30 ETF")</f>
        <v>Nippon India BSE Sensex Next 30 ETF</v>
      </c>
    </row>
    <row r="1607">
      <c r="A1607" s="1" t="s">
        <v>7924</v>
      </c>
      <c r="B1607" s="5" t="s">
        <v>7925</v>
      </c>
      <c r="C1607" s="3" t="s">
        <v>7926</v>
      </c>
      <c r="D1607" s="6" t="s">
        <v>7927</v>
      </c>
      <c r="E1607" s="7" t="s">
        <v>7928</v>
      </c>
      <c r="F1607" s="5" t="str">
        <f>IFERROR(__xludf.DUMMYFUNCTION("GOOGLEFINANCE(""NSE:""&amp;A1607,""name"")"),"Nippon India ETF Nifty Dividend Opportunities 50")</f>
        <v>Nippon India ETF Nifty Dividend Opportunities 50</v>
      </c>
    </row>
    <row r="1608">
      <c r="A1608" s="1" t="s">
        <v>7929</v>
      </c>
      <c r="B1608" s="5" t="s">
        <v>7930</v>
      </c>
      <c r="C1608" s="3" t="s">
        <v>7931</v>
      </c>
      <c r="D1608" s="6" t="s">
        <v>7932</v>
      </c>
      <c r="E1608" s="7" t="s">
        <v>7933</v>
      </c>
      <c r="F1608" s="5" t="str">
        <f>IFERROR(__xludf.DUMMYFUNCTION("GOOGLEFINANCE(""NSE:""&amp;A1608,""name"")"),"Nippon India ETF Nifty 5 yr Benchmark G-Sec")</f>
        <v>Nippon India ETF Nifty 5 yr Benchmark G-Sec</v>
      </c>
    </row>
    <row r="1609">
      <c r="A1609" s="1" t="s">
        <v>7934</v>
      </c>
      <c r="B1609" s="5" t="s">
        <v>7935</v>
      </c>
      <c r="C1609" s="3" t="s">
        <v>7936</v>
      </c>
      <c r="D1609" s="6" t="s">
        <v>7937</v>
      </c>
      <c r="E1609" s="7" t="s">
        <v>7938</v>
      </c>
      <c r="F1609" s="5" t="str">
        <f>IFERROR(__xludf.DUMMYFUNCTION("GOOGLEFINANCE(""NSE:""&amp;A1609,""name"")"),"Nippon India Etf Nifty Bank Bees")</f>
        <v>Nippon India Etf Nifty Bank Bees</v>
      </c>
    </row>
    <row r="1610">
      <c r="A1610" s="1" t="s">
        <v>7939</v>
      </c>
      <c r="B1610" s="5" t="s">
        <v>7940</v>
      </c>
      <c r="C1610" s="3" t="s">
        <v>7941</v>
      </c>
      <c r="D1610" s="6" t="s">
        <v>7942</v>
      </c>
      <c r="E1610" s="7" t="s">
        <v>7943</v>
      </c>
      <c r="F1610" s="5" t="str">
        <f>IFERROR(__xludf.DUMMYFUNCTION("GOOGLEFINANCE(""NSE:""&amp;A1610,""name"")"),"Nippon India ETF Gold BeES")</f>
        <v>Nippon India ETF Gold BeES</v>
      </c>
    </row>
    <row r="1611">
      <c r="A1611" s="1" t="s">
        <v>7944</v>
      </c>
      <c r="B1611" s="5" t="s">
        <v>7945</v>
      </c>
      <c r="C1611" s="3" t="s">
        <v>7946</v>
      </c>
      <c r="D1611" s="6" t="s">
        <v>7947</v>
      </c>
      <c r="E1611" s="7" t="s">
        <v>7948</v>
      </c>
      <c r="F1611" s="5" t="str">
        <f>IFERROR(__xludf.DUMMYFUNCTION("GOOGLEFINANCE(""NSE:""&amp;A1611,""name"")"),"Nippon India ETF Hang Seng BeES")</f>
        <v>Nippon India ETF Hang Seng BeES</v>
      </c>
    </row>
    <row r="1612">
      <c r="A1612" s="1" t="s">
        <v>7949</v>
      </c>
      <c r="B1612" s="5" t="s">
        <v>7950</v>
      </c>
      <c r="C1612" s="3" t="s">
        <v>7951</v>
      </c>
      <c r="D1612" s="6" t="s">
        <v>7952</v>
      </c>
      <c r="E1612" s="7" t="s">
        <v>7953</v>
      </c>
      <c r="F1612" s="5" t="str">
        <f>IFERROR(__xludf.DUMMYFUNCTION("GOOGLEFINANCE(""NSE:""&amp;A1612,""name"")"),"Nippon India ETF Nifty Infrastructure BeES")</f>
        <v>Nippon India ETF Nifty Infrastructure BeES</v>
      </c>
    </row>
    <row r="1613">
      <c r="A1613" s="1" t="s">
        <v>7954</v>
      </c>
      <c r="B1613" s="5" t="s">
        <v>7955</v>
      </c>
      <c r="C1613" s="3" t="s">
        <v>7956</v>
      </c>
      <c r="D1613" s="6" t="s">
        <v>7957</v>
      </c>
      <c r="E1613" s="7" t="s">
        <v>7958</v>
      </c>
      <c r="F1613" s="5" t="str">
        <f>IFERROR(__xludf.DUMMYFUNCTION("GOOGLEFINANCE(""NSE:""&amp;A1613,""name"")"),"Nippon India ETF Nifty Next 50 Junior BeES")</f>
        <v>Nippon India ETF Nifty Next 50 Junior BeES</v>
      </c>
    </row>
    <row r="1614">
      <c r="A1614" s="1" t="s">
        <v>7959</v>
      </c>
      <c r="B1614" s="5" t="s">
        <v>7960</v>
      </c>
      <c r="C1614" s="3" t="s">
        <v>7961</v>
      </c>
      <c r="D1614" s="6" t="s">
        <v>7962</v>
      </c>
      <c r="E1614" s="7" t="s">
        <v>7963</v>
      </c>
      <c r="F1614" s="5" t="str">
        <f>IFERROR(__xludf.DUMMYFUNCTION("GOOGLEFINANCE(""NSE:""&amp;A1614,""name"")"),"Nippon India ETF Nifty 1D Rate Liquid BeES")</f>
        <v>Nippon India ETF Nifty 1D Rate Liquid BeES</v>
      </c>
    </row>
    <row r="1615">
      <c r="A1615" s="1" t="s">
        <v>7964</v>
      </c>
      <c r="B1615" s="5" t="s">
        <v>7965</v>
      </c>
      <c r="C1615" s="3" t="s">
        <v>7966</v>
      </c>
      <c r="D1615" s="6" t="s">
        <v>7967</v>
      </c>
      <c r="E1615" s="7" t="s">
        <v>7968</v>
      </c>
      <c r="F1615" s="5" t="str">
        <f>IFERROR(__xludf.DUMMYFUNCTION("GOOGLEFINANCE(""NSE:""&amp;A1615,""name"")"),"Nippon India ETF Nifty 100")</f>
        <v>Nippon India ETF Nifty 100</v>
      </c>
    </row>
    <row r="1616">
      <c r="A1616" s="1" t="s">
        <v>7969</v>
      </c>
      <c r="B1616" s="5" t="s">
        <v>7970</v>
      </c>
      <c r="C1616" s="3" t="s">
        <v>7971</v>
      </c>
      <c r="D1616" s="6" t="s">
        <v>7972</v>
      </c>
      <c r="E1616" s="7" t="s">
        <v>7973</v>
      </c>
      <c r="F1616" s="5" t="str">
        <f>IFERROR(__xludf.DUMMYFUNCTION("GOOGLEFINANCE(""NSE:""&amp;A1616,""name"")"),"Nippon India ETF Nifty 50 Value 20")</f>
        <v>Nippon India ETF Nifty 50 Value 20</v>
      </c>
    </row>
    <row r="1617">
      <c r="A1617" s="1" t="s">
        <v>7974</v>
      </c>
      <c r="B1617" s="5" t="s">
        <v>7975</v>
      </c>
      <c r="C1617" s="3" t="s">
        <v>7976</v>
      </c>
      <c r="D1617" s="6" t="s">
        <v>7977</v>
      </c>
      <c r="E1617" s="7" t="s">
        <v>7978</v>
      </c>
      <c r="F1617" s="5" t="str">
        <f>IFERROR(__xludf.DUMMYFUNCTION("GOOGLEFINANCE(""NSE:""&amp;A1617,""name"")"),"Nippon IN ETF Nifty 8-13 yr G-Sec Long Term Gilt")</f>
        <v>Nippon IN ETF Nifty 8-13 yr G-Sec Long Term Gilt</v>
      </c>
    </row>
    <row r="1618">
      <c r="A1618" s="1" t="s">
        <v>7979</v>
      </c>
      <c r="B1618" s="5" t="s">
        <v>7980</v>
      </c>
      <c r="C1618" s="3" t="s">
        <v>7981</v>
      </c>
      <c r="D1618" s="6" t="s">
        <v>7982</v>
      </c>
      <c r="E1618" s="7" t="s">
        <v>7983</v>
      </c>
      <c r="F1618" s="5" t="str">
        <f>IFERROR(__xludf.DUMMYFUNCTION("GOOGLEFINANCE(""NSE:""&amp;A1618,""name"")"),"Nippon India ETF Nifty India Consumption")</f>
        <v>Nippon India ETF Nifty India Consumption</v>
      </c>
    </row>
    <row r="1619">
      <c r="A1619" s="1" t="s">
        <v>7984</v>
      </c>
      <c r="B1619" s="5" t="s">
        <v>7985</v>
      </c>
      <c r="C1619" s="3" t="s">
        <v>7986</v>
      </c>
      <c r="D1619" s="6" t="s">
        <v>7987</v>
      </c>
      <c r="E1619" s="7" t="s">
        <v>7988</v>
      </c>
      <c r="F1619" s="5" t="str">
        <f>IFERROR(__xludf.DUMMYFUNCTION("GOOGLEFINANCE(""NSE:""&amp;A1619,""name"")"),"Nippon India ETF Nifty IT")</f>
        <v>Nippon India ETF Nifty IT</v>
      </c>
    </row>
    <row r="1620">
      <c r="A1620" s="1" t="s">
        <v>7989</v>
      </c>
      <c r="B1620" s="5" t="s">
        <v>7990</v>
      </c>
      <c r="C1620" s="3" t="s">
        <v>7991</v>
      </c>
      <c r="D1620" s="6" t="s">
        <v>7992</v>
      </c>
      <c r="E1620" s="7" t="s">
        <v>7993</v>
      </c>
      <c r="F1620" s="5" t="str">
        <f>IFERROR(__xludf.DUMMYFUNCTION("GOOGLEFINANCE(""NSE:""&amp;A1620,""name"")"),"Nippon India ETF Nifty Midcap 150")</f>
        <v>Nippon India ETF Nifty Midcap 150</v>
      </c>
    </row>
    <row r="1621">
      <c r="A1621" s="1" t="s">
        <v>7994</v>
      </c>
      <c r="B1621" s="5" t="s">
        <v>7995</v>
      </c>
      <c r="C1621" s="3" t="s">
        <v>7996</v>
      </c>
      <c r="D1621" s="6" t="s">
        <v>7997</v>
      </c>
      <c r="E1621" s="7" t="s">
        <v>7998</v>
      </c>
      <c r="F1621" s="5" t="str">
        <f>IFERROR(__xludf.DUMMYFUNCTION("GOOGLEFINANCE(""NSE:""&amp;A1621,""name"")"),"NipponINETFNifty SDL Apr 2026 Top 20 Equal Weight")</f>
        <v>NipponINETFNifty SDL Apr 2026 Top 20 Equal Weight</v>
      </c>
    </row>
    <row r="1622">
      <c r="A1622" s="1" t="s">
        <v>7999</v>
      </c>
      <c r="B1622" s="5" t="s">
        <v>8000</v>
      </c>
      <c r="C1622" s="3" t="s">
        <v>8001</v>
      </c>
      <c r="D1622" s="6" t="s">
        <v>8002</v>
      </c>
      <c r="E1622" s="7" t="s">
        <v>8003</v>
      </c>
      <c r="F1622" s="5" t="str">
        <f>IFERROR(__xludf.DUMMYFUNCTION("GOOGLEFINANCE(""NSE:""&amp;A1622,""name"")"),"Nippon India ETF Nifty PSU Bank BeES")</f>
        <v>Nippon India ETF Nifty PSU Bank BeES</v>
      </c>
    </row>
    <row r="1623">
      <c r="A1623" s="1" t="s">
        <v>8004</v>
      </c>
      <c r="B1623" s="5" t="s">
        <v>8005</v>
      </c>
      <c r="C1623" s="3" t="s">
        <v>8006</v>
      </c>
      <c r="D1623" s="6" t="s">
        <v>8007</v>
      </c>
      <c r="E1623" s="7" t="s">
        <v>8008</v>
      </c>
      <c r="F1623" s="5" t="str">
        <f>IFERROR(__xludf.DUMMYFUNCTION("GOOGLEFINANCE(""NSE:""&amp;A1623,""name"")"),"Nippon India ETF Nifty 50 Shariah BeES")</f>
        <v>Nippon India ETF Nifty 50 Shariah BeES</v>
      </c>
    </row>
    <row r="1624">
      <c r="A1624" s="1" t="s">
        <v>8009</v>
      </c>
      <c r="B1624" s="5" t="s">
        <v>8010</v>
      </c>
      <c r="C1624" s="3" t="s">
        <v>8011</v>
      </c>
      <c r="D1624" s="6" t="s">
        <v>8012</v>
      </c>
      <c r="E1624" s="7" t="s">
        <v>8013</v>
      </c>
      <c r="F1624" s="5" t="str">
        <f>IFERROR(__xludf.DUMMYFUNCTION("GOOGLEFINANCE(""NSE:""&amp;A1624,""name"")"),"Nippon India Nifty 1D Rate Liquid ETF - Growth")</f>
        <v>Nippon India Nifty 1D Rate Liquid ETF - Growth</v>
      </c>
    </row>
    <row r="1625">
      <c r="A1625" s="1" t="s">
        <v>8014</v>
      </c>
      <c r="B1625" s="5" t="s">
        <v>8015</v>
      </c>
      <c r="C1625" s="3" t="s">
        <v>8016</v>
      </c>
      <c r="D1625" s="6" t="s">
        <v>8017</v>
      </c>
      <c r="E1625" s="7" t="s">
        <v>8018</v>
      </c>
      <c r="F1625" s="5" t="str">
        <f>IFERROR(__xludf.DUMMYFUNCTION("GOOGLEFINANCE(""NSE:""&amp;A1625,""name"")"),"Nippon India Nifty Auto ETF")</f>
        <v>Nippon India Nifty Auto ETF</v>
      </c>
    </row>
    <row r="1626">
      <c r="A1626" s="1" t="s">
        <v>8019</v>
      </c>
      <c r="B1626" s="5" t="s">
        <v>8020</v>
      </c>
      <c r="C1626" s="3" t="s">
        <v>8021</v>
      </c>
      <c r="D1626" s="6" t="s">
        <v>8022</v>
      </c>
      <c r="E1626" s="7" t="s">
        <v>8023</v>
      </c>
      <c r="F1626" s="5" t="str">
        <f>IFERROR(__xludf.DUMMYFUNCTION("GOOGLEFINANCE(""NSE:""&amp;A1626,""name"")"),"Nippon India Nifty India Manufacturing ETF")</f>
        <v>Nippon India Nifty India Manufacturing ETF</v>
      </c>
    </row>
    <row r="1627">
      <c r="A1627" s="1" t="s">
        <v>8024</v>
      </c>
      <c r="B1627" s="5" t="s">
        <v>8025</v>
      </c>
      <c r="C1627" s="3" t="s">
        <v>8026</v>
      </c>
      <c r="D1627" s="6" t="s">
        <v>8027</v>
      </c>
      <c r="E1627" s="7" t="s">
        <v>8028</v>
      </c>
      <c r="F1627" s="5" t="str">
        <f>IFERROR(__xludf.DUMMYFUNCTION("GOOGLEFINANCE(""NSE:""&amp;A1627,""name"")"),"Nippon India Nifty Pharma ETF")</f>
        <v>Nippon India Nifty Pharma ETF</v>
      </c>
    </row>
    <row r="1628">
      <c r="A1628" s="1" t="s">
        <v>8029</v>
      </c>
      <c r="B1628" s="5" t="s">
        <v>8030</v>
      </c>
      <c r="C1628" s="3" t="s">
        <v>8031</v>
      </c>
      <c r="D1628" s="6" t="s">
        <v>8032</v>
      </c>
      <c r="E1628" s="7" t="s">
        <v>8033</v>
      </c>
      <c r="F1628" s="5" t="str">
        <f>IFERROR(__xludf.DUMMYFUNCTION("GOOGLEFINANCE(""NSE:""&amp;A1628,""name"")"),"Nippon India Silver ETF")</f>
        <v>Nippon India Silver ETF</v>
      </c>
    </row>
    <row r="1629">
      <c r="A1629" s="1" t="s">
        <v>8034</v>
      </c>
      <c r="B1629" s="5" t="s">
        <v>8035</v>
      </c>
      <c r="C1629" s="3" t="s">
        <v>8036</v>
      </c>
      <c r="D1629" s="6" t="s">
        <v>8037</v>
      </c>
      <c r="E1629" s="7" t="s">
        <v>8038</v>
      </c>
      <c r="F1629" s="5" t="str">
        <f>IFERROR(__xludf.DUMMYFUNCTION("GOOGLEFINANCE(""NSE:""&amp;A1629,""name"")"),"Nippon Life India Asset Management Ltd")</f>
        <v>Nippon Life India Asset Management Ltd</v>
      </c>
    </row>
    <row r="1630">
      <c r="A1630" s="1" t="s">
        <v>8039</v>
      </c>
      <c r="B1630" s="5" t="s">
        <v>8040</v>
      </c>
      <c r="C1630" s="3" t="s">
        <v>8041</v>
      </c>
      <c r="D1630" s="6" t="s">
        <v>8042</v>
      </c>
      <c r="E1630" s="7" t="s">
        <v>8043</v>
      </c>
      <c r="F1630" s="5" t="str">
        <f>IFERROR(__xludf.DUMMYFUNCTION("GOOGLEFINANCE(""NSE:""&amp;A1630,""name"")"),"Niraj Cement Structurals Ltd.")</f>
        <v>Niraj Cement Structurals Ltd.</v>
      </c>
    </row>
    <row r="1631">
      <c r="A1631" s="1" t="s">
        <v>8044</v>
      </c>
      <c r="B1631" s="5" t="s">
        <v>8045</v>
      </c>
      <c r="C1631" s="3" t="s">
        <v>8046</v>
      </c>
      <c r="D1631" s="6" t="s">
        <v>8047</v>
      </c>
      <c r="E1631" s="7" t="s">
        <v>8048</v>
      </c>
      <c r="F1631" s="5" t="str">
        <f>IFERROR(__xludf.DUMMYFUNCTION("GOOGLEFINANCE(""NSE:""&amp;A1631,""name"")"),"Niraj Ispat Industries Ltd")</f>
        <v>Niraj Ispat Industries Ltd</v>
      </c>
    </row>
    <row r="1632">
      <c r="A1632" s="1" t="s">
        <v>8049</v>
      </c>
      <c r="B1632" s="5" t="s">
        <v>8050</v>
      </c>
      <c r="C1632" s="3" t="s">
        <v>8051</v>
      </c>
      <c r="D1632" s="6" t="s">
        <v>8052</v>
      </c>
      <c r="E1632" s="7" t="s">
        <v>8053</v>
      </c>
      <c r="F1632" s="5" t="str">
        <f>IFERROR(__xludf.DUMMYFUNCTION("GOOGLEFINANCE(""NSE:""&amp;A1632,""name"")"),"Nitco Ltd")</f>
        <v>Nitco Ltd</v>
      </c>
    </row>
    <row r="1633">
      <c r="A1633" s="1" t="s">
        <v>8054</v>
      </c>
      <c r="B1633" s="5" t="s">
        <v>8055</v>
      </c>
      <c r="C1633" s="3" t="s">
        <v>8056</v>
      </c>
      <c r="D1633" s="6" t="s">
        <v>8057</v>
      </c>
      <c r="E1633" s="7" t="s">
        <v>8058</v>
      </c>
      <c r="F1633" s="5" t="str">
        <f>IFERROR(__xludf.DUMMYFUNCTION("GOOGLEFINANCE(""NSE:""&amp;A1633,""name"")"),"Nitin Spinners Limited")</f>
        <v>Nitin Spinners Limited</v>
      </c>
    </row>
    <row r="1634">
      <c r="A1634" s="1" t="s">
        <v>8059</v>
      </c>
      <c r="B1634" s="5" t="s">
        <v>8060</v>
      </c>
      <c r="C1634" s="3" t="s">
        <v>8061</v>
      </c>
      <c r="D1634" s="6" t="s">
        <v>8062</v>
      </c>
      <c r="E1634" s="7" t="s">
        <v>8063</v>
      </c>
      <c r="F1634" s="5" t="str">
        <f>IFERROR(__xludf.DUMMYFUNCTION("GOOGLEFINANCE(""NSE:""&amp;A1634,""name"")"),"Nitiraj Engineers Ltd")</f>
        <v>Nitiraj Engineers Ltd</v>
      </c>
    </row>
    <row r="1635">
      <c r="A1635" s="1" t="s">
        <v>8064</v>
      </c>
      <c r="B1635" s="5" t="s">
        <v>8065</v>
      </c>
      <c r="C1635" s="3" t="s">
        <v>8066</v>
      </c>
      <c r="D1635" s="6" t="s">
        <v>8067</v>
      </c>
      <c r="E1635" s="7" t="s">
        <v>8068</v>
      </c>
      <c r="F1635" s="5" t="str">
        <f>IFERROR(__xludf.DUMMYFUNCTION("GOOGLEFINANCE(""NSE:""&amp;A1635,""name"")"),"Niva Bupa Health Insurance Company Ltd")</f>
        <v>Niva Bupa Health Insurance Company Ltd</v>
      </c>
    </row>
    <row r="1636">
      <c r="A1636" s="1" t="s">
        <v>8069</v>
      </c>
      <c r="B1636" s="5" t="s">
        <v>8070</v>
      </c>
      <c r="C1636" s="3" t="s">
        <v>8071</v>
      </c>
      <c r="D1636" s="6" t="s">
        <v>8072</v>
      </c>
      <c r="E1636" s="7" t="s">
        <v>8073</v>
      </c>
      <c r="F1636" s="5" t="str">
        <f>IFERROR(__xludf.DUMMYFUNCTION("GOOGLEFINANCE(""NSE:""&amp;A1636,""name"")"),"N K Industries Ltd")</f>
        <v>N K Industries Ltd</v>
      </c>
    </row>
    <row r="1637">
      <c r="A1637" s="1" t="s">
        <v>8074</v>
      </c>
      <c r="B1637" s="5" t="s">
        <v>8075</v>
      </c>
      <c r="C1637" s="3" t="s">
        <v>8076</v>
      </c>
      <c r="D1637" s="6" t="s">
        <v>8077</v>
      </c>
      <c r="E1637" s="7" t="s">
        <v>8078</v>
      </c>
      <c r="F1637" s="5" t="str">
        <f>IFERROR(__xludf.DUMMYFUNCTION("GOOGLEFINANCE(""NSE:""&amp;A1637,""name"")"),"NLC India Ltd")</f>
        <v>NLC India Ltd</v>
      </c>
    </row>
    <row r="1638">
      <c r="A1638" s="1" t="s">
        <v>8079</v>
      </c>
      <c r="B1638" s="5" t="s">
        <v>8080</v>
      </c>
      <c r="C1638" s="3" t="s">
        <v>8081</v>
      </c>
      <c r="D1638" s="6" t="s">
        <v>8082</v>
      </c>
      <c r="E1638" s="7" t="s">
        <v>8083</v>
      </c>
      <c r="F1638" s="5" t="str">
        <f>IFERROR(__xludf.DUMMYFUNCTION("GOOGLEFINANCE(""NSE:""&amp;A1638,""name"")"),"NMDC Ltd")</f>
        <v>NMDC Ltd</v>
      </c>
    </row>
    <row r="1639">
      <c r="A1639" s="1" t="s">
        <v>8084</v>
      </c>
      <c r="B1639" s="5" t="s">
        <v>8085</v>
      </c>
      <c r="C1639" s="3" t="s">
        <v>8086</v>
      </c>
      <c r="D1639" s="6" t="s">
        <v>8087</v>
      </c>
      <c r="E1639" s="7" t="s">
        <v>8088</v>
      </c>
      <c r="F1639" s="5" t="str">
        <f>IFERROR(__xludf.DUMMYFUNCTION("GOOGLEFINANCE(""NSE:""&amp;A1639,""name"")"),"NMDC Steel Ltd")</f>
        <v>NMDC Steel Ltd</v>
      </c>
    </row>
    <row r="1640">
      <c r="A1640" s="1" t="s">
        <v>8089</v>
      </c>
      <c r="B1640" s="5" t="s">
        <v>8090</v>
      </c>
      <c r="C1640" s="3" t="s">
        <v>8091</v>
      </c>
      <c r="D1640" s="6" t="s">
        <v>8092</v>
      </c>
      <c r="E1640" s="7" t="s">
        <v>8093</v>
      </c>
      <c r="F1640" s="5" t="str">
        <f>IFERROR(__xludf.DUMMYFUNCTION("GOOGLEFINANCE(""NSE:""&amp;A1640,""name"")"),"Nocil Ltd")</f>
        <v>Nocil Ltd</v>
      </c>
    </row>
    <row r="1641">
      <c r="A1641" s="1" t="s">
        <v>8094</v>
      </c>
      <c r="B1641" s="5" t="s">
        <v>8095</v>
      </c>
      <c r="C1641" s="3" t="s">
        <v>8096</v>
      </c>
      <c r="D1641" s="6" t="s">
        <v>8097</v>
      </c>
      <c r="E1641" s="7" t="s">
        <v>8098</v>
      </c>
      <c r="F1641" s="5" t="str">
        <f>IFERROR(__xludf.DUMMYFUNCTION("GOOGLEFINANCE(""NSE:""&amp;A1641,""name"")"),"Norben Tea and Exports Ltd")</f>
        <v>Norben Tea and Exports Ltd</v>
      </c>
    </row>
    <row r="1642">
      <c r="A1642" s="1" t="s">
        <v>8099</v>
      </c>
      <c r="B1642" s="5" t="s">
        <v>8100</v>
      </c>
      <c r="C1642" s="3" t="s">
        <v>8101</v>
      </c>
      <c r="D1642" s="6" t="s">
        <v>8102</v>
      </c>
      <c r="E1642" s="7" t="s">
        <v>8103</v>
      </c>
      <c r="F1642" s="5" t="str">
        <f>IFERROR(__xludf.DUMMYFUNCTION("GOOGLEFINANCE(""NSE:""&amp;A1642,""name"")"),"North Eastern Carrying Corporation Ltd")</f>
        <v>North Eastern Carrying Corporation Ltd</v>
      </c>
    </row>
    <row r="1643">
      <c r="A1643" s="1" t="s">
        <v>8104</v>
      </c>
      <c r="B1643" s="5" t="s">
        <v>8105</v>
      </c>
      <c r="C1643" s="3" t="s">
        <v>8106</v>
      </c>
      <c r="D1643" s="6" t="s">
        <v>8107</v>
      </c>
      <c r="E1643" s="7" t="s">
        <v>8108</v>
      </c>
      <c r="F1643" s="5" t="str">
        <f>IFERROR(__xludf.DUMMYFUNCTION("GOOGLEFINANCE(""NSE:""&amp;A1643,""name"")"),"Northern ARC Capital Ltd")</f>
        <v>Northern ARC Capital Ltd</v>
      </c>
    </row>
    <row r="1644">
      <c r="A1644" s="1" t="s">
        <v>8109</v>
      </c>
      <c r="B1644" s="5" t="s">
        <v>8110</v>
      </c>
      <c r="C1644" s="3" t="s">
        <v>8111</v>
      </c>
      <c r="D1644" s="6" t="s">
        <v>8112</v>
      </c>
      <c r="E1644" s="7" t="s">
        <v>8113</v>
      </c>
      <c r="F1644" s="5" t="str">
        <f>IFERROR(__xludf.DUMMYFUNCTION("GOOGLEFINANCE(""NSE:""&amp;A1644,""name"")"),"Nova Agritech Ltd")</f>
        <v>Nova Agritech Ltd</v>
      </c>
    </row>
    <row r="1645">
      <c r="A1645" s="1" t="s">
        <v>8114</v>
      </c>
      <c r="B1645" s="5" t="s">
        <v>8115</v>
      </c>
      <c r="C1645" s="3" t="s">
        <v>8116</v>
      </c>
      <c r="D1645" s="6" t="s">
        <v>8117</v>
      </c>
      <c r="E1645" s="7" t="s">
        <v>8118</v>
      </c>
      <c r="F1645" s="5" t="str">
        <f>IFERROR(__xludf.DUMMYFUNCTION("GOOGLEFINANCE(""NSE:""&amp;A1645,""name"")"),"NRB Bearings Ltd")</f>
        <v>NRB Bearings Ltd</v>
      </c>
    </row>
    <row r="1646">
      <c r="A1646" s="1" t="s">
        <v>8119</v>
      </c>
      <c r="B1646" s="5" t="s">
        <v>8120</v>
      </c>
      <c r="C1646" s="3" t="s">
        <v>8121</v>
      </c>
      <c r="D1646" s="6" t="s">
        <v>8122</v>
      </c>
      <c r="E1646" s="7" t="s">
        <v>8123</v>
      </c>
      <c r="F1646" s="5" t="str">
        <f>IFERROR(__xludf.DUMMYFUNCTION("GOOGLEFINANCE(""NSE:""&amp;A1646,""name"")"),"NRB Industrial Bearings Ltd")</f>
        <v>NRB Industrial Bearings Ltd</v>
      </c>
    </row>
    <row r="1647">
      <c r="A1647" s="1" t="s">
        <v>8124</v>
      </c>
      <c r="B1647" s="5" t="s">
        <v>8125</v>
      </c>
      <c r="C1647" s="3" t="s">
        <v>8126</v>
      </c>
      <c r="D1647" s="6" t="s">
        <v>8127</v>
      </c>
      <c r="E1647" s="7" t="s">
        <v>8128</v>
      </c>
      <c r="F1647" s="5" t="str">
        <f>IFERROR(__xludf.DUMMYFUNCTION("GOOGLEFINANCE(""NSE:""&amp;A1647,""name"")"),"NTPC Green Energy Ltd")</f>
        <v>NTPC Green Energy Ltd</v>
      </c>
    </row>
    <row r="1648">
      <c r="A1648" s="1" t="s">
        <v>8129</v>
      </c>
      <c r="B1648" s="5" t="s">
        <v>8130</v>
      </c>
      <c r="C1648" s="3" t="s">
        <v>8131</v>
      </c>
      <c r="D1648" s="6" t="s">
        <v>8132</v>
      </c>
      <c r="E1648" s="7" t="s">
        <v>8133</v>
      </c>
      <c r="F1648" s="5" t="str">
        <f>IFERROR(__xludf.DUMMYFUNCTION("GOOGLEFINANCE(""NSE:""&amp;A1648,""name"")"),"NTPC Ltd")</f>
        <v>NTPC Ltd</v>
      </c>
    </row>
    <row r="1649">
      <c r="A1649" s="1" t="s">
        <v>8134</v>
      </c>
      <c r="B1649" s="5" t="s">
        <v>8135</v>
      </c>
      <c r="C1649" s="3" t="s">
        <v>8136</v>
      </c>
      <c r="D1649" s="6" t="s">
        <v>8137</v>
      </c>
      <c r="E1649" s="7" t="s">
        <v>8138</v>
      </c>
      <c r="F1649" s="5" t="str">
        <f>IFERROR(__xludf.DUMMYFUNCTION("GOOGLEFINANCE(""NSE:""&amp;A1649,""name"")"),"Nucleus Software Exports Ltd")</f>
        <v>Nucleus Software Exports Ltd</v>
      </c>
    </row>
    <row r="1650">
      <c r="A1650" s="1" t="s">
        <v>8139</v>
      </c>
      <c r="B1650" s="5" t="s">
        <v>8140</v>
      </c>
      <c r="C1650" s="3" t="s">
        <v>8141</v>
      </c>
      <c r="D1650" s="6" t="s">
        <v>8142</v>
      </c>
      <c r="E1650" s="7" t="s">
        <v>8143</v>
      </c>
      <c r="F1650" s="5" t="str">
        <f>IFERROR(__xludf.DUMMYFUNCTION("GOOGLEFINANCE(""NSE:""&amp;A1650,""name"")"),"Nupur Recyclers Ltd")</f>
        <v>Nupur Recyclers Ltd</v>
      </c>
    </row>
    <row r="1651">
      <c r="A1651" s="1" t="s">
        <v>8144</v>
      </c>
      <c r="B1651" s="5" t="s">
        <v>8145</v>
      </c>
      <c r="C1651" s="3" t="s">
        <v>8146</v>
      </c>
      <c r="D1651" s="6" t="s">
        <v>8147</v>
      </c>
      <c r="E1651" s="7" t="s">
        <v>8148</v>
      </c>
      <c r="F1651" s="5" t="str">
        <f>IFERROR(__xludf.DUMMYFUNCTION("GOOGLEFINANCE(""NSE:""&amp;A1651,""name"")"),"Nureca Ltd")</f>
        <v>Nureca Ltd</v>
      </c>
    </row>
    <row r="1652">
      <c r="A1652" s="1" t="s">
        <v>8149</v>
      </c>
      <c r="B1652" s="5" t="s">
        <v>8150</v>
      </c>
      <c r="C1652" s="3" t="s">
        <v>8151</v>
      </c>
      <c r="D1652" s="6" t="s">
        <v>8152</v>
      </c>
      <c r="E1652" s="7" t="s">
        <v>8153</v>
      </c>
      <c r="F1652" s="5" t="str">
        <f>IFERROR(__xludf.DUMMYFUNCTION("GOOGLEFINANCE(""NSE:""&amp;A1652,""name"")"),"Nuvama Wealth Management Ltd")</f>
        <v>Nuvama Wealth Management Ltd</v>
      </c>
    </row>
    <row r="1653">
      <c r="A1653" s="1" t="s">
        <v>8154</v>
      </c>
      <c r="B1653" s="5" t="s">
        <v>8155</v>
      </c>
      <c r="C1653" s="3" t="s">
        <v>8156</v>
      </c>
      <c r="D1653" s="6" t="s">
        <v>8157</v>
      </c>
      <c r="E1653" s="7" t="s">
        <v>8158</v>
      </c>
      <c r="F1653" s="5" t="str">
        <f>IFERROR(__xludf.DUMMYFUNCTION("GOOGLEFINANCE(""NSE:""&amp;A1653,""name"")"),"Nuvoco Vistas Corporation Ltd")</f>
        <v>Nuvoco Vistas Corporation Ltd</v>
      </c>
    </row>
    <row r="1654">
      <c r="A1654" s="1" t="s">
        <v>8159</v>
      </c>
      <c r="B1654" s="5" t="s">
        <v>8160</v>
      </c>
      <c r="C1654" s="3" t="s">
        <v>8161</v>
      </c>
      <c r="D1654" s="6" t="s">
        <v>8162</v>
      </c>
      <c r="E1654" s="7" t="s">
        <v>8163</v>
      </c>
      <c r="F1654" s="5" t="str">
        <f>IFERROR(__xludf.DUMMYFUNCTION("GOOGLEFINANCE(""NSE:""&amp;A1654,""name"")"),"Oberoi Realty Ltd")</f>
        <v>Oberoi Realty Ltd</v>
      </c>
    </row>
    <row r="1655">
      <c r="A1655" s="1" t="s">
        <v>8164</v>
      </c>
      <c r="B1655" s="5" t="s">
        <v>8165</v>
      </c>
      <c r="C1655" s="3" t="s">
        <v>8166</v>
      </c>
      <c r="D1655" s="6" t="s">
        <v>8167</v>
      </c>
      <c r="E1655" s="7" t="s">
        <v>8168</v>
      </c>
      <c r="F1655" s="5" t="str">
        <f>IFERROR(__xludf.DUMMYFUNCTION("GOOGLEFINANCE(""NSE:""&amp;A1655,""name"")"),"OCCL Ltd")</f>
        <v>OCCL Ltd</v>
      </c>
    </row>
    <row r="1656">
      <c r="A1656" s="1" t="s">
        <v>8169</v>
      </c>
      <c r="B1656" s="5" t="s">
        <v>8170</v>
      </c>
      <c r="C1656" s="3" t="s">
        <v>8171</v>
      </c>
      <c r="D1656" s="6" t="s">
        <v>8172</v>
      </c>
      <c r="E1656" s="7" t="s">
        <v>8173</v>
      </c>
      <c r="F1656" s="5" t="str">
        <f>IFERROR(__xludf.DUMMYFUNCTION("GOOGLEFINANCE(""NSE:""&amp;A1656,""name"")"),"ODigMa Consultancy Solutions Ltd")</f>
        <v>ODigMa Consultancy Solutions Ltd</v>
      </c>
    </row>
    <row r="1657">
      <c r="A1657" s="1" t="s">
        <v>8174</v>
      </c>
      <c r="B1657" s="5" t="s">
        <v>8175</v>
      </c>
      <c r="C1657" s="3" t="s">
        <v>8176</v>
      </c>
      <c r="D1657" s="6" t="s">
        <v>8177</v>
      </c>
      <c r="E1657" s="7" t="s">
        <v>8178</v>
      </c>
      <c r="F1657" s="5" t="str">
        <f>IFERROR(__xludf.DUMMYFUNCTION("GOOGLEFINANCE(""NSE:""&amp;A1657,""name"")"),"Oil and Natural Gas Corporation Ltd")</f>
        <v>Oil and Natural Gas Corporation Ltd</v>
      </c>
    </row>
    <row r="1658">
      <c r="A1658" s="1" t="s">
        <v>8179</v>
      </c>
      <c r="B1658" s="5" t="s">
        <v>8180</v>
      </c>
      <c r="C1658" s="3" t="s">
        <v>8181</v>
      </c>
      <c r="D1658" s="6" t="s">
        <v>8182</v>
      </c>
      <c r="E1658" s="7" t="s">
        <v>8183</v>
      </c>
      <c r="F1658" s="5" t="str">
        <f>IFERROR(__xludf.DUMMYFUNCTION("GOOGLEFINANCE(""NSE:""&amp;A1658,""name"")"),"Oil Country Tubular Ltd")</f>
        <v>Oil Country Tubular Ltd</v>
      </c>
    </row>
    <row r="1659">
      <c r="A1659" s="1" t="s">
        <v>8184</v>
      </c>
      <c r="B1659" s="5" t="s">
        <v>8185</v>
      </c>
      <c r="C1659" s="3" t="s">
        <v>8186</v>
      </c>
      <c r="D1659" s="6" t="s">
        <v>8187</v>
      </c>
      <c r="E1659" s="7" t="s">
        <v>8188</v>
      </c>
      <c r="F1659" s="5" t="str">
        <f>IFERROR(__xludf.DUMMYFUNCTION("GOOGLEFINANCE(""NSE:""&amp;A1659,""name"")"),"Oil India Ltd")</f>
        <v>Oil India Ltd</v>
      </c>
    </row>
    <row r="1660">
      <c r="A1660" s="1" t="s">
        <v>8189</v>
      </c>
      <c r="B1660" s="5" t="s">
        <v>8190</v>
      </c>
      <c r="C1660" s="3" t="s">
        <v>8191</v>
      </c>
      <c r="D1660" s="6" t="s">
        <v>8192</v>
      </c>
      <c r="E1660" s="7" t="s">
        <v>8193</v>
      </c>
      <c r="F1660" s="5" t="str">
        <f>IFERROR(__xludf.DUMMYFUNCTION("GOOGLEFINANCE(""NSE:""&amp;A1660,""name"")"),"Ola Electric Mobility Ltd")</f>
        <v>Ola Electric Mobility Ltd</v>
      </c>
    </row>
    <row r="1661">
      <c r="A1661" s="1" t="s">
        <v>8194</v>
      </c>
      <c r="B1661" s="5" t="s">
        <v>8195</v>
      </c>
      <c r="C1661" s="3" t="s">
        <v>8196</v>
      </c>
      <c r="D1661" s="6" t="s">
        <v>8197</v>
      </c>
      <c r="E1661" s="7" t="s">
        <v>8198</v>
      </c>
      <c r="F1661" s="5" t="str">
        <f>IFERROR(__xludf.DUMMYFUNCTION("GOOGLEFINANCE(""NSE:""&amp;A1661,""name"")"),"Olectra Greentech Ltd")</f>
        <v>Olectra Greentech Ltd</v>
      </c>
    </row>
    <row r="1662">
      <c r="A1662" s="1" t="s">
        <v>8199</v>
      </c>
      <c r="B1662" s="5" t="s">
        <v>8200</v>
      </c>
      <c r="C1662" s="3" t="s">
        <v>8201</v>
      </c>
      <c r="D1662" s="6" t="s">
        <v>8202</v>
      </c>
      <c r="E1662" s="7" t="s">
        <v>8203</v>
      </c>
      <c r="F1662" s="5" t="str">
        <f>IFERROR(__xludf.DUMMYFUNCTION("GOOGLEFINANCE(""NSE:""&amp;A1662,""name"")"),"Om Freight Forwarders Ltd")</f>
        <v>Om Freight Forwarders Ltd</v>
      </c>
    </row>
    <row r="1663">
      <c r="A1663" s="1" t="s">
        <v>8204</v>
      </c>
      <c r="B1663" s="5" t="s">
        <v>8205</v>
      </c>
      <c r="C1663" s="3" t="s">
        <v>8206</v>
      </c>
      <c r="D1663" s="6" t="s">
        <v>8207</v>
      </c>
      <c r="E1663" s="7" t="s">
        <v>8208</v>
      </c>
      <c r="F1663" s="5" t="str">
        <f>IFERROR(__xludf.DUMMYFUNCTION("GOOGLEFINANCE(""NSE:""&amp;A1663,""name"")"),"Om Infra Ltd")</f>
        <v>Om Infra Ltd</v>
      </c>
    </row>
    <row r="1664">
      <c r="A1664" s="1" t="s">
        <v>8209</v>
      </c>
      <c r="B1664" s="5" t="s">
        <v>8210</v>
      </c>
      <c r="C1664" s="3" t="s">
        <v>8211</v>
      </c>
      <c r="D1664" s="6" t="s">
        <v>8212</v>
      </c>
      <c r="E1664" s="7" t="s">
        <v>8213</v>
      </c>
      <c r="F1664" s="5" t="str">
        <f>IFERROR(__xludf.DUMMYFUNCTION("GOOGLEFINANCE(""NSE:""&amp;A1664,""name"")"),"Omax Autos Ltd")</f>
        <v>Omax Autos Ltd</v>
      </c>
    </row>
    <row r="1665">
      <c r="A1665" s="1" t="s">
        <v>8214</v>
      </c>
      <c r="B1665" s="5" t="s">
        <v>8215</v>
      </c>
      <c r="C1665" s="3" t="s">
        <v>8216</v>
      </c>
      <c r="D1665" s="6" t="s">
        <v>8217</v>
      </c>
      <c r="E1665" s="7" t="s">
        <v>8218</v>
      </c>
      <c r="F1665" s="5" t="str">
        <f>IFERROR(__xludf.DUMMYFUNCTION("GOOGLEFINANCE(""NSE:""&amp;A1665,""name"")"),"Omaxe Ltd")</f>
        <v>Omaxe Ltd</v>
      </c>
    </row>
    <row r="1666">
      <c r="A1666" s="1" t="s">
        <v>8219</v>
      </c>
      <c r="B1666" s="5" t="s">
        <v>8220</v>
      </c>
      <c r="C1666" s="3" t="s">
        <v>8221</v>
      </c>
      <c r="D1666" s="6" t="s">
        <v>8222</v>
      </c>
      <c r="E1666" s="7" t="s">
        <v>8223</v>
      </c>
      <c r="F1666" s="5" t="str">
        <f>IFERROR(__xludf.DUMMYFUNCTION("GOOGLEFINANCE(""NSE:""&amp;A1666,""name"")"),"Omkar Speciality Chemicals Ltd")</f>
        <v>Omkar Speciality Chemicals Ltd</v>
      </c>
    </row>
    <row r="1667">
      <c r="A1667" s="1" t="s">
        <v>8224</v>
      </c>
      <c r="B1667" s="5" t="s">
        <v>8225</v>
      </c>
      <c r="C1667" s="3" t="s">
        <v>8226</v>
      </c>
      <c r="D1667" s="6" t="s">
        <v>8227</v>
      </c>
      <c r="E1667" s="7" t="s">
        <v>8228</v>
      </c>
      <c r="F1667" s="5" t="str">
        <f>IFERROR(__xludf.DUMMYFUNCTION("GOOGLEFINANCE(""NSE:""&amp;A1667,""name"")"),"One 97 Communications Ltd")</f>
        <v>One 97 Communications Ltd</v>
      </c>
    </row>
    <row r="1668">
      <c r="A1668" s="1" t="s">
        <v>8229</v>
      </c>
      <c r="B1668" s="5" t="s">
        <v>8230</v>
      </c>
      <c r="C1668" s="3" t="s">
        <v>8231</v>
      </c>
      <c r="D1668" s="6" t="s">
        <v>8232</v>
      </c>
      <c r="E1668" s="7" t="s">
        <v>8233</v>
      </c>
      <c r="F1668" s="5" t="str">
        <f>IFERROR(__xludf.DUMMYFUNCTION("GOOGLEFINANCE(""NSE:""&amp;A1668,""name"")"),"One MobiKwik Systems Ltd")</f>
        <v>One MobiKwik Systems Ltd</v>
      </c>
    </row>
    <row r="1669">
      <c r="A1669" s="1" t="s">
        <v>8234</v>
      </c>
      <c r="B1669" s="5" t="s">
        <v>8235</v>
      </c>
      <c r="C1669" s="3" t="s">
        <v>8236</v>
      </c>
      <c r="D1669" s="6" t="s">
        <v>8237</v>
      </c>
      <c r="E1669" s="7" t="s">
        <v>8238</v>
      </c>
      <c r="F1669" s="5" t="str">
        <f>IFERROR(__xludf.DUMMYFUNCTION("GOOGLEFINANCE(""NSE:""&amp;A1669,""name"")"),"One Point One Solutions Ltd")</f>
        <v>One Point One Solutions Ltd</v>
      </c>
    </row>
    <row r="1670">
      <c r="A1670" s="1" t="s">
        <v>8239</v>
      </c>
      <c r="B1670" s="5" t="s">
        <v>8240</v>
      </c>
      <c r="C1670" s="3" t="s">
        <v>8241</v>
      </c>
      <c r="D1670" s="6" t="s">
        <v>8242</v>
      </c>
      <c r="E1670" s="7" t="s">
        <v>8243</v>
      </c>
      <c r="F1670" s="5" t="str">
        <f>IFERROR(__xludf.DUMMYFUNCTION("GOOGLEFINANCE(""NSE:""&amp;A1670,""name"")"),"Onelife Capital Advisors Ltd")</f>
        <v>Onelife Capital Advisors Ltd</v>
      </c>
    </row>
    <row r="1671">
      <c r="A1671" s="1" t="s">
        <v>8244</v>
      </c>
      <c r="B1671" s="5" t="s">
        <v>8245</v>
      </c>
      <c r="C1671" s="3" t="s">
        <v>8246</v>
      </c>
      <c r="D1671" s="6" t="s">
        <v>8247</v>
      </c>
      <c r="E1671" s="7" t="s">
        <v>8248</v>
      </c>
      <c r="F1671" s="5" t="str">
        <f>IFERROR(__xludf.DUMMYFUNCTION("GOOGLEFINANCE(""NSE:""&amp;A1671,""name"")"),"Onesource Specialty Pharma Ltd")</f>
        <v>Onesource Specialty Pharma Ltd</v>
      </c>
    </row>
    <row r="1672">
      <c r="A1672" s="1" t="s">
        <v>8249</v>
      </c>
      <c r="B1672" s="5" t="s">
        <v>8250</v>
      </c>
      <c r="C1672" s="3" t="s">
        <v>8251</v>
      </c>
      <c r="D1672" s="6" t="s">
        <v>8252</v>
      </c>
      <c r="E1672" s="7" t="s">
        <v>8253</v>
      </c>
      <c r="F1672" s="5" t="str">
        <f>IFERROR(__xludf.DUMMYFUNCTION("GOOGLEFINANCE(""NSE:""&amp;A1672,""name"")"),"Onmobile Global Ltd")</f>
        <v>Onmobile Global Ltd</v>
      </c>
    </row>
    <row r="1673">
      <c r="A1673" s="1" t="s">
        <v>8254</v>
      </c>
      <c r="B1673" s="5" t="s">
        <v>8255</v>
      </c>
      <c r="C1673" s="3" t="s">
        <v>8256</v>
      </c>
      <c r="D1673" s="6" t="s">
        <v>8257</v>
      </c>
      <c r="E1673" s="7" t="s">
        <v>8258</v>
      </c>
      <c r="F1673" s="5" t="str">
        <f>IFERROR(__xludf.DUMMYFUNCTION("GOOGLEFINANCE(""NSE:""&amp;A1673,""name"")"),"Onward Technologies Ltd")</f>
        <v>Onward Technologies Ltd</v>
      </c>
    </row>
    <row r="1674">
      <c r="A1674" s="1" t="s">
        <v>8259</v>
      </c>
      <c r="B1674" s="5" t="s">
        <v>8260</v>
      </c>
      <c r="C1674" s="3" t="s">
        <v>8261</v>
      </c>
      <c r="D1674" s="6" t="s">
        <v>8262</v>
      </c>
      <c r="E1674" s="7" t="s">
        <v>8263</v>
      </c>
      <c r="F1674" s="5" t="str">
        <f>IFERROR(__xludf.DUMMYFUNCTION("GOOGLEFINANCE(""NSE:""&amp;A1674,""name"")"),"Optiemus Infracom Ltd")</f>
        <v>Optiemus Infracom Ltd</v>
      </c>
    </row>
    <row r="1675">
      <c r="A1675" s="1" t="s">
        <v>8264</v>
      </c>
      <c r="B1675" s="5" t="s">
        <v>8265</v>
      </c>
      <c r="C1675" s="3" t="s">
        <v>8266</v>
      </c>
      <c r="D1675" s="6" t="s">
        <v>8267</v>
      </c>
      <c r="E1675" s="7" t="s">
        <v>8268</v>
      </c>
      <c r="F1675" s="5" t="str">
        <f>IFERROR(__xludf.DUMMYFUNCTION("GOOGLEFINANCE(""NSE:""&amp;A1675,""name"")"),"Oracle Financial Services Software Ltd")</f>
        <v>Oracle Financial Services Software Ltd</v>
      </c>
    </row>
    <row r="1676">
      <c r="A1676" s="1" t="s">
        <v>8269</v>
      </c>
      <c r="B1676" s="5" t="s">
        <v>8270</v>
      </c>
      <c r="C1676" s="3" t="s">
        <v>8271</v>
      </c>
      <c r="D1676" s="6" t="s">
        <v>8272</v>
      </c>
      <c r="E1676" s="7" t="s">
        <v>8273</v>
      </c>
      <c r="F1676" s="5" t="str">
        <f>IFERROR(__xludf.DUMMYFUNCTION("GOOGLEFINANCE(""NSE:""&amp;A1676,""name"")"),"Orbit Exports Ltd")</f>
        <v>Orbit Exports Ltd</v>
      </c>
    </row>
    <row r="1677">
      <c r="A1677" s="1" t="s">
        <v>8274</v>
      </c>
      <c r="B1677" s="5" t="s">
        <v>8275</v>
      </c>
      <c r="C1677" s="3" t="s">
        <v>8276</v>
      </c>
      <c r="D1677" s="6" t="s">
        <v>8277</v>
      </c>
      <c r="E1677" s="7" t="s">
        <v>8278</v>
      </c>
      <c r="F1677" s="5" t="str">
        <f>IFERROR(__xludf.DUMMYFUNCTION("GOOGLEFINANCE(""NSE:""&amp;A1677,""name"")"),"Orchid Pharma Ltd")</f>
        <v>Orchid Pharma Ltd</v>
      </c>
    </row>
    <row r="1678">
      <c r="A1678" s="1" t="s">
        <v>8279</v>
      </c>
      <c r="B1678" s="5" t="s">
        <v>8280</v>
      </c>
      <c r="C1678" s="3" t="s">
        <v>8281</v>
      </c>
      <c r="D1678" s="6" t="s">
        <v>8282</v>
      </c>
      <c r="E1678" s="7" t="s">
        <v>8283</v>
      </c>
      <c r="F1678" s="5" t="str">
        <f>IFERROR(__xludf.DUMMYFUNCTION("GOOGLEFINANCE(""NSE:""&amp;A1678,""name"")"),"Oricon Enterprises Ltd")</f>
        <v>Oricon Enterprises Ltd</v>
      </c>
    </row>
    <row r="1679">
      <c r="A1679" s="1" t="s">
        <v>8284</v>
      </c>
      <c r="B1679" s="5" t="s">
        <v>8285</v>
      </c>
      <c r="C1679" s="3" t="s">
        <v>8286</v>
      </c>
      <c r="D1679" s="6" t="s">
        <v>8287</v>
      </c>
      <c r="E1679" s="7" t="s">
        <v>8288</v>
      </c>
      <c r="F1679" s="5" t="str">
        <f>IFERROR(__xludf.DUMMYFUNCTION("GOOGLEFINANCE(""NSE:""&amp;A1679,""name"")"),"Orient Bell Ltd")</f>
        <v>Orient Bell Ltd</v>
      </c>
    </row>
    <row r="1680">
      <c r="A1680" s="1" t="s">
        <v>8289</v>
      </c>
      <c r="B1680" s="5" t="s">
        <v>8290</v>
      </c>
      <c r="C1680" s="3" t="s">
        <v>8291</v>
      </c>
      <c r="D1680" s="6" t="s">
        <v>8292</v>
      </c>
      <c r="E1680" s="7" t="s">
        <v>8293</v>
      </c>
      <c r="F1680" s="5" t="str">
        <f>IFERROR(__xludf.DUMMYFUNCTION("GOOGLEFINANCE(""NSE:""&amp;A1680,""name"")"),"Orient Cement Ltd")</f>
        <v>Orient Cement Ltd</v>
      </c>
    </row>
    <row r="1681">
      <c r="A1681" s="1" t="s">
        <v>8294</v>
      </c>
      <c r="B1681" s="5" t="s">
        <v>8295</v>
      </c>
      <c r="C1681" s="3" t="s">
        <v>8296</v>
      </c>
      <c r="D1681" s="6" t="s">
        <v>8297</v>
      </c>
      <c r="E1681" s="7" t="s">
        <v>8298</v>
      </c>
      <c r="F1681" s="5" t="str">
        <f>IFERROR(__xludf.DUMMYFUNCTION("GOOGLEFINANCE(""NSE:""&amp;A1681,""name"")"),"Orient Ceratech Ltd")</f>
        <v>Orient Ceratech Ltd</v>
      </c>
    </row>
    <row r="1682">
      <c r="A1682" s="1" t="s">
        <v>8299</v>
      </c>
      <c r="B1682" s="5" t="s">
        <v>8300</v>
      </c>
      <c r="C1682" s="3" t="s">
        <v>8301</v>
      </c>
      <c r="D1682" s="6" t="s">
        <v>8302</v>
      </c>
      <c r="E1682" s="7" t="s">
        <v>8303</v>
      </c>
      <c r="F1682" s="5" t="str">
        <f>IFERROR(__xludf.DUMMYFUNCTION("GOOGLEFINANCE(""NSE:""&amp;A1682,""name"")"),"Orient Electric Ltd")</f>
        <v>Orient Electric Ltd</v>
      </c>
    </row>
    <row r="1683">
      <c r="A1683" s="1" t="s">
        <v>8304</v>
      </c>
      <c r="B1683" s="5" t="s">
        <v>8305</v>
      </c>
      <c r="C1683" s="3" t="s">
        <v>8306</v>
      </c>
      <c r="D1683" s="6" t="s">
        <v>8307</v>
      </c>
      <c r="E1683" s="7" t="s">
        <v>8308</v>
      </c>
      <c r="F1683" s="5" t="str">
        <f>IFERROR(__xludf.DUMMYFUNCTION("GOOGLEFINANCE(""NSE:""&amp;A1683,""name"")"),"Orient Green Power Company Ltd")</f>
        <v>Orient Green Power Company Ltd</v>
      </c>
    </row>
    <row r="1684">
      <c r="A1684" s="1" t="s">
        <v>8309</v>
      </c>
      <c r="B1684" s="5" t="s">
        <v>8310</v>
      </c>
      <c r="C1684" s="3" t="s">
        <v>8311</v>
      </c>
      <c r="D1684" s="6" t="s">
        <v>8312</v>
      </c>
      <c r="E1684" s="7" t="s">
        <v>8313</v>
      </c>
      <c r="F1684" s="5" t="str">
        <f>IFERROR(__xludf.DUMMYFUNCTION("GOOGLEFINANCE(""NSE:""&amp;A1684,""name"")"),"Orient Paper and Industries Ltd")</f>
        <v>Orient Paper and Industries Ltd</v>
      </c>
    </row>
    <row r="1685">
      <c r="A1685" s="1" t="s">
        <v>8314</v>
      </c>
      <c r="B1685" s="5" t="s">
        <v>8315</v>
      </c>
      <c r="C1685" s="3" t="s">
        <v>8316</v>
      </c>
      <c r="D1685" s="6" t="s">
        <v>8317</v>
      </c>
      <c r="E1685" s="7" t="s">
        <v>8318</v>
      </c>
      <c r="F1685" s="5" t="str">
        <f>IFERROR(__xludf.DUMMYFUNCTION("GOOGLEFINANCE(""NSE:""&amp;A1685,""name"")"),"Orient Press Ltd")</f>
        <v>Orient Press Ltd</v>
      </c>
    </row>
    <row r="1686">
      <c r="A1686" s="1" t="s">
        <v>8319</v>
      </c>
      <c r="B1686" s="5" t="s">
        <v>8320</v>
      </c>
      <c r="C1686" s="3" t="s">
        <v>8321</v>
      </c>
      <c r="D1686" s="6" t="s">
        <v>8322</v>
      </c>
      <c r="E1686" s="7" t="s">
        <v>8323</v>
      </c>
      <c r="F1686" s="5" t="str">
        <f>IFERROR(__xludf.DUMMYFUNCTION("GOOGLEFINANCE(""NSE:""&amp;A1686,""name"")"),"Orient Technologies Ltd")</f>
        <v>Orient Technologies Ltd</v>
      </c>
    </row>
    <row r="1687">
      <c r="A1687" s="1" t="s">
        <v>8324</v>
      </c>
      <c r="B1687" s="5" t="s">
        <v>8325</v>
      </c>
      <c r="C1687" s="3" t="s">
        <v>8326</v>
      </c>
      <c r="D1687" s="6" t="s">
        <v>8327</v>
      </c>
      <c r="E1687" s="7" t="s">
        <v>8328</v>
      </c>
      <c r="F1687" s="5" t="str">
        <f>IFERROR(__xludf.DUMMYFUNCTION("GOOGLEFINANCE(""NSE:""&amp;A1687,""name"")"),"Oriental Aromatics Ltd")</f>
        <v>Oriental Aromatics Ltd</v>
      </c>
    </row>
    <row r="1688">
      <c r="A1688" s="1" t="s">
        <v>8329</v>
      </c>
      <c r="B1688" s="5" t="s">
        <v>8330</v>
      </c>
      <c r="C1688" s="3" t="s">
        <v>8331</v>
      </c>
      <c r="D1688" s="6" t="s">
        <v>8332</v>
      </c>
      <c r="E1688" s="7" t="s">
        <v>8333</v>
      </c>
      <c r="F1688" s="5" t="str">
        <f>IFERROR(__xludf.DUMMYFUNCTION("GOOGLEFINANCE(""NSE:""&amp;A1688,""name"")"),"Oriental Hotels Ltd")</f>
        <v>Oriental Hotels Ltd</v>
      </c>
    </row>
    <row r="1689">
      <c r="A1689" s="1" t="s">
        <v>8334</v>
      </c>
      <c r="B1689" s="5" t="s">
        <v>8335</v>
      </c>
      <c r="C1689" s="3" t="s">
        <v>8336</v>
      </c>
      <c r="D1689" s="6" t="s">
        <v>8337</v>
      </c>
      <c r="E1689" s="7" t="s">
        <v>8338</v>
      </c>
      <c r="F1689" s="5" t="str">
        <f>IFERROR(__xludf.DUMMYFUNCTION("GOOGLEFINANCE(""NSE:""&amp;A1689,""name"")"),"Oriental Trimex Ltd")</f>
        <v>Oriental Trimex Ltd</v>
      </c>
    </row>
    <row r="1690">
      <c r="A1690" s="1" t="s">
        <v>8339</v>
      </c>
      <c r="B1690" s="5" t="s">
        <v>8340</v>
      </c>
      <c r="C1690" s="3" t="s">
        <v>8341</v>
      </c>
      <c r="D1690" s="6" t="s">
        <v>8342</v>
      </c>
      <c r="E1690" s="7" t="s">
        <v>8343</v>
      </c>
      <c r="F1690" s="5" t="str">
        <f>IFERROR(__xludf.DUMMYFUNCTION("GOOGLEFINANCE(""NSE:""&amp;A1690,""name"")"),"Orissa Bengal Carrier Ltd")</f>
        <v>Orissa Bengal Carrier Ltd</v>
      </c>
    </row>
    <row r="1691">
      <c r="A1691" s="1" t="s">
        <v>8344</v>
      </c>
      <c r="B1691" s="5" t="s">
        <v>8345</v>
      </c>
      <c r="C1691" s="3" t="s">
        <v>8346</v>
      </c>
      <c r="D1691" s="6" t="s">
        <v>8347</v>
      </c>
      <c r="E1691" s="7" t="s">
        <v>8348</v>
      </c>
      <c r="F1691" s="5" t="str">
        <f>IFERROR(__xludf.DUMMYFUNCTION("GOOGLEFINANCE(""NSE:""&amp;A1691,""name"")"),"Orkla India Ltd")</f>
        <v>Orkla India Ltd</v>
      </c>
    </row>
    <row r="1692">
      <c r="A1692" s="1" t="s">
        <v>8349</v>
      </c>
      <c r="B1692" s="5" t="s">
        <v>8350</v>
      </c>
      <c r="C1692" s="3" t="s">
        <v>8351</v>
      </c>
      <c r="D1692" s="6" t="s">
        <v>8352</v>
      </c>
      <c r="E1692" s="7" t="s">
        <v>8353</v>
      </c>
      <c r="F1692" s="5" t="str">
        <f>IFERROR(__xludf.DUMMYFUNCTION("GOOGLEFINANCE(""NSE:""&amp;A1692,""name"")"),"Ortin Global Ltd")</f>
        <v>Ortin Global Ltd</v>
      </c>
    </row>
    <row r="1693">
      <c r="A1693" s="1" t="s">
        <v>8354</v>
      </c>
      <c r="B1693" s="5" t="s">
        <v>8355</v>
      </c>
      <c r="C1693" s="3" t="s">
        <v>8356</v>
      </c>
      <c r="D1693" s="6" t="s">
        <v>8357</v>
      </c>
      <c r="E1693" s="7" t="s">
        <v>8358</v>
      </c>
      <c r="F1693" s="5" t="str">
        <f>IFERROR(__xludf.DUMMYFUNCTION("GOOGLEFINANCE(""NSE:""&amp;A1693,""name"")"),"Osia Hyper Retail Ltd")</f>
        <v>Osia Hyper Retail Ltd</v>
      </c>
    </row>
    <row r="1694">
      <c r="A1694" s="1" t="s">
        <v>8359</v>
      </c>
      <c r="B1694" s="5" t="s">
        <v>8360</v>
      </c>
      <c r="C1694" s="3" t="s">
        <v>8361</v>
      </c>
      <c r="D1694" s="6" t="s">
        <v>8362</v>
      </c>
      <c r="E1694" s="7" t="s">
        <v>8363</v>
      </c>
      <c r="F1694" s="5" t="str">
        <f>IFERROR(__xludf.DUMMYFUNCTION("GOOGLEFINANCE(""NSE:""&amp;A1694,""name"")"),"Oswal Agro Mills Ltd")</f>
        <v>Oswal Agro Mills Ltd</v>
      </c>
    </row>
    <row r="1695">
      <c r="A1695" s="1" t="s">
        <v>8364</v>
      </c>
      <c r="B1695" s="5" t="s">
        <v>8365</v>
      </c>
      <c r="C1695" s="3" t="s">
        <v>8366</v>
      </c>
      <c r="D1695" s="6" t="s">
        <v>8367</v>
      </c>
      <c r="E1695" s="7" t="s">
        <v>8368</v>
      </c>
      <c r="F1695" s="5" t="str">
        <f>IFERROR(__xludf.DUMMYFUNCTION("GOOGLEFINANCE(""NSE:""&amp;A1695,""name"")"),"Oswal Greentech Ltd")</f>
        <v>Oswal Greentech Ltd</v>
      </c>
    </row>
    <row r="1696">
      <c r="A1696" s="1" t="s">
        <v>8369</v>
      </c>
      <c r="B1696" s="5" t="s">
        <v>8369</v>
      </c>
      <c r="C1696" s="3" t="s">
        <v>8370</v>
      </c>
      <c r="D1696" s="6" t="s">
        <v>8371</v>
      </c>
      <c r="E1696" s="7" t="s">
        <v>8372</v>
      </c>
      <c r="F1696" s="5" t="str">
        <f>IFERROR(__xludf.DUMMYFUNCTION("GOOGLEFINANCE(""NSE:""&amp;A1696,""name"")"),"Oswal Pumps Ltd")</f>
        <v>Oswal Pumps Ltd</v>
      </c>
    </row>
    <row r="1697">
      <c r="A1697" s="1" t="s">
        <v>8373</v>
      </c>
      <c r="B1697" s="5" t="s">
        <v>8374</v>
      </c>
      <c r="C1697" s="3" t="s">
        <v>8375</v>
      </c>
      <c r="D1697" s="6" t="s">
        <v>8376</v>
      </c>
      <c r="E1697" s="7" t="s">
        <v>8377</v>
      </c>
      <c r="F1697" s="5" t="str">
        <f>IFERROR(__xludf.DUMMYFUNCTION("GOOGLEFINANCE(""NSE:""&amp;A1697,""name"")"),"P N Gadgil Jewellers Ltd")</f>
        <v>P N Gadgil Jewellers Ltd</v>
      </c>
    </row>
    <row r="1698">
      <c r="A1698" s="1" t="s">
        <v>8378</v>
      </c>
      <c r="B1698" s="5" t="s">
        <v>8379</v>
      </c>
      <c r="C1698" s="3" t="s">
        <v>8380</v>
      </c>
      <c r="D1698" s="6" t="s">
        <v>8381</v>
      </c>
      <c r="E1698" s="7" t="s">
        <v>8382</v>
      </c>
      <c r="F1698" s="5" t="str">
        <f>IFERROR(__xludf.DUMMYFUNCTION("GOOGLEFINANCE(""NSE:""&amp;A1698,""name"")"),"Pace Digitek Ltd")</f>
        <v>Pace Digitek Ltd</v>
      </c>
    </row>
    <row r="1699">
      <c r="A1699" s="1" t="s">
        <v>8383</v>
      </c>
      <c r="B1699" s="5" t="s">
        <v>8384</v>
      </c>
      <c r="C1699" s="3" t="s">
        <v>8385</v>
      </c>
      <c r="D1699" s="6" t="s">
        <v>8386</v>
      </c>
      <c r="E1699" s="7" t="s">
        <v>8387</v>
      </c>
      <c r="F1699" s="5" t="str">
        <f>IFERROR(__xludf.DUMMYFUNCTION("GOOGLEFINANCE(""NSE:""&amp;A1699,""name"")"),"Page Industries Ltd")</f>
        <v>Page Industries Ltd</v>
      </c>
    </row>
    <row r="1700">
      <c r="A1700" s="1" t="s">
        <v>8388</v>
      </c>
      <c r="B1700" s="5" t="s">
        <v>8389</v>
      </c>
      <c r="C1700" s="3" t="s">
        <v>8390</v>
      </c>
      <c r="D1700" s="6" t="s">
        <v>8391</v>
      </c>
      <c r="E1700" s="7" t="s">
        <v>8392</v>
      </c>
      <c r="F1700" s="5" t="str">
        <f>IFERROR(__xludf.DUMMYFUNCTION("GOOGLEFINANCE(""NSE:""&amp;A1700,""name"")"),"Paisalo Digital Ltd")</f>
        <v>Paisalo Digital Ltd</v>
      </c>
    </row>
    <row r="1701">
      <c r="A1701" s="1" t="s">
        <v>8393</v>
      </c>
      <c r="B1701" s="5" t="s">
        <v>8394</v>
      </c>
      <c r="C1701" s="3" t="s">
        <v>8395</v>
      </c>
      <c r="D1701" s="6" t="s">
        <v>8396</v>
      </c>
      <c r="E1701" s="7" t="s">
        <v>8397</v>
      </c>
      <c r="F1701" s="5" t="str">
        <f>IFERROR(__xludf.DUMMYFUNCTION("GOOGLEFINANCE(""NSE:""&amp;A1701,""name"")"),"Pakka Limited")</f>
        <v>Pakka Limited</v>
      </c>
    </row>
    <row r="1702">
      <c r="A1702" s="1" t="s">
        <v>8398</v>
      </c>
      <c r="B1702" s="5" t="s">
        <v>8399</v>
      </c>
      <c r="C1702" s="3" t="s">
        <v>8400</v>
      </c>
      <c r="D1702" s="6" t="s">
        <v>8401</v>
      </c>
      <c r="E1702" s="7" t="s">
        <v>8402</v>
      </c>
      <c r="F1702" s="5" t="str">
        <f>IFERROR(__xludf.DUMMYFUNCTION("GOOGLEFINANCE(""NSE:""&amp;A1702,""name"")"),"Palash Securities Ltd")</f>
        <v>Palash Securities Ltd</v>
      </c>
    </row>
    <row r="1703">
      <c r="A1703" s="1" t="s">
        <v>8403</v>
      </c>
      <c r="B1703" s="5" t="s">
        <v>8404</v>
      </c>
      <c r="C1703" s="3" t="s">
        <v>8405</v>
      </c>
      <c r="D1703" s="6" t="s">
        <v>8406</v>
      </c>
      <c r="E1703" s="7" t="s">
        <v>8407</v>
      </c>
      <c r="F1703" s="5" t="str">
        <f>IFERROR(__xludf.DUMMYFUNCTION("GOOGLEFINANCE(""NSE:""&amp;A1703,""name"")"),"Palred Technologies Ltd")</f>
        <v>Palred Technologies Ltd</v>
      </c>
    </row>
    <row r="1704">
      <c r="A1704" s="1" t="s">
        <v>8408</v>
      </c>
      <c r="B1704" s="5" t="s">
        <v>8409</v>
      </c>
      <c r="C1704" s="3" t="s">
        <v>8410</v>
      </c>
      <c r="D1704" s="6" t="s">
        <v>8411</v>
      </c>
      <c r="E1704" s="7" t="s">
        <v>8412</v>
      </c>
      <c r="F1704" s="5" t="str">
        <f>IFERROR(__xludf.DUMMYFUNCTION("GOOGLEFINANCE(""NSE:""&amp;A1704,""name"")"),"Panacea Biotec Ltd")</f>
        <v>Panacea Biotec Ltd</v>
      </c>
    </row>
    <row r="1705">
      <c r="A1705" s="1" t="s">
        <v>8413</v>
      </c>
      <c r="B1705" s="5" t="s">
        <v>8414</v>
      </c>
      <c r="C1705" s="3" t="s">
        <v>8415</v>
      </c>
      <c r="D1705" s="6" t="s">
        <v>8416</v>
      </c>
      <c r="E1705" s="7" t="s">
        <v>8417</v>
      </c>
      <c r="F1705" s="5" t="str">
        <f>IFERROR(__xludf.DUMMYFUNCTION("GOOGLEFINANCE(""NSE:""&amp;A1705,""name"")"),"Panache Digilife Ltd")</f>
        <v>Panache Digilife Ltd</v>
      </c>
    </row>
    <row r="1706">
      <c r="A1706" s="1" t="s">
        <v>8418</v>
      </c>
      <c r="B1706" s="5" t="s">
        <v>8419</v>
      </c>
      <c r="C1706" s="3" t="s">
        <v>8420</v>
      </c>
      <c r="D1706" s="6" t="s">
        <v>8421</v>
      </c>
      <c r="E1706" s="7" t="s">
        <v>8422</v>
      </c>
      <c r="F1706" s="5" t="str">
        <f>IFERROR(__xludf.DUMMYFUNCTION("GOOGLEFINANCE(""NSE:""&amp;A1706,""name"")"),"Panama Petrochem Ltd")</f>
        <v>Panama Petrochem Ltd</v>
      </c>
    </row>
    <row r="1707">
      <c r="A1707" s="1" t="s">
        <v>8423</v>
      </c>
      <c r="B1707" s="5" t="s">
        <v>8424</v>
      </c>
      <c r="C1707" s="3" t="s">
        <v>8425</v>
      </c>
      <c r="D1707" s="6" t="s">
        <v>8426</v>
      </c>
      <c r="E1707" s="7" t="s">
        <v>8427</v>
      </c>
      <c r="F1707" s="5" t="str">
        <f>IFERROR(__xludf.DUMMYFUNCTION("GOOGLEFINANCE(""NSE:""&amp;A1707,""name"")"),"Pansari Developers Ltd")</f>
        <v>Pansari Developers Ltd</v>
      </c>
    </row>
    <row r="1708">
      <c r="A1708" s="1" t="s">
        <v>8428</v>
      </c>
      <c r="B1708" s="5" t="s">
        <v>8429</v>
      </c>
      <c r="C1708" s="3" t="s">
        <v>8430</v>
      </c>
      <c r="D1708" s="6" t="s">
        <v>8431</v>
      </c>
      <c r="E1708" s="7" t="s">
        <v>8432</v>
      </c>
      <c r="F1708" s="5" t="str">
        <f>IFERROR(__xludf.DUMMYFUNCTION("GOOGLEFINANCE(""NSE:""&amp;A1708,""name"")"),"Par Drugs and Chemicals Ltd")</f>
        <v>Par Drugs and Chemicals Ltd</v>
      </c>
    </row>
    <row r="1709">
      <c r="A1709" s="1" t="s">
        <v>8433</v>
      </c>
      <c r="B1709" s="5" t="s">
        <v>8434</v>
      </c>
      <c r="C1709" s="3" t="s">
        <v>8435</v>
      </c>
      <c r="D1709" s="6" t="s">
        <v>8436</v>
      </c>
      <c r="E1709" s="7" t="s">
        <v>8437</v>
      </c>
      <c r="F1709" s="5" t="str">
        <f>IFERROR(__xludf.DUMMYFUNCTION("GOOGLEFINANCE(""NSE:""&amp;A1709,""name"")"),"Paradeep Phosphates Ltd")</f>
        <v>Paradeep Phosphates Ltd</v>
      </c>
    </row>
    <row r="1710">
      <c r="A1710" s="1" t="s">
        <v>8438</v>
      </c>
      <c r="B1710" s="5" t="s">
        <v>8439</v>
      </c>
      <c r="C1710" s="3" t="s">
        <v>8440</v>
      </c>
      <c r="D1710" s="6" t="s">
        <v>8441</v>
      </c>
      <c r="E1710" s="7" t="s">
        <v>8442</v>
      </c>
      <c r="F1710" s="5" t="str">
        <f>IFERROR(__xludf.DUMMYFUNCTION("GOOGLEFINANCE(""NSE:""&amp;A1710,""name"")"),"Parag Milk Foods Ltd")</f>
        <v>Parag Milk Foods Ltd</v>
      </c>
    </row>
    <row r="1711">
      <c r="A1711" s="1" t="s">
        <v>8443</v>
      </c>
      <c r="B1711" s="5" t="s">
        <v>8444</v>
      </c>
      <c r="C1711" s="3" t="s">
        <v>8445</v>
      </c>
      <c r="D1711" s="6" t="s">
        <v>8446</v>
      </c>
      <c r="E1711" s="7" t="s">
        <v>8447</v>
      </c>
      <c r="F1711" s="5" t="str">
        <f>IFERROR(__xludf.DUMMYFUNCTION("GOOGLEFINANCE(""NSE:""&amp;A1711,""name"")"),"Paramount Communications Ltd")</f>
        <v>Paramount Communications Ltd</v>
      </c>
    </row>
    <row r="1712">
      <c r="A1712" s="1" t="s">
        <v>8448</v>
      </c>
      <c r="B1712" s="5" t="s">
        <v>8449</v>
      </c>
      <c r="C1712" s="3" t="s">
        <v>8450</v>
      </c>
      <c r="D1712" s="6" t="s">
        <v>8451</v>
      </c>
      <c r="E1712" s="7" t="s">
        <v>8452</v>
      </c>
      <c r="F1712" s="5" t="str">
        <f>IFERROR(__xludf.DUMMYFUNCTION("GOOGLEFINANCE(""NSE:""&amp;A1712,""name"")"),"Paras Defence and Space Technologies Ltd")</f>
        <v>Paras Defence and Space Technologies Ltd</v>
      </c>
    </row>
    <row r="1713">
      <c r="A1713" s="1" t="s">
        <v>8453</v>
      </c>
      <c r="B1713" s="5" t="s">
        <v>8454</v>
      </c>
      <c r="C1713" s="3" t="s">
        <v>8455</v>
      </c>
      <c r="D1713" s="6" t="s">
        <v>8456</v>
      </c>
      <c r="E1713" s="7" t="s">
        <v>8457</v>
      </c>
      <c r="F1713" s="5" t="str">
        <f>IFERROR(__xludf.DUMMYFUNCTION("GOOGLEFINANCE(""NSE:""&amp;A1713,""name"")"),"Parsvnath Developers Ltd")</f>
        <v>Parsvnath Developers Ltd</v>
      </c>
    </row>
    <row r="1714">
      <c r="A1714" s="1" t="s">
        <v>8458</v>
      </c>
      <c r="B1714" s="5" t="s">
        <v>8459</v>
      </c>
      <c r="C1714" s="3" t="s">
        <v>8460</v>
      </c>
      <c r="D1714" s="6" t="s">
        <v>8461</v>
      </c>
      <c r="E1714" s="7" t="s">
        <v>8462</v>
      </c>
      <c r="F1714" s="5" t="str">
        <f>IFERROR(__xludf.DUMMYFUNCTION("GOOGLEFINANCE(""NSE:""&amp;A1714,""name"")"),"Pashupati Cotspin Ltd")</f>
        <v>Pashupati Cotspin Ltd</v>
      </c>
    </row>
    <row r="1715">
      <c r="A1715" s="1" t="s">
        <v>8463</v>
      </c>
      <c r="B1715" s="5" t="s">
        <v>8464</v>
      </c>
      <c r="C1715" s="3" t="s">
        <v>8465</v>
      </c>
      <c r="D1715" s="6" t="s">
        <v>8466</v>
      </c>
      <c r="E1715" s="7" t="s">
        <v>8467</v>
      </c>
      <c r="F1715" s="5" t="str">
        <f>IFERROR(__xludf.DUMMYFUNCTION("GOOGLEFINANCE(""NSE:""&amp;A1715,""name"")"),"Pasupati Acrylon Ltd")</f>
        <v>Pasupati Acrylon Ltd</v>
      </c>
    </row>
    <row r="1716">
      <c r="A1716" s="1" t="s">
        <v>8468</v>
      </c>
      <c r="B1716" s="5" t="s">
        <v>8469</v>
      </c>
      <c r="C1716" s="3" t="s">
        <v>8470</v>
      </c>
      <c r="D1716" s="6" t="s">
        <v>8471</v>
      </c>
      <c r="E1716" s="7" t="s">
        <v>8472</v>
      </c>
      <c r="F1716" s="5" t="str">
        <f>IFERROR(__xludf.DUMMYFUNCTION("GOOGLEFINANCE(""NSE:""&amp;A1716,""name"")"),"Patanjali Foods Ltd")</f>
        <v>Patanjali Foods Ltd</v>
      </c>
    </row>
    <row r="1717">
      <c r="A1717" s="1" t="s">
        <v>8473</v>
      </c>
      <c r="B1717" s="5" t="s">
        <v>8474</v>
      </c>
      <c r="C1717" s="3" t="s">
        <v>8475</v>
      </c>
      <c r="D1717" s="6" t="s">
        <v>8476</v>
      </c>
      <c r="E1717" s="7" t="s">
        <v>8477</v>
      </c>
      <c r="F1717" s="5" t="str">
        <f>IFERROR(__xludf.DUMMYFUNCTION("GOOGLEFINANCE(""NSE:""&amp;A1717,""name"")"),"Patel Engineering Ltd")</f>
        <v>Patel Engineering Ltd</v>
      </c>
    </row>
    <row r="1718">
      <c r="A1718" s="1" t="s">
        <v>8478</v>
      </c>
      <c r="B1718" s="5" t="s">
        <v>8479</v>
      </c>
      <c r="C1718" s="3" t="s">
        <v>8480</v>
      </c>
      <c r="D1718" s="6" t="s">
        <v>8481</v>
      </c>
      <c r="E1718" s="7" t="s">
        <v>8482</v>
      </c>
      <c r="F1718" s="5" t="str">
        <f>IFERROR(__xludf.DUMMYFUNCTION("GOOGLEFINANCE(""NSE:""&amp;A1718,""name"")"),"Patel Integrated Logistics Ltd")</f>
        <v>Patel Integrated Logistics Ltd</v>
      </c>
    </row>
    <row r="1719">
      <c r="A1719" s="1" t="s">
        <v>8483</v>
      </c>
      <c r="B1719" s="5" t="s">
        <v>8484</v>
      </c>
      <c r="C1719" s="3" t="s">
        <v>8485</v>
      </c>
      <c r="D1719" s="6" t="s">
        <v>8486</v>
      </c>
      <c r="E1719" s="7" t="s">
        <v>8487</v>
      </c>
      <c r="F1719" s="5" t="str">
        <f>IFERROR(__xludf.DUMMYFUNCTION("GOOGLEFINANCE(""NSE:""&amp;A1719,""name"")"),"Patel Retail Ltd")</f>
        <v>Patel Retail Ltd</v>
      </c>
    </row>
    <row r="1720">
      <c r="A1720" s="1" t="s">
        <v>8488</v>
      </c>
      <c r="B1720" s="5" t="s">
        <v>8489</v>
      </c>
      <c r="C1720" s="3" t="s">
        <v>8490</v>
      </c>
      <c r="D1720" s="6" t="s">
        <v>8491</v>
      </c>
      <c r="E1720" s="7" t="s">
        <v>8492</v>
      </c>
      <c r="F1720" s="5" t="str">
        <f>IFERROR(__xludf.DUMMYFUNCTION("GOOGLEFINANCE(""NSE:""&amp;A1720,""name"")"),"Pavna Industries Ltd")</f>
        <v>Pavna Industries Ltd</v>
      </c>
    </row>
    <row r="1721">
      <c r="A1721" s="1" t="s">
        <v>8493</v>
      </c>
      <c r="B1721" s="5" t="s">
        <v>8494</v>
      </c>
      <c r="C1721" s="3" t="s">
        <v>8495</v>
      </c>
      <c r="D1721" s="6" t="s">
        <v>8496</v>
      </c>
      <c r="E1721" s="7" t="s">
        <v>8497</v>
      </c>
      <c r="F1721" s="5" t="str">
        <f>IFERROR(__xludf.DUMMYFUNCTION("GOOGLEFINANCE(""NSE:""&amp;A1721,""name"")"),"PB Fintech Ltd")</f>
        <v>PB Fintech Ltd</v>
      </c>
    </row>
    <row r="1722">
      <c r="A1722" s="1" t="s">
        <v>8498</v>
      </c>
      <c r="B1722" s="5" t="s">
        <v>8499</v>
      </c>
      <c r="C1722" s="3" t="s">
        <v>8500</v>
      </c>
      <c r="D1722" s="6" t="s">
        <v>8501</v>
      </c>
      <c r="E1722" s="7" t="s">
        <v>8502</v>
      </c>
      <c r="F1722" s="5" t="str">
        <f>IFERROR(__xludf.DUMMYFUNCTION("GOOGLEFINANCE(""NSE:""&amp;A1722,""name"")"),"PC Jeweller Ltd")</f>
        <v>PC Jeweller Ltd</v>
      </c>
    </row>
    <row r="1723">
      <c r="A1723" s="1" t="s">
        <v>8503</v>
      </c>
      <c r="B1723" s="5" t="s">
        <v>8504</v>
      </c>
      <c r="C1723" s="3" t="s">
        <v>8505</v>
      </c>
      <c r="D1723" s="6" t="s">
        <v>8506</v>
      </c>
      <c r="E1723" s="7" t="s">
        <v>8507</v>
      </c>
      <c r="F1723" s="5" t="str">
        <f>IFERROR(__xludf.DUMMYFUNCTION("GOOGLEFINANCE(""NSE:""&amp;A1723,""name"")"),"PCBL Chemical Ltd")</f>
        <v>PCBL Chemical Ltd</v>
      </c>
    </row>
    <row r="1724">
      <c r="A1724" s="1" t="s">
        <v>8508</v>
      </c>
      <c r="B1724" s="5" t="s">
        <v>8509</v>
      </c>
      <c r="C1724" s="3" t="s">
        <v>8510</v>
      </c>
      <c r="D1724" s="6" t="s">
        <v>8511</v>
      </c>
      <c r="E1724" s="7" t="s">
        <v>8512</v>
      </c>
      <c r="F1724" s="5" t="str">
        <f>IFERROR(__xludf.DUMMYFUNCTION("GOOGLEFINANCE(""NSE:""&amp;A1724,""name"")"),"PDS Ltd")</f>
        <v>PDS Ltd</v>
      </c>
    </row>
    <row r="1725">
      <c r="A1725" s="1" t="s">
        <v>8513</v>
      </c>
      <c r="B1725" s="5" t="s">
        <v>8514</v>
      </c>
      <c r="C1725" s="3" t="s">
        <v>8515</v>
      </c>
      <c r="D1725" s="6" t="s">
        <v>8516</v>
      </c>
      <c r="E1725" s="7" t="s">
        <v>8517</v>
      </c>
      <c r="F1725" s="5" t="str">
        <f>IFERROR(__xludf.DUMMYFUNCTION("GOOGLEFINANCE(""NSE:""&amp;A1725,""name"")"),"Pearl Global Industries Ltd")</f>
        <v>Pearl Global Industries Ltd</v>
      </c>
    </row>
    <row r="1726">
      <c r="A1726" s="1" t="s">
        <v>8518</v>
      </c>
      <c r="B1726" s="5" t="s">
        <v>8519</v>
      </c>
      <c r="C1726" s="3" t="s">
        <v>8520</v>
      </c>
      <c r="D1726" s="6" t="s">
        <v>8521</v>
      </c>
      <c r="E1726" s="7" t="s">
        <v>8522</v>
      </c>
      <c r="F1726" s="5" t="str">
        <f>IFERROR(__xludf.DUMMYFUNCTION("GOOGLEFINANCE(""NSE:""&amp;A1726,""name"")"),"Pearl Polymers Ltd")</f>
        <v>Pearl Polymers Ltd</v>
      </c>
    </row>
    <row r="1727">
      <c r="A1727" s="1" t="s">
        <v>8523</v>
      </c>
      <c r="B1727" s="5" t="s">
        <v>8524</v>
      </c>
      <c r="C1727" s="3" t="s">
        <v>8525</v>
      </c>
      <c r="D1727" s="6" t="s">
        <v>8526</v>
      </c>
      <c r="E1727" s="7" t="s">
        <v>8527</v>
      </c>
      <c r="F1727" s="5" t="str">
        <f>IFERROR(__xludf.DUMMYFUNCTION("GOOGLEFINANCE(""NSE:""&amp;A1727,""name"")"),"Peninsula Land Ltd")</f>
        <v>Peninsula Land Ltd</v>
      </c>
    </row>
    <row r="1728">
      <c r="A1728" s="1" t="s">
        <v>8528</v>
      </c>
      <c r="B1728" s="5" t="s">
        <v>8529</v>
      </c>
      <c r="C1728" s="3" t="s">
        <v>8530</v>
      </c>
      <c r="D1728" s="6" t="s">
        <v>8531</v>
      </c>
      <c r="E1728" s="7" t="s">
        <v>8532</v>
      </c>
      <c r="F1728" s="5" t="str">
        <f>IFERROR(__xludf.DUMMYFUNCTION("GOOGLEFINANCE(""NSE:""&amp;A1728,""name"")"),"Pennar Industries Ltd")</f>
        <v>Pennar Industries Ltd</v>
      </c>
    </row>
    <row r="1729">
      <c r="A1729" s="1" t="s">
        <v>8533</v>
      </c>
      <c r="B1729" s="5" t="s">
        <v>8534</v>
      </c>
      <c r="C1729" s="3" t="s">
        <v>8535</v>
      </c>
      <c r="D1729" s="6" t="s">
        <v>8536</v>
      </c>
      <c r="E1729" s="7" t="s">
        <v>8537</v>
      </c>
      <c r="F1729" s="5" t="str">
        <f>IFERROR(__xludf.DUMMYFUNCTION("GOOGLEFINANCE(""NSE:""&amp;A1729,""name"")"),"Persistent Systems Ltd")</f>
        <v>Persistent Systems Ltd</v>
      </c>
    </row>
    <row r="1730">
      <c r="A1730" s="1" t="s">
        <v>8538</v>
      </c>
      <c r="B1730" s="5" t="s">
        <v>8539</v>
      </c>
      <c r="C1730" s="3" t="s">
        <v>8540</v>
      </c>
      <c r="D1730" s="6" t="s">
        <v>8541</v>
      </c>
      <c r="E1730" s="7" t="s">
        <v>8542</v>
      </c>
      <c r="F1730" s="5" t="str">
        <f>IFERROR(__xludf.DUMMYFUNCTION("GOOGLEFINANCE(""NSE:""&amp;A1730,""name"")"),"Petronet LNG Ltd")</f>
        <v>Petronet LNG Ltd</v>
      </c>
    </row>
    <row r="1731">
      <c r="A1731" s="1" t="s">
        <v>8543</v>
      </c>
      <c r="B1731" s="5" t="s">
        <v>8544</v>
      </c>
      <c r="C1731" s="3" t="s">
        <v>8545</v>
      </c>
      <c r="D1731" s="6" t="s">
        <v>8546</v>
      </c>
      <c r="E1731" s="7" t="s">
        <v>8547</v>
      </c>
      <c r="F1731" s="5" t="str">
        <f>IFERROR(__xludf.DUMMYFUNCTION("GOOGLEFINANCE(""NSE:""&amp;A1731,""name"")"),"Pfizer Ltd")</f>
        <v>Pfizer Ltd</v>
      </c>
    </row>
    <row r="1732">
      <c r="A1732" s="1" t="s">
        <v>8548</v>
      </c>
      <c r="B1732" s="5" t="s">
        <v>8549</v>
      </c>
      <c r="C1732" s="3" t="s">
        <v>8550</v>
      </c>
      <c r="D1732" s="6" t="s">
        <v>8551</v>
      </c>
      <c r="E1732" s="7" t="s">
        <v>8552</v>
      </c>
      <c r="F1732" s="5" t="str">
        <f>IFERROR(__xludf.DUMMYFUNCTION("GOOGLEFINANCE(""NSE:""&amp;A1732,""name"")"),"PG Electroplast Ltd")</f>
        <v>PG Electroplast Ltd</v>
      </c>
    </row>
    <row r="1733">
      <c r="A1733" s="1" t="s">
        <v>8553</v>
      </c>
      <c r="B1733" s="5" t="s">
        <v>8554</v>
      </c>
      <c r="C1733" s="3" t="s">
        <v>8555</v>
      </c>
      <c r="D1733" s="6" t="s">
        <v>8556</v>
      </c>
      <c r="E1733" s="7" t="s">
        <v>8557</v>
      </c>
      <c r="F1733" s="5" t="str">
        <f>IFERROR(__xludf.DUMMYFUNCTION("GOOGLEFINANCE(""NSE:""&amp;A1733,""name"")"),"Physicswallah Ltd")</f>
        <v>Physicswallah Ltd</v>
      </c>
    </row>
    <row r="1734">
      <c r="A1734" s="1" t="s">
        <v>8558</v>
      </c>
      <c r="B1734" s="5" t="s">
        <v>8559</v>
      </c>
      <c r="C1734" s="3" t="s">
        <v>8560</v>
      </c>
      <c r="D1734" s="6" t="s">
        <v>8561</v>
      </c>
      <c r="E1734" s="7" t="s">
        <v>8562</v>
      </c>
      <c r="F1734" s="5" t="str">
        <f>IFERROR(__xludf.DUMMYFUNCTION("GOOGLEFINANCE(""NSE:""&amp;A1734,""name"")"),"PI Industries Ltd")</f>
        <v>PI Industries Ltd</v>
      </c>
    </row>
    <row r="1735">
      <c r="A1735" s="1" t="s">
        <v>8563</v>
      </c>
      <c r="B1735" s="5" t="s">
        <v>8564</v>
      </c>
      <c r="C1735" s="3" t="s">
        <v>8565</v>
      </c>
      <c r="D1735" s="6" t="s">
        <v>8566</v>
      </c>
      <c r="E1735" s="7" t="s">
        <v>8567</v>
      </c>
      <c r="F1735" s="5" t="str">
        <f>IFERROR(__xludf.DUMMYFUNCTION("GOOGLEFINANCE(""NSE:""&amp;A1735,""name"")"),"Piccadily Agro Industries Ltd")</f>
        <v>Piccadily Agro Industries Ltd</v>
      </c>
    </row>
    <row r="1736">
      <c r="A1736" s="1" t="s">
        <v>8568</v>
      </c>
      <c r="B1736" s="5" t="s">
        <v>8569</v>
      </c>
      <c r="C1736" s="3" t="s">
        <v>8570</v>
      </c>
      <c r="D1736" s="6" t="s">
        <v>8571</v>
      </c>
      <c r="E1736" s="7" t="s">
        <v>8572</v>
      </c>
      <c r="F1736" s="5" t="str">
        <f>IFERROR(__xludf.DUMMYFUNCTION("GOOGLEFINANCE(""NSE:""&amp;A1736,""name"")"),"Pidilite Industries Ltd")</f>
        <v>Pidilite Industries Ltd</v>
      </c>
    </row>
    <row r="1737">
      <c r="A1737" s="1" t="s">
        <v>8573</v>
      </c>
      <c r="B1737" s="5" t="s">
        <v>8574</v>
      </c>
      <c r="C1737" s="3" t="s">
        <v>8575</v>
      </c>
      <c r="D1737" s="6" t="s">
        <v>8576</v>
      </c>
      <c r="E1737" s="7" t="s">
        <v>8577</v>
      </c>
      <c r="F1737" s="5" t="str">
        <f>IFERROR(__xludf.DUMMYFUNCTION("GOOGLEFINANCE(""NSE:""&amp;A1737,""name"")"),"Pil Italica Lifestyle Ltd")</f>
        <v>Pil Italica Lifestyle Ltd</v>
      </c>
    </row>
    <row r="1738">
      <c r="A1738" s="1" t="s">
        <v>8578</v>
      </c>
      <c r="B1738" s="5" t="s">
        <v>8579</v>
      </c>
      <c r="C1738" s="3" t="s">
        <v>8580</v>
      </c>
      <c r="D1738" s="6" t="s">
        <v>8581</v>
      </c>
      <c r="E1738" s="7" t="s">
        <v>8582</v>
      </c>
      <c r="F1738" s="5" t="str">
        <f>IFERROR(__xludf.DUMMYFUNCTION("GOOGLEFINANCE(""NSE:""&amp;A1738,""name"")"),"Pilani Investment &amp; Industries Corp Ltd")</f>
        <v>Pilani Investment &amp; Industries Corp Ltd</v>
      </c>
    </row>
    <row r="1739">
      <c r="A1739" s="1" t="s">
        <v>8583</v>
      </c>
      <c r="B1739" s="5" t="s">
        <v>8583</v>
      </c>
      <c r="C1739" s="3" t="s">
        <v>8584</v>
      </c>
      <c r="D1739" s="6" t="s">
        <v>8585</v>
      </c>
      <c r="E1739" s="7" t="s">
        <v>8586</v>
      </c>
      <c r="F1739" s="5" t="str">
        <f>IFERROR(__xludf.DUMMYFUNCTION("GOOGLEFINANCE(""NSE:""&amp;A1739,""name"")"),"Pine Labs Ltd")</f>
        <v>Pine Labs Ltd</v>
      </c>
    </row>
    <row r="1740">
      <c r="A1740" s="1" t="s">
        <v>8587</v>
      </c>
      <c r="B1740" s="5" t="s">
        <v>8588</v>
      </c>
      <c r="C1740" s="3" t="s">
        <v>8589</v>
      </c>
      <c r="D1740" s="6" t="s">
        <v>8590</v>
      </c>
      <c r="E1740" s="7" t="s">
        <v>8591</v>
      </c>
      <c r="F1740" s="5" t="str">
        <f>IFERROR(__xludf.DUMMYFUNCTION("GOOGLEFINANCE(""NSE:""&amp;A1740,""name"")"),"Pioneer Embroideries Ltd")</f>
        <v>Pioneer Embroideries Ltd</v>
      </c>
    </row>
    <row r="1741">
      <c r="A1741" s="1" t="s">
        <v>8592</v>
      </c>
      <c r="B1741" s="5" t="s">
        <v>8593</v>
      </c>
      <c r="C1741" s="3" t="s">
        <v>8594</v>
      </c>
      <c r="D1741" s="6" t="s">
        <v>8595</v>
      </c>
      <c r="E1741" s="7" t="s">
        <v>8596</v>
      </c>
      <c r="F1741" s="5" t="str">
        <f>IFERROR(__xludf.DUMMYFUNCTION("GOOGLEFINANCE(""NSE:""&amp;A1741,""name"")"),"Piramal Pharma Ltd")</f>
        <v>Piramal Pharma Ltd</v>
      </c>
    </row>
    <row r="1742">
      <c r="A1742" s="1" t="s">
        <v>8597</v>
      </c>
      <c r="B1742" s="5" t="s">
        <v>8597</v>
      </c>
      <c r="C1742" s="3" t="s">
        <v>8598</v>
      </c>
      <c r="D1742" s="6" t="s">
        <v>8599</v>
      </c>
      <c r="E1742" s="7" t="s">
        <v>8600</v>
      </c>
      <c r="F1742" s="5" t="str">
        <f>IFERROR(__xludf.DUMMYFUNCTION("GOOGLEFINANCE(""NSE:""&amp;A1742,""name"")"),"Piramal Finance Ltd")</f>
        <v>Piramal Finance Ltd</v>
      </c>
    </row>
    <row r="1743">
      <c r="A1743" s="1" t="s">
        <v>8601</v>
      </c>
      <c r="B1743" s="5" t="s">
        <v>8602</v>
      </c>
      <c r="C1743" s="3" t="s">
        <v>8603</v>
      </c>
      <c r="D1743" s="6" t="s">
        <v>8604</v>
      </c>
      <c r="E1743" s="7" t="s">
        <v>8605</v>
      </c>
      <c r="F1743" s="5" t="str">
        <f>IFERROR(__xludf.DUMMYFUNCTION("GOOGLEFINANCE(""NSE:""&amp;A1743,""name"")"),"Pitti Engineering Ltd")</f>
        <v>Pitti Engineering Ltd</v>
      </c>
    </row>
    <row r="1744">
      <c r="A1744" s="1" t="s">
        <v>8606</v>
      </c>
      <c r="B1744" s="5" t="s">
        <v>8607</v>
      </c>
      <c r="C1744" s="3" t="s">
        <v>8608</v>
      </c>
      <c r="D1744" s="6" t="s">
        <v>8609</v>
      </c>
      <c r="E1744" s="7" t="s">
        <v>8610</v>
      </c>
      <c r="F1744" s="5" t="str">
        <f>IFERROR(__xludf.DUMMYFUNCTION("GOOGLEFINANCE(""NSE:""&amp;A1744,""name"")"),"Pix Transmissions Ltd")</f>
        <v>Pix Transmissions Ltd</v>
      </c>
    </row>
    <row r="1745">
      <c r="A1745" s="1" t="s">
        <v>8611</v>
      </c>
      <c r="B1745" s="5" t="s">
        <v>8612</v>
      </c>
      <c r="C1745" s="3" t="s">
        <v>8613</v>
      </c>
      <c r="D1745" s="6" t="s">
        <v>8614</v>
      </c>
      <c r="E1745" s="7" t="s">
        <v>8615</v>
      </c>
      <c r="F1745" s="5" t="str">
        <f>IFERROR(__xludf.DUMMYFUNCTION("GOOGLEFINANCE(""NSE:""&amp;A1745,""name"")"),"Plastiblends India Ltd")</f>
        <v>Plastiblends India Ltd</v>
      </c>
    </row>
    <row r="1746">
      <c r="A1746" s="1" t="s">
        <v>8616</v>
      </c>
      <c r="B1746" s="5" t="s">
        <v>8617</v>
      </c>
      <c r="C1746" s="3" t="s">
        <v>8618</v>
      </c>
      <c r="D1746" s="6" t="s">
        <v>8619</v>
      </c>
      <c r="E1746" s="7" t="s">
        <v>8620</v>
      </c>
      <c r="F1746" s="5" t="str">
        <f>IFERROR(__xludf.DUMMYFUNCTION("GOOGLEFINANCE(""NSE:""&amp;A1746,""name"")"),"Platinum Industries Ltd")</f>
        <v>Platinum Industries Ltd</v>
      </c>
    </row>
    <row r="1747">
      <c r="A1747" s="1" t="s">
        <v>8621</v>
      </c>
      <c r="B1747" s="5" t="s">
        <v>8622</v>
      </c>
      <c r="C1747" s="3" t="s">
        <v>8623</v>
      </c>
      <c r="D1747" s="6" t="s">
        <v>8624</v>
      </c>
      <c r="E1747" s="7" t="s">
        <v>8625</v>
      </c>
      <c r="F1747" s="5" t="str">
        <f>IFERROR(__xludf.DUMMYFUNCTION("GOOGLEFINANCE(""NSE:""&amp;A1747,""name"")"),"Plaza Wires Ltd")</f>
        <v>Plaza Wires Ltd</v>
      </c>
    </row>
    <row r="1748">
      <c r="A1748" s="1" t="s">
        <v>8626</v>
      </c>
      <c r="B1748" s="5" t="s">
        <v>8627</v>
      </c>
      <c r="C1748" s="3" t="s">
        <v>8628</v>
      </c>
      <c r="D1748" s="6" t="s">
        <v>8629</v>
      </c>
      <c r="E1748" s="7" t="s">
        <v>8630</v>
      </c>
      <c r="F1748" s="5" t="str">
        <f>IFERROR(__xludf.DUMMYFUNCTION("GOOGLEFINANCE(""NSE:""&amp;A1748,""name"")"),"PNB Gilts Ltd")</f>
        <v>PNB Gilts Ltd</v>
      </c>
    </row>
    <row r="1749">
      <c r="A1749" s="1" t="s">
        <v>8631</v>
      </c>
      <c r="B1749" s="5" t="s">
        <v>8632</v>
      </c>
      <c r="C1749" s="3" t="s">
        <v>8633</v>
      </c>
      <c r="D1749" s="6" t="s">
        <v>8634</v>
      </c>
      <c r="E1749" s="7" t="s">
        <v>8635</v>
      </c>
      <c r="F1749" s="5" t="str">
        <f>IFERROR(__xludf.DUMMYFUNCTION("GOOGLEFINANCE(""NSE:""&amp;A1749,""name"")"),"PNB Housing Finance Ltd.")</f>
        <v>PNB Housing Finance Ltd.</v>
      </c>
    </row>
    <row r="1750">
      <c r="A1750" s="1" t="s">
        <v>8636</v>
      </c>
      <c r="B1750" s="5" t="s">
        <v>8637</v>
      </c>
      <c r="C1750" s="3" t="s">
        <v>8638</v>
      </c>
      <c r="D1750" s="6" t="s">
        <v>8639</v>
      </c>
      <c r="E1750" s="7" t="s">
        <v>8640</v>
      </c>
      <c r="F1750" s="5" t="str">
        <f>IFERROR(__xludf.DUMMYFUNCTION("GOOGLEFINANCE(""NSE:""&amp;A1750,""name"")"),"PNC Infratech Ltd")</f>
        <v>PNC Infratech Ltd</v>
      </c>
    </row>
    <row r="1751">
      <c r="A1751" s="1" t="s">
        <v>8641</v>
      </c>
      <c r="B1751" s="5" t="s">
        <v>8642</v>
      </c>
      <c r="C1751" s="3" t="s">
        <v>8643</v>
      </c>
      <c r="D1751" s="6" t="s">
        <v>8644</v>
      </c>
      <c r="E1751" s="7" t="s">
        <v>8645</v>
      </c>
      <c r="F1751" s="5" t="str">
        <f>IFERROR(__xludf.DUMMYFUNCTION("GOOGLEFINANCE(""NSE:""&amp;A1751,""name"")"),"Poddar Pigments Ltd")</f>
        <v>Poddar Pigments Ltd</v>
      </c>
    </row>
    <row r="1752">
      <c r="A1752" s="1" t="s">
        <v>8646</v>
      </c>
      <c r="B1752" s="5" t="s">
        <v>8647</v>
      </c>
      <c r="C1752" s="3" t="s">
        <v>8648</v>
      </c>
      <c r="D1752" s="6" t="s">
        <v>8649</v>
      </c>
      <c r="E1752" s="7" t="s">
        <v>8650</v>
      </c>
      <c r="F1752" s="5" t="str">
        <f>IFERROR(__xludf.DUMMYFUNCTION("GOOGLEFINANCE(""NSE:""&amp;A1752,""name"")"),"Pokarna Ltd")</f>
        <v>Pokarna Ltd</v>
      </c>
    </row>
    <row r="1753">
      <c r="A1753" s="1" t="s">
        <v>8651</v>
      </c>
      <c r="B1753" s="5" t="s">
        <v>8652</v>
      </c>
      <c r="C1753" s="3" t="s">
        <v>8653</v>
      </c>
      <c r="D1753" s="6" t="s">
        <v>8654</v>
      </c>
      <c r="E1753" s="7" t="s">
        <v>8655</v>
      </c>
      <c r="F1753" s="5" t="str">
        <f>IFERROR(__xludf.DUMMYFUNCTION("GOOGLEFINANCE(""NSE:""&amp;A1753,""name"")"),"Poly Medicure Ltd.")</f>
        <v>Poly Medicure Ltd.</v>
      </c>
    </row>
    <row r="1754">
      <c r="A1754" s="1" t="s">
        <v>8656</v>
      </c>
      <c r="B1754" s="5" t="s">
        <v>8657</v>
      </c>
      <c r="C1754" s="3" t="s">
        <v>8658</v>
      </c>
      <c r="D1754" s="6" t="s">
        <v>8659</v>
      </c>
      <c r="E1754" s="7" t="s">
        <v>8660</v>
      </c>
      <c r="F1754" s="5" t="str">
        <f>IFERROR(__xludf.DUMMYFUNCTION("GOOGLEFINANCE(""NSE:""&amp;A1754,""name"")"),"Polycab India Ltd")</f>
        <v>Polycab India Ltd</v>
      </c>
    </row>
    <row r="1755">
      <c r="A1755" s="1" t="s">
        <v>8661</v>
      </c>
      <c r="B1755" s="5" t="s">
        <v>8662</v>
      </c>
      <c r="C1755" s="3" t="s">
        <v>8663</v>
      </c>
      <c r="D1755" s="6" t="s">
        <v>8664</v>
      </c>
      <c r="E1755" s="7" t="s">
        <v>8665</v>
      </c>
      <c r="F1755" s="5" t="str">
        <f>IFERROR(__xludf.DUMMYFUNCTION("GOOGLEFINANCE(""NSE:""&amp;A1755,""name"")"),"Polyplex Corp Ltd")</f>
        <v>Polyplex Corp Ltd</v>
      </c>
    </row>
    <row r="1756">
      <c r="A1756" s="1" t="s">
        <v>8666</v>
      </c>
      <c r="B1756" s="5" t="s">
        <v>8667</v>
      </c>
      <c r="C1756" s="3" t="s">
        <v>8668</v>
      </c>
      <c r="D1756" s="6" t="s">
        <v>8669</v>
      </c>
      <c r="E1756" s="7" t="s">
        <v>8670</v>
      </c>
      <c r="F1756" s="5" t="str">
        <f>IFERROR(__xludf.DUMMYFUNCTION("GOOGLEFINANCE(""NSE:""&amp;A1756,""name"")"),"Pondy Oxides and Chemicals Ltd")</f>
        <v>Pondy Oxides and Chemicals Ltd</v>
      </c>
    </row>
    <row r="1757">
      <c r="A1757" s="1" t="s">
        <v>8671</v>
      </c>
      <c r="B1757" s="5" t="s">
        <v>8672</v>
      </c>
      <c r="C1757" s="3" t="s">
        <v>8673</v>
      </c>
      <c r="D1757" s="6" t="s">
        <v>8674</v>
      </c>
      <c r="E1757" s="7" t="s">
        <v>8675</v>
      </c>
      <c r="F1757" s="5" t="str">
        <f>IFERROR(__xludf.DUMMYFUNCTION("GOOGLEFINANCE(""NSE:""&amp;A1757,""name"")"),"Ponni Sugars (Erode) Ltd")</f>
        <v>Ponni Sugars (Erode) Ltd</v>
      </c>
    </row>
    <row r="1758">
      <c r="A1758" s="1" t="s">
        <v>8676</v>
      </c>
      <c r="B1758" s="5" t="s">
        <v>8677</v>
      </c>
      <c r="C1758" s="3" t="s">
        <v>8678</v>
      </c>
      <c r="D1758" s="6" t="s">
        <v>8679</v>
      </c>
      <c r="E1758" s="7" t="s">
        <v>8680</v>
      </c>
      <c r="F1758" s="5" t="str">
        <f>IFERROR(__xludf.DUMMYFUNCTION("GOOGLEFINANCE(""NSE:""&amp;A1758,""name"")"),"Poonawalla Fincorp Ltd")</f>
        <v>Poonawalla Fincorp Ltd</v>
      </c>
    </row>
    <row r="1759">
      <c r="A1759" s="1" t="s">
        <v>8681</v>
      </c>
      <c r="B1759" s="5" t="s">
        <v>8682</v>
      </c>
      <c r="C1759" s="3" t="s">
        <v>8683</v>
      </c>
      <c r="D1759" s="6" t="s">
        <v>8684</v>
      </c>
      <c r="E1759" s="7" t="s">
        <v>8685</v>
      </c>
      <c r="F1759" s="5" t="str">
        <f>IFERROR(__xludf.DUMMYFUNCTION("GOOGLEFINANCE(""NSE:""&amp;A1759,""name"")"),"Popular Vehicles And Services Ltd")</f>
        <v>Popular Vehicles And Services Ltd</v>
      </c>
    </row>
    <row r="1760">
      <c r="A1760" s="1" t="s">
        <v>8686</v>
      </c>
      <c r="B1760" s="5" t="s">
        <v>8687</v>
      </c>
      <c r="C1760" s="3" t="s">
        <v>8688</v>
      </c>
      <c r="D1760" s="6" t="s">
        <v>8689</v>
      </c>
      <c r="E1760" s="7" t="s">
        <v>8690</v>
      </c>
      <c r="F1760" s="5" t="str">
        <f>IFERROR(__xludf.DUMMYFUNCTION("GOOGLEFINANCE(""NSE:""&amp;A1760,""name"")"),"Power and Instrumentation (Gujarat) Ltd")</f>
        <v>Power and Instrumentation (Gujarat) Ltd</v>
      </c>
    </row>
    <row r="1761">
      <c r="A1761" s="1" t="s">
        <v>8691</v>
      </c>
      <c r="B1761" s="5" t="s">
        <v>8692</v>
      </c>
      <c r="C1761" s="3" t="s">
        <v>8693</v>
      </c>
      <c r="D1761" s="6" t="s">
        <v>8694</v>
      </c>
      <c r="E1761" s="7" t="s">
        <v>8695</v>
      </c>
      <c r="F1761" s="5" t="str">
        <f>IFERROR(__xludf.DUMMYFUNCTION("GOOGLEFINANCE(""NSE:""&amp;A1761,""name"")"),"Power Finance Corporation Ltd")</f>
        <v>Power Finance Corporation Ltd</v>
      </c>
    </row>
    <row r="1762">
      <c r="A1762" s="1" t="s">
        <v>8696</v>
      </c>
      <c r="B1762" s="5" t="s">
        <v>8697</v>
      </c>
      <c r="C1762" s="3" t="s">
        <v>8698</v>
      </c>
      <c r="D1762" s="6" t="s">
        <v>8699</v>
      </c>
      <c r="E1762" s="7" t="s">
        <v>8700</v>
      </c>
      <c r="F1762" s="5" t="str">
        <f>IFERROR(__xludf.DUMMYFUNCTION("GOOGLEFINANCE(""NSE:""&amp;A1762,""name"")"),"Power Grid Corporation of India Ltd")</f>
        <v>Power Grid Corporation of India Ltd</v>
      </c>
    </row>
    <row r="1763">
      <c r="A1763" s="1" t="s">
        <v>8701</v>
      </c>
      <c r="B1763" s="5" t="s">
        <v>8702</v>
      </c>
      <c r="C1763" s="3" t="s">
        <v>8703</v>
      </c>
      <c r="D1763" s="6" t="s">
        <v>8704</v>
      </c>
      <c r="E1763" s="7" t="s">
        <v>8705</v>
      </c>
      <c r="F1763" s="5" t="str">
        <f>IFERROR(__xludf.DUMMYFUNCTION("GOOGLEFINANCE(""NSE:""&amp;A1763,""name"")"),"Power Mech Projects Ltd")</f>
        <v>Power Mech Projects Ltd</v>
      </c>
    </row>
    <row r="1764">
      <c r="A1764" s="1" t="s">
        <v>8706</v>
      </c>
      <c r="B1764" s="5" t="s">
        <v>8707</v>
      </c>
      <c r="C1764" s="3" t="s">
        <v>8708</v>
      </c>
      <c r="D1764" s="6" t="s">
        <v>8709</v>
      </c>
      <c r="E1764" s="7" t="s">
        <v>8710</v>
      </c>
      <c r="F1764" s="5" t="str">
        <f>IFERROR(__xludf.DUMMYFUNCTION("GOOGLEFINANCE(""NSE:""&amp;A1764,""name"")"),"PPAP Automotive Ltd")</f>
        <v>PPAP Automotive Ltd</v>
      </c>
    </row>
    <row r="1765">
      <c r="A1765" s="1" t="s">
        <v>8711</v>
      </c>
      <c r="B1765" s="5" t="s">
        <v>8712</v>
      </c>
      <c r="C1765" s="3" t="s">
        <v>8713</v>
      </c>
      <c r="D1765" s="6" t="s">
        <v>8714</v>
      </c>
      <c r="E1765" s="7" t="s">
        <v>8715</v>
      </c>
      <c r="F1765" s="5" t="str">
        <f>IFERROR(__xludf.DUMMYFUNCTION("GOOGLEFINANCE(""NSE:""&amp;A1765,""name"")"),"Prabha Energy Ltd")</f>
        <v>Prabha Energy Ltd</v>
      </c>
    </row>
    <row r="1766">
      <c r="A1766" s="1" t="s">
        <v>8716</v>
      </c>
      <c r="B1766" s="5" t="s">
        <v>8717</v>
      </c>
      <c r="C1766" s="3" t="s">
        <v>8718</v>
      </c>
      <c r="D1766" s="6" t="s">
        <v>8719</v>
      </c>
      <c r="E1766" s="7" t="s">
        <v>8720</v>
      </c>
      <c r="F1766" s="5" t="str">
        <f>IFERROR(__xludf.DUMMYFUNCTION("GOOGLEFINANCE(""NSE:""&amp;A1766,""name"")"),"Praj Industries Ltd")</f>
        <v>Praj Industries Ltd</v>
      </c>
    </row>
    <row r="1767">
      <c r="A1767" s="1" t="s">
        <v>8721</v>
      </c>
      <c r="B1767" s="5" t="s">
        <v>8722</v>
      </c>
      <c r="C1767" s="3" t="s">
        <v>8723</v>
      </c>
      <c r="D1767" s="6" t="s">
        <v>8724</v>
      </c>
      <c r="E1767" s="7" t="s">
        <v>8725</v>
      </c>
      <c r="F1767" s="5" t="str">
        <f>IFERROR(__xludf.DUMMYFUNCTION("GOOGLEFINANCE(""NSE:""&amp;A1767,""name"")"),"Prajay Engineers Syndicate Ltd")</f>
        <v>Prajay Engineers Syndicate Ltd</v>
      </c>
    </row>
    <row r="1768">
      <c r="A1768" s="1" t="s">
        <v>8726</v>
      </c>
      <c r="B1768" s="5" t="s">
        <v>8727</v>
      </c>
      <c r="C1768" s="3" t="s">
        <v>8728</v>
      </c>
      <c r="D1768" s="6" t="s">
        <v>8729</v>
      </c>
      <c r="E1768" s="7" t="s">
        <v>8730</v>
      </c>
      <c r="F1768" s="5" t="str">
        <f>IFERROR(__xludf.DUMMYFUNCTION("GOOGLEFINANCE(""NSE:""&amp;A1768,""name"")"),"Prakash Industries Ltd")</f>
        <v>Prakash Industries Ltd</v>
      </c>
    </row>
    <row r="1769">
      <c r="A1769" s="1" t="s">
        <v>8731</v>
      </c>
      <c r="B1769" s="5" t="s">
        <v>8732</v>
      </c>
      <c r="C1769" s="3" t="s">
        <v>8733</v>
      </c>
      <c r="D1769" s="6" t="s">
        <v>8734</v>
      </c>
      <c r="E1769" s="7" t="s">
        <v>8735</v>
      </c>
      <c r="F1769" s="5" t="str">
        <f>IFERROR(__xludf.DUMMYFUNCTION("GOOGLEFINANCE(""NSE:""&amp;A1769,""name"")"),"Prakash Pipes Ltd")</f>
        <v>Prakash Pipes Ltd</v>
      </c>
    </row>
    <row r="1770">
      <c r="A1770" s="1" t="s">
        <v>8736</v>
      </c>
      <c r="B1770" s="5" t="s">
        <v>8737</v>
      </c>
      <c r="C1770" s="3" t="s">
        <v>8738</v>
      </c>
      <c r="D1770" s="6" t="s">
        <v>8739</v>
      </c>
      <c r="E1770" s="7" t="s">
        <v>8740</v>
      </c>
      <c r="F1770" s="5" t="str">
        <f>IFERROR(__xludf.DUMMYFUNCTION("GOOGLEFINANCE(""NSE:""&amp;A1770,""name"")"),"Prataap Snacks Ltd")</f>
        <v>Prataap Snacks Ltd</v>
      </c>
    </row>
    <row r="1771">
      <c r="A1771" s="1" t="s">
        <v>8741</v>
      </c>
      <c r="B1771" s="5" t="s">
        <v>8742</v>
      </c>
      <c r="C1771" s="3" t="s">
        <v>8743</v>
      </c>
      <c r="D1771" s="6" t="s">
        <v>8744</v>
      </c>
      <c r="E1771" s="7" t="s">
        <v>8745</v>
      </c>
      <c r="F1771" s="5" t="str">
        <f>IFERROR(__xludf.DUMMYFUNCTION("GOOGLEFINANCE(""NSE:""&amp;A1771,""name"")"),"Praxis Home Retail Ltd")</f>
        <v>Praxis Home Retail Ltd</v>
      </c>
    </row>
    <row r="1772">
      <c r="A1772" s="1" t="s">
        <v>8746</v>
      </c>
      <c r="B1772" s="5" t="s">
        <v>8747</v>
      </c>
      <c r="C1772" s="3" t="s">
        <v>8748</v>
      </c>
      <c r="D1772" s="6" t="s">
        <v>8749</v>
      </c>
      <c r="E1772" s="7" t="s">
        <v>8750</v>
      </c>
      <c r="F1772" s="5" t="str">
        <f>IFERROR(__xludf.DUMMYFUNCTION("GOOGLEFINANCE(""NSE:""&amp;A1772,""name"")"),"Precision Camshafts Ltd")</f>
        <v>Precision Camshafts Ltd</v>
      </c>
    </row>
    <row r="1773">
      <c r="A1773" s="1" t="s">
        <v>8751</v>
      </c>
      <c r="B1773" s="5" t="s">
        <v>8752</v>
      </c>
      <c r="C1773" s="3" t="s">
        <v>8753</v>
      </c>
      <c r="D1773" s="6" t="s">
        <v>8754</v>
      </c>
      <c r="E1773" s="7" t="s">
        <v>8755</v>
      </c>
      <c r="F1773" s="5" t="str">
        <f>IFERROR(__xludf.DUMMYFUNCTION("GOOGLEFINANCE(""NSE:""&amp;A1773,""name"")"),"Precision Wires India Ltd")</f>
        <v>Precision Wires India Ltd</v>
      </c>
    </row>
    <row r="1774">
      <c r="A1774" s="1" t="s">
        <v>8756</v>
      </c>
      <c r="B1774" s="5" t="s">
        <v>8757</v>
      </c>
      <c r="C1774" s="3" t="s">
        <v>8758</v>
      </c>
      <c r="D1774" s="6" t="s">
        <v>8759</v>
      </c>
      <c r="E1774" s="7" t="s">
        <v>8760</v>
      </c>
      <c r="F1774" s="5" t="str">
        <f>IFERROR(__xludf.DUMMYFUNCTION("GOOGLEFINANCE(""NSE:""&amp;A1774,""name"")"),"Precot Ltd")</f>
        <v>Precot Ltd</v>
      </c>
    </row>
    <row r="1775">
      <c r="A1775" s="1" t="s">
        <v>8761</v>
      </c>
      <c r="B1775" s="5" t="s">
        <v>8762</v>
      </c>
      <c r="C1775" s="3" t="s">
        <v>8763</v>
      </c>
      <c r="D1775" s="6" t="s">
        <v>8764</v>
      </c>
      <c r="E1775" s="7" t="s">
        <v>8765</v>
      </c>
      <c r="F1775" s="5" t="str">
        <f>IFERROR(__xludf.DUMMYFUNCTION("GOOGLEFINANCE(""NSE:""&amp;A1775,""name"")"),"Premier Energies Ltd")</f>
        <v>Premier Energies Ltd</v>
      </c>
    </row>
    <row r="1776">
      <c r="A1776" s="1" t="s">
        <v>8766</v>
      </c>
      <c r="B1776" s="5" t="s">
        <v>8767</v>
      </c>
      <c r="C1776" s="3" t="s">
        <v>8768</v>
      </c>
      <c r="D1776" s="6" t="s">
        <v>8769</v>
      </c>
      <c r="E1776" s="7" t="s">
        <v>8770</v>
      </c>
      <c r="F1776" s="5" t="str">
        <f>IFERROR(__xludf.DUMMYFUNCTION("GOOGLEFINANCE(""NSE:""&amp;A1776,""name"")"),"Premier Explosives Ltd")</f>
        <v>Premier Explosives Ltd</v>
      </c>
    </row>
    <row r="1777">
      <c r="A1777" s="1" t="s">
        <v>8771</v>
      </c>
      <c r="B1777" s="5" t="s">
        <v>8772</v>
      </c>
      <c r="C1777" s="3" t="s">
        <v>8773</v>
      </c>
      <c r="D1777" s="6" t="s">
        <v>8774</v>
      </c>
      <c r="E1777" s="7" t="s">
        <v>8775</v>
      </c>
      <c r="F1777" s="5" t="str">
        <f>IFERROR(__xludf.DUMMYFUNCTION("GOOGLEFINANCE(""NSE:""&amp;A1777,""name"")"),"Premier Polyfilm Ltd(NDA)")</f>
        <v>Premier Polyfilm Ltd(NDA)</v>
      </c>
    </row>
    <row r="1778">
      <c r="A1778" s="1" t="s">
        <v>8776</v>
      </c>
      <c r="B1778" s="5" t="s">
        <v>8777</v>
      </c>
      <c r="C1778" s="3" t="s">
        <v>8778</v>
      </c>
      <c r="D1778" s="6" t="s">
        <v>8779</v>
      </c>
      <c r="E1778" s="7" t="s">
        <v>8780</v>
      </c>
      <c r="F1778" s="5" t="str">
        <f>IFERROR(__xludf.DUMMYFUNCTION("GOOGLEFINANCE(""NSE:""&amp;A1778,""name"")"),"Prestige Estates Projects Limited")</f>
        <v>Prestige Estates Projects Limited</v>
      </c>
    </row>
    <row r="1779">
      <c r="A1779" s="1" t="s">
        <v>8781</v>
      </c>
      <c r="B1779" s="5" t="s">
        <v>8782</v>
      </c>
      <c r="C1779" s="3" t="s">
        <v>8783</v>
      </c>
      <c r="D1779" s="6" t="s">
        <v>8784</v>
      </c>
      <c r="E1779" s="7" t="s">
        <v>8785</v>
      </c>
      <c r="F1779" s="5" t="str">
        <f>IFERROR(__xludf.DUMMYFUNCTION("GOOGLEFINANCE(""NSE:""&amp;A1779,""name"")"),"Pricol Ltd")</f>
        <v>Pricol Ltd</v>
      </c>
    </row>
    <row r="1780">
      <c r="A1780" s="1" t="s">
        <v>8786</v>
      </c>
      <c r="B1780" s="5" t="s">
        <v>8787</v>
      </c>
      <c r="C1780" s="3" t="s">
        <v>8788</v>
      </c>
      <c r="D1780" s="6" t="s">
        <v>8789</v>
      </c>
      <c r="E1780" s="7" t="s">
        <v>8790</v>
      </c>
      <c r="F1780" s="5" t="str">
        <f>IFERROR(__xludf.DUMMYFUNCTION("GOOGLEFINANCE(""NSE:""&amp;A1780,""name"")"),"Prime Focus Limited")</f>
        <v>Prime Focus Limited</v>
      </c>
    </row>
    <row r="1781">
      <c r="A1781" s="1" t="s">
        <v>8791</v>
      </c>
      <c r="B1781" s="5" t="s">
        <v>8792</v>
      </c>
      <c r="C1781" s="3" t="s">
        <v>8793</v>
      </c>
      <c r="D1781" s="6" t="s">
        <v>8794</v>
      </c>
      <c r="E1781" s="7" t="s">
        <v>8795</v>
      </c>
      <c r="F1781" s="5" t="str">
        <f>IFERROR(__xludf.DUMMYFUNCTION("GOOGLEFINANCE(""NSE:""&amp;A1781,""name"")"),"Prime Securities Ltd")</f>
        <v>Prime Securities Ltd</v>
      </c>
    </row>
    <row r="1782">
      <c r="A1782" s="1" t="s">
        <v>8796</v>
      </c>
      <c r="B1782" s="5" t="s">
        <v>8797</v>
      </c>
      <c r="C1782" s="3" t="s">
        <v>8798</v>
      </c>
      <c r="D1782" s="6" t="s">
        <v>8799</v>
      </c>
      <c r="E1782" s="7" t="s">
        <v>8800</v>
      </c>
      <c r="F1782" s="5" t="str">
        <f>IFERROR(__xludf.DUMMYFUNCTION("GOOGLEFINANCE(""NSE:""&amp;A1782,""name"")"),"Primo Chemicals Ltd")</f>
        <v>Primo Chemicals Ltd</v>
      </c>
    </row>
    <row r="1783">
      <c r="A1783" s="1" t="s">
        <v>8801</v>
      </c>
      <c r="B1783" s="5" t="s">
        <v>8802</v>
      </c>
      <c r="C1783" s="3" t="s">
        <v>8803</v>
      </c>
      <c r="D1783" s="6" t="s">
        <v>8804</v>
      </c>
      <c r="E1783" s="7" t="s">
        <v>8805</v>
      </c>
      <c r="F1783" s="5" t="str">
        <f>IFERROR(__xludf.DUMMYFUNCTION("GOOGLEFINANCE(""NSE:""&amp;A1783,""name"")"),"Prince Pipes and Fittings Ltd")</f>
        <v>Prince Pipes and Fittings Ltd</v>
      </c>
    </row>
    <row r="1784">
      <c r="A1784" s="1" t="s">
        <v>8806</v>
      </c>
      <c r="B1784" s="5" t="s">
        <v>8807</v>
      </c>
      <c r="C1784" s="3" t="s">
        <v>8808</v>
      </c>
      <c r="D1784" s="6" t="s">
        <v>8809</v>
      </c>
      <c r="E1784" s="7" t="s">
        <v>8810</v>
      </c>
      <c r="F1784" s="5" t="str">
        <f>IFERROR(__xludf.DUMMYFUNCTION("GOOGLEFINANCE(""NSE:""&amp;A1784,""name"")"),"Prism Johnson Ltd")</f>
        <v>Prism Johnson Ltd</v>
      </c>
    </row>
    <row r="1785">
      <c r="A1785" s="1" t="s">
        <v>8811</v>
      </c>
      <c r="B1785" s="5" t="s">
        <v>8812</v>
      </c>
      <c r="C1785" s="3" t="s">
        <v>8813</v>
      </c>
      <c r="D1785" s="6" t="s">
        <v>8814</v>
      </c>
      <c r="E1785" s="7" t="s">
        <v>8815</v>
      </c>
      <c r="F1785" s="5" t="str">
        <f>IFERROR(__xludf.DUMMYFUNCTION("GOOGLEFINANCE(""NSE:""&amp;A1785,""name"")"),"Priti International Ltd")</f>
        <v>Priti International Ltd</v>
      </c>
    </row>
    <row r="1786">
      <c r="A1786" s="1" t="s">
        <v>8816</v>
      </c>
      <c r="B1786" s="5" t="s">
        <v>8817</v>
      </c>
      <c r="C1786" s="3" t="s">
        <v>8818</v>
      </c>
      <c r="D1786" s="6" t="s">
        <v>8819</v>
      </c>
      <c r="E1786" s="7" t="s">
        <v>8820</v>
      </c>
      <c r="F1786" s="5" t="str">
        <f>IFERROR(__xludf.DUMMYFUNCTION("GOOGLEFINANCE(""NSE:""&amp;A1786,""name"")"),"Pritika Auto Industries Ltd")</f>
        <v>Pritika Auto Industries Ltd</v>
      </c>
    </row>
    <row r="1787">
      <c r="A1787" s="1" t="s">
        <v>8821</v>
      </c>
      <c r="B1787" s="5" t="s">
        <v>8822</v>
      </c>
      <c r="C1787" s="3" t="s">
        <v>8823</v>
      </c>
      <c r="D1787" s="6" t="s">
        <v>8824</v>
      </c>
      <c r="E1787" s="7" t="s">
        <v>8825</v>
      </c>
      <c r="F1787" s="5" t="str">
        <f>IFERROR(__xludf.DUMMYFUNCTION("GOOGLEFINANCE(""NSE:""&amp;A1787,""name"")"),"Pritish Nandy Communications Ltd")</f>
        <v>Pritish Nandy Communications Ltd</v>
      </c>
    </row>
    <row r="1788">
      <c r="A1788" s="1" t="s">
        <v>8826</v>
      </c>
      <c r="B1788" s="5" t="s">
        <v>8827</v>
      </c>
      <c r="C1788" s="3" t="s">
        <v>8828</v>
      </c>
      <c r="D1788" s="6" t="s">
        <v>8829</v>
      </c>
      <c r="E1788" s="7" t="s">
        <v>8830</v>
      </c>
      <c r="F1788" s="5" t="str">
        <f>IFERROR(__xludf.DUMMYFUNCTION("GOOGLEFINANCE(""NSE:""&amp;A1788,""name"")"),"Privi Speciality Chemicals Ltd")</f>
        <v>Privi Speciality Chemicals Ltd</v>
      </c>
    </row>
    <row r="1789">
      <c r="A1789" s="1" t="s">
        <v>8831</v>
      </c>
      <c r="B1789" s="5" t="s">
        <v>8832</v>
      </c>
      <c r="C1789" s="3" t="s">
        <v>8833</v>
      </c>
      <c r="D1789" s="6" t="s">
        <v>8834</v>
      </c>
      <c r="E1789" s="7" t="s">
        <v>8835</v>
      </c>
      <c r="F1789" s="5" t="str">
        <f>IFERROR(__xludf.DUMMYFUNCTION("GOOGLEFINANCE(""NSE:""&amp;A1789,""name"")"),"Procter &amp; Gamble Health Ltd")</f>
        <v>Procter &amp; Gamble Health Ltd</v>
      </c>
    </row>
    <row r="1790">
      <c r="A1790" s="1" t="s">
        <v>8836</v>
      </c>
      <c r="B1790" s="5" t="s">
        <v>8837</v>
      </c>
      <c r="C1790" s="3" t="s">
        <v>8838</v>
      </c>
      <c r="D1790" s="6" t="s">
        <v>8839</v>
      </c>
      <c r="E1790" s="7" t="s">
        <v>8840</v>
      </c>
      <c r="F1790" s="5" t="str">
        <f>IFERROR(__xludf.DUMMYFUNCTION("GOOGLEFINANCE(""NSE:""&amp;A1790,""name"")"),"Procter &amp; Gamble Hygiene &amp; Health Care")</f>
        <v>Procter &amp; Gamble Hygiene &amp; Health Care</v>
      </c>
    </row>
    <row r="1791">
      <c r="A1791" s="1" t="s">
        <v>8841</v>
      </c>
      <c r="B1791" s="5" t="s">
        <v>8842</v>
      </c>
      <c r="C1791" s="3" t="s">
        <v>8843</v>
      </c>
      <c r="D1791" s="6" t="s">
        <v>8844</v>
      </c>
      <c r="E1791" s="7" t="s">
        <v>8845</v>
      </c>
      <c r="F1791" s="5" t="str">
        <f>IFERROR(__xludf.DUMMYFUNCTION("GOOGLEFINANCE(""NSE:""&amp;A1791,""name"")"),"Prostarm Info Systems Ltd")</f>
        <v>Prostarm Info Systems Ltd</v>
      </c>
    </row>
    <row r="1792">
      <c r="A1792" s="1" t="s">
        <v>8846</v>
      </c>
      <c r="B1792" s="5" t="s">
        <v>8847</v>
      </c>
      <c r="C1792" s="3" t="s">
        <v>8848</v>
      </c>
      <c r="D1792" s="6" t="s">
        <v>8849</v>
      </c>
      <c r="E1792" s="7" t="s">
        <v>8850</v>
      </c>
      <c r="F1792" s="5" t="str">
        <f>IFERROR(__xludf.DUMMYFUNCTION("GOOGLEFINANCE(""NSE:""&amp;A1792,""name"")"),"Protean eGov Technologies Ltd")</f>
        <v>Protean eGov Technologies Ltd</v>
      </c>
    </row>
    <row r="1793">
      <c r="A1793" s="1" t="s">
        <v>8851</v>
      </c>
      <c r="B1793" s="5" t="s">
        <v>8852</v>
      </c>
      <c r="C1793" s="3" t="s">
        <v>8853</v>
      </c>
      <c r="D1793" s="6" t="s">
        <v>8854</v>
      </c>
      <c r="E1793" s="7" t="s">
        <v>8855</v>
      </c>
      <c r="F1793" s="5" t="str">
        <f>IFERROR(__xludf.DUMMYFUNCTION("GOOGLEFINANCE(""NSE:""&amp;A1793,""name"")"),"Prozone Realty Ltd")</f>
        <v>Prozone Realty Ltd</v>
      </c>
    </row>
    <row r="1794">
      <c r="A1794" s="1" t="s">
        <v>8856</v>
      </c>
      <c r="B1794" s="5" t="s">
        <v>8857</v>
      </c>
      <c r="C1794" s="3" t="s">
        <v>8858</v>
      </c>
      <c r="D1794" s="6" t="s">
        <v>8859</v>
      </c>
      <c r="E1794" s="7" t="s">
        <v>8860</v>
      </c>
      <c r="F1794" s="5" t="str">
        <f>IFERROR(__xludf.DUMMYFUNCTION("GOOGLEFINANCE(""NSE:""&amp;A1794,""name"")"),"Prudent Corporate Advisory Services Ltd")</f>
        <v>Prudent Corporate Advisory Services Ltd</v>
      </c>
    </row>
    <row r="1795">
      <c r="A1795" s="1" t="s">
        <v>8861</v>
      </c>
      <c r="B1795" s="5" t="s">
        <v>8862</v>
      </c>
      <c r="C1795" s="3" t="s">
        <v>8863</v>
      </c>
      <c r="D1795" s="6" t="s">
        <v>8864</v>
      </c>
      <c r="E1795" s="7" t="s">
        <v>8865</v>
      </c>
      <c r="F1795" s="5" t="str">
        <f>IFERROR(__xludf.DUMMYFUNCTION("GOOGLEFINANCE(""NSE:""&amp;A1795,""name"")"),"Prudential Sugar Corp Ltd")</f>
        <v>Prudential Sugar Corp Ltd</v>
      </c>
    </row>
    <row r="1796">
      <c r="A1796" s="1" t="s">
        <v>8866</v>
      </c>
      <c r="B1796" s="5" t="s">
        <v>8867</v>
      </c>
      <c r="C1796" s="3" t="s">
        <v>8868</v>
      </c>
      <c r="D1796" s="6" t="s">
        <v>8869</v>
      </c>
      <c r="E1796" s="7" t="s">
        <v>8870</v>
      </c>
      <c r="F1796" s="5" t="str">
        <f>IFERROR(__xludf.DUMMYFUNCTION("GOOGLEFINANCE(""NSE:""&amp;A1796,""name"")"),"Psp Projects Ltd")</f>
        <v>Psp Projects Ltd</v>
      </c>
    </row>
    <row r="1797">
      <c r="A1797" s="1" t="s">
        <v>8871</v>
      </c>
      <c r="B1797" s="5" t="s">
        <v>8872</v>
      </c>
      <c r="C1797" s="3" t="s">
        <v>8873</v>
      </c>
      <c r="D1797" s="6" t="s">
        <v>8874</v>
      </c>
      <c r="E1797" s="7" t="s">
        <v>8875</v>
      </c>
      <c r="F1797" s="5" t="str">
        <f>IFERROR(__xludf.DUMMYFUNCTION("GOOGLEFINANCE(""NSE:""&amp;A1797,""name"")"),"PTC India Financial Services Ltd")</f>
        <v>PTC India Financial Services Ltd</v>
      </c>
    </row>
    <row r="1798">
      <c r="A1798" s="1" t="s">
        <v>8876</v>
      </c>
      <c r="B1798" s="5" t="s">
        <v>8877</v>
      </c>
      <c r="C1798" s="3" t="s">
        <v>8878</v>
      </c>
      <c r="D1798" s="6" t="s">
        <v>8879</v>
      </c>
      <c r="E1798" s="7" t="s">
        <v>8880</v>
      </c>
      <c r="F1798" s="5" t="str">
        <f>IFERROR(__xludf.DUMMYFUNCTION("GOOGLEFINANCE(""NSE:""&amp;A1798,""name"")"),"PTC India Ltd")</f>
        <v>PTC India Ltd</v>
      </c>
    </row>
    <row r="1799">
      <c r="A1799" s="1" t="s">
        <v>8881</v>
      </c>
      <c r="B1799" s="5" t="s">
        <v>8882</v>
      </c>
      <c r="C1799" s="3" t="s">
        <v>8883</v>
      </c>
      <c r="D1799" s="6" t="s">
        <v>8884</v>
      </c>
      <c r="E1799" s="7" t="s">
        <v>8885</v>
      </c>
      <c r="F1799" s="5" t="str">
        <f>IFERROR(__xludf.DUMMYFUNCTION("GOOGLEFINANCE(""NSE:""&amp;A1799,""name"")"),"PTC Industries Ltd")</f>
        <v>PTC Industries Ltd</v>
      </c>
    </row>
    <row r="1800">
      <c r="A1800" s="1" t="s">
        <v>8886</v>
      </c>
      <c r="B1800" s="5" t="s">
        <v>8887</v>
      </c>
      <c r="C1800" s="3" t="s">
        <v>8888</v>
      </c>
      <c r="D1800" s="6" t="s">
        <v>8889</v>
      </c>
      <c r="E1800" s="7" t="s">
        <v>8890</v>
      </c>
      <c r="F1800" s="5" t="str">
        <f>IFERROR(__xludf.DUMMYFUNCTION("GOOGLEFINANCE(""NSE:""&amp;A1800,""name"")"),"PTL Enterprises Ltd")</f>
        <v>PTL Enterprises Ltd</v>
      </c>
    </row>
    <row r="1801">
      <c r="A1801" s="1" t="s">
        <v>8891</v>
      </c>
      <c r="B1801" s="5" t="s">
        <v>8892</v>
      </c>
      <c r="C1801" s="3" t="s">
        <v>8893</v>
      </c>
      <c r="D1801" s="6" t="s">
        <v>8894</v>
      </c>
      <c r="E1801" s="7" t="s">
        <v>8895</v>
      </c>
      <c r="F1801" s="5" t="str">
        <f>IFERROR(__xludf.DUMMYFUNCTION("GOOGLEFINANCE(""NSE:""&amp;A1801,""name"")"),"Pudumjee Paper Products Ltd")</f>
        <v>Pudumjee Paper Products Ltd</v>
      </c>
    </row>
    <row r="1802">
      <c r="A1802" s="1" t="s">
        <v>8896</v>
      </c>
      <c r="B1802" s="5" t="s">
        <v>8897</v>
      </c>
      <c r="C1802" s="3" t="s">
        <v>8898</v>
      </c>
      <c r="D1802" s="6" t="s">
        <v>8899</v>
      </c>
      <c r="E1802" s="7" t="s">
        <v>8900</v>
      </c>
      <c r="F1802" s="5" t="str">
        <f>IFERROR(__xludf.DUMMYFUNCTION("GOOGLEFINANCE(""NSE:""&amp;A1802,""name"")"),"Punjab &amp; Sind Bank")</f>
        <v>Punjab &amp; Sind Bank</v>
      </c>
    </row>
    <row r="1803">
      <c r="A1803" s="1" t="s">
        <v>8901</v>
      </c>
      <c r="B1803" s="5" t="s">
        <v>8902</v>
      </c>
      <c r="C1803" s="3" t="s">
        <v>8903</v>
      </c>
      <c r="D1803" s="6" t="s">
        <v>8904</v>
      </c>
      <c r="E1803" s="7" t="s">
        <v>8905</v>
      </c>
      <c r="F1803" s="5" t="str">
        <f>IFERROR(__xludf.DUMMYFUNCTION("GOOGLEFINANCE(""NSE:""&amp;A1803,""name"")"),"Punjab Chemicals and Crop Protection Ltd")</f>
        <v>Punjab Chemicals and Crop Protection Ltd</v>
      </c>
    </row>
    <row r="1804">
      <c r="A1804" s="1" t="s">
        <v>8906</v>
      </c>
      <c r="B1804" s="5" t="s">
        <v>8907</v>
      </c>
      <c r="C1804" s="3" t="s">
        <v>8908</v>
      </c>
      <c r="D1804" s="6" t="s">
        <v>8909</v>
      </c>
      <c r="E1804" s="7" t="s">
        <v>8910</v>
      </c>
      <c r="F1804" s="5" t="str">
        <f>IFERROR(__xludf.DUMMYFUNCTION("GOOGLEFINANCE(""NSE:""&amp;A1804,""name"")"),"Punjab National Bank")</f>
        <v>Punjab National Bank</v>
      </c>
    </row>
    <row r="1805">
      <c r="A1805" s="1" t="s">
        <v>8911</v>
      </c>
      <c r="B1805" s="5" t="s">
        <v>8912</v>
      </c>
      <c r="C1805" s="3" t="s">
        <v>8913</v>
      </c>
      <c r="D1805" s="6" t="s">
        <v>8914</v>
      </c>
      <c r="E1805" s="7" t="s">
        <v>8915</v>
      </c>
      <c r="F1805" s="5" t="str">
        <f>IFERROR(__xludf.DUMMYFUNCTION("GOOGLEFINANCE(""NSE:""&amp;A1805,""name"")"),"Puravankara Ltd")</f>
        <v>Puravankara Ltd</v>
      </c>
    </row>
    <row r="1806">
      <c r="A1806" s="1" t="s">
        <v>8916</v>
      </c>
      <c r="B1806" s="5" t="s">
        <v>8917</v>
      </c>
      <c r="C1806" s="3" t="s">
        <v>8918</v>
      </c>
      <c r="D1806" s="6" t="s">
        <v>8919</v>
      </c>
      <c r="E1806" s="7" t="s">
        <v>8920</v>
      </c>
      <c r="F1806" s="5" t="str">
        <f>IFERROR(__xludf.DUMMYFUNCTION("GOOGLEFINANCE(""NSE:""&amp;A1806,""name"")"),"PVP Ventures Ltd")</f>
        <v>PVP Ventures Ltd</v>
      </c>
    </row>
    <row r="1807">
      <c r="A1807" s="1" t="s">
        <v>8921</v>
      </c>
      <c r="B1807" s="5" t="s">
        <v>8922</v>
      </c>
      <c r="C1807" s="3" t="s">
        <v>8923</v>
      </c>
      <c r="D1807" s="6" t="s">
        <v>8924</v>
      </c>
      <c r="E1807" s="7" t="s">
        <v>8925</v>
      </c>
      <c r="F1807" s="5" t="str">
        <f>IFERROR(__xludf.DUMMYFUNCTION("GOOGLEFINANCE(""NSE:""&amp;A1807,""name"")"),"PVR INOX Ltd")</f>
        <v>PVR INOX Ltd</v>
      </c>
    </row>
    <row r="1808">
      <c r="A1808" s="1" t="s">
        <v>8926</v>
      </c>
      <c r="B1808" s="5" t="s">
        <v>8927</v>
      </c>
      <c r="C1808" s="3" t="s">
        <v>8928</v>
      </c>
      <c r="D1808" s="6" t="s">
        <v>8929</v>
      </c>
      <c r="E1808" s="7" t="s">
        <v>8930</v>
      </c>
      <c r="F1808" s="5" t="str">
        <f>IFERROR(__xludf.DUMMYFUNCTION("GOOGLEFINANCE(""NSE:""&amp;A1808,""name"")"),"Pyramid Technoplast Ltd")</f>
        <v>Pyramid Technoplast Ltd</v>
      </c>
    </row>
    <row r="1809">
      <c r="A1809" s="1" t="s">
        <v>8931</v>
      </c>
      <c r="B1809" s="5" t="s">
        <v>8931</v>
      </c>
      <c r="C1809" s="3" t="s">
        <v>8932</v>
      </c>
      <c r="D1809" s="6" t="s">
        <v>8933</v>
      </c>
      <c r="E1809" s="7" t="s">
        <v>8934</v>
      </c>
      <c r="F1809" s="5" t="str">
        <f>IFERROR(__xludf.DUMMYFUNCTION("GOOGLEFINANCE(""NSE:""&amp;A1809,""name"")"),"Quantum Nifty 50 ETF")</f>
        <v>Quantum Nifty 50 ETF</v>
      </c>
    </row>
    <row r="1810">
      <c r="A1810" s="1" t="s">
        <v>8935</v>
      </c>
      <c r="B1810" s="5" t="s">
        <v>8936</v>
      </c>
      <c r="C1810" s="3" t="s">
        <v>8937</v>
      </c>
      <c r="D1810" s="6" t="s">
        <v>8938</v>
      </c>
      <c r="E1810" s="7" t="s">
        <v>8939</v>
      </c>
      <c r="F1810" s="5" t="str">
        <f>IFERROR(__xludf.DUMMYFUNCTION("GOOGLEFINANCE(""NSE:""&amp;A1810,""name"")"),"Quadrant Future Tek Ltd")</f>
        <v>Quadrant Future Tek Ltd</v>
      </c>
    </row>
    <row r="1811">
      <c r="A1811" s="1" t="s">
        <v>8940</v>
      </c>
      <c r="B1811" s="5" t="s">
        <v>8941</v>
      </c>
      <c r="C1811" s="3" t="s">
        <v>8942</v>
      </c>
      <c r="D1811" s="6" t="s">
        <v>8943</v>
      </c>
      <c r="E1811" s="7" t="s">
        <v>8944</v>
      </c>
      <c r="F1811" s="5" t="str">
        <f>IFERROR(__xludf.DUMMYFUNCTION("GOOGLEFINANCE(""NSE:""&amp;A1811,""name"")"),"Quality Power Electrical Equipments Ltd")</f>
        <v>Quality Power Electrical Equipments Ltd</v>
      </c>
    </row>
    <row r="1812">
      <c r="A1812" s="1" t="s">
        <v>8945</v>
      </c>
      <c r="B1812" s="5" t="s">
        <v>8946</v>
      </c>
      <c r="C1812" s="3" t="s">
        <v>8947</v>
      </c>
      <c r="D1812" s="6" t="s">
        <v>8948</v>
      </c>
      <c r="E1812" s="7" t="s">
        <v>8949</v>
      </c>
      <c r="F1812" s="5" t="str">
        <f>IFERROR(__xludf.DUMMYFUNCTION("GOOGLEFINANCE(""NSE:""&amp;A1812,""name"")"),"Quantum Gold Fund")</f>
        <v>Quantum Gold Fund</v>
      </c>
    </row>
    <row r="1813">
      <c r="A1813" s="1" t="s">
        <v>8950</v>
      </c>
      <c r="B1813" s="5" t="s">
        <v>8951</v>
      </c>
      <c r="C1813" s="3" t="s">
        <v>8952</v>
      </c>
      <c r="D1813" s="6" t="s">
        <v>8953</v>
      </c>
      <c r="E1813" s="7" t="s">
        <v>8954</v>
      </c>
      <c r="F1813" s="5" t="str">
        <f>IFERROR(__xludf.DUMMYFUNCTION("GOOGLEFINANCE(""NSE:""&amp;A1813,""name"")"),"Quess Corp Ltd")</f>
        <v>Quess Corp Ltd</v>
      </c>
    </row>
    <row r="1814">
      <c r="A1814" s="1" t="s">
        <v>8955</v>
      </c>
      <c r="B1814" s="5" t="s">
        <v>8956</v>
      </c>
      <c r="C1814" s="3" t="s">
        <v>8957</v>
      </c>
      <c r="D1814" s="6" t="s">
        <v>8958</v>
      </c>
      <c r="E1814" s="7" t="s">
        <v>8959</v>
      </c>
      <c r="F1814" s="5" t="str">
        <f>IFERROR(__xludf.DUMMYFUNCTION("GOOGLEFINANCE(""NSE:""&amp;A1814,""name"")"),"Quick Heal Technologies Ltd")</f>
        <v>Quick Heal Technologies Ltd</v>
      </c>
    </row>
    <row r="1815">
      <c r="A1815" s="1" t="s">
        <v>8960</v>
      </c>
      <c r="B1815" s="5" t="s">
        <v>8961</v>
      </c>
      <c r="C1815" s="3" t="s">
        <v>8962</v>
      </c>
      <c r="D1815" s="6" t="s">
        <v>8963</v>
      </c>
      <c r="E1815" s="7" t="s">
        <v>8964</v>
      </c>
      <c r="F1815" s="5" t="str">
        <f>IFERROR(__xludf.DUMMYFUNCTION("GOOGLEFINANCE(""NSE:""&amp;A1815,""name"")"),"R K Swamy Ltd")</f>
        <v>R K Swamy Ltd</v>
      </c>
    </row>
    <row r="1816">
      <c r="A1816" s="1" t="s">
        <v>8965</v>
      </c>
      <c r="B1816" s="5" t="s">
        <v>8966</v>
      </c>
      <c r="C1816" s="3" t="s">
        <v>8967</v>
      </c>
      <c r="D1816" s="6" t="s">
        <v>8968</v>
      </c>
      <c r="E1816" s="7" t="s">
        <v>8969</v>
      </c>
      <c r="F1816" s="5" t="str">
        <f>IFERROR(__xludf.DUMMYFUNCTION("GOOGLEFINANCE(""NSE:""&amp;A1816,""name"")"),"RM Drip &amp; Sprinklers Systems Ltd")</f>
        <v>RM Drip &amp; Sprinklers Systems Ltd</v>
      </c>
    </row>
    <row r="1817">
      <c r="A1817" s="1" t="s">
        <v>8970</v>
      </c>
      <c r="B1817" s="5" t="s">
        <v>8971</v>
      </c>
      <c r="C1817" s="3" t="s">
        <v>8972</v>
      </c>
      <c r="D1817" s="6" t="s">
        <v>8973</v>
      </c>
      <c r="E1817" s="7" t="s">
        <v>8974</v>
      </c>
      <c r="F1817" s="5" t="str">
        <f>IFERROR(__xludf.DUMMYFUNCTION("GOOGLEFINANCE(""NSE:""&amp;A1817,""name"")"),"R R Kabel Ltd")</f>
        <v>R R Kabel Ltd</v>
      </c>
    </row>
    <row r="1818">
      <c r="A1818" s="1" t="s">
        <v>8975</v>
      </c>
      <c r="B1818" s="5" t="s">
        <v>8976</v>
      </c>
      <c r="C1818" s="3" t="s">
        <v>8977</v>
      </c>
      <c r="D1818" s="6" t="s">
        <v>8978</v>
      </c>
      <c r="E1818" s="7" t="s">
        <v>8979</v>
      </c>
      <c r="F1818" s="5" t="str">
        <f>IFERROR(__xludf.DUMMYFUNCTION("GOOGLEFINANCE(""NSE:""&amp;A1818,""name"")"),"R Systems International Ltd")</f>
        <v>R Systems International Ltd</v>
      </c>
    </row>
    <row r="1819">
      <c r="A1819" s="1" t="s">
        <v>8980</v>
      </c>
      <c r="B1819" s="5" t="s">
        <v>8981</v>
      </c>
      <c r="C1819" s="3" t="s">
        <v>8982</v>
      </c>
      <c r="D1819" s="6" t="s">
        <v>8983</v>
      </c>
      <c r="E1819" s="7" t="s">
        <v>8984</v>
      </c>
      <c r="F1819" s="5" t="str">
        <f>IFERROR(__xludf.DUMMYFUNCTION("GOOGLEFINANCE(""NSE:""&amp;A1819,""name"")"),"R S Software (India) Ltd")</f>
        <v>R S Software (India) Ltd</v>
      </c>
    </row>
    <row r="1820">
      <c r="A1820" s="1" t="s">
        <v>8985</v>
      </c>
      <c r="B1820" s="5" t="s">
        <v>8986</v>
      </c>
      <c r="C1820" s="3" t="s">
        <v>8987</v>
      </c>
      <c r="D1820" s="6" t="s">
        <v>8988</v>
      </c>
      <c r="E1820" s="7" t="s">
        <v>8989</v>
      </c>
      <c r="F1820" s="5" t="str">
        <f>IFERROR(__xludf.DUMMYFUNCTION("GOOGLEFINANCE(""NSE:""&amp;A1820,""name"")"),"RPP Infra Projects Ltd")</f>
        <v>RPP Infra Projects Ltd</v>
      </c>
    </row>
    <row r="1821">
      <c r="A1821" s="1" t="s">
        <v>8990</v>
      </c>
      <c r="B1821" s="5" t="s">
        <v>8991</v>
      </c>
      <c r="C1821" s="3" t="s">
        <v>8992</v>
      </c>
      <c r="D1821" s="6" t="s">
        <v>8993</v>
      </c>
      <c r="E1821" s="7" t="s">
        <v>8994</v>
      </c>
      <c r="F1821" s="5" t="str">
        <f>IFERROR(__xludf.DUMMYFUNCTION("GOOGLEFINANCE(""NSE:""&amp;A1821,""name"")"),"R &amp; B Denims Ltd")</f>
        <v>R &amp; B Denims Ltd</v>
      </c>
    </row>
    <row r="1822">
      <c r="A1822" s="1" t="s">
        <v>8995</v>
      </c>
      <c r="B1822" s="5" t="s">
        <v>8996</v>
      </c>
      <c r="C1822" s="3" t="s">
        <v>8997</v>
      </c>
      <c r="D1822" s="6" t="s">
        <v>8998</v>
      </c>
      <c r="E1822" s="7" t="s">
        <v>8999</v>
      </c>
      <c r="F1822" s="5" t="str">
        <f>IFERROR(__xludf.DUMMYFUNCTION("GOOGLEFINANCE(""NSE:""&amp;A1822,""name"")"),"Race Eco Chain Ltd")</f>
        <v>Race Eco Chain Ltd</v>
      </c>
    </row>
    <row r="1823">
      <c r="A1823" s="1" t="s">
        <v>9000</v>
      </c>
      <c r="B1823" s="5" t="s">
        <v>9001</v>
      </c>
      <c r="C1823" s="3" t="s">
        <v>9002</v>
      </c>
      <c r="D1823" s="6" t="s">
        <v>9003</v>
      </c>
      <c r="E1823" s="7" t="s">
        <v>9004</v>
      </c>
      <c r="F1823" s="5" t="str">
        <f>IFERROR(__xludf.DUMMYFUNCTION("GOOGLEFINANCE(""NSE:""&amp;A1823,""name"")"),"RACL Geartech Ltd")</f>
        <v>RACL Geartech Ltd</v>
      </c>
    </row>
    <row r="1824">
      <c r="A1824" s="1" t="s">
        <v>9005</v>
      </c>
      <c r="B1824" s="5" t="s">
        <v>9006</v>
      </c>
      <c r="C1824" s="3" t="s">
        <v>9007</v>
      </c>
      <c r="D1824" s="6" t="s">
        <v>9008</v>
      </c>
      <c r="E1824" s="7" t="s">
        <v>9009</v>
      </c>
      <c r="F1824" s="5" t="str">
        <f>IFERROR(__xludf.DUMMYFUNCTION("GOOGLEFINANCE(""NSE:""&amp;A1824,""name"")"),"Radhika Jeweltech Ltd")</f>
        <v>Radhika Jeweltech Ltd</v>
      </c>
    </row>
    <row r="1825">
      <c r="A1825" s="1" t="s">
        <v>9010</v>
      </c>
      <c r="B1825" s="5" t="s">
        <v>9011</v>
      </c>
      <c r="C1825" s="3" t="s">
        <v>9012</v>
      </c>
      <c r="D1825" s="6" t="s">
        <v>9013</v>
      </c>
      <c r="E1825" s="7" t="s">
        <v>9014</v>
      </c>
      <c r="F1825" s="5" t="str">
        <f>IFERROR(__xludf.DUMMYFUNCTION("GOOGLEFINANCE(""NSE:""&amp;A1825,""name"")"),"Radiant Cash Management Services Ltd")</f>
        <v>Radiant Cash Management Services Ltd</v>
      </c>
    </row>
    <row r="1826">
      <c r="A1826" s="1" t="s">
        <v>9015</v>
      </c>
      <c r="B1826" s="5" t="s">
        <v>9016</v>
      </c>
      <c r="C1826" s="3" t="s">
        <v>9017</v>
      </c>
      <c r="D1826" s="6" t="s">
        <v>9018</v>
      </c>
      <c r="E1826" s="7" t="s">
        <v>9019</v>
      </c>
      <c r="F1826" s="5" t="str">
        <f>IFERROR(__xludf.DUMMYFUNCTION("GOOGLEFINANCE(""NSE:""&amp;A1826,""name"")"),"Radico Khaitan Ltd")</f>
        <v>Radico Khaitan Ltd</v>
      </c>
    </row>
    <row r="1827">
      <c r="A1827" s="1" t="s">
        <v>9020</v>
      </c>
      <c r="B1827" s="5" t="s">
        <v>9021</v>
      </c>
      <c r="C1827" s="3" t="s">
        <v>9022</v>
      </c>
      <c r="D1827" s="6" t="s">
        <v>9023</v>
      </c>
      <c r="E1827" s="7" t="s">
        <v>9024</v>
      </c>
      <c r="F1827" s="5" t="str">
        <f>IFERROR(__xludf.DUMMYFUNCTION("GOOGLEFINANCE(""NSE:""&amp;A1827,""name"")"),"Raghav Productivity Enhancers Ltd")</f>
        <v>Raghav Productivity Enhancers Ltd</v>
      </c>
    </row>
    <row r="1828">
      <c r="A1828" s="1" t="s">
        <v>9025</v>
      </c>
      <c r="B1828" s="5" t="s">
        <v>9026</v>
      </c>
      <c r="C1828" s="3" t="s">
        <v>9027</v>
      </c>
      <c r="D1828" s="6" t="s">
        <v>9028</v>
      </c>
      <c r="E1828" s="7" t="s">
        <v>9029</v>
      </c>
      <c r="F1828" s="5" t="str">
        <f>IFERROR(__xludf.DUMMYFUNCTION("GOOGLEFINANCE(""NSE:""&amp;A1828,""name"")"),"Rail Vikas Nigam Ltd")</f>
        <v>Rail Vikas Nigam Ltd</v>
      </c>
    </row>
    <row r="1829">
      <c r="A1829" s="1" t="s">
        <v>9030</v>
      </c>
      <c r="B1829" s="5" t="s">
        <v>9031</v>
      </c>
      <c r="C1829" s="3" t="s">
        <v>9032</v>
      </c>
      <c r="D1829" s="6" t="s">
        <v>9033</v>
      </c>
      <c r="E1829" s="7" t="s">
        <v>9034</v>
      </c>
      <c r="F1829" s="5" t="str">
        <f>IFERROR(__xludf.DUMMYFUNCTION("GOOGLEFINANCE(""NSE:""&amp;A1829,""name"")"),"Railtel Corporation of India Ltd")</f>
        <v>Railtel Corporation of India Ltd</v>
      </c>
    </row>
    <row r="1830">
      <c r="A1830" s="1" t="s">
        <v>9035</v>
      </c>
      <c r="B1830" s="5" t="s">
        <v>9036</v>
      </c>
      <c r="C1830" s="3" t="s">
        <v>9037</v>
      </c>
      <c r="D1830" s="6" t="s">
        <v>9038</v>
      </c>
      <c r="E1830" s="7" t="s">
        <v>9039</v>
      </c>
      <c r="F1830" s="5" t="str">
        <f>IFERROR(__xludf.DUMMYFUNCTION("GOOGLEFINANCE(""NSE:""&amp;A1830,""name"")"),"Rain Industries Ltd")</f>
        <v>Rain Industries Ltd</v>
      </c>
    </row>
    <row r="1831">
      <c r="A1831" s="1" t="s">
        <v>9040</v>
      </c>
      <c r="B1831" s="5" t="s">
        <v>9041</v>
      </c>
      <c r="C1831" s="3" t="s">
        <v>9042</v>
      </c>
      <c r="D1831" s="6" t="s">
        <v>9043</v>
      </c>
      <c r="E1831" s="7" t="s">
        <v>9044</v>
      </c>
      <c r="F1831" s="5" t="str">
        <f>IFERROR(__xludf.DUMMYFUNCTION("GOOGLEFINANCE(""NSE:""&amp;A1831,""name"")"),"Rainbow Children's Medicare Ltd")</f>
        <v>Rainbow Children's Medicare Ltd</v>
      </c>
    </row>
    <row r="1832">
      <c r="A1832" s="1" t="s">
        <v>9045</v>
      </c>
      <c r="B1832" s="5" t="s">
        <v>9046</v>
      </c>
      <c r="C1832" s="3" t="s">
        <v>9047</v>
      </c>
      <c r="D1832" s="6" t="s">
        <v>9048</v>
      </c>
      <c r="E1832" s="7" t="s">
        <v>9049</v>
      </c>
      <c r="F1832" s="5" t="str">
        <f>IFERROR(__xludf.DUMMYFUNCTION("GOOGLEFINANCE(""NSE:""&amp;A1832,""name"")"),"Raj Oil Mills Ltd")</f>
        <v>Raj Oil Mills Ltd</v>
      </c>
    </row>
    <row r="1833">
      <c r="A1833" s="1" t="s">
        <v>9050</v>
      </c>
      <c r="B1833" s="5" t="s">
        <v>9051</v>
      </c>
      <c r="C1833" s="3" t="s">
        <v>9052</v>
      </c>
      <c r="D1833" s="6" t="s">
        <v>9053</v>
      </c>
      <c r="E1833" s="7" t="s">
        <v>9054</v>
      </c>
      <c r="F1833" s="5" t="str">
        <f>IFERROR(__xludf.DUMMYFUNCTION("GOOGLEFINANCE(""NSE:""&amp;A1833,""name"")"),"Raj Rayon Industries Ltd")</f>
        <v>Raj Rayon Industries Ltd</v>
      </c>
    </row>
    <row r="1834">
      <c r="A1834" s="1" t="s">
        <v>9055</v>
      </c>
      <c r="B1834" s="5" t="s">
        <v>9056</v>
      </c>
      <c r="C1834" s="3" t="s">
        <v>9057</v>
      </c>
      <c r="D1834" s="6" t="s">
        <v>9058</v>
      </c>
      <c r="E1834" s="7" t="s">
        <v>9059</v>
      </c>
      <c r="F1834" s="5" t="str">
        <f>IFERROR(__xludf.DUMMYFUNCTION("GOOGLEFINANCE(""NSE:""&amp;A1834,""name"")"),"Raj Television Network Ltd")</f>
        <v>Raj Television Network Ltd</v>
      </c>
    </row>
    <row r="1835">
      <c r="A1835" s="1" t="s">
        <v>9060</v>
      </c>
      <c r="B1835" s="5" t="s">
        <v>9061</v>
      </c>
      <c r="C1835" s="3" t="s">
        <v>9062</v>
      </c>
      <c r="D1835" s="6" t="s">
        <v>9063</v>
      </c>
      <c r="E1835" s="7" t="s">
        <v>9064</v>
      </c>
      <c r="F1835" s="5" t="str">
        <f>IFERROR(__xludf.DUMMYFUNCTION("GOOGLEFINANCE(""NSE:""&amp;A1835,""name"")"),"Rajdarshan Industries Ltd")</f>
        <v>Rajdarshan Industries Ltd</v>
      </c>
    </row>
    <row r="1836">
      <c r="A1836" s="1" t="s">
        <v>9065</v>
      </c>
      <c r="B1836" s="5" t="s">
        <v>9066</v>
      </c>
      <c r="C1836" s="3" t="s">
        <v>9067</v>
      </c>
      <c r="D1836" s="6" t="s">
        <v>9068</v>
      </c>
      <c r="E1836" s="7" t="s">
        <v>9069</v>
      </c>
      <c r="F1836" s="5" t="str">
        <f>IFERROR(__xludf.DUMMYFUNCTION("GOOGLEFINANCE(""NSE:""&amp;A1836,""name"")"),"Rajesh Exports Ltd")</f>
        <v>Rajesh Exports Ltd</v>
      </c>
    </row>
    <row r="1837">
      <c r="A1837" s="1" t="s">
        <v>9070</v>
      </c>
      <c r="B1837" s="5" t="s">
        <v>9071</v>
      </c>
      <c r="C1837" s="3" t="s">
        <v>9072</v>
      </c>
      <c r="D1837" s="6" t="s">
        <v>9073</v>
      </c>
      <c r="E1837" s="7" t="s">
        <v>9074</v>
      </c>
      <c r="F1837" s="5" t="str">
        <f>IFERROR(__xludf.DUMMYFUNCTION("GOOGLEFINANCE(""NSE:""&amp;A1837,""name"")"),"Rajoo Engineers Ltd")</f>
        <v>Rajoo Engineers Ltd</v>
      </c>
    </row>
    <row r="1838">
      <c r="A1838" s="1" t="s">
        <v>9075</v>
      </c>
      <c r="B1838" s="5" t="s">
        <v>9076</v>
      </c>
      <c r="C1838" s="3" t="s">
        <v>9077</v>
      </c>
      <c r="D1838" s="6" t="s">
        <v>9078</v>
      </c>
      <c r="E1838" s="7" t="s">
        <v>9079</v>
      </c>
      <c r="F1838" s="5" t="str">
        <f>IFERROR(__xludf.DUMMYFUNCTION("GOOGLEFINANCE(""NSE:""&amp;A1838,""name"")"),"Rajratan Global Wire Ltd")</f>
        <v>Rajratan Global Wire Ltd</v>
      </c>
    </row>
    <row r="1839">
      <c r="A1839" s="1" t="s">
        <v>9080</v>
      </c>
      <c r="B1839" s="5" t="s">
        <v>9081</v>
      </c>
      <c r="C1839" s="3" t="s">
        <v>9082</v>
      </c>
      <c r="D1839" s="6" t="s">
        <v>9083</v>
      </c>
      <c r="E1839" s="7" t="s">
        <v>9084</v>
      </c>
      <c r="F1839" s="5" t="str">
        <f>IFERROR(__xludf.DUMMYFUNCTION("GOOGLEFINANCE(""NSE:""&amp;A1839,""name"")"),"Rajshree Polypack Ltd")</f>
        <v>Rajshree Polypack Ltd</v>
      </c>
    </row>
    <row r="1840">
      <c r="A1840" s="1" t="s">
        <v>9085</v>
      </c>
      <c r="B1840" s="5" t="s">
        <v>9086</v>
      </c>
      <c r="C1840" s="3" t="s">
        <v>9087</v>
      </c>
      <c r="D1840" s="6" t="s">
        <v>9088</v>
      </c>
      <c r="E1840" s="7" t="s">
        <v>9089</v>
      </c>
      <c r="F1840" s="5" t="str">
        <f>IFERROR(__xludf.DUMMYFUNCTION("GOOGLEFINANCE(""NSE:""&amp;A1840,""name"")"),"Rajshree Sugars &amp; Chemicals Ltd")</f>
        <v>Rajshree Sugars &amp; Chemicals Ltd</v>
      </c>
    </row>
    <row r="1841">
      <c r="A1841" s="1" t="s">
        <v>9090</v>
      </c>
      <c r="B1841" s="5" t="s">
        <v>9091</v>
      </c>
      <c r="C1841" s="3" t="s">
        <v>9092</v>
      </c>
      <c r="D1841" s="6" t="s">
        <v>9093</v>
      </c>
      <c r="E1841" s="7" t="s">
        <v>9094</v>
      </c>
      <c r="F1841" s="5" t="str">
        <f>IFERROR(__xludf.DUMMYFUNCTION("GOOGLEFINANCE(""NSE:""&amp;A1841,""name"")"),"Rallis India Ltd")</f>
        <v>Rallis India Ltd</v>
      </c>
    </row>
    <row r="1842">
      <c r="A1842" s="1" t="s">
        <v>9095</v>
      </c>
      <c r="B1842" s="5" t="s">
        <v>9096</v>
      </c>
      <c r="C1842" s="3" t="s">
        <v>9097</v>
      </c>
      <c r="D1842" s="6" t="s">
        <v>9098</v>
      </c>
      <c r="E1842" s="7" t="s">
        <v>9099</v>
      </c>
      <c r="F1842" s="5" t="str">
        <f>IFERROR(__xludf.DUMMYFUNCTION("GOOGLEFINANCE(""NSE:""&amp;A1842,""name"")"),"Ram Ratna Wires Ltd")</f>
        <v>Ram Ratna Wires Ltd</v>
      </c>
    </row>
    <row r="1843">
      <c r="A1843" s="1" t="s">
        <v>9100</v>
      </c>
      <c r="B1843" s="5" t="s">
        <v>9101</v>
      </c>
      <c r="C1843" s="3" t="s">
        <v>9102</v>
      </c>
      <c r="D1843" s="6" t="s">
        <v>9103</v>
      </c>
      <c r="E1843" s="7" t="s">
        <v>9104</v>
      </c>
      <c r="F1843" s="5" t="str">
        <f>IFERROR(__xludf.DUMMYFUNCTION("GOOGLEFINANCE(""NSE:""&amp;A1843,""name"")"),"Rama Phosphates Ltd")</f>
        <v>Rama Phosphates Ltd</v>
      </c>
    </row>
    <row r="1844">
      <c r="A1844" s="1" t="s">
        <v>9105</v>
      </c>
      <c r="B1844" s="5" t="s">
        <v>9106</v>
      </c>
      <c r="C1844" s="3" t="s">
        <v>9107</v>
      </c>
      <c r="D1844" s="6" t="s">
        <v>9108</v>
      </c>
      <c r="E1844" s="7" t="s">
        <v>9109</v>
      </c>
      <c r="F1844" s="5" t="str">
        <f>IFERROR(__xludf.DUMMYFUNCTION("GOOGLEFINANCE(""NSE:""&amp;A1844,""name"")"),"Rama Steel Tubes Ltd")</f>
        <v>Rama Steel Tubes Ltd</v>
      </c>
    </row>
    <row r="1845">
      <c r="A1845" s="1" t="s">
        <v>9110</v>
      </c>
      <c r="B1845" s="5" t="s">
        <v>9111</v>
      </c>
      <c r="C1845" s="3" t="s">
        <v>9112</v>
      </c>
      <c r="D1845" s="6" t="s">
        <v>9113</v>
      </c>
      <c r="E1845" s="7" t="s">
        <v>9114</v>
      </c>
      <c r="F1845" s="5" t="str">
        <f>IFERROR(__xludf.DUMMYFUNCTION("GOOGLEFINANCE(""NSE:""&amp;A1845,""name"")"),"Ramco Industries Ltd")</f>
        <v>Ramco Industries Ltd</v>
      </c>
    </row>
    <row r="1846">
      <c r="A1846" s="1" t="s">
        <v>9115</v>
      </c>
      <c r="B1846" s="5" t="s">
        <v>9116</v>
      </c>
      <c r="C1846" s="3" t="s">
        <v>9117</v>
      </c>
      <c r="D1846" s="6" t="s">
        <v>9118</v>
      </c>
      <c r="E1846" s="7" t="s">
        <v>9119</v>
      </c>
      <c r="F1846" s="5" t="str">
        <f>IFERROR(__xludf.DUMMYFUNCTION("GOOGLEFINANCE(""NSE:""&amp;A1846,""name"")"),"Ramco Systems Ltd")</f>
        <v>Ramco Systems Ltd</v>
      </c>
    </row>
    <row r="1847">
      <c r="A1847" s="1" t="s">
        <v>9120</v>
      </c>
      <c r="B1847" s="5" t="s">
        <v>9121</v>
      </c>
      <c r="C1847" s="3" t="s">
        <v>9122</v>
      </c>
      <c r="D1847" s="6" t="s">
        <v>9123</v>
      </c>
      <c r="E1847" s="7" t="s">
        <v>9124</v>
      </c>
      <c r="F1847" s="5" t="str">
        <f>IFERROR(__xludf.DUMMYFUNCTION("GOOGLEFINANCE(""NSE:""&amp;A1847,""name"")"),"Ramkrishna Forgings Ltd")</f>
        <v>Ramkrishna Forgings Ltd</v>
      </c>
    </row>
    <row r="1848">
      <c r="A1848" s="1" t="s">
        <v>9125</v>
      </c>
      <c r="B1848" s="5" t="s">
        <v>9126</v>
      </c>
      <c r="C1848" s="3" t="s">
        <v>9127</v>
      </c>
      <c r="D1848" s="6" t="s">
        <v>9128</v>
      </c>
      <c r="E1848" s="7" t="s">
        <v>9129</v>
      </c>
      <c r="F1848" s="5" t="str">
        <f>IFERROR(__xludf.DUMMYFUNCTION("GOOGLEFINANCE(""NSE:""&amp;A1848,""name"")"),"Ramky Infrastructure Ltd")</f>
        <v>Ramky Infrastructure Ltd</v>
      </c>
    </row>
    <row r="1849">
      <c r="A1849" s="1" t="s">
        <v>9130</v>
      </c>
      <c r="B1849" s="5" t="s">
        <v>9131</v>
      </c>
      <c r="C1849" s="3" t="s">
        <v>9132</v>
      </c>
      <c r="D1849" s="6" t="s">
        <v>9133</v>
      </c>
      <c r="E1849" s="7" t="s">
        <v>9134</v>
      </c>
      <c r="F1849" s="5" t="str">
        <f>IFERROR(__xludf.DUMMYFUNCTION("GOOGLEFINANCE(""NSE:""&amp;A1849,""name"")"),"Rana Sugars Ltd")</f>
        <v>Rana Sugars Ltd</v>
      </c>
    </row>
    <row r="1850">
      <c r="A1850" s="1" t="s">
        <v>9135</v>
      </c>
      <c r="B1850" s="5" t="s">
        <v>9136</v>
      </c>
      <c r="C1850" s="3" t="s">
        <v>9137</v>
      </c>
      <c r="D1850" s="6" t="s">
        <v>9138</v>
      </c>
      <c r="E1850" s="7" t="s">
        <v>9139</v>
      </c>
      <c r="F1850" s="5" t="str">
        <f>IFERROR(__xludf.DUMMYFUNCTION("GOOGLEFINANCE(""NSE:""&amp;A1850,""name"")"),"Rane (Madras) Ltd")</f>
        <v>Rane (Madras) Ltd</v>
      </c>
    </row>
    <row r="1851">
      <c r="A1851" s="1" t="s">
        <v>9140</v>
      </c>
      <c r="B1851" s="5" t="s">
        <v>9141</v>
      </c>
      <c r="C1851" s="3" t="s">
        <v>9142</v>
      </c>
      <c r="D1851" s="6" t="s">
        <v>9143</v>
      </c>
      <c r="E1851" s="7" t="s">
        <v>9144</v>
      </c>
      <c r="F1851" s="5" t="str">
        <f>IFERROR(__xludf.DUMMYFUNCTION("GOOGLEFINANCE(""NSE:""&amp;A1851,""name"")"),"Rane Holdings Ltd")</f>
        <v>Rane Holdings Ltd</v>
      </c>
    </row>
    <row r="1852">
      <c r="A1852" s="1" t="s">
        <v>9145</v>
      </c>
      <c r="B1852" s="5" t="s">
        <v>9146</v>
      </c>
      <c r="C1852" s="3" t="s">
        <v>9147</v>
      </c>
      <c r="D1852" s="6" t="s">
        <v>9148</v>
      </c>
      <c r="E1852" s="7" t="s">
        <v>9149</v>
      </c>
      <c r="F1852" s="5" t="str">
        <f>IFERROR(__xludf.DUMMYFUNCTION("GOOGLEFINANCE(""NSE:""&amp;A1852,""name"")"),"Rashi Peripherals Ltd")</f>
        <v>Rashi Peripherals Ltd</v>
      </c>
    </row>
    <row r="1853">
      <c r="A1853" s="1" t="s">
        <v>9150</v>
      </c>
      <c r="B1853" s="5" t="s">
        <v>9151</v>
      </c>
      <c r="C1853" s="3" t="s">
        <v>9152</v>
      </c>
      <c r="D1853" s="6" t="s">
        <v>9153</v>
      </c>
      <c r="E1853" s="7" t="s">
        <v>9154</v>
      </c>
      <c r="F1853" s="5" t="str">
        <f>IFERROR(__xludf.DUMMYFUNCTION("GOOGLEFINANCE(""NSE:""&amp;A1853,""name"")"),"Rashtriya Chemicals and Fertilizers Ltd")</f>
        <v>Rashtriya Chemicals and Fertilizers Ltd</v>
      </c>
    </row>
    <row r="1854">
      <c r="A1854" s="1" t="s">
        <v>9155</v>
      </c>
      <c r="B1854" s="5" t="s">
        <v>9156</v>
      </c>
      <c r="C1854" s="3" t="s">
        <v>9157</v>
      </c>
      <c r="D1854" s="6" t="s">
        <v>9158</v>
      </c>
      <c r="E1854" s="7" t="s">
        <v>9159</v>
      </c>
      <c r="F1854" s="5" t="str">
        <f>IFERROR(__xludf.DUMMYFUNCTION("GOOGLEFINANCE(""NSE:""&amp;A1854,""name"")"),"Rategain Travel Technologies Ltd")</f>
        <v>Rategain Travel Technologies Ltd</v>
      </c>
    </row>
    <row r="1855">
      <c r="A1855" s="1" t="s">
        <v>9160</v>
      </c>
      <c r="B1855" s="5" t="s">
        <v>9161</v>
      </c>
      <c r="C1855" s="3" t="s">
        <v>9162</v>
      </c>
      <c r="D1855" s="6" t="s">
        <v>9163</v>
      </c>
      <c r="E1855" s="7" t="s">
        <v>9164</v>
      </c>
      <c r="F1855" s="5" t="str">
        <f>IFERROR(__xludf.DUMMYFUNCTION("GOOGLEFINANCE(""NSE:""&amp;A1855,""name"")"),"Ratnamani Metals and Tubes Ltd")</f>
        <v>Ratnamani Metals and Tubes Ltd</v>
      </c>
    </row>
    <row r="1856">
      <c r="A1856" s="1" t="s">
        <v>9165</v>
      </c>
      <c r="B1856" s="5" t="s">
        <v>9166</v>
      </c>
      <c r="C1856" s="3" t="s">
        <v>9167</v>
      </c>
      <c r="D1856" s="6" t="s">
        <v>9168</v>
      </c>
      <c r="E1856" s="7" t="s">
        <v>9169</v>
      </c>
      <c r="F1856" s="5" t="str">
        <f>IFERROR(__xludf.DUMMYFUNCTION("GOOGLEFINANCE(""NSE:""&amp;A1856,""name"")"),"Ratnaveer Precision Engineering Ltd")</f>
        <v>Ratnaveer Precision Engineering Ltd</v>
      </c>
    </row>
    <row r="1857">
      <c r="A1857" s="1" t="s">
        <v>9170</v>
      </c>
      <c r="B1857" s="5" t="s">
        <v>9171</v>
      </c>
      <c r="C1857" s="3" t="s">
        <v>9172</v>
      </c>
      <c r="D1857" s="6" t="s">
        <v>9173</v>
      </c>
      <c r="E1857" s="7" t="s">
        <v>9174</v>
      </c>
      <c r="F1857" s="5" t="str">
        <f>IFERROR(__xludf.DUMMYFUNCTION("GOOGLEFINANCE(""NSE:""&amp;A1857,""name"")"),"Rattanindia Enterprises Ltd")</f>
        <v>Rattanindia Enterprises Ltd</v>
      </c>
    </row>
    <row r="1858">
      <c r="A1858" s="1" t="s">
        <v>9175</v>
      </c>
      <c r="B1858" s="5" t="s">
        <v>9176</v>
      </c>
      <c r="C1858" s="3" t="s">
        <v>9177</v>
      </c>
      <c r="D1858" s="6" t="s">
        <v>9178</v>
      </c>
      <c r="E1858" s="7" t="s">
        <v>9179</v>
      </c>
      <c r="F1858" s="5" t="str">
        <f>IFERROR(__xludf.DUMMYFUNCTION("GOOGLEFINANCE(""NSE:""&amp;A1858,""name"")"),"RattanIndia Power Ltd")</f>
        <v>RattanIndia Power Ltd</v>
      </c>
    </row>
    <row r="1859">
      <c r="A1859" s="1" t="s">
        <v>9180</v>
      </c>
      <c r="B1859" s="5" t="s">
        <v>9181</v>
      </c>
      <c r="C1859" s="3" t="s">
        <v>9182</v>
      </c>
      <c r="D1859" s="6" t="s">
        <v>9183</v>
      </c>
      <c r="E1859" s="7" t="s">
        <v>9184</v>
      </c>
      <c r="F1859" s="5" t="str">
        <f>IFERROR(__xludf.DUMMYFUNCTION("GOOGLEFINANCE(""NSE:""&amp;A1859,""name"")"),"Ravi Kumar Distilleries Ltd")</f>
        <v>Ravi Kumar Distilleries Ltd</v>
      </c>
    </row>
    <row r="1860">
      <c r="A1860" s="1" t="s">
        <v>9185</v>
      </c>
      <c r="B1860" s="5" t="s">
        <v>9186</v>
      </c>
      <c r="C1860" s="3" t="s">
        <v>9187</v>
      </c>
      <c r="D1860" s="6" t="s">
        <v>9188</v>
      </c>
      <c r="E1860" s="7" t="s">
        <v>9189</v>
      </c>
      <c r="F1860" s="5" t="str">
        <f>IFERROR(__xludf.DUMMYFUNCTION("GOOGLEFINANCE(""NSE:""&amp;A1860,""name"")"),"Ravinder Heights Ltd")</f>
        <v>Ravinder Heights Ltd</v>
      </c>
    </row>
    <row r="1861">
      <c r="A1861" s="1" t="s">
        <v>9190</v>
      </c>
      <c r="B1861" s="5" t="s">
        <v>9191</v>
      </c>
      <c r="C1861" s="3" t="s">
        <v>9192</v>
      </c>
      <c r="D1861" s="6" t="s">
        <v>9193</v>
      </c>
      <c r="E1861" s="7" t="s">
        <v>9194</v>
      </c>
      <c r="F1861" s="5" t="str">
        <f>IFERROR(__xludf.DUMMYFUNCTION("GOOGLEFINANCE(""NSE:""&amp;A1861,""name"")"),"Ravindra Energy Ltd")</f>
        <v>Ravindra Energy Ltd</v>
      </c>
    </row>
    <row r="1862">
      <c r="A1862" s="1" t="s">
        <v>9195</v>
      </c>
      <c r="B1862" s="5" t="s">
        <v>9196</v>
      </c>
      <c r="C1862" s="3" t="s">
        <v>9197</v>
      </c>
      <c r="D1862" s="6" t="s">
        <v>9198</v>
      </c>
      <c r="E1862" s="7" t="s">
        <v>9199</v>
      </c>
      <c r="F1862" s="5" t="str">
        <f>IFERROR(__xludf.DUMMYFUNCTION("GOOGLEFINANCE(""NSE:""&amp;A1862,""name"")"),"Raymond Lifestyle Ltd")</f>
        <v>Raymond Lifestyle Ltd</v>
      </c>
    </row>
    <row r="1863">
      <c r="A1863" s="1" t="s">
        <v>9200</v>
      </c>
      <c r="B1863" s="5" t="s">
        <v>9201</v>
      </c>
      <c r="C1863" s="3" t="s">
        <v>9202</v>
      </c>
      <c r="D1863" s="6" t="s">
        <v>9203</v>
      </c>
      <c r="E1863" s="7" t="s">
        <v>9204</v>
      </c>
      <c r="F1863" s="5" t="str">
        <f>IFERROR(__xludf.DUMMYFUNCTION("GOOGLEFINANCE(""NSE:""&amp;A1863,""name"")"),"Raymond Ltd")</f>
        <v>Raymond Ltd</v>
      </c>
    </row>
    <row r="1864">
      <c r="A1864" s="1" t="s">
        <v>9205</v>
      </c>
      <c r="B1864" s="5" t="s">
        <v>9206</v>
      </c>
      <c r="C1864" s="3" t="s">
        <v>9207</v>
      </c>
      <c r="D1864" s="6" t="s">
        <v>9208</v>
      </c>
      <c r="E1864" s="7" t="s">
        <v>9209</v>
      </c>
      <c r="F1864" s="5" t="str">
        <f>IFERROR(__xludf.DUMMYFUNCTION("GOOGLEFINANCE(""NSE:""&amp;A1864,""name"")"),"Raymond Realty Ltd")</f>
        <v>Raymond Realty Ltd</v>
      </c>
    </row>
    <row r="1865">
      <c r="A1865" s="1" t="s">
        <v>9210</v>
      </c>
      <c r="B1865" s="5" t="s">
        <v>9211</v>
      </c>
      <c r="C1865" s="3" t="s">
        <v>9212</v>
      </c>
      <c r="D1865" s="6" t="s">
        <v>9213</v>
      </c>
      <c r="E1865" s="7" t="s">
        <v>9214</v>
      </c>
      <c r="F1865" s="5" t="str">
        <f>IFERROR(__xludf.DUMMYFUNCTION("GOOGLEFINANCE(""NSE:""&amp;A1865,""name"")"),"RBL Bank Ltd")</f>
        <v>RBL Bank Ltd</v>
      </c>
    </row>
    <row r="1866">
      <c r="A1866" s="1" t="s">
        <v>9215</v>
      </c>
      <c r="B1866" s="5" t="s">
        <v>9216</v>
      </c>
      <c r="C1866" s="3" t="s">
        <v>9217</v>
      </c>
      <c r="D1866" s="6" t="s">
        <v>9218</v>
      </c>
      <c r="E1866" s="7" t="s">
        <v>9219</v>
      </c>
      <c r="F1866" s="5" t="str">
        <f>IFERROR(__xludf.DUMMYFUNCTION("GOOGLEFINANCE(""NSE:""&amp;A1866,""name"")"),"Rbz Jewellers Ltd")</f>
        <v>Rbz Jewellers Ltd</v>
      </c>
    </row>
    <row r="1867">
      <c r="A1867" s="1" t="s">
        <v>9220</v>
      </c>
      <c r="B1867" s="5" t="s">
        <v>9221</v>
      </c>
      <c r="C1867" s="3" t="s">
        <v>9222</v>
      </c>
      <c r="D1867" s="6" t="s">
        <v>9223</v>
      </c>
      <c r="E1867" s="7" t="s">
        <v>9224</v>
      </c>
      <c r="F1867" s="5" t="str">
        <f>IFERROR(__xludf.DUMMYFUNCTION("GOOGLEFINANCE(""NSE:""&amp;A1867,""name"")"),"Redington Ltd")</f>
        <v>Redington Ltd</v>
      </c>
    </row>
    <row r="1868">
      <c r="A1868" s="1" t="s">
        <v>9225</v>
      </c>
      <c r="B1868" s="5" t="s">
        <v>9226</v>
      </c>
      <c r="C1868" s="3" t="s">
        <v>9227</v>
      </c>
      <c r="D1868" s="6" t="s">
        <v>9228</v>
      </c>
      <c r="E1868" s="7" t="s">
        <v>9229</v>
      </c>
      <c r="F1868" s="5" t="str">
        <f>IFERROR(__xludf.DUMMYFUNCTION("GOOGLEFINANCE(""NSE:""&amp;A1868,""name"")"),"RedTape")</f>
        <v>RedTape</v>
      </c>
    </row>
    <row r="1869">
      <c r="A1869" s="1" t="s">
        <v>9230</v>
      </c>
      <c r="B1869" s="5" t="s">
        <v>9231</v>
      </c>
      <c r="C1869" s="3" t="s">
        <v>9232</v>
      </c>
      <c r="D1869" s="6" t="s">
        <v>9233</v>
      </c>
      <c r="E1869" s="7" t="s">
        <v>9234</v>
      </c>
      <c r="F1869" s="5" t="str">
        <f>IFERROR(__xludf.DUMMYFUNCTION("GOOGLEFINANCE(""NSE:""&amp;A1869,""name"")"),"Refex Industries Ltd")</f>
        <v>Refex Industries Ltd</v>
      </c>
    </row>
    <row r="1870">
      <c r="A1870" s="1" t="s">
        <v>9235</v>
      </c>
      <c r="B1870" s="5" t="s">
        <v>9236</v>
      </c>
      <c r="C1870" s="3" t="s">
        <v>9237</v>
      </c>
      <c r="D1870" s="6" t="s">
        <v>9238</v>
      </c>
      <c r="E1870" s="7" t="s">
        <v>9239</v>
      </c>
      <c r="F1870" s="5" t="str">
        <f>IFERROR(__xludf.DUMMYFUNCTION("GOOGLEFINANCE(""NSE:""&amp;A1870,""name"")"),"Regaal Resources Ltd")</f>
        <v>Regaal Resources Ltd</v>
      </c>
    </row>
    <row r="1871">
      <c r="A1871" s="1" t="s">
        <v>9240</v>
      </c>
      <c r="B1871" s="5" t="s">
        <v>9241</v>
      </c>
      <c r="C1871" s="3" t="s">
        <v>9242</v>
      </c>
      <c r="D1871" s="6" t="s">
        <v>9243</v>
      </c>
      <c r="E1871" s="7" t="s">
        <v>9244</v>
      </c>
      <c r="F1871" s="5" t="str">
        <f>IFERROR(__xludf.DUMMYFUNCTION("GOOGLEFINANCE(""NSE:""&amp;A1871,""name"")"),"Regency Ceramics Ltd")</f>
        <v>Regency Ceramics Ltd</v>
      </c>
    </row>
    <row r="1872">
      <c r="A1872" s="1" t="s">
        <v>9245</v>
      </c>
      <c r="B1872" s="5" t="s">
        <v>9246</v>
      </c>
      <c r="C1872" s="3" t="s">
        <v>9247</v>
      </c>
      <c r="D1872" s="6" t="s">
        <v>9248</v>
      </c>
      <c r="E1872" s="7" t="s">
        <v>9249</v>
      </c>
      <c r="F1872" s="5" t="str">
        <f>IFERROR(__xludf.DUMMYFUNCTION("GOOGLEFINANCE(""NSE:""&amp;A1872,""name"")"),"Relaxo Footwears Ltd")</f>
        <v>Relaxo Footwears Ltd</v>
      </c>
    </row>
    <row r="1873">
      <c r="A1873" s="1" t="s">
        <v>9250</v>
      </c>
      <c r="B1873" s="5" t="s">
        <v>9251</v>
      </c>
      <c r="C1873" s="3" t="s">
        <v>9252</v>
      </c>
      <c r="D1873" s="6" t="s">
        <v>9253</v>
      </c>
      <c r="E1873" s="7" t="s">
        <v>9254</v>
      </c>
      <c r="F1873" s="5" t="str">
        <f>IFERROR(__xludf.DUMMYFUNCTION("GOOGLEFINANCE(""NSE:""&amp;A1873,""name"")"),"Reliable Data Services Ltd")</f>
        <v>Reliable Data Services Ltd</v>
      </c>
    </row>
    <row r="1874">
      <c r="A1874" s="1" t="s">
        <v>9255</v>
      </c>
      <c r="B1874" s="5" t="s">
        <v>9256</v>
      </c>
      <c r="C1874" s="3" t="s">
        <v>9257</v>
      </c>
      <c r="D1874" s="6" t="s">
        <v>9258</v>
      </c>
      <c r="E1874" s="7" t="s">
        <v>9259</v>
      </c>
      <c r="F1874" s="5" t="str">
        <f>IFERROR(__xludf.DUMMYFUNCTION("GOOGLEFINANCE(""NSE:""&amp;A1874,""name"")"),"Reliance Chemotex Industries Ltd")</f>
        <v>Reliance Chemotex Industries Ltd</v>
      </c>
    </row>
    <row r="1875">
      <c r="A1875" s="1" t="s">
        <v>9260</v>
      </c>
      <c r="B1875" s="5" t="s">
        <v>9261</v>
      </c>
      <c r="C1875" s="3" t="s">
        <v>9262</v>
      </c>
      <c r="D1875" s="6" t="s">
        <v>9263</v>
      </c>
      <c r="E1875" s="7" t="s">
        <v>9264</v>
      </c>
      <c r="F1875" s="5" t="str">
        <f>IFERROR(__xludf.DUMMYFUNCTION("GOOGLEFINANCE(""NSE:""&amp;A1875,""name"")"),"Reliance Industrial Infrastructure Ltd")</f>
        <v>Reliance Industrial Infrastructure Ltd</v>
      </c>
    </row>
    <row r="1876">
      <c r="A1876" s="1" t="s">
        <v>9265</v>
      </c>
      <c r="B1876" s="5" t="s">
        <v>9266</v>
      </c>
      <c r="C1876" s="3" t="s">
        <v>9267</v>
      </c>
      <c r="D1876" s="6" t="s">
        <v>9268</v>
      </c>
      <c r="E1876" s="7" t="s">
        <v>9269</v>
      </c>
      <c r="F1876" s="5" t="str">
        <f>IFERROR(__xludf.DUMMYFUNCTION("GOOGLEFINANCE(""NSE:""&amp;A1876,""name"")"),"Reliance Industries Ltd")</f>
        <v>Reliance Industries Ltd</v>
      </c>
    </row>
    <row r="1877">
      <c r="A1877" s="1" t="s">
        <v>9270</v>
      </c>
      <c r="B1877" s="5" t="s">
        <v>9271</v>
      </c>
      <c r="C1877" s="3" t="s">
        <v>9272</v>
      </c>
      <c r="D1877" s="6" t="s">
        <v>9273</v>
      </c>
      <c r="E1877" s="7" t="s">
        <v>9274</v>
      </c>
      <c r="F1877" s="5" t="str">
        <f>IFERROR(__xludf.DUMMYFUNCTION("GOOGLEFINANCE(""NSE:""&amp;A1877,""name"")"),"Reliance Infrastructure Ltd")</f>
        <v>Reliance Infrastructure Ltd</v>
      </c>
    </row>
    <row r="1878">
      <c r="A1878" s="1" t="s">
        <v>9275</v>
      </c>
      <c r="B1878" s="5" t="s">
        <v>9276</v>
      </c>
      <c r="C1878" s="3" t="s">
        <v>9277</v>
      </c>
      <c r="D1878" s="6" t="s">
        <v>9278</v>
      </c>
      <c r="E1878" s="7" t="s">
        <v>9279</v>
      </c>
      <c r="F1878" s="5" t="str">
        <f>IFERROR(__xludf.DUMMYFUNCTION("GOOGLEFINANCE(""NSE:""&amp;A1878,""name"")"),"Reliance Power Ltd")</f>
        <v>Reliance Power Ltd</v>
      </c>
    </row>
    <row r="1879">
      <c r="A1879" s="1" t="s">
        <v>9280</v>
      </c>
      <c r="B1879" s="5" t="s">
        <v>9281</v>
      </c>
      <c r="C1879" s="3" t="s">
        <v>9282</v>
      </c>
      <c r="D1879" s="6" t="s">
        <v>9283</v>
      </c>
      <c r="E1879" s="7" t="s">
        <v>9284</v>
      </c>
      <c r="F1879" s="5" t="str">
        <f>IFERROR(__xludf.DUMMYFUNCTION("GOOGLEFINANCE(""NSE:""&amp;A1879,""name"")"),"Religare Enterprises Ltd")</f>
        <v>Religare Enterprises Ltd</v>
      </c>
    </row>
    <row r="1880">
      <c r="A1880" s="1" t="s">
        <v>9285</v>
      </c>
      <c r="B1880" s="5" t="s">
        <v>9286</v>
      </c>
      <c r="C1880" s="3" t="s">
        <v>9287</v>
      </c>
      <c r="D1880" s="6" t="s">
        <v>9288</v>
      </c>
      <c r="E1880" s="7" t="s">
        <v>9289</v>
      </c>
      <c r="F1880" s="5" t="str">
        <f>IFERROR(__xludf.DUMMYFUNCTION("GOOGLEFINANCE(""NSE:""&amp;A1880,""name"")"),"Remsons Industries Ltd")</f>
        <v>Remsons Industries Ltd</v>
      </c>
    </row>
    <row r="1881">
      <c r="A1881" s="1" t="s">
        <v>9290</v>
      </c>
      <c r="B1881" s="5" t="s">
        <v>9291</v>
      </c>
      <c r="C1881" s="3" t="s">
        <v>9292</v>
      </c>
      <c r="D1881" s="6" t="s">
        <v>9293</v>
      </c>
      <c r="E1881" s="7" t="s">
        <v>9294</v>
      </c>
      <c r="F1881" s="5" t="str">
        <f>IFERROR(__xludf.DUMMYFUNCTION("GOOGLEFINANCE(""NSE:""&amp;A1881,""name"")"),"Renaissance Global Ltd")</f>
        <v>Renaissance Global Ltd</v>
      </c>
    </row>
    <row r="1882">
      <c r="A1882" s="1" t="s">
        <v>9295</v>
      </c>
      <c r="B1882" s="5" t="s">
        <v>9296</v>
      </c>
      <c r="C1882" s="3" t="s">
        <v>9297</v>
      </c>
      <c r="D1882" s="6" t="s">
        <v>9298</v>
      </c>
      <c r="E1882" s="7" t="s">
        <v>9299</v>
      </c>
      <c r="F1882" s="5" t="str">
        <f>IFERROR(__xludf.DUMMYFUNCTION("GOOGLEFINANCE(""NSE:""&amp;A1882,""name"")"),"Repco Home Finance Ltd")</f>
        <v>Repco Home Finance Ltd</v>
      </c>
    </row>
    <row r="1883">
      <c r="A1883" s="1" t="s">
        <v>9300</v>
      </c>
      <c r="B1883" s="5" t="s">
        <v>9301</v>
      </c>
      <c r="C1883" s="3" t="s">
        <v>9302</v>
      </c>
      <c r="D1883" s="6" t="s">
        <v>9303</v>
      </c>
      <c r="E1883" s="7" t="s">
        <v>9304</v>
      </c>
      <c r="F1883" s="5" t="str">
        <f>IFERROR(__xludf.DUMMYFUNCTION("GOOGLEFINANCE(""NSE:""&amp;A1883,""name"")"),"Repro India Ltd")</f>
        <v>Repro India Ltd</v>
      </c>
    </row>
    <row r="1884">
      <c r="A1884" s="1" t="s">
        <v>9305</v>
      </c>
      <c r="B1884" s="5" t="s">
        <v>9306</v>
      </c>
      <c r="C1884" s="3" t="s">
        <v>9307</v>
      </c>
      <c r="D1884" s="6" t="s">
        <v>9308</v>
      </c>
      <c r="E1884" s="7" t="s">
        <v>9309</v>
      </c>
      <c r="F1884" s="5" t="str">
        <f>IFERROR(__xludf.DUMMYFUNCTION("GOOGLEFINANCE(""NSE:""&amp;A1884,""name"")"),"Responsive Industries Ltd")</f>
        <v>Responsive Industries Ltd</v>
      </c>
    </row>
    <row r="1885">
      <c r="A1885" s="1" t="s">
        <v>9310</v>
      </c>
      <c r="B1885" s="5" t="s">
        <v>9311</v>
      </c>
      <c r="C1885" s="3" t="s">
        <v>9312</v>
      </c>
      <c r="D1885" s="6" t="s">
        <v>9313</v>
      </c>
      <c r="E1885" s="7" t="s">
        <v>9314</v>
      </c>
      <c r="F1885" s="5" t="str">
        <f>IFERROR(__xludf.DUMMYFUNCTION("GOOGLEFINANCE(""NSE:""&amp;A1885,""name"")"),"Restaurant Brands Asia Ltd")</f>
        <v>Restaurant Brands Asia Ltd</v>
      </c>
    </row>
    <row r="1886">
      <c r="A1886" s="1" t="s">
        <v>9315</v>
      </c>
      <c r="B1886" s="5" t="s">
        <v>9316</v>
      </c>
      <c r="C1886" s="3" t="s">
        <v>9317</v>
      </c>
      <c r="D1886" s="6" t="s">
        <v>9318</v>
      </c>
      <c r="E1886" s="7" t="s">
        <v>9319</v>
      </c>
      <c r="F1886" s="5" t="str">
        <f>IFERROR(__xludf.DUMMYFUNCTION("GOOGLEFINANCE(""NSE:""&amp;A1886,""name"")"),"Revathi Equipment India ltd")</f>
        <v>Revathi Equipment India ltd</v>
      </c>
    </row>
    <row r="1887">
      <c r="A1887" s="1" t="s">
        <v>9320</v>
      </c>
      <c r="B1887" s="5" t="s">
        <v>9321</v>
      </c>
      <c r="C1887" s="3" t="s">
        <v>9322</v>
      </c>
      <c r="D1887" s="6" t="s">
        <v>9323</v>
      </c>
      <c r="E1887" s="7" t="s">
        <v>9324</v>
      </c>
      <c r="F1887" s="5" t="str">
        <f>IFERROR(__xludf.DUMMYFUNCTION("GOOGLEFINANCE(""NSE:""&amp;A1887,""name"")"),"Rhetan TMT Ltd")</f>
        <v>Rhetan TMT Ltd</v>
      </c>
    </row>
    <row r="1888">
      <c r="A1888" s="1" t="s">
        <v>9325</v>
      </c>
      <c r="B1888" s="5" t="s">
        <v>9326</v>
      </c>
      <c r="C1888" s="3" t="s">
        <v>9327</v>
      </c>
      <c r="D1888" s="6" t="s">
        <v>9328</v>
      </c>
      <c r="E1888" s="7" t="s">
        <v>9329</v>
      </c>
      <c r="F1888" s="5" t="str">
        <f>IFERROR(__xludf.DUMMYFUNCTION("GOOGLEFINANCE(""NSE:""&amp;A1888,""name"")"),"RHI Magnesita India Ltd")</f>
        <v>RHI Magnesita India Ltd</v>
      </c>
    </row>
    <row r="1889">
      <c r="A1889" s="1" t="s">
        <v>9330</v>
      </c>
      <c r="B1889" s="5" t="s">
        <v>9331</v>
      </c>
      <c r="C1889" s="3" t="s">
        <v>9332</v>
      </c>
      <c r="D1889" s="6" t="s">
        <v>9333</v>
      </c>
      <c r="E1889" s="7" t="s">
        <v>9334</v>
      </c>
      <c r="F1889" s="5" t="str">
        <f>IFERROR(__xludf.DUMMYFUNCTION("GOOGLEFINANCE(""NSE:""&amp;A1889,""name"")"),"Rico Auto Industries Ltd")</f>
        <v>Rico Auto Industries Ltd</v>
      </c>
    </row>
    <row r="1890">
      <c r="A1890" s="1" t="s">
        <v>9335</v>
      </c>
      <c r="B1890" s="5" t="s">
        <v>9336</v>
      </c>
      <c r="C1890" s="3" t="s">
        <v>9337</v>
      </c>
      <c r="D1890" s="6" t="s">
        <v>9338</v>
      </c>
      <c r="E1890" s="7" t="s">
        <v>9339</v>
      </c>
      <c r="F1890" s="5" t="str">
        <f>IFERROR(__xludf.DUMMYFUNCTION("GOOGLEFINANCE(""NSE:""&amp;A1890,""name"")"),"Rishabh Instruments Ltd")</f>
        <v>Rishabh Instruments Ltd</v>
      </c>
    </row>
    <row r="1891">
      <c r="A1891" s="1" t="s">
        <v>9340</v>
      </c>
      <c r="B1891" s="5" t="s">
        <v>9341</v>
      </c>
      <c r="C1891" s="3" t="s">
        <v>9342</v>
      </c>
      <c r="D1891" s="6" t="s">
        <v>9343</v>
      </c>
      <c r="E1891" s="7" t="s">
        <v>9344</v>
      </c>
      <c r="F1891" s="5" t="str">
        <f>IFERROR(__xludf.DUMMYFUNCTION("GOOGLEFINANCE(""NSE:""&amp;A1891,""name"")"),"RITCO LOGISTICS Ltd")</f>
        <v>RITCO LOGISTICS Ltd</v>
      </c>
    </row>
    <row r="1892">
      <c r="A1892" s="1" t="s">
        <v>9345</v>
      </c>
      <c r="B1892" s="5" t="s">
        <v>9346</v>
      </c>
      <c r="C1892" s="3" t="s">
        <v>9347</v>
      </c>
      <c r="D1892" s="6" t="s">
        <v>9348</v>
      </c>
      <c r="E1892" s="7" t="s">
        <v>9349</v>
      </c>
      <c r="F1892" s="5" t="str">
        <f>IFERROR(__xludf.DUMMYFUNCTION("GOOGLEFINANCE(""NSE:""&amp;A1892,""name"")"),"Rites Ltd")</f>
        <v>Rites Ltd</v>
      </c>
    </row>
    <row r="1893">
      <c r="A1893" s="1" t="s">
        <v>9350</v>
      </c>
      <c r="B1893" s="5" t="s">
        <v>9351</v>
      </c>
      <c r="C1893" s="3" t="s">
        <v>9352</v>
      </c>
      <c r="D1893" s="6" t="s">
        <v>9353</v>
      </c>
      <c r="E1893" s="7" t="s">
        <v>9354</v>
      </c>
      <c r="F1893" s="5" t="str">
        <f>IFERROR(__xludf.DUMMYFUNCTION("GOOGLEFINANCE(""NSE:""&amp;A1893,""name"")"),"Rkec Projects Ltd")</f>
        <v>Rkec Projects Ltd</v>
      </c>
    </row>
    <row r="1894">
      <c r="A1894" s="1" t="s">
        <v>9355</v>
      </c>
      <c r="B1894" s="5" t="s">
        <v>9356</v>
      </c>
      <c r="C1894" s="3" t="s">
        <v>9357</v>
      </c>
      <c r="D1894" s="6" t="s">
        <v>9358</v>
      </c>
      <c r="E1894" s="7" t="s">
        <v>9359</v>
      </c>
      <c r="F1894" s="5" t="str">
        <f>IFERROR(__xludf.DUMMYFUNCTION("GOOGLEFINANCE(""NSE:""&amp;A1894,""name"")"),"Robust Hotels Ltd")</f>
        <v>Robust Hotels Ltd</v>
      </c>
    </row>
    <row r="1895">
      <c r="A1895" s="1" t="s">
        <v>9360</v>
      </c>
      <c r="B1895" s="5" t="s">
        <v>9361</v>
      </c>
      <c r="C1895" s="3" t="s">
        <v>9362</v>
      </c>
      <c r="D1895" s="6" t="s">
        <v>9363</v>
      </c>
      <c r="E1895" s="7" t="s">
        <v>9364</v>
      </c>
      <c r="F1895" s="5" t="str">
        <f>IFERROR(__xludf.DUMMYFUNCTION("GOOGLEFINANCE(""NSE:""&amp;A1895,""name"")"),"Rolex Rings Ltd")</f>
        <v>Rolex Rings Ltd</v>
      </c>
    </row>
    <row r="1896">
      <c r="A1896" s="1" t="s">
        <v>9365</v>
      </c>
      <c r="B1896" s="5" t="s">
        <v>9366</v>
      </c>
      <c r="C1896" s="3" t="s">
        <v>9367</v>
      </c>
      <c r="D1896" s="6" t="s">
        <v>9368</v>
      </c>
      <c r="E1896" s="7" t="s">
        <v>9369</v>
      </c>
      <c r="F1896" s="5" t="str">
        <f>IFERROR(__xludf.DUMMYFUNCTION("GOOGLEFINANCE(""NSE:""&amp;A1896,""name"")"),"Rossari Biotech Ltd")</f>
        <v>Rossari Biotech Ltd</v>
      </c>
    </row>
    <row r="1897">
      <c r="A1897" s="1" t="s">
        <v>9370</v>
      </c>
      <c r="B1897" s="5" t="s">
        <v>9371</v>
      </c>
      <c r="C1897" s="3" t="s">
        <v>9372</v>
      </c>
      <c r="D1897" s="6" t="s">
        <v>9373</v>
      </c>
      <c r="E1897" s="7" t="s">
        <v>9374</v>
      </c>
      <c r="F1897" s="5" t="str">
        <f>IFERROR(__xludf.DUMMYFUNCTION("GOOGLEFINANCE(""NSE:""&amp;A1897,""name"")"),"Rossell India Ltd")</f>
        <v>Rossell India Ltd</v>
      </c>
    </row>
    <row r="1898">
      <c r="A1898" s="1" t="s">
        <v>9375</v>
      </c>
      <c r="B1898" s="5" t="s">
        <v>9376</v>
      </c>
      <c r="C1898" s="3" t="s">
        <v>9377</v>
      </c>
      <c r="D1898" s="6" t="s">
        <v>9378</v>
      </c>
      <c r="E1898" s="7" t="s">
        <v>9379</v>
      </c>
      <c r="F1898" s="5" t="str">
        <f>IFERROR(__xludf.DUMMYFUNCTION("GOOGLEFINANCE(""NSE:""&amp;A1898,""name"")"),"Rossell Techsys Ltd")</f>
        <v>Rossell Techsys Ltd</v>
      </c>
    </row>
    <row r="1899">
      <c r="A1899" s="1" t="s">
        <v>9380</v>
      </c>
      <c r="B1899" s="5" t="s">
        <v>9381</v>
      </c>
      <c r="C1899" s="3" t="s">
        <v>9382</v>
      </c>
      <c r="D1899" s="6" t="s">
        <v>9383</v>
      </c>
      <c r="E1899" s="7" t="s">
        <v>9384</v>
      </c>
      <c r="F1899" s="5" t="str">
        <f>IFERROR(__xludf.DUMMYFUNCTION("GOOGLEFINANCE(""NSE:""&amp;A1899,""name"")"),"Roto Pumps Ltd")</f>
        <v>Roto Pumps Ltd</v>
      </c>
    </row>
    <row r="1900">
      <c r="A1900" s="1" t="s">
        <v>9385</v>
      </c>
      <c r="B1900" s="5" t="s">
        <v>9386</v>
      </c>
      <c r="C1900" s="3" t="s">
        <v>9387</v>
      </c>
      <c r="D1900" s="6" t="s">
        <v>9388</v>
      </c>
      <c r="E1900" s="7" t="s">
        <v>9389</v>
      </c>
      <c r="F1900" s="5" t="str">
        <f>IFERROR(__xludf.DUMMYFUNCTION("GOOGLEFINANCE(""NSE:""&amp;A1900,""name"")"),"Route Mobile Ltd")</f>
        <v>Route Mobile Ltd</v>
      </c>
    </row>
    <row r="1901">
      <c r="A1901" s="1" t="s">
        <v>9390</v>
      </c>
      <c r="B1901" s="5" t="s">
        <v>9391</v>
      </c>
      <c r="C1901" s="3" t="s">
        <v>9392</v>
      </c>
      <c r="D1901" s="6" t="s">
        <v>9393</v>
      </c>
      <c r="E1901" s="7" t="s">
        <v>9394</v>
      </c>
      <c r="F1901" s="5" t="str">
        <f>IFERROR(__xludf.DUMMYFUNCTION("GOOGLEFINANCE(""NSE:""&amp;A1901,""name"")"),"Royal Orchid Hotels Ltd")</f>
        <v>Royal Orchid Hotels Ltd</v>
      </c>
    </row>
    <row r="1902">
      <c r="A1902" s="1" t="s">
        <v>9395</v>
      </c>
      <c r="B1902" s="5" t="s">
        <v>9396</v>
      </c>
      <c r="C1902" s="3" t="s">
        <v>9397</v>
      </c>
      <c r="D1902" s="6" t="s">
        <v>9398</v>
      </c>
      <c r="E1902" s="7" t="s">
        <v>9399</v>
      </c>
      <c r="F1902" s="5" t="str">
        <f>IFERROR(__xludf.DUMMYFUNCTION("GOOGLEFINANCE(""NSE:""&amp;A1902,""name"")"),"RPG Life Sciences Ltd")</f>
        <v>RPG Life Sciences Ltd</v>
      </c>
    </row>
    <row r="1903">
      <c r="A1903" s="1" t="s">
        <v>9400</v>
      </c>
      <c r="B1903" s="5" t="s">
        <v>9401</v>
      </c>
      <c r="C1903" s="3" t="s">
        <v>9402</v>
      </c>
      <c r="D1903" s="6" t="s">
        <v>9403</v>
      </c>
      <c r="E1903" s="7" t="s">
        <v>9404</v>
      </c>
      <c r="F1903" s="5" t="str">
        <f>IFERROR(__xludf.DUMMYFUNCTION("GOOGLEFINANCE(""NSE:""&amp;A1903,""name"")"),"RPSG Ventures Ltd")</f>
        <v>RPSG Ventures Ltd</v>
      </c>
    </row>
    <row r="1904">
      <c r="A1904" s="1" t="s">
        <v>9405</v>
      </c>
      <c r="B1904" s="5" t="s">
        <v>9406</v>
      </c>
      <c r="C1904" s="3" t="s">
        <v>9407</v>
      </c>
      <c r="D1904" s="6" t="s">
        <v>9408</v>
      </c>
      <c r="E1904" s="7" t="s">
        <v>9409</v>
      </c>
      <c r="F1904" s="5" t="str">
        <f>IFERROR(__xludf.DUMMYFUNCTION("GOOGLEFINANCE(""NSE:""&amp;A1904,""name"")"),"RSWM Ltd")</f>
        <v>RSWM Ltd</v>
      </c>
    </row>
    <row r="1905">
      <c r="A1905" s="1" t="s">
        <v>9410</v>
      </c>
      <c r="B1905" s="5" t="s">
        <v>9411</v>
      </c>
      <c r="C1905" s="3" t="s">
        <v>9412</v>
      </c>
      <c r="D1905" s="6" t="s">
        <v>9413</v>
      </c>
      <c r="E1905" s="7" t="s">
        <v>9414</v>
      </c>
      <c r="F1905" s="5" t="str">
        <f>IFERROR(__xludf.DUMMYFUNCTION("GOOGLEFINANCE(""NSE:""&amp;A1905,""name"")"),"Rubfila International Ltd")</f>
        <v>Rubfila International Ltd</v>
      </c>
    </row>
    <row r="1906">
      <c r="A1906" s="1" t="s">
        <v>9415</v>
      </c>
      <c r="B1906" s="5" t="s">
        <v>9416</v>
      </c>
      <c r="C1906" s="3" t="s">
        <v>9417</v>
      </c>
      <c r="D1906" s="6" t="s">
        <v>9418</v>
      </c>
      <c r="E1906" s="7" t="s">
        <v>9419</v>
      </c>
      <c r="F1906" s="5" t="str">
        <f>IFERROR(__xludf.DUMMYFUNCTION("GOOGLEFINANCE(""NSE:""&amp;A1906,""name"")"),"Rubicon Research Ltd")</f>
        <v>Rubicon Research Ltd</v>
      </c>
    </row>
    <row r="1907">
      <c r="A1907" s="1" t="s">
        <v>9420</v>
      </c>
      <c r="B1907" s="5" t="s">
        <v>9421</v>
      </c>
      <c r="C1907" s="3" t="s">
        <v>9422</v>
      </c>
      <c r="D1907" s="6" t="s">
        <v>9423</v>
      </c>
      <c r="E1907" s="7" t="s">
        <v>9424</v>
      </c>
      <c r="F1907" s="5" t="str">
        <f>IFERROR(__xludf.DUMMYFUNCTION("GOOGLEFINANCE(""NSE:""&amp;A1907,""name"")"),"Ruchi Infrastructure Ltd")</f>
        <v>Ruchi Infrastructure Ltd</v>
      </c>
    </row>
    <row r="1908">
      <c r="A1908" s="1" t="s">
        <v>9425</v>
      </c>
      <c r="B1908" s="5" t="s">
        <v>9426</v>
      </c>
      <c r="C1908" s="3" t="s">
        <v>9427</v>
      </c>
      <c r="D1908" s="6" t="s">
        <v>9428</v>
      </c>
      <c r="E1908" s="7" t="s">
        <v>9429</v>
      </c>
      <c r="F1908" s="5" t="str">
        <f>IFERROR(__xludf.DUMMYFUNCTION("GOOGLEFINANCE(""NSE:""&amp;A1908,""name"")"),"Ruchira Papers Ltd")</f>
        <v>Ruchira Papers Ltd</v>
      </c>
    </row>
    <row r="1909">
      <c r="A1909" s="1" t="s">
        <v>9430</v>
      </c>
      <c r="B1909" s="5" t="s">
        <v>9431</v>
      </c>
      <c r="C1909" s="3" t="s">
        <v>9432</v>
      </c>
      <c r="D1909" s="6" t="s">
        <v>9433</v>
      </c>
      <c r="E1909" s="7" t="s">
        <v>9434</v>
      </c>
      <c r="F1909" s="5" t="str">
        <f>IFERROR(__xludf.DUMMYFUNCTION("GOOGLEFINANCE(""NSE:""&amp;A1909,""name"")"),"Rudrabhishek Enterprises Ltd")</f>
        <v>Rudrabhishek Enterprises Ltd</v>
      </c>
    </row>
    <row r="1910">
      <c r="A1910" s="1" t="s">
        <v>9435</v>
      </c>
      <c r="B1910" s="5" t="s">
        <v>9436</v>
      </c>
      <c r="C1910" s="3" t="s">
        <v>9437</v>
      </c>
      <c r="D1910" s="6" t="s">
        <v>9438</v>
      </c>
      <c r="E1910" s="7" t="s">
        <v>9439</v>
      </c>
      <c r="F1910" s="5" t="str">
        <f>IFERROR(__xludf.DUMMYFUNCTION("GOOGLEFINANCE(""NSE:""&amp;A1910,""name"")"),"Rupa &amp; Company Ltd")</f>
        <v>Rupa &amp; Company Ltd</v>
      </c>
    </row>
    <row r="1911">
      <c r="A1911" s="1" t="s">
        <v>9440</v>
      </c>
      <c r="B1911" s="5" t="s">
        <v>9441</v>
      </c>
      <c r="C1911" s="3" t="s">
        <v>9442</v>
      </c>
      <c r="D1911" s="6" t="s">
        <v>9443</v>
      </c>
      <c r="E1911" s="7" t="s">
        <v>9444</v>
      </c>
      <c r="F1911" s="5" t="str">
        <f>IFERROR(__xludf.DUMMYFUNCTION("GOOGLEFINANCE(""NSE:""&amp;A1911,""name"")"),"REC Limited")</f>
        <v>REC Limited</v>
      </c>
    </row>
    <row r="1912">
      <c r="A1912" s="1" t="s">
        <v>9445</v>
      </c>
      <c r="B1912" s="5" t="s">
        <v>9446</v>
      </c>
      <c r="C1912" s="3" t="s">
        <v>9447</v>
      </c>
      <c r="D1912" s="6" t="s">
        <v>9448</v>
      </c>
      <c r="E1912" s="7" t="s">
        <v>9449</v>
      </c>
      <c r="F1912" s="5" t="str">
        <f>IFERROR(__xludf.DUMMYFUNCTION("GOOGLEFINANCE(""NSE:""&amp;A1912,""name"")"),"Rushil Decor Ltd")</f>
        <v>Rushil Decor Ltd</v>
      </c>
    </row>
    <row r="1913">
      <c r="A1913" s="1" t="s">
        <v>9450</v>
      </c>
      <c r="B1913" s="5" t="s">
        <v>9451</v>
      </c>
      <c r="C1913" s="3" t="s">
        <v>9452</v>
      </c>
      <c r="D1913" s="6" t="s">
        <v>9453</v>
      </c>
      <c r="E1913" s="7" t="s">
        <v>9454</v>
      </c>
      <c r="F1913" s="5" t="str">
        <f>IFERROR(__xludf.DUMMYFUNCTION("GOOGLEFINANCE(""NSE:""&amp;A1913,""name"")"),"S &amp; S Power Switchgear Ltd")</f>
        <v>S &amp; S Power Switchgear Ltd</v>
      </c>
    </row>
    <row r="1914">
      <c r="A1914" s="1" t="s">
        <v>9455</v>
      </c>
      <c r="B1914" s="5" t="s">
        <v>9456</v>
      </c>
      <c r="C1914" s="3" t="s">
        <v>9457</v>
      </c>
      <c r="D1914" s="6" t="s">
        <v>9458</v>
      </c>
      <c r="E1914" s="7" t="s">
        <v>9459</v>
      </c>
      <c r="F1914" s="5" t="str">
        <f>IFERROR(__xludf.DUMMYFUNCTION("GOOGLEFINANCE(""NSE:""&amp;A1914,""name"")"),"S Chand and Company Ltd")</f>
        <v>S Chand and Company Ltd</v>
      </c>
    </row>
    <row r="1915">
      <c r="A1915" s="1" t="s">
        <v>9460</v>
      </c>
      <c r="B1915" s="5" t="s">
        <v>9461</v>
      </c>
      <c r="C1915" s="3" t="s">
        <v>9462</v>
      </c>
      <c r="D1915" s="6" t="s">
        <v>9463</v>
      </c>
      <c r="E1915" s="7" t="s">
        <v>9464</v>
      </c>
      <c r="F1915" s="5" t="str">
        <f>IFERROR(__xludf.DUMMYFUNCTION("GOOGLEFINANCE(""NSE:""&amp;A1915,""name"")"),"S H Kelkar And Company Ltd")</f>
        <v>S H Kelkar And Company Ltd</v>
      </c>
    </row>
    <row r="1916">
      <c r="A1916" s="1" t="s">
        <v>9465</v>
      </c>
      <c r="B1916" s="5" t="s">
        <v>9466</v>
      </c>
      <c r="C1916" s="3" t="s">
        <v>9467</v>
      </c>
      <c r="D1916" s="6" t="s">
        <v>9468</v>
      </c>
      <c r="E1916" s="7" t="s">
        <v>9469</v>
      </c>
      <c r="F1916" s="5" t="str">
        <f>IFERROR(__xludf.DUMMYFUNCTION("GOOGLEFINANCE(""NSE:""&amp;A1916,""name"")"),"SJS Enterprises Ltd")</f>
        <v>SJS Enterprises Ltd</v>
      </c>
    </row>
    <row r="1917">
      <c r="A1917" s="1" t="s">
        <v>9470</v>
      </c>
      <c r="B1917" s="5" t="s">
        <v>9471</v>
      </c>
      <c r="C1917" s="3" t="s">
        <v>9472</v>
      </c>
      <c r="D1917" s="6" t="s">
        <v>9473</v>
      </c>
      <c r="E1917" s="7" t="s">
        <v>9474</v>
      </c>
      <c r="F1917" s="5" t="str">
        <f>IFERROR(__xludf.DUMMYFUNCTION("GOOGLEFINANCE(""NSE:""&amp;A1917,""name"")"),"S.P.Apparels Ltd")</f>
        <v>S.P.Apparels Ltd</v>
      </c>
    </row>
    <row r="1918">
      <c r="A1918" s="1" t="s">
        <v>9475</v>
      </c>
      <c r="B1918" s="5" t="s">
        <v>9475</v>
      </c>
      <c r="C1918" s="3" t="s">
        <v>9476</v>
      </c>
      <c r="D1918" s="6" t="s">
        <v>9477</v>
      </c>
      <c r="E1918" s="7" t="s">
        <v>9478</v>
      </c>
      <c r="F1918" s="5" t="str">
        <f>IFERROR(__xludf.DUMMYFUNCTION("GOOGLEFINANCE(""NSE:""&amp;A1918,""name"")"),"Saatvik Green Energy Ltd")</f>
        <v>Saatvik Green Energy Ltd</v>
      </c>
    </row>
    <row r="1919">
      <c r="A1919" s="1" t="s">
        <v>9479</v>
      </c>
      <c r="B1919" s="5" t="s">
        <v>9480</v>
      </c>
      <c r="C1919" s="3" t="s">
        <v>9481</v>
      </c>
      <c r="D1919" s="6" t="s">
        <v>9482</v>
      </c>
      <c r="E1919" s="7" t="s">
        <v>9483</v>
      </c>
      <c r="F1919" s="5" t="str">
        <f>IFERROR(__xludf.DUMMYFUNCTION("GOOGLEFINANCE(""NSE:""&amp;A1919,""name"")"),"Sab Events &amp; Governance Now Media Ltd")</f>
        <v>Sab Events &amp; Governance Now Media Ltd</v>
      </c>
    </row>
    <row r="1920">
      <c r="A1920" s="1" t="s">
        <v>9484</v>
      </c>
      <c r="B1920" s="5" t="s">
        <v>9485</v>
      </c>
      <c r="C1920" s="3" t="s">
        <v>9486</v>
      </c>
      <c r="D1920" s="6" t="s">
        <v>9487</v>
      </c>
      <c r="E1920" s="7" t="s">
        <v>9488</v>
      </c>
      <c r="F1920" s="5" t="str">
        <f>IFERROR(__xludf.DUMMYFUNCTION("GOOGLEFINANCE(""NSE:""&amp;A1920,""name"")"),"Sadbhav Engineering Ltd")</f>
        <v>Sadbhav Engineering Ltd</v>
      </c>
    </row>
    <row r="1921">
      <c r="A1921" s="1" t="s">
        <v>9489</v>
      </c>
      <c r="B1921" s="5" t="s">
        <v>9490</v>
      </c>
      <c r="C1921" s="3" t="s">
        <v>9491</v>
      </c>
      <c r="D1921" s="6" t="s">
        <v>9492</v>
      </c>
      <c r="E1921" s="7" t="s">
        <v>9493</v>
      </c>
      <c r="F1921" s="5" t="str">
        <f>IFERROR(__xludf.DUMMYFUNCTION("GOOGLEFINANCE(""NSE:""&amp;A1921,""name"")"),"Sadhana Nitro Chem Ltd")</f>
        <v>Sadhana Nitro Chem Ltd</v>
      </c>
    </row>
    <row r="1922">
      <c r="A1922" s="1" t="s">
        <v>9494</v>
      </c>
      <c r="B1922" s="5" t="s">
        <v>9495</v>
      </c>
      <c r="C1922" s="3" t="s">
        <v>9496</v>
      </c>
      <c r="D1922" s="6" t="s">
        <v>9497</v>
      </c>
      <c r="E1922" s="7" t="s">
        <v>9498</v>
      </c>
      <c r="F1922" s="5" t="str">
        <f>IFERROR(__xludf.DUMMYFUNCTION("GOOGLEFINANCE(""NSE:""&amp;A1922,""name"")"),"Safari Industries (India) Ltd")</f>
        <v>Safari Industries (India) Ltd</v>
      </c>
    </row>
    <row r="1923">
      <c r="A1923" s="1" t="s">
        <v>9499</v>
      </c>
      <c r="B1923" s="5" t="s">
        <v>9500</v>
      </c>
      <c r="C1923" s="3" t="s">
        <v>9501</v>
      </c>
      <c r="D1923" s="6" t="s">
        <v>9502</v>
      </c>
      <c r="E1923" s="7" t="s">
        <v>9503</v>
      </c>
      <c r="F1923" s="5" t="str">
        <f>IFERROR(__xludf.DUMMYFUNCTION("GOOGLEFINANCE(""NSE:""&amp;A1923,""name"")"),"Sagar Cements Ltd")</f>
        <v>Sagar Cements Ltd</v>
      </c>
    </row>
    <row r="1924">
      <c r="A1924" s="1" t="s">
        <v>9504</v>
      </c>
      <c r="B1924" s="5" t="s">
        <v>9505</v>
      </c>
      <c r="C1924" s="3" t="s">
        <v>9506</v>
      </c>
      <c r="D1924" s="6" t="s">
        <v>9507</v>
      </c>
      <c r="E1924" s="7" t="s">
        <v>9508</v>
      </c>
      <c r="F1924" s="5" t="str">
        <f>IFERROR(__xludf.DUMMYFUNCTION("GOOGLEFINANCE(""NSE:""&amp;A1924,""name"")"),"Sagardeep Alloys Ltd")</f>
        <v>Sagardeep Alloys Ltd</v>
      </c>
    </row>
    <row r="1925">
      <c r="A1925" s="1" t="s">
        <v>9509</v>
      </c>
      <c r="B1925" s="5" t="s">
        <v>9510</v>
      </c>
      <c r="C1925" s="3" t="s">
        <v>9511</v>
      </c>
      <c r="D1925" s="6" t="s">
        <v>9512</v>
      </c>
      <c r="E1925" s="7" t="s">
        <v>9513</v>
      </c>
      <c r="F1925" s="5" t="str">
        <f>IFERROR(__xludf.DUMMYFUNCTION("GOOGLEFINANCE(""NSE:""&amp;A1925,""name"")"),"Sagility Ltd")</f>
        <v>Sagility Ltd</v>
      </c>
    </row>
    <row r="1926">
      <c r="A1926" s="1" t="s">
        <v>9514</v>
      </c>
      <c r="B1926" s="5" t="s">
        <v>9515</v>
      </c>
      <c r="C1926" s="3" t="s">
        <v>9516</v>
      </c>
      <c r="D1926" s="6" t="s">
        <v>9517</v>
      </c>
      <c r="E1926" s="7" t="s">
        <v>9518</v>
      </c>
      <c r="F1926" s="5" t="str">
        <f>IFERROR(__xludf.DUMMYFUNCTION("GOOGLEFINANCE(""NSE:""&amp;A1926,""name"")"),"Sahyadri Industries Ltd")</f>
        <v>Sahyadri Industries Ltd</v>
      </c>
    </row>
    <row r="1927">
      <c r="A1927" s="1" t="s">
        <v>9519</v>
      </c>
      <c r="B1927" s="5" t="s">
        <v>9520</v>
      </c>
      <c r="C1927" s="3" t="s">
        <v>9521</v>
      </c>
      <c r="D1927" s="6" t="s">
        <v>9522</v>
      </c>
      <c r="E1927" s="7" t="s">
        <v>9523</v>
      </c>
      <c r="F1927" s="5" t="str">
        <f>IFERROR(__xludf.DUMMYFUNCTION("GOOGLEFINANCE(""NSE:""&amp;A1927,""name"")"),"Sai Life Sciences Ltd")</f>
        <v>Sai Life Sciences Ltd</v>
      </c>
    </row>
    <row r="1928">
      <c r="A1928" s="1" t="s">
        <v>9524</v>
      </c>
      <c r="B1928" s="5" t="s">
        <v>9525</v>
      </c>
      <c r="C1928" s="3" t="s">
        <v>9526</v>
      </c>
      <c r="D1928" s="6" t="s">
        <v>9527</v>
      </c>
      <c r="E1928" s="7" t="s">
        <v>9528</v>
      </c>
      <c r="F1928" s="5" t="str">
        <f>IFERROR(__xludf.DUMMYFUNCTION("GOOGLEFINANCE(""NSE:""&amp;A1928,""name"")"),"Sai Silks (Kalamandir) Limited")</f>
        <v>Sai Silks (Kalamandir) Limited</v>
      </c>
    </row>
    <row r="1929">
      <c r="A1929" s="1" t="s">
        <v>9529</v>
      </c>
      <c r="B1929" s="5" t="s">
        <v>9530</v>
      </c>
      <c r="C1929" s="3" t="s">
        <v>9531</v>
      </c>
      <c r="D1929" s="6" t="s">
        <v>9532</v>
      </c>
      <c r="E1929" s="7" t="s">
        <v>9533</v>
      </c>
      <c r="F1929" s="5" t="str">
        <f>IFERROR(__xludf.DUMMYFUNCTION("GOOGLEFINANCE(""NSE:""&amp;A1929,""name"")"),"Sakar Healthcare Ltd")</f>
        <v>Sakar Healthcare Ltd</v>
      </c>
    </row>
    <row r="1930">
      <c r="A1930" s="1" t="s">
        <v>9534</v>
      </c>
      <c r="B1930" s="5" t="s">
        <v>9535</v>
      </c>
      <c r="C1930" s="3" t="s">
        <v>9536</v>
      </c>
      <c r="D1930" s="6" t="s">
        <v>9537</v>
      </c>
      <c r="E1930" s="7" t="s">
        <v>9538</v>
      </c>
      <c r="F1930" s="5" t="str">
        <f>IFERROR(__xludf.DUMMYFUNCTION("GOOGLEFINANCE(""NSE:""&amp;A1930,""name"")"),"Saksoft Ltd")</f>
        <v>Saksoft Ltd</v>
      </c>
    </row>
    <row r="1931">
      <c r="A1931" s="1" t="s">
        <v>9539</v>
      </c>
      <c r="B1931" s="5" t="s">
        <v>9540</v>
      </c>
      <c r="C1931" s="3" t="s">
        <v>9541</v>
      </c>
      <c r="D1931" s="6" t="s">
        <v>9542</v>
      </c>
      <c r="E1931" s="7" t="s">
        <v>9543</v>
      </c>
      <c r="F1931" s="5" t="str">
        <f>IFERROR(__xludf.DUMMYFUNCTION("GOOGLEFINANCE(""NSE:""&amp;A1931,""name"")"),"Sakthi Sugars Ltd")</f>
        <v>Sakthi Sugars Ltd</v>
      </c>
    </row>
    <row r="1932">
      <c r="A1932" s="1" t="s">
        <v>9544</v>
      </c>
      <c r="B1932" s="5" t="s">
        <v>9545</v>
      </c>
      <c r="C1932" s="3" t="s">
        <v>9546</v>
      </c>
      <c r="D1932" s="6" t="s">
        <v>9547</v>
      </c>
      <c r="E1932" s="7" t="s">
        <v>9548</v>
      </c>
      <c r="F1932" s="5" t="str">
        <f>IFERROR(__xludf.DUMMYFUNCTION("GOOGLEFINANCE(""NSE:""&amp;A1932,""name"")"),"SAL Steel Ltd")</f>
        <v>SAL Steel Ltd</v>
      </c>
    </row>
    <row r="1933">
      <c r="A1933" s="1" t="s">
        <v>9549</v>
      </c>
      <c r="B1933" s="5" t="s">
        <v>9550</v>
      </c>
      <c r="C1933" s="3" t="s">
        <v>9551</v>
      </c>
      <c r="D1933" s="6" t="s">
        <v>9552</v>
      </c>
      <c r="E1933" s="7" t="s">
        <v>9553</v>
      </c>
      <c r="F1933" s="5" t="str">
        <f>IFERROR(__xludf.DUMMYFUNCTION("GOOGLEFINANCE(""NSE:""&amp;A1933,""name"")"),"Salasar Techno Engineering Ltd")</f>
        <v>Salasar Techno Engineering Ltd</v>
      </c>
    </row>
    <row r="1934">
      <c r="A1934" s="1" t="s">
        <v>9554</v>
      </c>
      <c r="B1934" s="5" t="s">
        <v>9555</v>
      </c>
      <c r="C1934" s="3" t="s">
        <v>9556</v>
      </c>
      <c r="D1934" s="6" t="s">
        <v>9557</v>
      </c>
      <c r="E1934" s="7" t="s">
        <v>9558</v>
      </c>
      <c r="F1934" s="5" t="str">
        <f>IFERROR(__xludf.DUMMYFUNCTION("GOOGLEFINANCE(""NSE:""&amp;A1934,""name"")"),"Salona Cotspin Ltd")</f>
        <v>Salona Cotspin Ltd</v>
      </c>
    </row>
    <row r="1935">
      <c r="A1935" s="1" t="s">
        <v>9559</v>
      </c>
      <c r="B1935" s="5" t="s">
        <v>9560</v>
      </c>
      <c r="C1935" s="3" t="s">
        <v>9561</v>
      </c>
      <c r="D1935" s="6" t="s">
        <v>9562</v>
      </c>
      <c r="E1935" s="7" t="s">
        <v>9563</v>
      </c>
      <c r="F1935" s="5" t="str">
        <f>IFERROR(__xludf.DUMMYFUNCTION("GOOGLEFINANCE(""NSE:""&amp;A1935,""name"")"),"Salzer Electronics Ltd")</f>
        <v>Salzer Electronics Ltd</v>
      </c>
    </row>
    <row r="1936">
      <c r="A1936" s="1" t="s">
        <v>9564</v>
      </c>
      <c r="B1936" s="5" t="s">
        <v>9565</v>
      </c>
      <c r="C1936" s="3" t="s">
        <v>9566</v>
      </c>
      <c r="D1936" s="6" t="s">
        <v>9567</v>
      </c>
      <c r="E1936" s="7" t="s">
        <v>9568</v>
      </c>
      <c r="F1936" s="5" t="str">
        <f>IFERROR(__xludf.DUMMYFUNCTION("GOOGLEFINANCE(""NSE:""&amp;A1936,""name"")"),"Sambhaav Media Ltd")</f>
        <v>Sambhaav Media Ltd</v>
      </c>
    </row>
    <row r="1937">
      <c r="A1937" s="1" t="s">
        <v>9569</v>
      </c>
      <c r="B1937" s="5" t="s">
        <v>9570</v>
      </c>
      <c r="C1937" s="3" t="s">
        <v>9571</v>
      </c>
      <c r="D1937" s="6" t="s">
        <v>9572</v>
      </c>
      <c r="E1937" s="7" t="s">
        <v>9573</v>
      </c>
      <c r="F1937" s="5" t="str">
        <f>IFERROR(__xludf.DUMMYFUNCTION("GOOGLEFINANCE(""NSE:""&amp;A1937,""name"")"),"Sambhv Steel Tubes Ltd")</f>
        <v>Sambhv Steel Tubes Ltd</v>
      </c>
    </row>
    <row r="1938">
      <c r="A1938" s="1" t="s">
        <v>9574</v>
      </c>
      <c r="B1938" s="5" t="s">
        <v>9575</v>
      </c>
      <c r="C1938" s="3" t="s">
        <v>9576</v>
      </c>
      <c r="D1938" s="6" t="s">
        <v>9577</v>
      </c>
      <c r="E1938" s="7" t="s">
        <v>9578</v>
      </c>
      <c r="F1938" s="5" t="str">
        <f>IFERROR(__xludf.DUMMYFUNCTION("GOOGLEFINANCE(""NSE:""&amp;A1938,""name"")"),"Samhi Hotels Ltd")</f>
        <v>Samhi Hotels Ltd</v>
      </c>
    </row>
    <row r="1939">
      <c r="A1939" s="1" t="s">
        <v>9579</v>
      </c>
      <c r="B1939" s="5" t="s">
        <v>9580</v>
      </c>
      <c r="C1939" s="3" t="s">
        <v>9581</v>
      </c>
      <c r="D1939" s="6" t="s">
        <v>9582</v>
      </c>
      <c r="E1939" s="7" t="s">
        <v>9583</v>
      </c>
      <c r="F1939" s="5" t="str">
        <f>IFERROR(__xludf.DUMMYFUNCTION("GOOGLEFINANCE(""NSE:""&amp;A1939,""name"")"),"Sammaan Capital Ltd")</f>
        <v>Sammaan Capital Ltd</v>
      </c>
    </row>
    <row r="1940">
      <c r="A1940" s="1" t="s">
        <v>9584</v>
      </c>
      <c r="B1940" s="5" t="s">
        <v>9585</v>
      </c>
      <c r="C1940" s="3" t="s">
        <v>9586</v>
      </c>
      <c r="D1940" s="6" t="s">
        <v>9587</v>
      </c>
      <c r="E1940" s="7" t="s">
        <v>9588</v>
      </c>
      <c r="F1940" s="5" t="str">
        <f>IFERROR(__xludf.DUMMYFUNCTION("GOOGLEFINANCE(""NSE:""&amp;A1940,""name"")"),"Sampann Utpadan India Ltd")</f>
        <v>Sampann Utpadan India Ltd</v>
      </c>
    </row>
    <row r="1941">
      <c r="A1941" s="1" t="s">
        <v>9589</v>
      </c>
      <c r="B1941" s="5" t="s">
        <v>9590</v>
      </c>
      <c r="C1941" s="3" t="s">
        <v>9591</v>
      </c>
      <c r="D1941" s="6" t="s">
        <v>9592</v>
      </c>
      <c r="E1941" s="7" t="s">
        <v>9593</v>
      </c>
      <c r="F1941" s="5" t="str">
        <f>IFERROR(__xludf.DUMMYFUNCTION("GOOGLEFINANCE(""NSE:""&amp;A1941,""name"")"),"Sanathan Textiles Ltd")</f>
        <v>Sanathan Textiles Ltd</v>
      </c>
    </row>
    <row r="1942">
      <c r="A1942" s="1" t="s">
        <v>9594</v>
      </c>
      <c r="B1942" s="5" t="s">
        <v>9595</v>
      </c>
      <c r="C1942" s="3" t="s">
        <v>9596</v>
      </c>
      <c r="D1942" s="6" t="s">
        <v>9597</v>
      </c>
      <c r="E1942" s="7" t="s">
        <v>9598</v>
      </c>
      <c r="F1942" s="5" t="str">
        <f>IFERROR(__xludf.DUMMYFUNCTION("GOOGLEFINANCE(""NSE:""&amp;A1942,""name"")"),"Sandhar Technologies Ltd")</f>
        <v>Sandhar Technologies Ltd</v>
      </c>
    </row>
    <row r="1943">
      <c r="A1943" s="1" t="s">
        <v>9599</v>
      </c>
      <c r="B1943" s="5" t="s">
        <v>9600</v>
      </c>
      <c r="C1943" s="3" t="s">
        <v>9601</v>
      </c>
      <c r="D1943" s="6" t="s">
        <v>9602</v>
      </c>
      <c r="E1943" s="7" t="s">
        <v>9603</v>
      </c>
      <c r="F1943" s="5" t="str">
        <f>IFERROR(__xludf.DUMMYFUNCTION("GOOGLEFINANCE(""NSE:""&amp;A1943,""name"")"),"Sandur Manganese and Iron Ores Ltd")</f>
        <v>Sandur Manganese and Iron Ores Ltd</v>
      </c>
    </row>
    <row r="1944">
      <c r="A1944" s="1" t="s">
        <v>9604</v>
      </c>
      <c r="B1944" s="5" t="s">
        <v>9605</v>
      </c>
      <c r="C1944" s="3" t="s">
        <v>9606</v>
      </c>
      <c r="D1944" s="6" t="s">
        <v>9607</v>
      </c>
      <c r="E1944" s="7" t="s">
        <v>9608</v>
      </c>
      <c r="F1944" s="5" t="str">
        <f>IFERROR(__xludf.DUMMYFUNCTION("GOOGLEFINANCE(""NSE:""&amp;A1944,""name"")"),"Sangam (India) Ltd")</f>
        <v>Sangam (India) Ltd</v>
      </c>
    </row>
    <row r="1945">
      <c r="A1945" s="1" t="s">
        <v>9609</v>
      </c>
      <c r="B1945" s="5" t="s">
        <v>9610</v>
      </c>
      <c r="C1945" s="3" t="s">
        <v>9611</v>
      </c>
      <c r="D1945" s="6" t="s">
        <v>9612</v>
      </c>
      <c r="E1945" s="7" t="s">
        <v>9613</v>
      </c>
      <c r="F1945" s="5" t="str">
        <f>IFERROR(__xludf.DUMMYFUNCTION("GOOGLEFINANCE(""NSE:""&amp;A1945,""name"")"),"Sanghi Industries Ltd")</f>
        <v>Sanghi Industries Ltd</v>
      </c>
    </row>
    <row r="1946">
      <c r="A1946" s="1" t="s">
        <v>9614</v>
      </c>
      <c r="B1946" s="5" t="s">
        <v>9615</v>
      </c>
      <c r="C1946" s="3" t="s">
        <v>9616</v>
      </c>
      <c r="D1946" s="6" t="s">
        <v>9617</v>
      </c>
      <c r="E1946" s="7" t="s">
        <v>9618</v>
      </c>
      <c r="F1946" s="5" t="str">
        <f>IFERROR(__xludf.DUMMYFUNCTION("GOOGLEFINANCE(""NSE:""&amp;A1946,""name"")"),"Sanghvi Movers Ltd")</f>
        <v>Sanghvi Movers Ltd</v>
      </c>
    </row>
    <row r="1947">
      <c r="A1947" s="1" t="s">
        <v>9619</v>
      </c>
      <c r="B1947" s="5" t="s">
        <v>9620</v>
      </c>
      <c r="C1947" s="3" t="s">
        <v>9621</v>
      </c>
      <c r="D1947" s="6" t="s">
        <v>9622</v>
      </c>
      <c r="E1947" s="7" t="s">
        <v>9623</v>
      </c>
      <c r="F1947" s="5" t="str">
        <f>IFERROR(__xludf.DUMMYFUNCTION("GOOGLEFINANCE(""NSE:""&amp;A1947,""name"")"),"Sanginita Chemicals Ltd")</f>
        <v>Sanginita Chemicals Ltd</v>
      </c>
    </row>
    <row r="1948">
      <c r="A1948" s="1" t="s">
        <v>9624</v>
      </c>
      <c r="B1948" s="5" t="s">
        <v>9625</v>
      </c>
      <c r="C1948" s="3" t="s">
        <v>9626</v>
      </c>
      <c r="D1948" s="6" t="s">
        <v>9627</v>
      </c>
      <c r="E1948" s="7" t="s">
        <v>9628</v>
      </c>
      <c r="F1948" s="5" t="str">
        <f>IFERROR(__xludf.DUMMYFUNCTION("GOOGLEFINANCE(""NSE:""&amp;A1948,""name"")"),"Sanofi Consumer Healthcare India Ltd")</f>
        <v>Sanofi Consumer Healthcare India Ltd</v>
      </c>
    </row>
    <row r="1949">
      <c r="A1949" s="1" t="s">
        <v>9629</v>
      </c>
      <c r="B1949" s="5" t="s">
        <v>9630</v>
      </c>
      <c r="C1949" s="3" t="s">
        <v>9631</v>
      </c>
      <c r="D1949" s="6" t="s">
        <v>9632</v>
      </c>
      <c r="E1949" s="7" t="s">
        <v>9633</v>
      </c>
      <c r="F1949" s="5" t="str">
        <f>IFERROR(__xludf.DUMMYFUNCTION("GOOGLEFINANCE(""NSE:""&amp;A1949,""name"")"),"Sanofi India Ltd")</f>
        <v>Sanofi India Ltd</v>
      </c>
    </row>
    <row r="1950">
      <c r="A1950" s="1" t="s">
        <v>9634</v>
      </c>
      <c r="B1950" s="5" t="s">
        <v>9635</v>
      </c>
      <c r="C1950" s="3" t="s">
        <v>9636</v>
      </c>
      <c r="D1950" s="6" t="s">
        <v>9637</v>
      </c>
      <c r="E1950" s="7" t="s">
        <v>9638</v>
      </c>
      <c r="F1950" s="5" t="str">
        <f>IFERROR(__xludf.DUMMYFUNCTION("GOOGLEFINANCE(""NSE:""&amp;A1950,""name"")"),"Sansera Engineering Ltd")</f>
        <v>Sansera Engineering Ltd</v>
      </c>
    </row>
    <row r="1951">
      <c r="A1951" s="1" t="s">
        <v>9639</v>
      </c>
      <c r="B1951" s="5" t="s">
        <v>9640</v>
      </c>
      <c r="C1951" s="3" t="s">
        <v>9641</v>
      </c>
      <c r="D1951" s="6" t="s">
        <v>9642</v>
      </c>
      <c r="E1951" s="7" t="s">
        <v>9643</v>
      </c>
      <c r="F1951" s="5" t="str">
        <f>IFERROR(__xludf.DUMMYFUNCTION("GOOGLEFINANCE(""NSE:""&amp;A1951,""name"")"),"Sanstar Ltd")</f>
        <v>Sanstar Ltd</v>
      </c>
    </row>
    <row r="1952">
      <c r="A1952" s="1" t="s">
        <v>9644</v>
      </c>
      <c r="B1952" s="5" t="s">
        <v>9645</v>
      </c>
      <c r="C1952" s="3" t="s">
        <v>9646</v>
      </c>
      <c r="D1952" s="6" t="s">
        <v>9647</v>
      </c>
      <c r="E1952" s="7" t="s">
        <v>9648</v>
      </c>
      <c r="F1952" s="5" t="str">
        <f>IFERROR(__xludf.DUMMYFUNCTION("GOOGLEFINANCE(""NSE:""&amp;A1952,""name"")"),"Sapphire Foods India Ltd")</f>
        <v>Sapphire Foods India Ltd</v>
      </c>
    </row>
    <row r="1953">
      <c r="A1953" s="1" t="s">
        <v>9649</v>
      </c>
      <c r="B1953" s="5" t="s">
        <v>9650</v>
      </c>
      <c r="C1953" s="3" t="s">
        <v>9651</v>
      </c>
      <c r="D1953" s="6" t="s">
        <v>9652</v>
      </c>
      <c r="E1953" s="7" t="s">
        <v>9653</v>
      </c>
      <c r="F1953" s="5" t="str">
        <f>IFERROR(__xludf.DUMMYFUNCTION("GOOGLEFINANCE(""NSE:""&amp;A1953,""name"")"),"Saraswati Saree Depot Ltd")</f>
        <v>Saraswati Saree Depot Ltd</v>
      </c>
    </row>
    <row r="1954">
      <c r="A1954" s="1" t="s">
        <v>9654</v>
      </c>
      <c r="B1954" s="5" t="s">
        <v>9655</v>
      </c>
      <c r="C1954" s="3" t="s">
        <v>9656</v>
      </c>
      <c r="D1954" s="6" t="s">
        <v>9657</v>
      </c>
      <c r="E1954" s="7" t="s">
        <v>9658</v>
      </c>
      <c r="F1954" s="5" t="str">
        <f>IFERROR(__xludf.DUMMYFUNCTION("GOOGLEFINANCE(""NSE:""&amp;A1954,""name"")"),"Sarda Energy &amp; Minerals Ltd")</f>
        <v>Sarda Energy &amp; Minerals Ltd</v>
      </c>
    </row>
    <row r="1955">
      <c r="A1955" s="1" t="s">
        <v>9659</v>
      </c>
      <c r="B1955" s="5" t="s">
        <v>9660</v>
      </c>
      <c r="C1955" s="3" t="s">
        <v>9661</v>
      </c>
      <c r="D1955" s="6" t="s">
        <v>9662</v>
      </c>
      <c r="E1955" s="7" t="s">
        <v>9663</v>
      </c>
      <c r="F1955" s="5" t="str">
        <f>IFERROR(__xludf.DUMMYFUNCTION("GOOGLEFINANCE(""NSE:""&amp;A1955,""name"")"),"Saregama India Ltd")</f>
        <v>Saregama India Ltd</v>
      </c>
    </row>
    <row r="1956">
      <c r="A1956" s="1" t="s">
        <v>9664</v>
      </c>
      <c r="B1956" s="5" t="s">
        <v>9665</v>
      </c>
      <c r="C1956" s="3" t="s">
        <v>9666</v>
      </c>
      <c r="D1956" s="6" t="s">
        <v>9667</v>
      </c>
      <c r="E1956" s="7" t="s">
        <v>9668</v>
      </c>
      <c r="F1956" s="5" t="str">
        <f>IFERROR(__xludf.DUMMYFUNCTION("GOOGLEFINANCE(""NSE:""&amp;A1956,""name"")"),"Sarla Performance Fibers Ltd")</f>
        <v>Sarla Performance Fibers Ltd</v>
      </c>
    </row>
    <row r="1957">
      <c r="A1957" s="1" t="s">
        <v>9669</v>
      </c>
      <c r="B1957" s="5" t="s">
        <v>9670</v>
      </c>
      <c r="C1957" s="3" t="s">
        <v>9671</v>
      </c>
      <c r="D1957" s="6" t="s">
        <v>9672</v>
      </c>
      <c r="E1957" s="7" t="s">
        <v>9673</v>
      </c>
      <c r="F1957" s="5" t="str">
        <f>IFERROR(__xludf.DUMMYFUNCTION("GOOGLEFINANCE(""NSE:""&amp;A1957,""name"")"),"Sarthak Metals Ltd")</f>
        <v>Sarthak Metals Ltd</v>
      </c>
    </row>
    <row r="1958">
      <c r="A1958" s="1" t="s">
        <v>9674</v>
      </c>
      <c r="B1958" s="5" t="s">
        <v>9675</v>
      </c>
      <c r="C1958" s="3" t="s">
        <v>9676</v>
      </c>
      <c r="D1958" s="6" t="s">
        <v>9677</v>
      </c>
      <c r="E1958" s="7" t="s">
        <v>9678</v>
      </c>
      <c r="F1958" s="5" t="str">
        <f>IFERROR(__xludf.DUMMYFUNCTION("GOOGLEFINANCE(""NSE:""&amp;A1958,""name"")"),"Sasken Technologies Ltd")</f>
        <v>Sasken Technologies Ltd</v>
      </c>
    </row>
    <row r="1959">
      <c r="A1959" s="1" t="s">
        <v>9679</v>
      </c>
      <c r="B1959" s="5" t="s">
        <v>9680</v>
      </c>
      <c r="C1959" s="3" t="s">
        <v>9681</v>
      </c>
      <c r="D1959" s="6" t="s">
        <v>9682</v>
      </c>
      <c r="E1959" s="7" t="s">
        <v>9683</v>
      </c>
      <c r="F1959" s="5" t="str">
        <f>IFERROR(__xludf.DUMMYFUNCTION("GOOGLEFINANCE(""NSE:""&amp;A1959,""name"")"),"Sastasundar Ventures Ltd")</f>
        <v>Sastasundar Ventures Ltd</v>
      </c>
    </row>
    <row r="1960">
      <c r="A1960" s="1" t="s">
        <v>9684</v>
      </c>
      <c r="B1960" s="5" t="s">
        <v>9685</v>
      </c>
      <c r="C1960" s="3" t="s">
        <v>9686</v>
      </c>
      <c r="D1960" s="6" t="s">
        <v>9687</v>
      </c>
      <c r="E1960" s="7" t="s">
        <v>9688</v>
      </c>
      <c r="F1960" s="5" t="str">
        <f>IFERROR(__xludf.DUMMYFUNCTION("GOOGLEFINANCE(""NSE:""&amp;A1960,""name"")"),"Satia Industries Ltd")</f>
        <v>Satia Industries Ltd</v>
      </c>
    </row>
    <row r="1961">
      <c r="A1961" s="1" t="s">
        <v>9689</v>
      </c>
      <c r="B1961" s="5" t="s">
        <v>9690</v>
      </c>
      <c r="C1961" s="3" t="s">
        <v>9691</v>
      </c>
      <c r="D1961" s="6" t="s">
        <v>9692</v>
      </c>
      <c r="E1961" s="7" t="s">
        <v>9693</v>
      </c>
      <c r="F1961" s="5" t="str">
        <f>IFERROR(__xludf.DUMMYFUNCTION("GOOGLEFINANCE(""NSE:""&amp;A1961,""name"")"),"Satin Creditcare Network Ltd")</f>
        <v>Satin Creditcare Network Ltd</v>
      </c>
    </row>
    <row r="1962">
      <c r="A1962" s="1" t="s">
        <v>9694</v>
      </c>
      <c r="B1962" s="5" t="s">
        <v>9695</v>
      </c>
      <c r="C1962" s="3" t="s">
        <v>9696</v>
      </c>
      <c r="D1962" s="6" t="s">
        <v>9697</v>
      </c>
      <c r="E1962" s="7" t="s">
        <v>9698</v>
      </c>
      <c r="F1962" s="5" t="str">
        <f>IFERROR(__xludf.DUMMYFUNCTION("GOOGLEFINANCE(""NSE:""&amp;A1962,""name"")"),"Saurashtra Cement Ltd")</f>
        <v>Saurashtra Cement Ltd</v>
      </c>
    </row>
    <row r="1963">
      <c r="A1963" s="1" t="s">
        <v>9699</v>
      </c>
      <c r="B1963" s="5" t="s">
        <v>9700</v>
      </c>
      <c r="C1963" s="3" t="s">
        <v>9701</v>
      </c>
      <c r="D1963" s="6" t="s">
        <v>9702</v>
      </c>
      <c r="E1963" s="7" t="s">
        <v>9703</v>
      </c>
      <c r="F1963" s="5" t="str">
        <f>IFERROR(__xludf.DUMMYFUNCTION("GOOGLEFINANCE(""NSE:""&amp;A1963,""name"")"),"Savita Oil Technologies Ltd")</f>
        <v>Savita Oil Technologies Ltd</v>
      </c>
    </row>
    <row r="1964">
      <c r="A1964" s="1" t="s">
        <v>9704</v>
      </c>
      <c r="B1964" s="5" t="s">
        <v>9705</v>
      </c>
      <c r="C1964" s="3" t="s">
        <v>9706</v>
      </c>
      <c r="D1964" s="6" t="s">
        <v>9707</v>
      </c>
      <c r="E1964" s="7" t="s">
        <v>9708</v>
      </c>
      <c r="F1964" s="5" t="str">
        <f>IFERROR(__xludf.DUMMYFUNCTION("GOOGLEFINANCE(""NSE:""&amp;A1964,""name"")"),"SBC Exports Ltd")</f>
        <v>SBC Exports Ltd</v>
      </c>
    </row>
    <row r="1965">
      <c r="A1965" s="1" t="s">
        <v>9709</v>
      </c>
      <c r="B1965" s="5" t="s">
        <v>9710</v>
      </c>
      <c r="C1965" s="3" t="s">
        <v>9711</v>
      </c>
      <c r="D1965" s="6" t="s">
        <v>9712</v>
      </c>
      <c r="E1965" s="7" t="s">
        <v>9713</v>
      </c>
      <c r="F1965" s="5" t="str">
        <f>IFERROR(__xludf.DUMMYFUNCTION("GOOGLEFINANCE(""NSE:""&amp;A1965,""name"")"),"SBFC Finance Ltd")</f>
        <v>SBFC Finance Ltd</v>
      </c>
    </row>
    <row r="1966">
      <c r="A1966" s="1" t="s">
        <v>9714</v>
      </c>
      <c r="B1966" s="5" t="s">
        <v>9715</v>
      </c>
      <c r="C1966" s="3" t="s">
        <v>9716</v>
      </c>
      <c r="D1966" s="6" t="s">
        <v>9717</v>
      </c>
      <c r="E1966" s="7" t="s">
        <v>9718</v>
      </c>
      <c r="F1966" s="5" t="str">
        <f>IFERROR(__xludf.DUMMYFUNCTION("GOOGLEFINANCE(""NSE:""&amp;A1966,""name"")"),"SBI Nifty 200 Quality 30 ETF")</f>
        <v>SBI Nifty 200 Quality 30 ETF</v>
      </c>
    </row>
    <row r="1967">
      <c r="A1967" s="1" t="s">
        <v>9719</v>
      </c>
      <c r="B1967" s="5" t="s">
        <v>9720</v>
      </c>
      <c r="C1967" s="3" t="s">
        <v>9721</v>
      </c>
      <c r="D1967" s="6" t="s">
        <v>9722</v>
      </c>
      <c r="E1967" s="7" t="s">
        <v>9723</v>
      </c>
      <c r="F1967" s="5" t="str">
        <f>IFERROR(__xludf.DUMMYFUNCTION("GOOGLEFINANCE(""NSE:""&amp;A1967,""name"")"),"SBI BSE Psu Bank ETF")</f>
        <v>SBI BSE Psu Bank ETF</v>
      </c>
    </row>
    <row r="1968">
      <c r="A1968" s="1" t="s">
        <v>9724</v>
      </c>
      <c r="B1968" s="5" t="s">
        <v>9725</v>
      </c>
      <c r="C1968" s="3" t="s">
        <v>9726</v>
      </c>
      <c r="D1968" s="6" t="s">
        <v>9727</v>
      </c>
      <c r="E1968" s="7" t="s">
        <v>9728</v>
      </c>
      <c r="F1968" s="5" t="str">
        <f>IFERROR(__xludf.DUMMYFUNCTION("GOOGLEFINANCE(""NSE:""&amp;A1968,""name"")"),"SBI Cards and Payment Services Ltd")</f>
        <v>SBI Cards and Payment Services Ltd</v>
      </c>
    </row>
    <row r="1969">
      <c r="A1969" s="1" t="s">
        <v>9729</v>
      </c>
      <c r="B1969" s="5" t="s">
        <v>9730</v>
      </c>
      <c r="C1969" s="3" t="s">
        <v>9731</v>
      </c>
      <c r="D1969" s="6" t="s">
        <v>9732</v>
      </c>
      <c r="E1969" s="7" t="s">
        <v>9733</v>
      </c>
      <c r="F1969" s="5" t="str">
        <f>IFERROR(__xludf.DUMMYFUNCTION("GOOGLEFINANCE(""NSE:""&amp;A1969,""name"")"),"SBI Nifty Consumption ETF")</f>
        <v>SBI Nifty Consumption ETF</v>
      </c>
    </row>
    <row r="1970">
      <c r="A1970" s="1" t="s">
        <v>9734</v>
      </c>
      <c r="B1970" s="5" t="s">
        <v>9735</v>
      </c>
      <c r="C1970" s="3" t="s">
        <v>9736</v>
      </c>
      <c r="D1970" s="6" t="s">
        <v>9737</v>
      </c>
      <c r="E1970" s="7" t="s">
        <v>9738</v>
      </c>
      <c r="F1970" s="5" t="str">
        <f>IFERROR(__xludf.DUMMYFUNCTION("GOOGLEFINANCE(""NSE:""&amp;A1970,""name"")"),"SBI Nifty IT ETF")</f>
        <v>SBI Nifty IT ETF</v>
      </c>
    </row>
    <row r="1971">
      <c r="A1971" s="1" t="s">
        <v>9739</v>
      </c>
      <c r="B1971" s="5" t="s">
        <v>9740</v>
      </c>
      <c r="C1971" s="3" t="s">
        <v>9741</v>
      </c>
      <c r="D1971" s="6" t="s">
        <v>9742</v>
      </c>
      <c r="E1971" s="7" t="s">
        <v>9743</v>
      </c>
      <c r="F1971" s="5" t="str">
        <f>IFERROR(__xludf.DUMMYFUNCTION("GOOGLEFINANCE(""NSE:""&amp;A1971,""name"")"),"SBI Nifty 50 ETF")</f>
        <v>SBI Nifty 50 ETF</v>
      </c>
    </row>
    <row r="1972">
      <c r="A1972" s="1" t="s">
        <v>9744</v>
      </c>
      <c r="B1972" s="5" t="s">
        <v>9745</v>
      </c>
      <c r="C1972" s="3" t="s">
        <v>9746</v>
      </c>
      <c r="D1972" s="6" t="s">
        <v>9747</v>
      </c>
      <c r="E1972" s="7" t="s">
        <v>9748</v>
      </c>
      <c r="F1972" s="5" t="str">
        <f>IFERROR(__xludf.DUMMYFUNCTION("GOOGLEFINANCE(""NSE:""&amp;A1972,""name"")"),"SBI Nifty Bank ETF")</f>
        <v>SBI Nifty Bank ETF</v>
      </c>
    </row>
    <row r="1973">
      <c r="A1973" s="1" t="s">
        <v>9749</v>
      </c>
      <c r="B1973" s="5" t="s">
        <v>9750</v>
      </c>
      <c r="C1973" s="3" t="s">
        <v>9751</v>
      </c>
      <c r="D1973" s="6" t="s">
        <v>9752</v>
      </c>
      <c r="E1973" s="7" t="s">
        <v>9753</v>
      </c>
      <c r="F1973" s="5" t="str">
        <f>IFERROR(__xludf.DUMMYFUNCTION("GOOGLEFINANCE(""NSE:""&amp;A1973,""name"")"),"SBI Nifty Private Bank ETF")</f>
        <v>SBI Nifty Private Bank ETF</v>
      </c>
    </row>
    <row r="1974">
      <c r="A1974" s="1" t="s">
        <v>9754</v>
      </c>
      <c r="B1974" s="5" t="s">
        <v>9755</v>
      </c>
      <c r="C1974" s="3" t="s">
        <v>9756</v>
      </c>
      <c r="D1974" s="6" t="s">
        <v>9757</v>
      </c>
      <c r="E1974" s="7" t="s">
        <v>9758</v>
      </c>
      <c r="F1974" s="5" t="str">
        <f>IFERROR(__xludf.DUMMYFUNCTION("GOOGLEFINANCE(""NSE:""&amp;A1974,""name"")"),"SBI Gold ETF")</f>
        <v>SBI Gold ETF</v>
      </c>
    </row>
    <row r="1975">
      <c r="A1975" s="1" t="s">
        <v>9759</v>
      </c>
      <c r="B1975" s="5" t="s">
        <v>9760</v>
      </c>
      <c r="C1975" s="3" t="s">
        <v>9761</v>
      </c>
      <c r="D1975" s="6" t="s">
        <v>9762</v>
      </c>
      <c r="E1975" s="7" t="s">
        <v>9763</v>
      </c>
      <c r="F1975" s="5" t="str">
        <f>IFERROR(__xludf.DUMMYFUNCTION("GOOGLEFINANCE(""NSE:""&amp;A1975,""name"")"),"Sbi Life Insurance Company Ltd")</f>
        <v>Sbi Life Insurance Company Ltd</v>
      </c>
    </row>
    <row r="1976">
      <c r="A1976" s="1" t="s">
        <v>9764</v>
      </c>
      <c r="B1976" s="5" t="s">
        <v>9765</v>
      </c>
      <c r="C1976" s="3" t="s">
        <v>9766</v>
      </c>
      <c r="D1976" s="6" t="s">
        <v>9767</v>
      </c>
      <c r="E1976" s="7" t="s">
        <v>9768</v>
      </c>
      <c r="F1976" s="5" t="str">
        <f>IFERROR(__xludf.DUMMYFUNCTION("GOOGLEFINANCE(""NSE:""&amp;A1976,""name"")"),"SBI Nifty 1D Rate Liquid ETF - IDCW")</f>
        <v>SBI Nifty 1D Rate Liquid ETF - IDCW</v>
      </c>
    </row>
    <row r="1977">
      <c r="A1977" s="1" t="s">
        <v>9769</v>
      </c>
      <c r="B1977" s="5" t="s">
        <v>9770</v>
      </c>
      <c r="C1977" s="3" t="s">
        <v>9771</v>
      </c>
      <c r="D1977" s="6" t="s">
        <v>9772</v>
      </c>
      <c r="E1977" s="7" t="s">
        <v>9773</v>
      </c>
      <c r="F1977" s="5" t="str">
        <f>IFERROR(__xludf.DUMMYFUNCTION("GOOGLEFINANCE(""NSE:""&amp;A1977,""name"")"),"SBI NIFTY 1D Rate Liquid ETF - Growth")</f>
        <v>SBI NIFTY 1D Rate Liquid ETF - Growth</v>
      </c>
    </row>
    <row r="1978">
      <c r="A1978" s="1" t="s">
        <v>9774</v>
      </c>
      <c r="B1978" s="5" t="s">
        <v>9775</v>
      </c>
      <c r="C1978" s="3" t="s">
        <v>9776</v>
      </c>
      <c r="D1978" s="6" t="s">
        <v>9777</v>
      </c>
      <c r="E1978" s="7" t="s">
        <v>9778</v>
      </c>
      <c r="F1978" s="5" t="str">
        <f>IFERROR(__xludf.DUMMYFUNCTION("GOOGLEFINANCE(""NSE:""&amp;A1978,""name"")"),"SBI Nifty Next 50 ETF")</f>
        <v>SBI Nifty Next 50 ETF</v>
      </c>
    </row>
    <row r="1979">
      <c r="A1979" s="1" t="s">
        <v>9779</v>
      </c>
      <c r="B1979" s="5" t="s">
        <v>9780</v>
      </c>
      <c r="C1979" s="3" t="s">
        <v>9781</v>
      </c>
      <c r="D1979" s="6" t="s">
        <v>9782</v>
      </c>
      <c r="E1979" s="7" t="s">
        <v>9783</v>
      </c>
      <c r="F1979" s="5" t="str">
        <f>IFERROR(__xludf.DUMMYFUNCTION("GOOGLEFINANCE(""NSE:""&amp;A1979,""name"")"),"Sbi Nifty50 Equal Weight ETF")</f>
        <v>Sbi Nifty50 Equal Weight ETF</v>
      </c>
    </row>
    <row r="1980">
      <c r="A1980" s="1" t="s">
        <v>9784</v>
      </c>
      <c r="B1980" s="5" t="s">
        <v>9785</v>
      </c>
      <c r="C1980" s="3" t="s">
        <v>9786</v>
      </c>
      <c r="D1980" s="6" t="s">
        <v>9787</v>
      </c>
      <c r="E1980" s="7" t="s">
        <v>9788</v>
      </c>
      <c r="F1980" s="5" t="str">
        <f>IFERROR(__xludf.DUMMYFUNCTION("GOOGLEFINANCE(""NSE:""&amp;A1980,""name"")"),"Sbi Silver ETF")</f>
        <v>Sbi Silver ETF</v>
      </c>
    </row>
    <row r="1981">
      <c r="A1981" s="1" t="s">
        <v>9789</v>
      </c>
      <c r="B1981" s="5" t="s">
        <v>9790</v>
      </c>
      <c r="C1981" s="3" t="s">
        <v>9791</v>
      </c>
      <c r="D1981" s="6" t="s">
        <v>9792</v>
      </c>
      <c r="E1981" s="7" t="s">
        <v>9793</v>
      </c>
      <c r="F1981" s="5" t="str">
        <f>IFERROR(__xludf.DUMMYFUNCTION("GOOGLEFINANCE(""NSE:""&amp;A1981,""name"")"),"SBI Nifty 10 yr Benchmark G-Sec ETF")</f>
        <v>SBI Nifty 10 yr Benchmark G-Sec ETF</v>
      </c>
    </row>
    <row r="1982">
      <c r="A1982" s="1" t="s">
        <v>9794</v>
      </c>
      <c r="B1982" s="5" t="s">
        <v>9795</v>
      </c>
      <c r="C1982" s="3" t="s">
        <v>9796</v>
      </c>
      <c r="D1982" s="6" t="s">
        <v>9797</v>
      </c>
      <c r="E1982" s="7" t="s">
        <v>9798</v>
      </c>
      <c r="F1982" s="5" t="str">
        <f>IFERROR(__xludf.DUMMYFUNCTION("GOOGLEFINANCE(""NSE:""&amp;A1982,""name"")"),"Schaeffler India Ltd")</f>
        <v>Schaeffler India Ltd</v>
      </c>
    </row>
    <row r="1983">
      <c r="A1983" s="1" t="s">
        <v>9799</v>
      </c>
      <c r="B1983" s="5" t="s">
        <v>9800</v>
      </c>
      <c r="C1983" s="3" t="s">
        <v>9801</v>
      </c>
      <c r="D1983" s="6" t="s">
        <v>9802</v>
      </c>
      <c r="E1983" s="7" t="s">
        <v>9803</v>
      </c>
      <c r="F1983" s="5" t="str">
        <f>IFERROR(__xludf.DUMMYFUNCTION("GOOGLEFINANCE(""NSE:""&amp;A1983,""name"")"),"Leela Palaces Hotels &amp; Resorts Ltd")</f>
        <v>Leela Palaces Hotels &amp; Resorts Ltd</v>
      </c>
    </row>
    <row r="1984">
      <c r="A1984" s="1" t="s">
        <v>9804</v>
      </c>
      <c r="B1984" s="5" t="s">
        <v>9805</v>
      </c>
      <c r="C1984" s="3" t="s">
        <v>9806</v>
      </c>
      <c r="D1984" s="6" t="s">
        <v>9807</v>
      </c>
      <c r="E1984" s="7" t="s">
        <v>9808</v>
      </c>
      <c r="F1984" s="5" t="str">
        <f>IFERROR(__xludf.DUMMYFUNCTION("GOOGLEFINANCE(""NSE:""&amp;A1984,""name"")"),"Schneider Electric Infrastructure Ltd")</f>
        <v>Schneider Electric Infrastructure Ltd</v>
      </c>
    </row>
    <row r="1985">
      <c r="A1985" s="1" t="s">
        <v>9809</v>
      </c>
      <c r="B1985" s="5" t="s">
        <v>9809</v>
      </c>
      <c r="C1985" s="3" t="s">
        <v>9810</v>
      </c>
      <c r="D1985" s="6" t="s">
        <v>9811</v>
      </c>
      <c r="E1985" s="7" t="s">
        <v>9812</v>
      </c>
      <c r="F1985" s="5" t="str">
        <f>IFERROR(__xludf.DUMMYFUNCTION("GOOGLEFINANCE(""NSE:""&amp;A1985,""name"")"),"Scoda Tubes Ltd")</f>
        <v>Scoda Tubes Ltd</v>
      </c>
    </row>
    <row r="1986">
      <c r="A1986" s="1" t="s">
        <v>9813</v>
      </c>
      <c r="B1986" s="5" t="s">
        <v>9814</v>
      </c>
      <c r="C1986" s="3" t="s">
        <v>9815</v>
      </c>
      <c r="D1986" s="6" t="s">
        <v>9816</v>
      </c>
      <c r="E1986" s="7" t="s">
        <v>9817</v>
      </c>
      <c r="F1986" s="5" t="str">
        <f>IFERROR(__xludf.DUMMYFUNCTION("GOOGLEFINANCE(""NSE:""&amp;A1986,""name"")"),"Seamec Ltd")</f>
        <v>Seamec Ltd</v>
      </c>
    </row>
    <row r="1987">
      <c r="A1987" s="1" t="s">
        <v>9818</v>
      </c>
      <c r="B1987" s="5" t="s">
        <v>9819</v>
      </c>
      <c r="C1987" s="3" t="s">
        <v>9820</v>
      </c>
      <c r="D1987" s="6" t="s">
        <v>9821</v>
      </c>
      <c r="E1987" s="7" t="s">
        <v>9822</v>
      </c>
      <c r="F1987" s="5" t="str">
        <f>IFERROR(__xludf.DUMMYFUNCTION("GOOGLEFINANCE(""NSE:""&amp;A1987,""name"")"),"SecMark Consultancy Ltd")</f>
        <v>SecMark Consultancy Ltd</v>
      </c>
    </row>
    <row r="1988">
      <c r="A1988" s="1" t="s">
        <v>9823</v>
      </c>
      <c r="B1988" s="5" t="s">
        <v>9824</v>
      </c>
      <c r="C1988" s="3" t="s">
        <v>9825</v>
      </c>
      <c r="D1988" s="6" t="s">
        <v>9826</v>
      </c>
      <c r="E1988" s="7" t="s">
        <v>9827</v>
      </c>
      <c r="F1988" s="5" t="str">
        <f>IFERROR(__xludf.DUMMYFUNCTION("GOOGLEFINANCE(""NSE:""&amp;A1988,""name"")"),"Securekloud Technologies Ltd")</f>
        <v>Securekloud Technologies Ltd</v>
      </c>
    </row>
    <row r="1989">
      <c r="A1989" s="1" t="s">
        <v>9828</v>
      </c>
      <c r="B1989" s="5" t="s">
        <v>9829</v>
      </c>
      <c r="C1989" s="3" t="s">
        <v>9830</v>
      </c>
      <c r="D1989" s="6" t="s">
        <v>9831</v>
      </c>
      <c r="E1989" s="7" t="s">
        <v>9832</v>
      </c>
      <c r="F1989" s="5" t="str">
        <f>IFERROR(__xludf.DUMMYFUNCTION("GOOGLEFINANCE(""NSE:""&amp;A1989,""name"")"),"SIS Ltd")</f>
        <v>SIS Ltd</v>
      </c>
    </row>
    <row r="1990">
      <c r="A1990" s="1" t="s">
        <v>9833</v>
      </c>
      <c r="B1990" s="5" t="s">
        <v>9834</v>
      </c>
      <c r="C1990" s="3" t="s">
        <v>9835</v>
      </c>
      <c r="D1990" s="6" t="s">
        <v>9836</v>
      </c>
      <c r="E1990" s="7" t="s">
        <v>9837</v>
      </c>
      <c r="F1990" s="5" t="str">
        <f>IFERROR(__xludf.DUMMYFUNCTION("GOOGLEFINANCE(""NSE:""&amp;A1990,""name"")"),"Sejal Glass Ltd")</f>
        <v>Sejal Glass Ltd</v>
      </c>
    </row>
    <row r="1991">
      <c r="A1991" s="1" t="s">
        <v>9838</v>
      </c>
      <c r="B1991" s="5" t="s">
        <v>9839</v>
      </c>
      <c r="C1991" s="3" t="s">
        <v>9840</v>
      </c>
      <c r="D1991" s="6" t="s">
        <v>9841</v>
      </c>
      <c r="E1991" s="7" t="s">
        <v>9842</v>
      </c>
      <c r="F1991" s="5" t="str">
        <f>IFERROR(__xludf.DUMMYFUNCTION("GOOGLEFINANCE(""NSE:""&amp;A1991,""name"")"),"Sel Manufacturing Company Ltd")</f>
        <v>Sel Manufacturing Company Ltd</v>
      </c>
    </row>
    <row r="1992">
      <c r="A1992" s="1" t="s">
        <v>9843</v>
      </c>
      <c r="B1992" s="5" t="s">
        <v>9844</v>
      </c>
      <c r="C1992" s="3" t="s">
        <v>9845</v>
      </c>
      <c r="D1992" s="6" t="s">
        <v>9846</v>
      </c>
      <c r="E1992" s="7" t="s">
        <v>9847</v>
      </c>
      <c r="F1992" s="5" t="str">
        <f>IFERROR(__xludf.DUMMYFUNCTION("GOOGLEFINANCE(""NSE:""&amp;A1992,""name"")"),"Semac Construction Ltd")</f>
        <v>Semac Construction Ltd</v>
      </c>
    </row>
    <row r="1993">
      <c r="A1993" s="1" t="s">
        <v>9848</v>
      </c>
      <c r="B1993" s="5" t="s">
        <v>9849</v>
      </c>
      <c r="C1993" s="3" t="s">
        <v>9850</v>
      </c>
      <c r="D1993" s="6" t="s">
        <v>9851</v>
      </c>
      <c r="E1993" s="7" t="s">
        <v>9852</v>
      </c>
      <c r="F1993" s="5" t="str">
        <f>IFERROR(__xludf.DUMMYFUNCTION("GOOGLEFINANCE(""NSE:""&amp;A1993,""name"")"),"Senco Gold Ltd")</f>
        <v>Senco Gold Ltd</v>
      </c>
    </row>
    <row r="1994">
      <c r="A1994" s="1" t="s">
        <v>9853</v>
      </c>
      <c r="B1994" s="5" t="s">
        <v>9854</v>
      </c>
      <c r="C1994" s="3" t="s">
        <v>9855</v>
      </c>
      <c r="D1994" s="6" t="s">
        <v>9856</v>
      </c>
      <c r="E1994" s="7" t="s">
        <v>9857</v>
      </c>
      <c r="F1994" s="5" t="str">
        <f>IFERROR(__xludf.DUMMYFUNCTION("GOOGLEFINANCE(""NSE:""&amp;A1994,""name"")"),"Senores Pharmaceuticals Ltd")</f>
        <v>Senores Pharmaceuticals Ltd</v>
      </c>
    </row>
    <row r="1995">
      <c r="A1995" s="1" t="s">
        <v>9858</v>
      </c>
      <c r="B1995" s="5" t="s">
        <v>9859</v>
      </c>
      <c r="C1995" s="3" t="s">
        <v>9860</v>
      </c>
      <c r="D1995" s="6" t="s">
        <v>9861</v>
      </c>
      <c r="E1995" s="7" t="s">
        <v>9862</v>
      </c>
      <c r="F1995" s="5" t="str">
        <f>IFERROR(__xludf.DUMMYFUNCTION("GOOGLEFINANCE(""NSE:""&amp;A1995,""name"")"),"Sepc Ltd")</f>
        <v>Sepc Ltd</v>
      </c>
    </row>
    <row r="1996">
      <c r="A1996" s="1" t="s">
        <v>9863</v>
      </c>
      <c r="B1996" s="5" t="s">
        <v>9864</v>
      </c>
      <c r="C1996" s="3" t="s">
        <v>9865</v>
      </c>
      <c r="D1996" s="6" t="s">
        <v>9866</v>
      </c>
      <c r="E1996" s="7" t="s">
        <v>9867</v>
      </c>
      <c r="F1996" s="5" t="str">
        <f>IFERROR(__xludf.DUMMYFUNCTION("GOOGLEFINANCE(""NSE:""&amp;A1996,""name"")"),"SeQuent Scientific Ltd")</f>
        <v>SeQuent Scientific Ltd</v>
      </c>
    </row>
    <row r="1997">
      <c r="A1997" s="1" t="s">
        <v>9868</v>
      </c>
      <c r="B1997" s="5" t="s">
        <v>9869</v>
      </c>
      <c r="C1997" s="3" t="s">
        <v>9870</v>
      </c>
      <c r="D1997" s="6" t="s">
        <v>9871</v>
      </c>
      <c r="E1997" s="7" t="s">
        <v>9872</v>
      </c>
      <c r="F1997" s="5" t="str">
        <f>IFERROR(__xludf.DUMMYFUNCTION("GOOGLEFINANCE(""NSE:""&amp;A1997,""name"")"),"Servotech Renewable Power System Ltd")</f>
        <v>Servotech Renewable Power System Ltd</v>
      </c>
    </row>
    <row r="1998">
      <c r="A1998" s="1" t="s">
        <v>9873</v>
      </c>
      <c r="B1998" s="5" t="s">
        <v>9874</v>
      </c>
      <c r="C1998" s="3" t="s">
        <v>9875</v>
      </c>
      <c r="D1998" s="6" t="s">
        <v>9876</v>
      </c>
      <c r="E1998" s="7" t="s">
        <v>9877</v>
      </c>
      <c r="F1998" s="5" t="str">
        <f>IFERROR(__xludf.DUMMYFUNCTION("GOOGLEFINANCE(""NSE:""&amp;A1998,""name"")"),"Seshaasai Technologies Ltd")</f>
        <v>Seshaasai Technologies Ltd</v>
      </c>
    </row>
    <row r="1999">
      <c r="A1999" s="1" t="s">
        <v>9878</v>
      </c>
      <c r="B1999" s="5" t="s">
        <v>9879</v>
      </c>
      <c r="C1999" s="3" t="s">
        <v>9880</v>
      </c>
      <c r="D1999" s="6" t="s">
        <v>9881</v>
      </c>
      <c r="E1999" s="7" t="s">
        <v>9882</v>
      </c>
      <c r="F1999" s="5" t="str">
        <f>IFERROR(__xludf.DUMMYFUNCTION("GOOGLEFINANCE(""NSE:""&amp;A1999,""name"")"),"Seshasayee Paper and Boards Ltd")</f>
        <v>Seshasayee Paper and Boards Ltd</v>
      </c>
    </row>
    <row r="2000">
      <c r="A2000" s="1" t="s">
        <v>9883</v>
      </c>
      <c r="B2000" s="5" t="s">
        <v>9884</v>
      </c>
      <c r="C2000" s="3" t="s">
        <v>9885</v>
      </c>
      <c r="D2000" s="6" t="s">
        <v>9886</v>
      </c>
      <c r="E2000" s="7" t="s">
        <v>9887</v>
      </c>
      <c r="F2000" s="5" t="str">
        <f>IFERROR(__xludf.DUMMYFUNCTION("GOOGLEFINANCE(""NSE:""&amp;A2000,""name"")"),"Setco Automotive Ltd")</f>
        <v>Setco Automotive Ltd</v>
      </c>
    </row>
    <row r="2001">
      <c r="A2001" s="1" t="s">
        <v>9888</v>
      </c>
      <c r="B2001" s="5" t="s">
        <v>9889</v>
      </c>
      <c r="C2001" s="3" t="s">
        <v>9890</v>
      </c>
      <c r="D2001" s="6" t="s">
        <v>9891</v>
      </c>
      <c r="E2001" s="7" t="s">
        <v>9892</v>
      </c>
      <c r="F2001" s="5" t="str">
        <f>IFERROR(__xludf.DUMMYFUNCTION("GOOGLEFINANCE(""NSE:""&amp;A2001,""name"")"),"Seya Industries Ltd")</f>
        <v>Seya Industries Ltd</v>
      </c>
    </row>
    <row r="2002">
      <c r="A2002" s="1" t="s">
        <v>9893</v>
      </c>
      <c r="B2002" s="5" t="s">
        <v>9894</v>
      </c>
      <c r="C2002" s="3" t="s">
        <v>9895</v>
      </c>
      <c r="D2002" s="6" t="s">
        <v>9896</v>
      </c>
      <c r="E2002" s="7" t="s">
        <v>9897</v>
      </c>
      <c r="F2002" s="5" t="str">
        <f>IFERROR(__xludf.DUMMYFUNCTION("GOOGLEFINANCE(""NSE:""&amp;A2002,""name"")"),"Sg Finserve Ltd")</f>
        <v>Sg Finserve Ltd</v>
      </c>
    </row>
    <row r="2003">
      <c r="A2003" s="1" t="s">
        <v>9898</v>
      </c>
      <c r="B2003" s="5" t="s">
        <v>9899</v>
      </c>
      <c r="C2003" s="3" t="s">
        <v>9900</v>
      </c>
      <c r="D2003" s="6" t="s">
        <v>9901</v>
      </c>
      <c r="E2003" s="7" t="s">
        <v>9902</v>
      </c>
      <c r="F2003" s="5" t="str">
        <f>IFERROR(__xludf.DUMMYFUNCTION("GOOGLEFINANCE(""NSE:""&amp;A2003,""name"")"),"SG Mart Ltd")</f>
        <v>SG Mart Ltd</v>
      </c>
    </row>
    <row r="2004">
      <c r="A2004" s="1" t="s">
        <v>9903</v>
      </c>
      <c r="B2004" s="5" t="s">
        <v>9904</v>
      </c>
      <c r="C2004" s="3" t="s">
        <v>9905</v>
      </c>
      <c r="D2004" s="6" t="s">
        <v>9906</v>
      </c>
      <c r="E2004" s="7" t="s">
        <v>9907</v>
      </c>
      <c r="F2004" s="5" t="str">
        <f>IFERROR(__xludf.DUMMYFUNCTION("GOOGLEFINANCE(""NSE:""&amp;A2004,""name"")"),"Shah Alloys Ltd")</f>
        <v>Shah Alloys Ltd</v>
      </c>
    </row>
    <row r="2005">
      <c r="A2005" s="1" t="s">
        <v>9908</v>
      </c>
      <c r="B2005" s="5" t="s">
        <v>9909</v>
      </c>
      <c r="C2005" s="3" t="s">
        <v>9910</v>
      </c>
      <c r="D2005" s="6" t="s">
        <v>9911</v>
      </c>
      <c r="E2005" s="7" t="s">
        <v>9912</v>
      </c>
      <c r="F2005" s="5" t="str">
        <f>IFERROR(__xludf.DUMMYFUNCTION("GOOGLEFINANCE(""NSE:""&amp;A2005,""name"")"),"Shaily Engineering Plastics Ltd")</f>
        <v>Shaily Engineering Plastics Ltd</v>
      </c>
    </row>
    <row r="2006">
      <c r="A2006" s="1" t="s">
        <v>9913</v>
      </c>
      <c r="B2006" s="5" t="s">
        <v>9914</v>
      </c>
      <c r="C2006" s="3" t="s">
        <v>9915</v>
      </c>
      <c r="D2006" s="6" t="s">
        <v>9916</v>
      </c>
      <c r="E2006" s="7" t="s">
        <v>9917</v>
      </c>
      <c r="F2006" s="5" t="str">
        <f>IFERROR(__xludf.DUMMYFUNCTION("GOOGLEFINANCE(""NSE:""&amp;A2006,""name"")"),"Shakti Pumps (India) Ltd")</f>
        <v>Shakti Pumps (India) Ltd</v>
      </c>
    </row>
    <row r="2007">
      <c r="A2007" s="1" t="s">
        <v>9918</v>
      </c>
      <c r="B2007" s="5" t="s">
        <v>9919</v>
      </c>
      <c r="C2007" s="3" t="s">
        <v>9920</v>
      </c>
      <c r="D2007" s="6" t="s">
        <v>9921</v>
      </c>
      <c r="E2007" s="7" t="s">
        <v>9922</v>
      </c>
      <c r="F2007" s="5" t="str">
        <f>IFERROR(__xludf.DUMMYFUNCTION("GOOGLEFINANCE(""NSE:""&amp;A2007,""name"")"),"Shalby Ltd")</f>
        <v>Shalby Ltd</v>
      </c>
    </row>
    <row r="2008">
      <c r="A2008" s="1" t="s">
        <v>9923</v>
      </c>
      <c r="B2008" s="5" t="s">
        <v>9924</v>
      </c>
      <c r="C2008" s="3" t="s">
        <v>9925</v>
      </c>
      <c r="D2008" s="6" t="s">
        <v>9926</v>
      </c>
      <c r="E2008" s="7" t="s">
        <v>9927</v>
      </c>
      <c r="F2008" s="5" t="str">
        <f>IFERROR(__xludf.DUMMYFUNCTION("GOOGLEFINANCE(""NSE:""&amp;A2008,""name"")"),"Shalimar Paints Ltd")</f>
        <v>Shalimar Paints Ltd</v>
      </c>
    </row>
    <row r="2009">
      <c r="A2009" s="1" t="s">
        <v>9928</v>
      </c>
      <c r="B2009" s="5" t="s">
        <v>9929</v>
      </c>
      <c r="C2009" s="3" t="s">
        <v>9930</v>
      </c>
      <c r="D2009" s="6" t="s">
        <v>9931</v>
      </c>
      <c r="E2009" s="7" t="s">
        <v>9932</v>
      </c>
      <c r="F2009" s="5" t="str">
        <f>IFERROR(__xludf.DUMMYFUNCTION("GOOGLEFINANCE(""NSE:""&amp;A2009,""name"")"),"Shankar Lal Rampal Dye-Chem Ltd")</f>
        <v>Shankar Lal Rampal Dye-Chem Ltd</v>
      </c>
    </row>
    <row r="2010">
      <c r="A2010" s="1" t="s">
        <v>9933</v>
      </c>
      <c r="B2010" s="5" t="s">
        <v>9934</v>
      </c>
      <c r="C2010" s="3" t="s">
        <v>9935</v>
      </c>
      <c r="D2010" s="6" t="s">
        <v>9936</v>
      </c>
      <c r="E2010" s="7" t="s">
        <v>9937</v>
      </c>
      <c r="F2010" s="5" t="str">
        <f>IFERROR(__xludf.DUMMYFUNCTION("GOOGLEFINANCE(""NSE:""&amp;A2010,""name"")"),"Shankara Building Products Ltd")</f>
        <v>Shankara Building Products Ltd</v>
      </c>
    </row>
    <row r="2011">
      <c r="A2011" s="1" t="s">
        <v>9938</v>
      </c>
      <c r="B2011" s="5" t="s">
        <v>9939</v>
      </c>
      <c r="C2011" s="3" t="s">
        <v>9940</v>
      </c>
      <c r="D2011" s="6" t="s">
        <v>9941</v>
      </c>
      <c r="E2011" s="7" t="s">
        <v>9942</v>
      </c>
      <c r="F2011" s="5" t="str">
        <f>IFERROR(__xludf.DUMMYFUNCTION("GOOGLEFINANCE(""NSE:""&amp;A2011,""name"")"),"Shanthi Gears Ltd")</f>
        <v>Shanthi Gears Ltd</v>
      </c>
    </row>
    <row r="2012">
      <c r="A2012" s="1" t="s">
        <v>9943</v>
      </c>
      <c r="B2012" s="5" t="s">
        <v>9944</v>
      </c>
      <c r="C2012" s="3" t="s">
        <v>9945</v>
      </c>
      <c r="D2012" s="6" t="s">
        <v>9946</v>
      </c>
      <c r="E2012" s="7" t="s">
        <v>9947</v>
      </c>
      <c r="F2012" s="5" t="str">
        <f>IFERROR(__xludf.DUMMYFUNCTION("GOOGLEFINANCE(""NSE:""&amp;A2012,""name"")"),"Shanti Gold International Ltd")</f>
        <v>Shanti Gold International Ltd</v>
      </c>
    </row>
    <row r="2013">
      <c r="A2013" s="1" t="s">
        <v>9948</v>
      </c>
      <c r="B2013" s="5" t="s">
        <v>9949</v>
      </c>
      <c r="C2013" s="3" t="s">
        <v>9950</v>
      </c>
      <c r="D2013" s="6" t="s">
        <v>9951</v>
      </c>
      <c r="E2013" s="7" t="s">
        <v>9952</v>
      </c>
      <c r="F2013" s="5" t="str">
        <f>IFERROR(__xludf.DUMMYFUNCTION("GOOGLEFINANCE(""NSE:""&amp;A2013,""name"")"),"Shanti Overseas (India) Ltd")</f>
        <v>Shanti Overseas (India) Ltd</v>
      </c>
    </row>
    <row r="2014">
      <c r="A2014" s="1" t="s">
        <v>9953</v>
      </c>
      <c r="B2014" s="5" t="s">
        <v>9954</v>
      </c>
      <c r="C2014" s="3" t="s">
        <v>9955</v>
      </c>
      <c r="D2014" s="6" t="s">
        <v>9956</v>
      </c>
      <c r="E2014" s="7" t="s">
        <v>9957</v>
      </c>
      <c r="F2014" s="5" t="str">
        <f>IFERROR(__xludf.DUMMYFUNCTION("GOOGLEFINANCE(""NSE:""&amp;A2014,""name"")"),"Sharda Cropchem Ltd")</f>
        <v>Sharda Cropchem Ltd</v>
      </c>
    </row>
    <row r="2015">
      <c r="A2015" s="1" t="s">
        <v>9958</v>
      </c>
      <c r="B2015" s="5" t="s">
        <v>9959</v>
      </c>
      <c r="C2015" s="3" t="s">
        <v>9960</v>
      </c>
      <c r="D2015" s="6" t="s">
        <v>9961</v>
      </c>
      <c r="E2015" s="7" t="s">
        <v>9962</v>
      </c>
      <c r="F2015" s="5" t="str">
        <f>IFERROR(__xludf.DUMMYFUNCTION("GOOGLEFINANCE(""NSE:""&amp;A2015,""name"")"),"Sharda Motor Industries Ltd")</f>
        <v>Sharda Motor Industries Ltd</v>
      </c>
    </row>
    <row r="2016">
      <c r="A2016" s="1" t="s">
        <v>9963</v>
      </c>
      <c r="B2016" s="5" t="s">
        <v>9964</v>
      </c>
      <c r="C2016" s="3" t="s">
        <v>9965</v>
      </c>
      <c r="D2016" s="6" t="s">
        <v>9966</v>
      </c>
      <c r="E2016" s="7" t="s">
        <v>9967</v>
      </c>
      <c r="F2016" s="5" t="str">
        <f>IFERROR(__xludf.DUMMYFUNCTION("GOOGLEFINANCE(""NSE:""&amp;A2016,""name"")"),"Share India Securities Ltd")</f>
        <v>Share India Securities Ltd</v>
      </c>
    </row>
    <row r="2017">
      <c r="A2017" s="1" t="s">
        <v>9968</v>
      </c>
      <c r="B2017" s="5" t="s">
        <v>9969</v>
      </c>
      <c r="C2017" s="3" t="s">
        <v>9970</v>
      </c>
      <c r="D2017" s="6" t="s">
        <v>9971</v>
      </c>
      <c r="E2017" s="7" t="s">
        <v>9972</v>
      </c>
      <c r="F2017" s="5" t="str">
        <f>IFERROR(__xludf.DUMMYFUNCTION("GOOGLEFINANCE(""NSE:""&amp;A2017,""name"")"),"Sheela Foam Ltd")</f>
        <v>Sheela Foam Ltd</v>
      </c>
    </row>
    <row r="2018">
      <c r="A2018" s="1" t="s">
        <v>9973</v>
      </c>
      <c r="B2018" s="5" t="s">
        <v>9974</v>
      </c>
      <c r="C2018" s="3" t="s">
        <v>9975</v>
      </c>
      <c r="D2018" s="6" t="s">
        <v>9976</v>
      </c>
      <c r="E2018" s="7" t="s">
        <v>9977</v>
      </c>
      <c r="F2018" s="5" t="str">
        <f>IFERROR(__xludf.DUMMYFUNCTION("GOOGLEFINANCE(""NSE:""&amp;A2018,""name"")"),"Sheetal Cool Products Ltd")</f>
        <v>Sheetal Cool Products Ltd</v>
      </c>
    </row>
    <row r="2019">
      <c r="A2019" s="1" t="s">
        <v>9978</v>
      </c>
      <c r="B2019" s="5" t="s">
        <v>9979</v>
      </c>
      <c r="C2019" s="3" t="s">
        <v>9980</v>
      </c>
      <c r="D2019" s="6" t="s">
        <v>9981</v>
      </c>
      <c r="E2019" s="7" t="s">
        <v>9982</v>
      </c>
      <c r="F2019" s="5" t="str">
        <f>IFERROR(__xludf.DUMMYFUNCTION("GOOGLEFINANCE(""NSE:""&amp;A2019,""name"")"),"Shekhawati Industries Ltd")</f>
        <v>Shekhawati Industries Ltd</v>
      </c>
    </row>
    <row r="2020">
      <c r="A2020" s="1" t="s">
        <v>9983</v>
      </c>
      <c r="B2020" s="5" t="s">
        <v>9984</v>
      </c>
      <c r="C2020" s="3" t="s">
        <v>9985</v>
      </c>
      <c r="D2020" s="6" t="s">
        <v>9986</v>
      </c>
      <c r="E2020" s="7" t="s">
        <v>9987</v>
      </c>
      <c r="F2020" s="5" t="str">
        <f>IFERROR(__xludf.DUMMYFUNCTION("GOOGLEFINANCE(""NSE:""&amp;A2020,""name"")"),"Shemaroo Entertainment Ltd")</f>
        <v>Shemaroo Entertainment Ltd</v>
      </c>
    </row>
    <row r="2021">
      <c r="A2021" s="1" t="s">
        <v>9988</v>
      </c>
      <c r="B2021" s="5" t="s">
        <v>9989</v>
      </c>
      <c r="C2021" s="3" t="s">
        <v>9990</v>
      </c>
      <c r="D2021" s="6" t="s">
        <v>9991</v>
      </c>
      <c r="E2021" s="7" t="s">
        <v>9992</v>
      </c>
      <c r="F2021" s="5" t="str">
        <f>IFERROR(__xludf.DUMMYFUNCTION("GOOGLEFINANCE(""NSE:""&amp;A2021,""name"")"),"Shilchar Technologies Ltd")</f>
        <v>Shilchar Technologies Ltd</v>
      </c>
    </row>
    <row r="2022">
      <c r="A2022" s="1" t="s">
        <v>9993</v>
      </c>
      <c r="B2022" s="5" t="s">
        <v>9994</v>
      </c>
      <c r="C2022" s="3" t="s">
        <v>9995</v>
      </c>
      <c r="D2022" s="6" t="s">
        <v>9996</v>
      </c>
      <c r="E2022" s="7" t="s">
        <v>9997</v>
      </c>
      <c r="F2022" s="5" t="str">
        <f>IFERROR(__xludf.DUMMYFUNCTION("GOOGLEFINANCE(""NSE:""&amp;A2022,""name"")"),"Shilpa Medicare Ltd")</f>
        <v>Shilpa Medicare Ltd</v>
      </c>
    </row>
    <row r="2023">
      <c r="A2023" s="1" t="s">
        <v>9998</v>
      </c>
      <c r="B2023" s="5" t="s">
        <v>9999</v>
      </c>
      <c r="C2023" s="3" t="s">
        <v>10000</v>
      </c>
      <c r="D2023" s="6" t="s">
        <v>10001</v>
      </c>
      <c r="E2023" s="7" t="s">
        <v>10002</v>
      </c>
      <c r="F2023" s="5" t="str">
        <f>IFERROR(__xludf.DUMMYFUNCTION("GOOGLEFINANCE(""NSE:""&amp;A2023,""name"")"),"Shipping Corprt of India Lnd and Ast Ltd")</f>
        <v>Shipping Corprt of India Lnd and Ast Ltd</v>
      </c>
    </row>
    <row r="2024">
      <c r="A2024" s="1" t="s">
        <v>10003</v>
      </c>
      <c r="B2024" s="5" t="s">
        <v>10004</v>
      </c>
      <c r="C2024" s="3" t="s">
        <v>10005</v>
      </c>
      <c r="D2024" s="6" t="s">
        <v>10006</v>
      </c>
      <c r="E2024" s="7" t="s">
        <v>10007</v>
      </c>
      <c r="F2024" s="5" t="str">
        <f>IFERROR(__xludf.DUMMYFUNCTION("GOOGLEFINANCE(""NSE:""&amp;A2024,""name"")"),"Shipping Corporation of India Ltd")</f>
        <v>Shipping Corporation of India Ltd</v>
      </c>
    </row>
    <row r="2025">
      <c r="A2025" s="1" t="s">
        <v>10008</v>
      </c>
      <c r="B2025" s="5" t="s">
        <v>10009</v>
      </c>
      <c r="C2025" s="3" t="s">
        <v>10010</v>
      </c>
      <c r="D2025" s="6" t="s">
        <v>10011</v>
      </c>
      <c r="E2025" s="7" t="s">
        <v>10012</v>
      </c>
      <c r="F2025" s="5" t="str">
        <f>IFERROR(__xludf.DUMMYFUNCTION("GOOGLEFINANCE(""NSE:""&amp;A2025,""name"")"),"Shiva Mills Ltd")</f>
        <v>Shiva Mills Ltd</v>
      </c>
    </row>
    <row r="2026">
      <c r="A2026" s="1" t="s">
        <v>10013</v>
      </c>
      <c r="B2026" s="5" t="s">
        <v>10014</v>
      </c>
      <c r="C2026" s="3" t="s">
        <v>10015</v>
      </c>
      <c r="D2026" s="6" t="s">
        <v>10016</v>
      </c>
      <c r="E2026" s="7" t="s">
        <v>10017</v>
      </c>
      <c r="F2026" s="5" t="str">
        <f>IFERROR(__xludf.DUMMYFUNCTION("GOOGLEFINANCE(""NSE:""&amp;A2026,""name"")"),"Shiva Texyarn Ltd")</f>
        <v>Shiva Texyarn Ltd</v>
      </c>
    </row>
    <row r="2027">
      <c r="A2027" s="1" t="s">
        <v>10018</v>
      </c>
      <c r="B2027" s="5" t="s">
        <v>10019</v>
      </c>
      <c r="C2027" s="3" t="s">
        <v>10020</v>
      </c>
      <c r="D2027" s="6" t="s">
        <v>10021</v>
      </c>
      <c r="E2027" s="7" t="s">
        <v>10022</v>
      </c>
      <c r="F2027" s="5" t="str">
        <f>IFERROR(__xludf.DUMMYFUNCTION("GOOGLEFINANCE(""NSE:""&amp;A2027,""name"")"),"Shivalik Bimetal Controls Ltd")</f>
        <v>Shivalik Bimetal Controls Ltd</v>
      </c>
    </row>
    <row r="2028">
      <c r="A2028" s="1" t="s">
        <v>10023</v>
      </c>
      <c r="B2028" s="5" t="s">
        <v>10024</v>
      </c>
      <c r="C2028" s="3" t="s">
        <v>10025</v>
      </c>
      <c r="D2028" s="6" t="s">
        <v>10026</v>
      </c>
      <c r="E2028" s="7" t="s">
        <v>10027</v>
      </c>
      <c r="F2028" s="5" t="str">
        <f>IFERROR(__xludf.DUMMYFUNCTION("GOOGLEFINANCE(""NSE:""&amp;A2028,""name"")"),"Shivalik Rasayan Ltd")</f>
        <v>Shivalik Rasayan Ltd</v>
      </c>
    </row>
    <row r="2029">
      <c r="A2029" s="1" t="s">
        <v>10028</v>
      </c>
      <c r="B2029" s="5" t="s">
        <v>10029</v>
      </c>
      <c r="C2029" s="3" t="s">
        <v>10030</v>
      </c>
      <c r="D2029" s="6" t="s">
        <v>10031</v>
      </c>
      <c r="E2029" s="7" t="s">
        <v>10032</v>
      </c>
      <c r="F2029" s="5" t="str">
        <f>IFERROR(__xludf.DUMMYFUNCTION("GOOGLEFINANCE(""NSE:""&amp;A2029,""name"")"),"Shivam Autotech Ltd")</f>
        <v>Shivam Autotech Ltd</v>
      </c>
    </row>
    <row r="2030">
      <c r="A2030" s="1" t="s">
        <v>10033</v>
      </c>
      <c r="B2030" s="5" t="s">
        <v>10034</v>
      </c>
      <c r="C2030" s="3" t="s">
        <v>10035</v>
      </c>
      <c r="D2030" s="6" t="s">
        <v>10036</v>
      </c>
      <c r="E2030" s="7" t="s">
        <v>10037</v>
      </c>
      <c r="F2030" s="5" t="str">
        <f>IFERROR(__xludf.DUMMYFUNCTION("GOOGLEFINANCE(""NSE:""&amp;A2030,""name"")"),"Shoppers Stop Ltd")</f>
        <v>Shoppers Stop Ltd</v>
      </c>
    </row>
    <row r="2031">
      <c r="A2031" s="1" t="s">
        <v>10038</v>
      </c>
      <c r="B2031" s="5" t="s">
        <v>10039</v>
      </c>
      <c r="C2031" s="3" t="s">
        <v>10040</v>
      </c>
      <c r="D2031" s="6" t="s">
        <v>10041</v>
      </c>
      <c r="E2031" s="7" t="s">
        <v>10042</v>
      </c>
      <c r="F2031" s="5" t="str">
        <f>IFERROR(__xludf.DUMMYFUNCTION("GOOGLEFINANCE(""NSE:""&amp;A2031,""name"")"),"Shradha Infraprojects Ltd")</f>
        <v>Shradha Infraprojects Ltd</v>
      </c>
    </row>
    <row r="2032">
      <c r="A2032" s="1" t="s">
        <v>10043</v>
      </c>
      <c r="B2032" s="5" t="s">
        <v>10044</v>
      </c>
      <c r="C2032" s="3" t="s">
        <v>10045</v>
      </c>
      <c r="D2032" s="6" t="s">
        <v>10046</v>
      </c>
      <c r="E2032" s="7" t="s">
        <v>10047</v>
      </c>
      <c r="F2032" s="5" t="str">
        <f>IFERROR(__xludf.DUMMYFUNCTION("GOOGLEFINANCE(""NSE:""&amp;A2032,""name"")"),"Shree Cement Ltd")</f>
        <v>Shree Cement Ltd</v>
      </c>
    </row>
    <row r="2033">
      <c r="A2033" s="1" t="s">
        <v>10048</v>
      </c>
      <c r="B2033" s="5" t="s">
        <v>10049</v>
      </c>
      <c r="C2033" s="3" t="s">
        <v>10050</v>
      </c>
      <c r="D2033" s="6" t="s">
        <v>10051</v>
      </c>
      <c r="E2033" s="7" t="s">
        <v>10052</v>
      </c>
      <c r="F2033" s="5" t="str">
        <f>IFERROR(__xludf.DUMMYFUNCTION("GOOGLEFINANCE(""NSE:""&amp;A2033,""name"")"),"Shree Digvijay Cement Co Ltd")</f>
        <v>Shree Digvijay Cement Co Ltd</v>
      </c>
    </row>
    <row r="2034">
      <c r="A2034" s="1" t="s">
        <v>10053</v>
      </c>
      <c r="B2034" s="5" t="s">
        <v>10054</v>
      </c>
      <c r="C2034" s="3" t="s">
        <v>10055</v>
      </c>
      <c r="D2034" s="6" t="s">
        <v>10056</v>
      </c>
      <c r="E2034" s="7" t="s">
        <v>10057</v>
      </c>
      <c r="F2034" s="5" t="str">
        <f>IFERROR(__xludf.DUMMYFUNCTION("GOOGLEFINANCE(""NSE:""&amp;A2034,""name"")"),"Shree Pushkar Chemicals &amp; Fertilisrs Ltd")</f>
        <v>Shree Pushkar Chemicals &amp; Fertilisrs Ltd</v>
      </c>
    </row>
    <row r="2035">
      <c r="A2035" s="1" t="s">
        <v>10058</v>
      </c>
      <c r="B2035" s="5" t="s">
        <v>10059</v>
      </c>
      <c r="C2035" s="3" t="s">
        <v>10060</v>
      </c>
      <c r="D2035" s="6" t="s">
        <v>10061</v>
      </c>
      <c r="E2035" s="7" t="s">
        <v>10062</v>
      </c>
      <c r="F2035" s="5" t="str">
        <f>IFERROR(__xludf.DUMMYFUNCTION("GOOGLEFINANCE(""NSE:""&amp;A2035,""name"")"),"Shree Rama Multi-Tech Ltd")</f>
        <v>Shree Rama Multi-Tech Ltd</v>
      </c>
    </row>
    <row r="2036">
      <c r="A2036" s="1" t="s">
        <v>10063</v>
      </c>
      <c r="B2036" s="5" t="s">
        <v>10064</v>
      </c>
      <c r="C2036" s="3" t="s">
        <v>10065</v>
      </c>
      <c r="D2036" s="6" t="s">
        <v>10066</v>
      </c>
      <c r="E2036" s="7" t="s">
        <v>10067</v>
      </c>
      <c r="F2036" s="5" t="str">
        <f>IFERROR(__xludf.DUMMYFUNCTION("GOOGLEFINANCE(""NSE:""&amp;A2036,""name"")"),"Shree Rama Newsprint Ltd")</f>
        <v>Shree Rama Newsprint Ltd</v>
      </c>
    </row>
    <row r="2037">
      <c r="A2037" s="1" t="s">
        <v>10068</v>
      </c>
      <c r="B2037" s="5" t="s">
        <v>10069</v>
      </c>
      <c r="C2037" s="3" t="s">
        <v>10070</v>
      </c>
      <c r="D2037" s="6" t="s">
        <v>10071</v>
      </c>
      <c r="E2037" s="7" t="s">
        <v>10072</v>
      </c>
      <c r="F2037" s="5" t="str">
        <f>IFERROR(__xludf.DUMMYFUNCTION("GOOGLEFINANCE(""NSE:""&amp;A2037,""name"")"),"Shree Renuka Sugars Ltd")</f>
        <v>Shree Renuka Sugars Ltd</v>
      </c>
    </row>
    <row r="2038">
      <c r="A2038" s="1" t="s">
        <v>10073</v>
      </c>
      <c r="B2038" s="5" t="s">
        <v>10074</v>
      </c>
      <c r="C2038" s="3" t="s">
        <v>10075</v>
      </c>
      <c r="D2038" s="6" t="s">
        <v>10076</v>
      </c>
      <c r="E2038" s="7" t="s">
        <v>10077</v>
      </c>
      <c r="F2038" s="5" t="str">
        <f>IFERROR(__xludf.DUMMYFUNCTION("GOOGLEFINANCE(""NSE:""&amp;A2038,""name"")"),"Shree Tirupati Balajee Agr Trdg Cmpy Ltd")</f>
        <v>Shree Tirupati Balajee Agr Trdg Cmpy Ltd</v>
      </c>
    </row>
    <row r="2039">
      <c r="A2039" s="1" t="s">
        <v>10078</v>
      </c>
      <c r="B2039" s="5" t="s">
        <v>10079</v>
      </c>
      <c r="C2039" s="3" t="s">
        <v>10080</v>
      </c>
      <c r="D2039" s="6" t="s">
        <v>10081</v>
      </c>
      <c r="E2039" s="7" t="s">
        <v>10082</v>
      </c>
      <c r="F2039" s="5" t="str">
        <f>IFERROR(__xludf.DUMMYFUNCTION("GOOGLEFINANCE(""NSE:""&amp;A2039,""name"")"),"Shree Vasu Logistics Ltd")</f>
        <v>Shree Vasu Logistics Ltd</v>
      </c>
    </row>
    <row r="2040">
      <c r="A2040" s="1" t="s">
        <v>10083</v>
      </c>
      <c r="B2040" s="5" t="s">
        <v>10084</v>
      </c>
      <c r="C2040" s="3" t="s">
        <v>10085</v>
      </c>
      <c r="D2040" s="6" t="s">
        <v>10086</v>
      </c>
      <c r="E2040" s="7" t="s">
        <v>10087</v>
      </c>
      <c r="F2040" s="5" t="str">
        <f>IFERROR(__xludf.DUMMYFUNCTION("GOOGLEFINANCE(""NSE:""&amp;A2040,""name"")"),"Shreeji Shipping Global Ltd")</f>
        <v>Shreeji Shipping Global Ltd</v>
      </c>
    </row>
    <row r="2041">
      <c r="A2041" s="1" t="s">
        <v>10088</v>
      </c>
      <c r="B2041" s="5" t="s">
        <v>10089</v>
      </c>
      <c r="C2041" s="3" t="s">
        <v>10090</v>
      </c>
      <c r="D2041" s="6" t="s">
        <v>10091</v>
      </c>
      <c r="E2041" s="7" t="s">
        <v>10092</v>
      </c>
      <c r="F2041" s="5" t="str">
        <f>IFERROR(__xludf.DUMMYFUNCTION("GOOGLEFINANCE(""NSE:""&amp;A2041,""name"")"),"ShreeOswal Seeds and Chemicals Ltd")</f>
        <v>ShreeOswal Seeds and Chemicals Ltd</v>
      </c>
    </row>
    <row r="2042">
      <c r="A2042" s="1" t="s">
        <v>10093</v>
      </c>
      <c r="B2042" s="5" t="s">
        <v>10094</v>
      </c>
      <c r="C2042" s="3" t="s">
        <v>10095</v>
      </c>
      <c r="D2042" s="6" t="s">
        <v>10096</v>
      </c>
      <c r="E2042" s="7" t="s">
        <v>10097</v>
      </c>
      <c r="F2042" s="5" t="str">
        <f>IFERROR(__xludf.DUMMYFUNCTION("GOOGLEFINANCE(""NSE:""&amp;A2042,""name"")"),"Shreyans Industries Ltd")</f>
        <v>Shreyans Industries Ltd</v>
      </c>
    </row>
    <row r="2043">
      <c r="A2043" s="1" t="s">
        <v>10098</v>
      </c>
      <c r="B2043" s="5" t="s">
        <v>10099</v>
      </c>
      <c r="C2043" s="3" t="s">
        <v>10100</v>
      </c>
      <c r="D2043" s="6" t="s">
        <v>10101</v>
      </c>
      <c r="E2043" s="7" t="s">
        <v>10102</v>
      </c>
      <c r="F2043" s="5" t="str">
        <f>IFERROR(__xludf.DUMMYFUNCTION("GOOGLEFINANCE(""NSE:""&amp;A2043,""name"")"),"Transworld Shipping Lines Ltd")</f>
        <v>Transworld Shipping Lines Ltd</v>
      </c>
    </row>
    <row r="2044">
      <c r="A2044" s="1" t="s">
        <v>10103</v>
      </c>
      <c r="B2044" s="5" t="s">
        <v>10104</v>
      </c>
      <c r="C2044" s="3" t="s">
        <v>10105</v>
      </c>
      <c r="D2044" s="6" t="s">
        <v>10106</v>
      </c>
      <c r="E2044" s="7" t="s">
        <v>10107</v>
      </c>
      <c r="F2044" s="5" t="str">
        <f>IFERROR(__xludf.DUMMYFUNCTION("GOOGLEFINANCE(""NSE:""&amp;A2044,""name"")"),"Shringar House of Mangalsutra Ltd")</f>
        <v>Shringar House of Mangalsutra Ltd</v>
      </c>
    </row>
    <row r="2045">
      <c r="A2045" s="1" t="s">
        <v>10108</v>
      </c>
      <c r="B2045" s="5" t="s">
        <v>10109</v>
      </c>
      <c r="C2045" s="3" t="s">
        <v>10110</v>
      </c>
      <c r="D2045" s="6" t="s">
        <v>10111</v>
      </c>
      <c r="E2045" s="7" t="s">
        <v>10112</v>
      </c>
      <c r="F2045" s="5" t="str">
        <f>IFERROR(__xludf.DUMMYFUNCTION("GOOGLEFINANCE(""NSE:""&amp;A2045,""name"")"),"Shriram Finance Ltd")</f>
        <v>Shriram Finance Ltd</v>
      </c>
    </row>
    <row r="2046">
      <c r="A2046" s="1" t="s">
        <v>10113</v>
      </c>
      <c r="B2046" s="5" t="s">
        <v>10114</v>
      </c>
      <c r="C2046" s="3" t="s">
        <v>10115</v>
      </c>
      <c r="D2046" s="6" t="s">
        <v>10116</v>
      </c>
      <c r="E2046" s="7" t="s">
        <v>10117</v>
      </c>
      <c r="F2046" s="5" t="str">
        <f>IFERROR(__xludf.DUMMYFUNCTION("GOOGLEFINANCE(""NSE:""&amp;A2046,""name"")"),"Shriram Nifty 1D Rate Liquid ETF")</f>
        <v>Shriram Nifty 1D Rate Liquid ETF</v>
      </c>
    </row>
    <row r="2047">
      <c r="A2047" s="1" t="s">
        <v>10118</v>
      </c>
      <c r="B2047" s="5" t="s">
        <v>10119</v>
      </c>
      <c r="C2047" s="3" t="s">
        <v>10120</v>
      </c>
      <c r="D2047" s="6" t="s">
        <v>10121</v>
      </c>
      <c r="E2047" s="7" t="s">
        <v>10122</v>
      </c>
      <c r="F2047" s="5" t="str">
        <f>IFERROR(__xludf.DUMMYFUNCTION("GOOGLEFINANCE(""NSE:""&amp;A2047,""name"")"),"Shriram Pistons &amp; Rings Ltd")</f>
        <v>Shriram Pistons &amp; Rings Ltd</v>
      </c>
    </row>
    <row r="2048">
      <c r="A2048" s="1" t="s">
        <v>10123</v>
      </c>
      <c r="B2048" s="5" t="s">
        <v>10124</v>
      </c>
      <c r="C2048" s="3" t="s">
        <v>10125</v>
      </c>
      <c r="D2048" s="6" t="s">
        <v>10126</v>
      </c>
      <c r="E2048" s="7" t="s">
        <v>10127</v>
      </c>
      <c r="F2048" s="5" t="str">
        <f>IFERROR(__xludf.DUMMYFUNCTION("GOOGLEFINANCE(""NSE:""&amp;A2048,""name"")"),"Shriram Properties Ltd")</f>
        <v>Shriram Properties Ltd</v>
      </c>
    </row>
    <row r="2049">
      <c r="A2049" s="1" t="s">
        <v>10128</v>
      </c>
      <c r="B2049" s="5" t="s">
        <v>10129</v>
      </c>
      <c r="C2049" s="3" t="s">
        <v>10130</v>
      </c>
      <c r="D2049" s="6" t="s">
        <v>10131</v>
      </c>
      <c r="E2049" s="7" t="s">
        <v>10132</v>
      </c>
      <c r="F2049" s="5" t="str">
        <f>IFERROR(__xludf.DUMMYFUNCTION("GOOGLEFINANCE(""NSE:""&amp;A2049,""name"")"),"Shyam Century Ferrous Ltd")</f>
        <v>Shyam Century Ferrous Ltd</v>
      </c>
    </row>
    <row r="2050">
      <c r="A2050" s="1" t="s">
        <v>10133</v>
      </c>
      <c r="B2050" s="5" t="s">
        <v>10134</v>
      </c>
      <c r="C2050" s="3" t="s">
        <v>10135</v>
      </c>
      <c r="D2050" s="6" t="s">
        <v>10136</v>
      </c>
      <c r="E2050" s="7" t="s">
        <v>10137</v>
      </c>
      <c r="F2050" s="5" t="str">
        <f>IFERROR(__xludf.DUMMYFUNCTION("GOOGLEFINANCE(""NSE:""&amp;A2050,""name"")"),"Shyam Metalics and Energy Ltd")</f>
        <v>Shyam Metalics and Energy Ltd</v>
      </c>
    </row>
    <row r="2051">
      <c r="A2051" s="1" t="s">
        <v>10138</v>
      </c>
      <c r="B2051" s="5" t="s">
        <v>10139</v>
      </c>
      <c r="C2051" s="3" t="s">
        <v>10140</v>
      </c>
      <c r="D2051" s="6" t="s">
        <v>10141</v>
      </c>
      <c r="E2051" s="7" t="s">
        <v>10142</v>
      </c>
      <c r="F2051" s="5" t="str">
        <f>IFERROR(__xludf.DUMMYFUNCTION("GOOGLEFINANCE(""NSE:""&amp;A2051,""name"")"),"Shyam Telecom Ltd")</f>
        <v>Shyam Telecom Ltd</v>
      </c>
    </row>
    <row r="2052">
      <c r="A2052" s="1" t="s">
        <v>10143</v>
      </c>
      <c r="B2052" s="5" t="s">
        <v>10144</v>
      </c>
      <c r="C2052" s="3" t="s">
        <v>10145</v>
      </c>
      <c r="D2052" s="6" t="s">
        <v>10146</v>
      </c>
      <c r="E2052" s="7" t="s">
        <v>10147</v>
      </c>
      <c r="F2052" s="5" t="str">
        <f>IFERROR(__xludf.DUMMYFUNCTION("GOOGLEFINANCE(""NSE:""&amp;A2052,""name"")"),"Sical Logistics Ltd")</f>
        <v>Sical Logistics Ltd</v>
      </c>
    </row>
    <row r="2053">
      <c r="A2053" s="1" t="s">
        <v>10148</v>
      </c>
      <c r="B2053" s="5" t="s">
        <v>10149</v>
      </c>
      <c r="C2053" s="3" t="s">
        <v>10150</v>
      </c>
      <c r="D2053" s="6" t="s">
        <v>10151</v>
      </c>
      <c r="E2053" s="7" t="s">
        <v>10152</v>
      </c>
      <c r="F2053" s="5" t="str">
        <f>IFERROR(__xludf.DUMMYFUNCTION("GOOGLEFINANCE(""NSE:""&amp;A2053,""name"")"),"Siemens Energy India Ltd")</f>
        <v>Siemens Energy India Ltd</v>
      </c>
    </row>
    <row r="2054">
      <c r="A2054" s="1" t="s">
        <v>10153</v>
      </c>
      <c r="B2054" s="5" t="s">
        <v>10154</v>
      </c>
      <c r="C2054" s="3" t="s">
        <v>10155</v>
      </c>
      <c r="D2054" s="6" t="s">
        <v>10156</v>
      </c>
      <c r="E2054" s="7" t="s">
        <v>10157</v>
      </c>
      <c r="F2054" s="5" t="str">
        <f>IFERROR(__xludf.DUMMYFUNCTION("GOOGLEFINANCE(""NSE:""&amp;A2054,""name"")"),"Siemens Ltd")</f>
        <v>Siemens Ltd</v>
      </c>
    </row>
    <row r="2055">
      <c r="A2055" s="1" t="s">
        <v>10158</v>
      </c>
      <c r="B2055" s="5" t="s">
        <v>10159</v>
      </c>
      <c r="C2055" s="3" t="s">
        <v>10160</v>
      </c>
      <c r="D2055" s="6" t="s">
        <v>10161</v>
      </c>
      <c r="E2055" s="7" t="s">
        <v>10162</v>
      </c>
      <c r="F2055" s="5" t="str">
        <f>IFERROR(__xludf.DUMMYFUNCTION("GOOGLEFINANCE(""NSE:""&amp;A2055,""name"")"),"Sigachi Industries Ltd")</f>
        <v>Sigachi Industries Ltd</v>
      </c>
    </row>
    <row r="2056">
      <c r="A2056" s="1" t="s">
        <v>10163</v>
      </c>
      <c r="B2056" s="5" t="s">
        <v>10164</v>
      </c>
      <c r="C2056" s="3" t="s">
        <v>10165</v>
      </c>
      <c r="D2056" s="6" t="s">
        <v>10166</v>
      </c>
      <c r="E2056" s="7" t="s">
        <v>10167</v>
      </c>
      <c r="F2056" s="5" t="str">
        <f>IFERROR(__xludf.DUMMYFUNCTION("GOOGLEFINANCE(""NSE:""&amp;A2056,""name"")"),"Sigma Solve Ltd")</f>
        <v>Sigma Solve Ltd</v>
      </c>
    </row>
    <row r="2057">
      <c r="A2057" s="1" t="s">
        <v>10168</v>
      </c>
      <c r="B2057" s="5" t="s">
        <v>10169</v>
      </c>
      <c r="C2057" s="3" t="s">
        <v>10170</v>
      </c>
      <c r="D2057" s="6" t="s">
        <v>10171</v>
      </c>
      <c r="E2057" s="7" t="s">
        <v>10172</v>
      </c>
      <c r="F2057" s="5" t="str">
        <f>IFERROR(__xludf.DUMMYFUNCTION("GOOGLEFINANCE(""NSE:""&amp;A2057,""name"")"),"Signatureglobal (India) Ltd")</f>
        <v>Signatureglobal (India) Ltd</v>
      </c>
    </row>
    <row r="2058">
      <c r="A2058" s="1" t="s">
        <v>10173</v>
      </c>
      <c r="B2058" s="5" t="s">
        <v>10174</v>
      </c>
      <c r="C2058" s="3" t="s">
        <v>10175</v>
      </c>
      <c r="D2058" s="6" t="s">
        <v>10176</v>
      </c>
      <c r="E2058" s="7" t="s">
        <v>10177</v>
      </c>
      <c r="F2058" s="5" t="str">
        <f>IFERROR(__xludf.DUMMYFUNCTION("GOOGLEFINANCE(""NSE:""&amp;A2058,""name"")"),"Signet Industries Ltd")</f>
        <v>Signet Industries Ltd</v>
      </c>
    </row>
    <row r="2059">
      <c r="A2059" s="1" t="s">
        <v>10178</v>
      </c>
      <c r="B2059" s="5" t="s">
        <v>10179</v>
      </c>
      <c r="C2059" s="3" t="s">
        <v>10180</v>
      </c>
      <c r="D2059" s="6" t="s">
        <v>10181</v>
      </c>
      <c r="E2059" s="7" t="s">
        <v>10182</v>
      </c>
      <c r="F2059" s="5" t="str">
        <f>IFERROR(__xludf.DUMMYFUNCTION("GOOGLEFINANCE(""NSE:""&amp;A2059,""name"")"),"Signpost India Ltd")</f>
        <v>Signpost India Ltd</v>
      </c>
    </row>
    <row r="2060">
      <c r="A2060" s="1" t="s">
        <v>10183</v>
      </c>
      <c r="B2060" s="5" t="s">
        <v>10184</v>
      </c>
      <c r="C2060" s="3" t="s">
        <v>10185</v>
      </c>
      <c r="D2060" s="6" t="s">
        <v>10186</v>
      </c>
      <c r="E2060" s="7" t="s">
        <v>10187</v>
      </c>
      <c r="F2060" s="5" t="str">
        <f>IFERROR(__xludf.DUMMYFUNCTION("GOOGLEFINANCE(""NSE:""&amp;A2060,""name"")"),"Sil Investments Ltd")</f>
        <v>Sil Investments Ltd</v>
      </c>
    </row>
    <row r="2061">
      <c r="A2061" s="1" t="s">
        <v>10188</v>
      </c>
      <c r="B2061" s="5" t="s">
        <v>10189</v>
      </c>
      <c r="C2061" s="3" t="s">
        <v>10190</v>
      </c>
      <c r="D2061" s="6" t="s">
        <v>10191</v>
      </c>
      <c r="E2061" s="7" t="s">
        <v>10192</v>
      </c>
      <c r="F2061" s="5" t="str">
        <f>IFERROR(__xludf.DUMMYFUNCTION("GOOGLEFINANCE(""NSE:""&amp;A2061,""name"")"),"Silgo Retail Ltd")</f>
        <v>Silgo Retail Ltd</v>
      </c>
    </row>
    <row r="2062">
      <c r="A2062" s="1" t="s">
        <v>10193</v>
      </c>
      <c r="B2062" s="5" t="s">
        <v>10194</v>
      </c>
      <c r="C2062" s="3" t="s">
        <v>10195</v>
      </c>
      <c r="D2062" s="6" t="s">
        <v>10196</v>
      </c>
      <c r="E2062" s="7" t="s">
        <v>10197</v>
      </c>
      <c r="F2062" s="5" t="str">
        <f>IFERROR(__xludf.DUMMYFUNCTION("GOOGLEFINANCE(""NSE:""&amp;A2062,""name"")"),"Silly Monks Entertainment Ltd")</f>
        <v>Silly Monks Entertainment Ltd</v>
      </c>
    </row>
    <row r="2063">
      <c r="A2063" s="1" t="s">
        <v>10198</v>
      </c>
      <c r="B2063" s="5" t="s">
        <v>10199</v>
      </c>
      <c r="C2063" s="3" t="s">
        <v>10200</v>
      </c>
      <c r="D2063" s="6" t="s">
        <v>10201</v>
      </c>
      <c r="E2063" s="7" t="s">
        <v>10202</v>
      </c>
      <c r="F2063" s="5" t="str">
        <f>IFERROR(__xludf.DUMMYFUNCTION("GOOGLEFINANCE(""NSE:""&amp;A2063,""name"")"),"Silver Touch Technologies Ltd")</f>
        <v>Silver Touch Technologies Ltd</v>
      </c>
    </row>
    <row r="2064">
      <c r="A2064" s="1" t="s">
        <v>10203</v>
      </c>
      <c r="B2064" s="5" t="s">
        <v>10204</v>
      </c>
      <c r="C2064" s="3" t="s">
        <v>10205</v>
      </c>
      <c r="D2064" s="6" t="s">
        <v>10206</v>
      </c>
      <c r="E2064" s="7" t="s">
        <v>10207</v>
      </c>
      <c r="F2064" s="5" t="str">
        <f>IFERROR(__xludf.DUMMYFUNCTION("GOOGLEFINANCE(""NSE:""&amp;A2064,""name"")"),"Simbhaoli Sugars Ltd")</f>
        <v>Simbhaoli Sugars Ltd</v>
      </c>
    </row>
    <row r="2065">
      <c r="A2065" s="1" t="s">
        <v>10208</v>
      </c>
      <c r="B2065" s="5" t="s">
        <v>10209</v>
      </c>
      <c r="C2065" s="3" t="s">
        <v>10210</v>
      </c>
      <c r="D2065" s="6" t="s">
        <v>10211</v>
      </c>
      <c r="E2065" s="7" t="s">
        <v>10212</v>
      </c>
      <c r="F2065" s="5" t="str">
        <f>IFERROR(__xludf.DUMMYFUNCTION("GOOGLEFINANCE(""NSE:""&amp;A2065,""name"")"),"Simplex Infrastructures Ltd")</f>
        <v>Simplex Infrastructures Ltd</v>
      </c>
    </row>
    <row r="2066">
      <c r="A2066" s="1" t="s">
        <v>10213</v>
      </c>
      <c r="B2066" s="5" t="s">
        <v>10214</v>
      </c>
      <c r="C2066" s="3" t="s">
        <v>10215</v>
      </c>
      <c r="D2066" s="6" t="s">
        <v>10216</v>
      </c>
      <c r="E2066" s="7" t="s">
        <v>10217</v>
      </c>
      <c r="F2066" s="5" t="str">
        <f>IFERROR(__xludf.DUMMYFUNCTION("GOOGLEFINANCE(""NSE:""&amp;A2066,""name"")"),"Sinclairs Hotels Ltd")</f>
        <v>Sinclairs Hotels Ltd</v>
      </c>
    </row>
    <row r="2067">
      <c r="A2067" s="1" t="s">
        <v>10218</v>
      </c>
      <c r="B2067" s="5" t="s">
        <v>10219</v>
      </c>
      <c r="C2067" s="3" t="s">
        <v>10220</v>
      </c>
      <c r="D2067" s="6" t="s">
        <v>10221</v>
      </c>
      <c r="E2067" s="7" t="s">
        <v>10222</v>
      </c>
      <c r="F2067" s="5" t="str">
        <f>IFERROR(__xludf.DUMMYFUNCTION("GOOGLEFINANCE(""NSE:""&amp;A2067,""name"")"),"Sindhu Trade Links Ltd")</f>
        <v>Sindhu Trade Links Ltd</v>
      </c>
    </row>
    <row r="2068">
      <c r="A2068" s="1" t="s">
        <v>10223</v>
      </c>
      <c r="B2068" s="5" t="s">
        <v>10224</v>
      </c>
      <c r="C2068" s="3" t="s">
        <v>10225</v>
      </c>
      <c r="D2068" s="6" t="s">
        <v>10226</v>
      </c>
      <c r="E2068" s="7" t="s">
        <v>10227</v>
      </c>
      <c r="F2068" s="5" t="str">
        <f>IFERROR(__xludf.DUMMYFUNCTION("GOOGLEFINANCE(""NSE:""&amp;A2068,""name"")"),"Sintercom India Ltd")</f>
        <v>Sintercom India Ltd</v>
      </c>
    </row>
    <row r="2069">
      <c r="A2069" s="1" t="s">
        <v>10228</v>
      </c>
      <c r="B2069" s="5" t="s">
        <v>10229</v>
      </c>
      <c r="C2069" s="3" t="s">
        <v>10230</v>
      </c>
      <c r="D2069" s="6" t="s">
        <v>10231</v>
      </c>
      <c r="E2069" s="7" t="s">
        <v>10232</v>
      </c>
      <c r="F2069" s="5" t="str">
        <f>IFERROR(__xludf.DUMMYFUNCTION("GOOGLEFINANCE(""NSE:""&amp;A2069,""name"")"),"Sirca Paints India Ltd")</f>
        <v>Sirca Paints India Ltd</v>
      </c>
    </row>
    <row r="2070">
      <c r="A2070" s="1" t="s">
        <v>10233</v>
      </c>
      <c r="B2070" s="5" t="s">
        <v>10234</v>
      </c>
      <c r="C2070" s="3" t="s">
        <v>10235</v>
      </c>
      <c r="D2070" s="6" t="s">
        <v>10236</v>
      </c>
      <c r="E2070" s="7" t="s">
        <v>10237</v>
      </c>
      <c r="F2070" s="5" t="str">
        <f>IFERROR(__xludf.DUMMYFUNCTION("GOOGLEFINANCE(""NSE:""&amp;A2070,""name"")"),"Siyaram Silk Mills Ltd")</f>
        <v>Siyaram Silk Mills Ltd</v>
      </c>
    </row>
    <row r="2071">
      <c r="A2071" s="1" t="s">
        <v>10238</v>
      </c>
      <c r="B2071" s="5" t="s">
        <v>10239</v>
      </c>
      <c r="C2071" s="3" t="s">
        <v>10240</v>
      </c>
      <c r="D2071" s="6" t="s">
        <v>10241</v>
      </c>
      <c r="E2071" s="7" t="s">
        <v>10242</v>
      </c>
      <c r="F2071" s="5" t="str">
        <f>IFERROR(__xludf.DUMMYFUNCTION("GOOGLEFINANCE(""NSE:""&amp;A2071,""name"")"),"SJVN Ltd")</f>
        <v>SJVN Ltd</v>
      </c>
    </row>
    <row r="2072">
      <c r="A2072" s="1" t="s">
        <v>10243</v>
      </c>
      <c r="B2072" s="5" t="s">
        <v>10244</v>
      </c>
      <c r="C2072" s="3" t="s">
        <v>10245</v>
      </c>
      <c r="D2072" s="6" t="s">
        <v>10246</v>
      </c>
      <c r="E2072" s="7" t="s">
        <v>10247</v>
      </c>
      <c r="F2072" s="5" t="str">
        <f>IFERROR(__xludf.DUMMYFUNCTION("GOOGLEFINANCE(""NSE:""&amp;A2072,""name"")"),"SKF India Ltd")</f>
        <v>SKF India Ltd</v>
      </c>
    </row>
    <row r="2073">
      <c r="A2073" s="1" t="s">
        <v>10248</v>
      </c>
      <c r="B2073" s="5" t="s">
        <v>10249</v>
      </c>
      <c r="C2073" s="3" t="s">
        <v>10250</v>
      </c>
      <c r="D2073" s="6" t="s">
        <v>10251</v>
      </c>
      <c r="E2073" s="7" t="s">
        <v>10252</v>
      </c>
      <c r="F2073" s="5" t="str">
        <f>IFERROR(__xludf.DUMMYFUNCTION("GOOGLEFINANCE(""NSE:""&amp;A2073,""name"")"),"Skipper Ltd (India)")</f>
        <v>Skipper Ltd (India)</v>
      </c>
    </row>
    <row r="2074">
      <c r="A2074" s="1" t="s">
        <v>10253</v>
      </c>
      <c r="B2074" s="5" t="s">
        <v>10254</v>
      </c>
      <c r="C2074" s="3" t="s">
        <v>10255</v>
      </c>
      <c r="D2074" s="6" t="s">
        <v>10256</v>
      </c>
      <c r="E2074" s="7" t="s">
        <v>10257</v>
      </c>
      <c r="F2074" s="5" t="str">
        <f>IFERROR(__xludf.DUMMYFUNCTION("GOOGLEFINANCE(""NSE:""&amp;A2074,""name"")"),"SKM Egg Products Export India Ltd")</f>
        <v>SKM Egg Products Export India Ltd</v>
      </c>
    </row>
    <row r="2075">
      <c r="A2075" s="1" t="s">
        <v>10258</v>
      </c>
      <c r="B2075" s="5" t="s">
        <v>10259</v>
      </c>
      <c r="C2075" s="3" t="s">
        <v>10260</v>
      </c>
      <c r="D2075" s="6" t="s">
        <v>10261</v>
      </c>
      <c r="E2075" s="7" t="s">
        <v>10262</v>
      </c>
      <c r="F2075" s="5" t="str">
        <f>IFERROR(__xludf.DUMMYFUNCTION("GOOGLEFINANCE(""NSE:""&amp;A2075,""name"")"),"Sky Gold and Diamonds Ltd")</f>
        <v>Sky Gold and Diamonds Ltd</v>
      </c>
    </row>
    <row r="2076">
      <c r="A2076" s="1" t="s">
        <v>10263</v>
      </c>
      <c r="B2076" s="5" t="s">
        <v>10263</v>
      </c>
      <c r="C2076" s="3" t="s">
        <v>10264</v>
      </c>
      <c r="D2076" s="6" t="s">
        <v>10265</v>
      </c>
      <c r="E2076" s="7" t="s">
        <v>10266</v>
      </c>
      <c r="F2076" s="5" t="str">
        <f>IFERROR(__xludf.DUMMYFUNCTION("GOOGLEFINANCE(""NSE:""&amp;A2076,""name"")"),"Mirae Asset Nifty Smallcap 250 ETF")</f>
        <v>Mirae Asset Nifty Smallcap 250 ETF</v>
      </c>
    </row>
    <row r="2077">
      <c r="A2077" s="1" t="s">
        <v>10267</v>
      </c>
      <c r="B2077" s="5" t="s">
        <v>10268</v>
      </c>
      <c r="C2077" s="3" t="s">
        <v>10269</v>
      </c>
      <c r="D2077" s="6" t="s">
        <v>10270</v>
      </c>
      <c r="E2077" s="7" t="s">
        <v>10271</v>
      </c>
      <c r="F2077" s="5" t="str">
        <f>IFERROR(__xludf.DUMMYFUNCTION("GOOGLEFINANCE(""NSE:""&amp;A2077,""name"")"),"Smartlink Holdings Ltd")</f>
        <v>Smartlink Holdings Ltd</v>
      </c>
    </row>
    <row r="2078">
      <c r="A2078" s="1" t="s">
        <v>10272</v>
      </c>
      <c r="B2078" s="5" t="s">
        <v>10273</v>
      </c>
      <c r="C2078" s="3" t="s">
        <v>10274</v>
      </c>
      <c r="D2078" s="6" t="s">
        <v>10275</v>
      </c>
      <c r="E2078" s="7" t="s">
        <v>10276</v>
      </c>
      <c r="F2078" s="5" t="str">
        <f>IFERROR(__xludf.DUMMYFUNCTION("GOOGLEFINANCE(""NSE:""&amp;A2078,""name"")"),"Smartworks Coworking Spaces Ltd")</f>
        <v>Smartworks Coworking Spaces Ltd</v>
      </c>
    </row>
    <row r="2079">
      <c r="A2079" s="1" t="s">
        <v>10277</v>
      </c>
      <c r="B2079" s="5" t="s">
        <v>10278</v>
      </c>
      <c r="C2079" s="3" t="s">
        <v>10279</v>
      </c>
      <c r="D2079" s="6" t="s">
        <v>10280</v>
      </c>
      <c r="E2079" s="7" t="s">
        <v>10281</v>
      </c>
      <c r="F2079" s="5" t="str">
        <f>IFERROR(__xludf.DUMMYFUNCTION("GOOGLEFINANCE(""NSE:""&amp;A2079,""name"")"),"SMC Global Securities Ltd")</f>
        <v>SMC Global Securities Ltd</v>
      </c>
    </row>
    <row r="2080">
      <c r="A2080" s="1" t="s">
        <v>10282</v>
      </c>
      <c r="B2080" s="5" t="s">
        <v>10283</v>
      </c>
      <c r="C2080" s="3" t="s">
        <v>10284</v>
      </c>
      <c r="D2080" s="6" t="s">
        <v>10285</v>
      </c>
      <c r="E2080" s="7" t="s">
        <v>10286</v>
      </c>
      <c r="F2080" s="5" t="str">
        <f>IFERROR(__xludf.DUMMYFUNCTION("GOOGLEFINANCE(""NSE:""&amp;A2080,""name"")"),"SML Mahindra Limited")</f>
        <v>SML Mahindra Limited</v>
      </c>
    </row>
    <row r="2081">
      <c r="A2081" s="1" t="s">
        <v>10287</v>
      </c>
      <c r="B2081" s="5" t="s">
        <v>10288</v>
      </c>
      <c r="C2081" s="3" t="s">
        <v>10289</v>
      </c>
      <c r="D2081" s="6" t="s">
        <v>10290</v>
      </c>
      <c r="E2081" s="7" t="s">
        <v>10291</v>
      </c>
      <c r="F2081" s="5" t="str">
        <f>IFERROR(__xludf.DUMMYFUNCTION("GOOGLEFINANCE(""NSE:""&amp;A2081,""name"")"),"SMS Pharmaceuticals Ltd")</f>
        <v>SMS Pharmaceuticals Ltd</v>
      </c>
    </row>
    <row r="2082">
      <c r="A2082" s="1" t="s">
        <v>10292</v>
      </c>
      <c r="B2082" s="5" t="s">
        <v>10293</v>
      </c>
      <c r="C2082" s="3" t="s">
        <v>10294</v>
      </c>
      <c r="D2082" s="6" t="s">
        <v>10295</v>
      </c>
      <c r="E2082" s="7" t="s">
        <v>10296</v>
      </c>
      <c r="F2082" s="5" t="str">
        <f>IFERROR(__xludf.DUMMYFUNCTION("GOOGLEFINANCE(""NSE:""&amp;A2082,""name"")"),"Snowman Logistics Ltd")</f>
        <v>Snowman Logistics Ltd</v>
      </c>
    </row>
    <row r="2083">
      <c r="A2083" s="1" t="s">
        <v>10297</v>
      </c>
      <c r="B2083" s="5" t="s">
        <v>10298</v>
      </c>
      <c r="C2083" s="3" t="s">
        <v>10299</v>
      </c>
      <c r="D2083" s="6" t="s">
        <v>10300</v>
      </c>
      <c r="E2083" s="7" t="s">
        <v>10301</v>
      </c>
      <c r="F2083" s="5" t="str">
        <f>IFERROR(__xludf.DUMMYFUNCTION("GOOGLEFINANCE(""NSE:""&amp;A2083,""name"")"),"Sobha Ltd")</f>
        <v>Sobha Ltd</v>
      </c>
    </row>
    <row r="2084">
      <c r="A2084" s="1" t="s">
        <v>10302</v>
      </c>
      <c r="B2084" s="5" t="s">
        <v>10303</v>
      </c>
      <c r="C2084" s="3" t="s">
        <v>10304</v>
      </c>
      <c r="D2084" s="6" t="s">
        <v>10305</v>
      </c>
      <c r="E2084" s="7" t="s">
        <v>10306</v>
      </c>
      <c r="F2084" s="5" t="str">
        <f>IFERROR(__xludf.DUMMYFUNCTION("GOOGLEFINANCE(""NSE:""&amp;A2084,""name"")"),"SoftTech Engineers Ltd")</f>
        <v>SoftTech Engineers Ltd</v>
      </c>
    </row>
    <row r="2085">
      <c r="A2085" s="1" t="s">
        <v>10307</v>
      </c>
      <c r="B2085" s="5" t="s">
        <v>10308</v>
      </c>
      <c r="C2085" s="3" t="s">
        <v>10309</v>
      </c>
      <c r="D2085" s="6" t="s">
        <v>10310</v>
      </c>
      <c r="E2085" s="7" t="s">
        <v>10311</v>
      </c>
      <c r="F2085" s="5" t="str">
        <f>IFERROR(__xludf.DUMMYFUNCTION("GOOGLEFINANCE(""NSE:""&amp;A2085,""name"")"),"Solar Industries India Ltd")</f>
        <v>Solar Industries India Ltd</v>
      </c>
    </row>
    <row r="2086">
      <c r="A2086" s="1" t="s">
        <v>10312</v>
      </c>
      <c r="B2086" s="5" t="s">
        <v>10313</v>
      </c>
      <c r="C2086" s="3" t="s">
        <v>10314</v>
      </c>
      <c r="D2086" s="6" t="s">
        <v>10315</v>
      </c>
      <c r="E2086" s="7" t="s">
        <v>10316</v>
      </c>
      <c r="F2086" s="5" t="str">
        <f>IFERROR(__xludf.DUMMYFUNCTION("GOOGLEFINANCE(""NSE:""&amp;A2086,""name"")"),"Solara Active Pharma Sciences Ltd")</f>
        <v>Solara Active Pharma Sciences Ltd</v>
      </c>
    </row>
    <row r="2087">
      <c r="A2087" s="1" t="s">
        <v>10317</v>
      </c>
      <c r="B2087" s="5" t="s">
        <v>10318</v>
      </c>
      <c r="C2087" s="3" t="s">
        <v>10319</v>
      </c>
      <c r="D2087" s="6" t="s">
        <v>10320</v>
      </c>
      <c r="E2087" s="7" t="s">
        <v>10321</v>
      </c>
      <c r="F2087" s="5" t="str">
        <f>IFERROR(__xludf.DUMMYFUNCTION("GOOGLEFINANCE(""NSE:""&amp;A2087,""name"")"),"Solarworld Energy Solutions Ltd")</f>
        <v>Solarworld Energy Solutions Ltd</v>
      </c>
    </row>
    <row r="2088">
      <c r="A2088" s="1" t="s">
        <v>10322</v>
      </c>
      <c r="B2088" s="5" t="s">
        <v>10323</v>
      </c>
      <c r="C2088" s="3" t="s">
        <v>10324</v>
      </c>
      <c r="D2088" s="6" t="s">
        <v>10325</v>
      </c>
      <c r="E2088" s="7" t="s">
        <v>10326</v>
      </c>
      <c r="F2088" s="5" t="str">
        <f>IFERROR(__xludf.DUMMYFUNCTION("GOOGLEFINANCE(""NSE:""&amp;A2088,""name"")"),"Solex Energy Ltd")</f>
        <v>Solex Energy Ltd</v>
      </c>
    </row>
    <row r="2089">
      <c r="A2089" s="1" t="s">
        <v>10327</v>
      </c>
      <c r="B2089" s="5" t="s">
        <v>10328</v>
      </c>
      <c r="C2089" s="3" t="s">
        <v>10329</v>
      </c>
      <c r="D2089" s="6" t="s">
        <v>10330</v>
      </c>
      <c r="E2089" s="7" t="s">
        <v>10331</v>
      </c>
      <c r="F2089" s="5" t="str">
        <f>IFERROR(__xludf.DUMMYFUNCTION("GOOGLEFINANCE(""NSE:""&amp;A2089,""name"")"),"Som Distilleries and Breweries Ltd")</f>
        <v>Som Distilleries and Breweries Ltd</v>
      </c>
    </row>
    <row r="2090">
      <c r="A2090" s="1" t="s">
        <v>10332</v>
      </c>
      <c r="B2090" s="5" t="s">
        <v>10333</v>
      </c>
      <c r="C2090" s="3" t="s">
        <v>10334</v>
      </c>
      <c r="D2090" s="6" t="s">
        <v>10335</v>
      </c>
      <c r="E2090" s="7" t="s">
        <v>10336</v>
      </c>
      <c r="F2090" s="5" t="str">
        <f>IFERROR(__xludf.DUMMYFUNCTION("GOOGLEFINANCE(""NSE:""&amp;A2090,""name"")"),"Soma Textiles &amp; Industries Ltd")</f>
        <v>Soma Textiles &amp; Industries Ltd</v>
      </c>
    </row>
    <row r="2091">
      <c r="A2091" s="1" t="s">
        <v>10337</v>
      </c>
      <c r="B2091" s="5" t="s">
        <v>10338</v>
      </c>
      <c r="C2091" s="3" t="s">
        <v>10339</v>
      </c>
      <c r="D2091" s="6" t="s">
        <v>10340</v>
      </c>
      <c r="E2091" s="7" t="s">
        <v>10341</v>
      </c>
      <c r="F2091" s="5" t="str">
        <f>IFERROR(__xludf.DUMMYFUNCTION("GOOGLEFINANCE(""NSE:""&amp;A2091,""name"")"),"Somany Ceramics Ltd")</f>
        <v>Somany Ceramics Ltd</v>
      </c>
    </row>
    <row r="2092">
      <c r="A2092" s="1" t="s">
        <v>10342</v>
      </c>
      <c r="B2092" s="5" t="s">
        <v>10343</v>
      </c>
      <c r="C2092" s="3" t="s">
        <v>10344</v>
      </c>
      <c r="D2092" s="6" t="s">
        <v>10345</v>
      </c>
      <c r="E2092" s="7" t="s">
        <v>10346</v>
      </c>
      <c r="F2092" s="5" t="str">
        <f>IFERROR(__xludf.DUMMYFUNCTION("GOOGLEFINANCE(""NSE:""&amp;A2092,""name"")"),"Somi Conveyor Beltings Ltd")</f>
        <v>Somi Conveyor Beltings Ltd</v>
      </c>
    </row>
    <row r="2093">
      <c r="A2093" s="1" t="s">
        <v>10347</v>
      </c>
      <c r="B2093" s="5" t="s">
        <v>10348</v>
      </c>
      <c r="C2093" s="3" t="s">
        <v>10349</v>
      </c>
      <c r="D2093" s="6" t="s">
        <v>10350</v>
      </c>
      <c r="E2093" s="7" t="s">
        <v>10351</v>
      </c>
      <c r="F2093" s="5" t="str">
        <f>IFERROR(__xludf.DUMMYFUNCTION("GOOGLEFINANCE(""NSE:""&amp;A2093,""name"")"),"Sona Blw Precision Forgings Ltd")</f>
        <v>Sona Blw Precision Forgings Ltd</v>
      </c>
    </row>
    <row r="2094">
      <c r="A2094" s="1" t="s">
        <v>10352</v>
      </c>
      <c r="B2094" s="5" t="s">
        <v>10353</v>
      </c>
      <c r="C2094" s="3" t="s">
        <v>10354</v>
      </c>
      <c r="D2094" s="6" t="s">
        <v>10355</v>
      </c>
      <c r="E2094" s="7" t="s">
        <v>10356</v>
      </c>
      <c r="F2094" s="5" t="str">
        <f>IFERROR(__xludf.DUMMYFUNCTION("GOOGLEFINANCE(""NSE:""&amp;A2094,""name"")"),"Sonam Ltd")</f>
        <v>Sonam Ltd</v>
      </c>
    </row>
    <row r="2095">
      <c r="A2095" s="1" t="s">
        <v>10357</v>
      </c>
      <c r="B2095" s="5" t="s">
        <v>10358</v>
      </c>
      <c r="C2095" s="3" t="s">
        <v>10359</v>
      </c>
      <c r="D2095" s="6" t="s">
        <v>10360</v>
      </c>
      <c r="E2095" s="7" t="s">
        <v>10361</v>
      </c>
      <c r="F2095" s="5" t="str">
        <f>IFERROR(__xludf.DUMMYFUNCTION("GOOGLEFINANCE(""NSE:""&amp;A2095,""name"")"),"Sonata Software Ltd")</f>
        <v>Sonata Software Ltd</v>
      </c>
    </row>
    <row r="2096">
      <c r="A2096" s="1" t="s">
        <v>10362</v>
      </c>
      <c r="B2096" s="5" t="s">
        <v>10363</v>
      </c>
      <c r="C2096" s="3" t="s">
        <v>10364</v>
      </c>
      <c r="D2096" s="6" t="s">
        <v>10365</v>
      </c>
      <c r="E2096" s="7" t="s">
        <v>10366</v>
      </c>
      <c r="F2096" s="5" t="str">
        <f>IFERROR(__xludf.DUMMYFUNCTION("GOOGLEFINANCE(""NSE:""&amp;A2096,""name"")"),"South West Pinnacle Exploration Ltd")</f>
        <v>South West Pinnacle Exploration Ltd</v>
      </c>
    </row>
    <row r="2097">
      <c r="A2097" s="1" t="s">
        <v>10367</v>
      </c>
      <c r="B2097" s="5" t="s">
        <v>10368</v>
      </c>
      <c r="C2097" s="3" t="s">
        <v>10369</v>
      </c>
      <c r="D2097" s="6" t="s">
        <v>10370</v>
      </c>
      <c r="E2097" s="7" t="s">
        <v>10371</v>
      </c>
      <c r="F2097" s="5" t="str">
        <f>IFERROR(__xludf.DUMMYFUNCTION("GOOGLEFINANCE(""NSE:""&amp;A2097,""name"")"),"Southern Petrochemical Industries CorpLd")</f>
        <v>Southern Petrochemical Industries CorpLd</v>
      </c>
    </row>
    <row r="2098">
      <c r="A2098" s="1" t="s">
        <v>10372</v>
      </c>
      <c r="B2098" s="5" t="s">
        <v>10373</v>
      </c>
      <c r="C2098" s="3" t="s">
        <v>10374</v>
      </c>
      <c r="D2098" s="6" t="s">
        <v>10375</v>
      </c>
      <c r="E2098" s="7" t="s">
        <v>10376</v>
      </c>
      <c r="F2098" s="5" t="str">
        <f>IFERROR(__xludf.DUMMYFUNCTION("GOOGLEFINANCE(""NSE:""&amp;A2098,""name"")"),"Spacenet Enterprises India Ltd")</f>
        <v>Spacenet Enterprises India Ltd</v>
      </c>
    </row>
    <row r="2099">
      <c r="A2099" s="1" t="s">
        <v>10377</v>
      </c>
      <c r="B2099" s="5" t="s">
        <v>10378</v>
      </c>
      <c r="C2099" s="3" t="s">
        <v>10379</v>
      </c>
      <c r="D2099" s="6" t="s">
        <v>10380</v>
      </c>
      <c r="E2099" s="7" t="s">
        <v>10381</v>
      </c>
      <c r="F2099" s="5" t="str">
        <f>IFERROR(__xludf.DUMMYFUNCTION("GOOGLEFINANCE(""NSE:""&amp;A2099,""name"")"),"Spandana Sphoorty Financial Ltd")</f>
        <v>Spandana Sphoorty Financial Ltd</v>
      </c>
    </row>
    <row r="2100">
      <c r="A2100" s="1" t="s">
        <v>10382</v>
      </c>
      <c r="B2100" s="5" t="s">
        <v>10383</v>
      </c>
      <c r="C2100" s="3" t="s">
        <v>10384</v>
      </c>
      <c r="D2100" s="6" t="s">
        <v>10385</v>
      </c>
      <c r="E2100" s="7" t="s">
        <v>10386</v>
      </c>
      <c r="F2100" s="5" t="str">
        <f>IFERROR(__xludf.DUMMYFUNCTION("GOOGLEFINANCE(""NSE:""&amp;A2100,""name"")"),"Speciality Restaurants Ltd")</f>
        <v>Speciality Restaurants Ltd</v>
      </c>
    </row>
    <row r="2101">
      <c r="A2101" s="1" t="s">
        <v>10387</v>
      </c>
      <c r="B2101" s="5" t="s">
        <v>10388</v>
      </c>
      <c r="C2101" s="3" t="s">
        <v>10389</v>
      </c>
      <c r="D2101" s="6" t="s">
        <v>10390</v>
      </c>
      <c r="E2101" s="7" t="s">
        <v>10391</v>
      </c>
      <c r="F2101" s="5" t="str">
        <f>IFERROR(__xludf.DUMMYFUNCTION("GOOGLEFINANCE(""NSE:""&amp;A2101,""name"")"),"Spectrum Electrical Industries Ltd")</f>
        <v>Spectrum Electrical Industries Ltd</v>
      </c>
    </row>
    <row r="2102">
      <c r="A2102" s="1" t="s">
        <v>10392</v>
      </c>
      <c r="B2102" s="5" t="s">
        <v>10393</v>
      </c>
      <c r="C2102" s="3" t="s">
        <v>10394</v>
      </c>
      <c r="D2102" s="6" t="s">
        <v>10395</v>
      </c>
      <c r="E2102" s="7" t="s">
        <v>10396</v>
      </c>
      <c r="F2102" s="5" t="str">
        <f>IFERROR(__xludf.DUMMYFUNCTION("GOOGLEFINANCE(""NSE:""&amp;A2102,""name"")"),"Spencer's Retail Ltd")</f>
        <v>Spencer's Retail Ltd</v>
      </c>
    </row>
    <row r="2103">
      <c r="A2103" s="1" t="s">
        <v>10397</v>
      </c>
      <c r="B2103" s="5" t="s">
        <v>10398</v>
      </c>
      <c r="C2103" s="3" t="s">
        <v>10399</v>
      </c>
      <c r="D2103" s="6" t="s">
        <v>10400</v>
      </c>
      <c r="E2103" s="7" t="s">
        <v>10401</v>
      </c>
      <c r="F2103" s="5" t="str">
        <f>IFERROR(__xludf.DUMMYFUNCTION("GOOGLEFINANCE(""NSE:""&amp;A2103,""name"")"),"SPL Industries Ltd")</f>
        <v>SPL Industries Ltd</v>
      </c>
    </row>
    <row r="2104">
      <c r="A2104" s="1" t="s">
        <v>10402</v>
      </c>
      <c r="B2104" s="5" t="s">
        <v>10403</v>
      </c>
      <c r="C2104" s="3" t="s">
        <v>10404</v>
      </c>
      <c r="D2104" s="6" t="s">
        <v>10405</v>
      </c>
      <c r="E2104" s="7" t="s">
        <v>10406</v>
      </c>
      <c r="F2104" s="5" t="str">
        <f>IFERROR(__xludf.DUMMYFUNCTION("GOOGLEFINANCE(""NSE:""&amp;A2104,""name"")"),"SPML Infra Ltd")</f>
        <v>SPML Infra Ltd</v>
      </c>
    </row>
    <row r="2105">
      <c r="A2105" s="1" t="s">
        <v>10407</v>
      </c>
      <c r="B2105" s="5" t="s">
        <v>10408</v>
      </c>
      <c r="C2105" s="3" t="s">
        <v>10409</v>
      </c>
      <c r="D2105" s="6" t="s">
        <v>10410</v>
      </c>
      <c r="E2105" s="7" t="s">
        <v>10411</v>
      </c>
      <c r="F2105" s="5" t="str">
        <f>IFERROR(__xludf.DUMMYFUNCTION("GOOGLEFINANCE(""NSE:""&amp;A2105,""name"")"),"Sportking India Ltd")</f>
        <v>Sportking India Ltd</v>
      </c>
    </row>
    <row r="2106">
      <c r="A2106" s="1" t="s">
        <v>10412</v>
      </c>
      <c r="B2106" s="5" t="s">
        <v>10413</v>
      </c>
      <c r="C2106" s="3" t="s">
        <v>10414</v>
      </c>
      <c r="D2106" s="6" t="s">
        <v>10415</v>
      </c>
      <c r="E2106" s="7" t="s">
        <v>10416</v>
      </c>
      <c r="F2106" s="5" t="str">
        <f>IFERROR(__xludf.DUMMYFUNCTION("GOOGLEFINANCE(""NSE:""&amp;A2106,""name"")"),"Sree Rayalaseema Hi-Strength Hypo Ltd")</f>
        <v>Sree Rayalaseema Hi-Strength Hypo Ltd</v>
      </c>
    </row>
    <row r="2107">
      <c r="A2107" s="1" t="s">
        <v>10417</v>
      </c>
      <c r="B2107" s="5" t="s">
        <v>10418</v>
      </c>
      <c r="C2107" s="3" t="s">
        <v>10419</v>
      </c>
      <c r="D2107" s="6" t="s">
        <v>10420</v>
      </c>
      <c r="E2107" s="7" t="s">
        <v>10421</v>
      </c>
      <c r="F2107" s="5" t="str">
        <f>IFERROR(__xludf.DUMMYFUNCTION("GOOGLEFINANCE(""NSE:""&amp;A2107,""name"")"),"Sreeleathers Ltd")</f>
        <v>Sreeleathers Ltd</v>
      </c>
    </row>
    <row r="2108">
      <c r="A2108" s="1" t="s">
        <v>10422</v>
      </c>
      <c r="B2108" s="5" t="s">
        <v>10423</v>
      </c>
      <c r="C2108" s="3" t="s">
        <v>10424</v>
      </c>
      <c r="D2108" s="6" t="s">
        <v>10425</v>
      </c>
      <c r="E2108" s="7" t="s">
        <v>10426</v>
      </c>
      <c r="F2108" s="5" t="str">
        <f>IFERROR(__xludf.DUMMYFUNCTION("GOOGLEFINANCE(""NSE:""&amp;A2108,""name"")"),"SRF Ltd")</f>
        <v>SRF Ltd</v>
      </c>
    </row>
    <row r="2109">
      <c r="A2109" s="1" t="s">
        <v>10427</v>
      </c>
      <c r="B2109" s="5" t="s">
        <v>10428</v>
      </c>
      <c r="C2109" s="3" t="s">
        <v>10429</v>
      </c>
      <c r="D2109" s="6" t="s">
        <v>10430</v>
      </c>
      <c r="E2109" s="7" t="s">
        <v>10431</v>
      </c>
      <c r="F2109" s="5" t="str">
        <f>IFERROR(__xludf.DUMMYFUNCTION("GOOGLEFINANCE(""NSE:""&amp;A2109,""name"")"),"SRG Housing Finance Ltd")</f>
        <v>SRG Housing Finance Ltd</v>
      </c>
    </row>
    <row r="2110">
      <c r="A2110" s="1" t="s">
        <v>10432</v>
      </c>
      <c r="B2110" s="5" t="s">
        <v>10433</v>
      </c>
      <c r="C2110" s="3" t="s">
        <v>10434</v>
      </c>
      <c r="D2110" s="6" t="s">
        <v>10435</v>
      </c>
      <c r="E2110" s="7" t="s">
        <v>10436</v>
      </c>
      <c r="F2110" s="5" t="str">
        <f>IFERROR(__xludf.DUMMYFUNCTION("GOOGLEFINANCE(""NSE:""&amp;A2110,""name"")"),"Sri Adhikari Brothers Televisn Ntwrk Ltd")</f>
        <v>Sri Adhikari Brothers Televisn Ntwrk Ltd</v>
      </c>
    </row>
    <row r="2111">
      <c r="A2111" s="1" t="s">
        <v>10437</v>
      </c>
      <c r="B2111" s="5" t="s">
        <v>10438</v>
      </c>
      <c r="C2111" s="3" t="s">
        <v>10439</v>
      </c>
      <c r="D2111" s="6" t="s">
        <v>10440</v>
      </c>
      <c r="E2111" s="7" t="s">
        <v>10441</v>
      </c>
      <c r="F2111" s="5" t="str">
        <f>IFERROR(__xludf.DUMMYFUNCTION("GOOGLEFINANCE(""NSE:""&amp;A2111,""name"")"),"Sri Lotus Developers and Realty Ltd")</f>
        <v>Sri Lotus Developers and Realty Ltd</v>
      </c>
    </row>
    <row r="2112">
      <c r="A2112" s="1" t="s">
        <v>10442</v>
      </c>
      <c r="B2112" s="5" t="s">
        <v>10443</v>
      </c>
      <c r="C2112" s="3" t="s">
        <v>10444</v>
      </c>
      <c r="D2112" s="6" t="s">
        <v>10445</v>
      </c>
      <c r="E2112" s="7" t="s">
        <v>10446</v>
      </c>
      <c r="F2112" s="5" t="str">
        <f>IFERROR(__xludf.DUMMYFUNCTION("GOOGLEFINANCE(""NSE:""&amp;A2112,""name"")"),"SRM Contractors Ltd")</f>
        <v>SRM Contractors Ltd</v>
      </c>
    </row>
    <row r="2113">
      <c r="A2113" s="1" t="s">
        <v>10447</v>
      </c>
      <c r="B2113" s="5" t="s">
        <v>10448</v>
      </c>
      <c r="C2113" s="3" t="s">
        <v>10449</v>
      </c>
      <c r="D2113" s="6" t="s">
        <v>10450</v>
      </c>
      <c r="E2113" s="7" t="s">
        <v>10451</v>
      </c>
      <c r="F2113" s="5" t="str">
        <f>IFERROR(__xludf.DUMMYFUNCTION("GOOGLEFINANCE(""NSE:""&amp;A2113,""name"")"),"Stallion India Fluorochemicals Ltd")</f>
        <v>Stallion India Fluorochemicals Ltd</v>
      </c>
    </row>
    <row r="2114">
      <c r="A2114" s="1" t="s">
        <v>10452</v>
      </c>
      <c r="B2114" s="5" t="s">
        <v>10453</v>
      </c>
      <c r="C2114" s="3" t="s">
        <v>10454</v>
      </c>
      <c r="D2114" s="6" t="s">
        <v>10455</v>
      </c>
      <c r="E2114" s="7" t="s">
        <v>10456</v>
      </c>
      <c r="F2114" s="5" t="str">
        <f>IFERROR(__xludf.DUMMYFUNCTION("GOOGLEFINANCE(""NSE:""&amp;A2114,""name"")"),"Standard Glass Lining Technology Ltd")</f>
        <v>Standard Glass Lining Technology Ltd</v>
      </c>
    </row>
    <row r="2115">
      <c r="A2115" s="1" t="s">
        <v>10457</v>
      </c>
      <c r="B2115" s="5" t="s">
        <v>10458</v>
      </c>
      <c r="C2115" s="3" t="s">
        <v>10459</v>
      </c>
      <c r="D2115" s="6" t="s">
        <v>10460</v>
      </c>
      <c r="E2115" s="7" t="s">
        <v>10461</v>
      </c>
      <c r="F2115" s="5" t="str">
        <f>IFERROR(__xludf.DUMMYFUNCTION("GOOGLEFINANCE(""NSE:""&amp;A2115,""name"")"),"Standard Industries Ltd")</f>
        <v>Standard Industries Ltd</v>
      </c>
    </row>
    <row r="2116">
      <c r="A2116" s="1" t="s">
        <v>10462</v>
      </c>
      <c r="B2116" s="5" t="s">
        <v>10463</v>
      </c>
      <c r="C2116" s="3" t="s">
        <v>10464</v>
      </c>
      <c r="D2116" s="6" t="s">
        <v>10465</v>
      </c>
      <c r="E2116" s="7" t="s">
        <v>10466</v>
      </c>
      <c r="F2116" s="5" t="str">
        <f>IFERROR(__xludf.DUMMYFUNCTION("GOOGLEFINANCE(""NSE:""&amp;A2116,""name"")"),"Stanley Lifestyles Ltd")</f>
        <v>Stanley Lifestyles Ltd</v>
      </c>
    </row>
    <row r="2117">
      <c r="A2117" s="1" t="s">
        <v>10467</v>
      </c>
      <c r="B2117" s="5" t="s">
        <v>10468</v>
      </c>
      <c r="C2117" s="3" t="s">
        <v>10469</v>
      </c>
      <c r="D2117" s="6" t="s">
        <v>10470</v>
      </c>
      <c r="E2117" s="7" t="s">
        <v>10471</v>
      </c>
      <c r="F2117" s="5" t="str">
        <f>IFERROR(__xludf.DUMMYFUNCTION("GOOGLEFINANCE(""NSE:""&amp;A2117,""name"")"),"Star Cement Ltd")</f>
        <v>Star Cement Ltd</v>
      </c>
    </row>
    <row r="2118">
      <c r="A2118" s="1" t="s">
        <v>10472</v>
      </c>
      <c r="B2118" s="5" t="s">
        <v>10473</v>
      </c>
      <c r="C2118" s="3" t="s">
        <v>10474</v>
      </c>
      <c r="D2118" s="6" t="s">
        <v>10475</v>
      </c>
      <c r="E2118" s="7" t="s">
        <v>10476</v>
      </c>
      <c r="F2118" s="5" t="str">
        <f>IFERROR(__xludf.DUMMYFUNCTION("GOOGLEFINANCE(""NSE:""&amp;A2118,""name"")"),"Star Health and Allied Insurnc Cmpny Ltd")</f>
        <v>Star Health and Allied Insurnc Cmpny Ltd</v>
      </c>
    </row>
    <row r="2119">
      <c r="A2119" s="1" t="s">
        <v>10477</v>
      </c>
      <c r="B2119" s="5" t="s">
        <v>10478</v>
      </c>
      <c r="C2119" s="3" t="s">
        <v>10479</v>
      </c>
      <c r="D2119" s="6" t="s">
        <v>10480</v>
      </c>
      <c r="E2119" s="7" t="s">
        <v>10481</v>
      </c>
      <c r="F2119" s="5" t="str">
        <f>IFERROR(__xludf.DUMMYFUNCTION("GOOGLEFINANCE(""NSE:""&amp;A2119,""name"")"),"Star Paper Mills Ltd")</f>
        <v>Star Paper Mills Ltd</v>
      </c>
    </row>
    <row r="2120">
      <c r="A2120" s="1" t="s">
        <v>10482</v>
      </c>
      <c r="B2120" s="5" t="s">
        <v>10483</v>
      </c>
      <c r="C2120" s="3" t="s">
        <v>10484</v>
      </c>
      <c r="D2120" s="6" t="s">
        <v>10485</v>
      </c>
      <c r="E2120" s="7" t="s">
        <v>10486</v>
      </c>
      <c r="F2120" s="5" t="str">
        <f>IFERROR(__xludf.DUMMYFUNCTION("GOOGLEFINANCE(""NSE:""&amp;A2120,""name"")"),"Starteck Finance Ltd")</f>
        <v>Starteck Finance Ltd</v>
      </c>
    </row>
    <row r="2121">
      <c r="A2121" s="1" t="s">
        <v>10487</v>
      </c>
      <c r="B2121" s="5" t="s">
        <v>10488</v>
      </c>
      <c r="C2121" s="3" t="s">
        <v>10489</v>
      </c>
      <c r="D2121" s="6" t="s">
        <v>10490</v>
      </c>
      <c r="E2121" s="7" t="s">
        <v>10491</v>
      </c>
      <c r="F2121" s="5" t="str">
        <f>IFERROR(__xludf.DUMMYFUNCTION("GOOGLEFINANCE(""NSE:""&amp;A2121,""name"")"),"State Bank of India")</f>
        <v>State Bank of India</v>
      </c>
    </row>
    <row r="2122">
      <c r="A2122" s="1" t="s">
        <v>10492</v>
      </c>
      <c r="B2122" s="5" t="s">
        <v>10493</v>
      </c>
      <c r="C2122" s="3" t="s">
        <v>10494</v>
      </c>
      <c r="D2122" s="6" t="s">
        <v>10495</v>
      </c>
      <c r="E2122" s="7" t="s">
        <v>10496</v>
      </c>
      <c r="F2122" s="5" t="str">
        <f>IFERROR(__xludf.DUMMYFUNCTION("GOOGLEFINANCE(""NSE:""&amp;A2122,""name"")"),"Steel Authority of India Ltd")</f>
        <v>Steel Authority of India Ltd</v>
      </c>
    </row>
    <row r="2123">
      <c r="A2123" s="1" t="s">
        <v>10497</v>
      </c>
      <c r="B2123" s="5" t="s">
        <v>10498</v>
      </c>
      <c r="C2123" s="3" t="s">
        <v>10499</v>
      </c>
      <c r="D2123" s="6" t="s">
        <v>10500</v>
      </c>
      <c r="E2123" s="7" t="s">
        <v>10501</v>
      </c>
      <c r="F2123" s="5" t="str">
        <f>IFERROR(__xludf.DUMMYFUNCTION("GOOGLEFINANCE(""NSE:""&amp;A2123,""name"")"),"Steel City Securities Ltd")</f>
        <v>Steel City Securities Ltd</v>
      </c>
    </row>
    <row r="2124">
      <c r="A2124" s="1" t="s">
        <v>10502</v>
      </c>
      <c r="B2124" s="5" t="s">
        <v>10503</v>
      </c>
      <c r="C2124" s="3" t="s">
        <v>10504</v>
      </c>
      <c r="D2124" s="6" t="s">
        <v>10505</v>
      </c>
      <c r="E2124" s="7" t="s">
        <v>10506</v>
      </c>
      <c r="F2124" s="5" t="str">
        <f>IFERROR(__xludf.DUMMYFUNCTION("GOOGLEFINANCE(""NSE:""&amp;A2124,""name"")"),"Steel Exchange India Ltd")</f>
        <v>Steel Exchange India Ltd</v>
      </c>
    </row>
    <row r="2125">
      <c r="A2125" s="1" t="s">
        <v>10507</v>
      </c>
      <c r="B2125" s="5" t="s">
        <v>10508</v>
      </c>
      <c r="C2125" s="3" t="s">
        <v>10509</v>
      </c>
      <c r="D2125" s="6" t="s">
        <v>10510</v>
      </c>
      <c r="E2125" s="7" t="s">
        <v>10511</v>
      </c>
      <c r="F2125" s="5" t="str">
        <f>IFERROR(__xludf.DUMMYFUNCTION("GOOGLEFINANCE(""NSE:""&amp;A2125,""name"")"),"Steel Strips Wheels Ltd")</f>
        <v>Steel Strips Wheels Ltd</v>
      </c>
    </row>
    <row r="2126">
      <c r="A2126" s="1" t="s">
        <v>10512</v>
      </c>
      <c r="B2126" s="5" t="s">
        <v>10513</v>
      </c>
      <c r="C2126" s="3" t="s">
        <v>10514</v>
      </c>
      <c r="D2126" s="6" t="s">
        <v>10515</v>
      </c>
      <c r="E2126" s="7" t="s">
        <v>10516</v>
      </c>
      <c r="F2126" s="5" t="str">
        <f>IFERROR(__xludf.DUMMYFUNCTION("GOOGLEFINANCE(""NSE:""&amp;A2126,""name"")"),"Steelcast Ltd")</f>
        <v>Steelcast Ltd</v>
      </c>
    </row>
    <row r="2127">
      <c r="A2127" s="1" t="s">
        <v>10517</v>
      </c>
      <c r="B2127" s="5" t="s">
        <v>10518</v>
      </c>
      <c r="C2127" s="3" t="s">
        <v>10519</v>
      </c>
      <c r="D2127" s="6" t="s">
        <v>10520</v>
      </c>
      <c r="E2127" s="7" t="s">
        <v>10521</v>
      </c>
      <c r="F2127" s="5" t="str">
        <f>IFERROR(__xludf.DUMMYFUNCTION("GOOGLEFINANCE(""NSE:""&amp;A2127,""name"")"),"STEL Holdings Ltd")</f>
        <v>STEL Holdings Ltd</v>
      </c>
    </row>
    <row r="2128">
      <c r="A2128" s="1" t="s">
        <v>10522</v>
      </c>
      <c r="B2128" s="5" t="s">
        <v>10523</v>
      </c>
      <c r="C2128" s="3" t="s">
        <v>10524</v>
      </c>
      <c r="D2128" s="6" t="s">
        <v>10525</v>
      </c>
      <c r="E2128" s="7" t="s">
        <v>10526</v>
      </c>
      <c r="F2128" s="5" t="str">
        <f>IFERROR(__xludf.DUMMYFUNCTION("GOOGLEFINANCE(""NSE:""&amp;A2128,""name"")"),"Sterling and Wilson Renewable Energy Ltd")</f>
        <v>Sterling and Wilson Renewable Energy Ltd</v>
      </c>
    </row>
    <row r="2129">
      <c r="A2129" s="1" t="s">
        <v>10527</v>
      </c>
      <c r="B2129" s="5" t="s">
        <v>10528</v>
      </c>
      <c r="C2129" s="3" t="s">
        <v>10529</v>
      </c>
      <c r="D2129" s="6" t="s">
        <v>10530</v>
      </c>
      <c r="E2129" s="7" t="s">
        <v>10531</v>
      </c>
      <c r="F2129" s="5" t="str">
        <f>IFERROR(__xludf.DUMMYFUNCTION("GOOGLEFINANCE(""NSE:""&amp;A2129,""name"")"),"Sterling Tools Ltd")</f>
        <v>Sterling Tools Ltd</v>
      </c>
    </row>
    <row r="2130">
      <c r="A2130" s="1" t="s">
        <v>10532</v>
      </c>
      <c r="B2130" s="5" t="s">
        <v>10533</v>
      </c>
      <c r="C2130" s="3" t="s">
        <v>10534</v>
      </c>
      <c r="D2130" s="6" t="s">
        <v>10535</v>
      </c>
      <c r="E2130" s="7" t="s">
        <v>10536</v>
      </c>
      <c r="F2130" s="5" t="str">
        <f>IFERROR(__xludf.DUMMYFUNCTION("GOOGLEFINANCE(""NSE:""&amp;A2130,""name"")"),"Sterlite Technologies Ltd")</f>
        <v>Sterlite Technologies Ltd</v>
      </c>
    </row>
    <row r="2131">
      <c r="A2131" s="1" t="s">
        <v>10537</v>
      </c>
      <c r="B2131" s="5" t="s">
        <v>10538</v>
      </c>
      <c r="C2131" s="3" t="s">
        <v>10539</v>
      </c>
      <c r="D2131" s="6" t="s">
        <v>10540</v>
      </c>
      <c r="E2131" s="7" t="s">
        <v>10541</v>
      </c>
      <c r="F2131" s="5" t="str">
        <f>IFERROR(__xludf.DUMMYFUNCTION("GOOGLEFINANCE(""NSE:""&amp;A2131,""name"")"),"STL Global Ltd")</f>
        <v>STL Global Ltd</v>
      </c>
    </row>
    <row r="2132">
      <c r="A2132" s="1" t="s">
        <v>10542</v>
      </c>
      <c r="B2132" s="5" t="s">
        <v>10543</v>
      </c>
      <c r="C2132" s="3" t="s">
        <v>10544</v>
      </c>
      <c r="D2132" s="6" t="s">
        <v>10545</v>
      </c>
      <c r="E2132" s="7" t="s">
        <v>10546</v>
      </c>
      <c r="F2132" s="5" t="str">
        <f>IFERROR(__xludf.DUMMYFUNCTION("GOOGLEFINANCE(""NSE:""&amp;A2132,""name"")"),"STL Networks Ord Shs")</f>
        <v>STL Networks Ord Shs</v>
      </c>
    </row>
    <row r="2133">
      <c r="A2133" s="1" t="s">
        <v>10547</v>
      </c>
      <c r="B2133" s="5" t="s">
        <v>10548</v>
      </c>
      <c r="C2133" s="3" t="s">
        <v>10549</v>
      </c>
      <c r="D2133" s="6" t="s">
        <v>10550</v>
      </c>
      <c r="E2133" s="7" t="s">
        <v>10551</v>
      </c>
      <c r="F2133" s="5" t="str">
        <f>IFERROR(__xludf.DUMMYFUNCTION("GOOGLEFINANCE(""NSE:""&amp;A2133,""name"")"),"Stove Kraft Ltd")</f>
        <v>Stove Kraft Ltd</v>
      </c>
    </row>
    <row r="2134">
      <c r="A2134" s="1" t="s">
        <v>10552</v>
      </c>
      <c r="B2134" s="5" t="s">
        <v>10553</v>
      </c>
      <c r="C2134" s="3" t="s">
        <v>10554</v>
      </c>
      <c r="D2134" s="6" t="s">
        <v>10555</v>
      </c>
      <c r="E2134" s="7" t="s">
        <v>10556</v>
      </c>
      <c r="F2134" s="5" t="str">
        <f>IFERROR(__xludf.DUMMYFUNCTION("GOOGLEFINANCE(""NSE:""&amp;A2134,""name"")"),"Strides Pharma Science Ltd")</f>
        <v>Strides Pharma Science Ltd</v>
      </c>
    </row>
    <row r="2135">
      <c r="A2135" s="1" t="s">
        <v>10557</v>
      </c>
      <c r="B2135" s="5" t="s">
        <v>10557</v>
      </c>
      <c r="C2135" s="3" t="s">
        <v>10558</v>
      </c>
      <c r="D2135" s="6" t="s">
        <v>10559</v>
      </c>
      <c r="E2135" s="7" t="s">
        <v>10560</v>
      </c>
      <c r="F2135" s="5" t="str">
        <f>IFERROR(__xludf.DUMMYFUNCTION("GOOGLEFINANCE(""NSE:""&amp;A2135,""name"")"),"Studds Accessories Ltd")</f>
        <v>Studds Accessories Ltd</v>
      </c>
    </row>
    <row r="2136">
      <c r="A2136" s="1" t="s">
        <v>10561</v>
      </c>
      <c r="B2136" s="5" t="s">
        <v>10562</v>
      </c>
      <c r="C2136" s="3" t="s">
        <v>10563</v>
      </c>
      <c r="D2136" s="6" t="s">
        <v>10564</v>
      </c>
      <c r="E2136" s="7" t="s">
        <v>10565</v>
      </c>
      <c r="F2136" s="5" t="str">
        <f>IFERROR(__xludf.DUMMYFUNCTION("GOOGLEFINANCE(""NSE:""&amp;A2136,""name"")"),"Stylam Industries Ltd")</f>
        <v>Stylam Industries Ltd</v>
      </c>
    </row>
    <row r="2137">
      <c r="A2137" s="1" t="s">
        <v>10566</v>
      </c>
      <c r="B2137" s="5" t="s">
        <v>10567</v>
      </c>
      <c r="C2137" s="3" t="s">
        <v>10568</v>
      </c>
      <c r="D2137" s="6" t="s">
        <v>10569</v>
      </c>
      <c r="E2137" s="7" t="s">
        <v>10570</v>
      </c>
      <c r="F2137" s="5" t="str">
        <f>IFERROR(__xludf.DUMMYFUNCTION("GOOGLEFINANCE(""NSE:""&amp;A2137,""name"")"),"Styrenix Performance Materials Ltd")</f>
        <v>Styrenix Performance Materials Ltd</v>
      </c>
    </row>
    <row r="2138">
      <c r="A2138" s="1" t="s">
        <v>10571</v>
      </c>
      <c r="B2138" s="5" t="s">
        <v>10572</v>
      </c>
      <c r="C2138" s="3" t="s">
        <v>10573</v>
      </c>
      <c r="D2138" s="6" t="s">
        <v>10574</v>
      </c>
      <c r="E2138" s="7" t="s">
        <v>10575</v>
      </c>
      <c r="F2138" s="5" t="str">
        <f>IFERROR(__xludf.DUMMYFUNCTION("GOOGLEFINANCE(""NSE:""&amp;A2138,""name"")"),"Subex Ltd")</f>
        <v>Subex Ltd</v>
      </c>
    </row>
    <row r="2139">
      <c r="A2139" s="1" t="s">
        <v>10576</v>
      </c>
      <c r="B2139" s="5" t="s">
        <v>10577</v>
      </c>
      <c r="C2139" s="3" t="s">
        <v>10578</v>
      </c>
      <c r="D2139" s="6" t="s">
        <v>10579</v>
      </c>
      <c r="E2139" s="7" t="s">
        <v>10580</v>
      </c>
      <c r="F2139" s="5" t="str">
        <f>IFERROR(__xludf.DUMMYFUNCTION("GOOGLEFINANCE(""NSE:""&amp;A2139,""name"")"),"Subros Ltd")</f>
        <v>Subros Ltd</v>
      </c>
    </row>
    <row r="2140">
      <c r="A2140" s="1" t="s">
        <v>10581</v>
      </c>
      <c r="B2140" s="5" t="s">
        <v>10582</v>
      </c>
      <c r="C2140" s="3" t="s">
        <v>10583</v>
      </c>
      <c r="D2140" s="6" t="s">
        <v>10584</v>
      </c>
      <c r="E2140" s="7" t="s">
        <v>10585</v>
      </c>
      <c r="F2140" s="5" t="str">
        <f>IFERROR(__xludf.DUMMYFUNCTION("GOOGLEFINANCE(""NSE:""&amp;A2140,""name"")"),"Sudarshan Chemical Industries Ltd")</f>
        <v>Sudarshan Chemical Industries Ltd</v>
      </c>
    </row>
    <row r="2141">
      <c r="A2141" s="1" t="s">
        <v>10586</v>
      </c>
      <c r="B2141" s="5" t="s">
        <v>10587</v>
      </c>
      <c r="C2141" s="3" t="s">
        <v>10588</v>
      </c>
      <c r="D2141" s="6" t="s">
        <v>10589</v>
      </c>
      <c r="E2141" s="7" t="s">
        <v>10590</v>
      </c>
      <c r="F2141" s="5" t="str">
        <f>IFERROR(__xludf.DUMMYFUNCTION("GOOGLEFINANCE(""NSE:""&amp;A2141,""name"")"),"Sudeep Pharma Ltd")</f>
        <v>Sudeep Pharma Ltd</v>
      </c>
    </row>
    <row r="2142">
      <c r="A2142" s="1" t="s">
        <v>10591</v>
      </c>
      <c r="B2142" s="5" t="s">
        <v>10592</v>
      </c>
      <c r="C2142" s="3" t="s">
        <v>10593</v>
      </c>
      <c r="D2142" s="6" t="s">
        <v>10594</v>
      </c>
      <c r="E2142" s="7" t="s">
        <v>10595</v>
      </c>
      <c r="F2142" s="5" t="str">
        <f>IFERROR(__xludf.DUMMYFUNCTION("GOOGLEFINANCE(""NSE:""&amp;A2142,""name"")"),"Sukhjit Starch And Chemicals Ltd")</f>
        <v>Sukhjit Starch And Chemicals Ltd</v>
      </c>
    </row>
    <row r="2143">
      <c r="A2143" s="1" t="s">
        <v>10596</v>
      </c>
      <c r="B2143" s="5" t="s">
        <v>10597</v>
      </c>
      <c r="C2143" s="3" t="s">
        <v>10598</v>
      </c>
      <c r="D2143" s="6" t="s">
        <v>10599</v>
      </c>
      <c r="E2143" s="7" t="s">
        <v>10600</v>
      </c>
      <c r="F2143" s="5" t="str">
        <f>IFERROR(__xludf.DUMMYFUNCTION("GOOGLEFINANCE(""NSE:""&amp;A2143,""name"")"),"Sula Vineyards Ltd")</f>
        <v>Sula Vineyards Ltd</v>
      </c>
    </row>
    <row r="2144">
      <c r="A2144" s="1" t="s">
        <v>10601</v>
      </c>
      <c r="B2144" s="5" t="s">
        <v>10602</v>
      </c>
      <c r="C2144" s="3" t="s">
        <v>10603</v>
      </c>
      <c r="D2144" s="6" t="s">
        <v>10604</v>
      </c>
      <c r="E2144" s="7" t="s">
        <v>10605</v>
      </c>
      <c r="F2144" s="5" t="str">
        <f>IFERROR(__xludf.DUMMYFUNCTION("GOOGLEFINANCE(""NSE:""&amp;A2144,""name"")"),"Sumeet Industries Ltd")</f>
        <v>Sumeet Industries Ltd</v>
      </c>
    </row>
    <row r="2145">
      <c r="A2145" s="1" t="s">
        <v>10606</v>
      </c>
      <c r="B2145" s="5" t="s">
        <v>10607</v>
      </c>
      <c r="C2145" s="3" t="s">
        <v>10608</v>
      </c>
      <c r="D2145" s="6" t="s">
        <v>10609</v>
      </c>
      <c r="E2145" s="7" t="s">
        <v>10610</v>
      </c>
      <c r="F2145" s="5" t="str">
        <f>IFERROR(__xludf.DUMMYFUNCTION("GOOGLEFINANCE(""NSE:""&amp;A2145,""name"")"),"Sumit Woods Ltd")</f>
        <v>Sumit Woods Ltd</v>
      </c>
    </row>
    <row r="2146">
      <c r="A2146" s="1" t="s">
        <v>10611</v>
      </c>
      <c r="B2146" s="5" t="s">
        <v>10612</v>
      </c>
      <c r="C2146" s="3" t="s">
        <v>10613</v>
      </c>
      <c r="D2146" s="6" t="s">
        <v>10614</v>
      </c>
      <c r="E2146" s="7" t="s">
        <v>10615</v>
      </c>
      <c r="F2146" s="5" t="str">
        <f>IFERROR(__xludf.DUMMYFUNCTION("GOOGLEFINANCE(""NSE:""&amp;A2146,""name"")"),"Sumitomo Chemical India Ltd")</f>
        <v>Sumitomo Chemical India Ltd</v>
      </c>
    </row>
    <row r="2147">
      <c r="A2147" s="1" t="s">
        <v>10616</v>
      </c>
      <c r="B2147" s="5" t="s">
        <v>10617</v>
      </c>
      <c r="C2147" s="3" t="s">
        <v>10618</v>
      </c>
      <c r="D2147" s="6" t="s">
        <v>10619</v>
      </c>
      <c r="E2147" s="7" t="s">
        <v>10620</v>
      </c>
      <c r="F2147" s="5" t="str">
        <f>IFERROR(__xludf.DUMMYFUNCTION("GOOGLEFINANCE(""NSE:""&amp;A2147,""name"")"),"Summit Securities Ltd")</f>
        <v>Summit Securities Ltd</v>
      </c>
    </row>
    <row r="2148">
      <c r="A2148" s="1" t="s">
        <v>10621</v>
      </c>
      <c r="B2148" s="5" t="s">
        <v>10622</v>
      </c>
      <c r="C2148" s="3" t="s">
        <v>10623</v>
      </c>
      <c r="D2148" s="6" t="s">
        <v>10624</v>
      </c>
      <c r="E2148" s="7" t="s">
        <v>10625</v>
      </c>
      <c r="F2148" s="5" t="str">
        <f>IFERROR(__xludf.DUMMYFUNCTION("GOOGLEFINANCE(""NSE:""&amp;A2148,""name"")"),"Sun Pharma Advanced Research Co Ltd")</f>
        <v>Sun Pharma Advanced Research Co Ltd</v>
      </c>
    </row>
    <row r="2149">
      <c r="A2149" s="1" t="s">
        <v>10626</v>
      </c>
      <c r="B2149" s="5" t="s">
        <v>10627</v>
      </c>
      <c r="C2149" s="3" t="s">
        <v>10628</v>
      </c>
      <c r="D2149" s="6" t="s">
        <v>10629</v>
      </c>
      <c r="E2149" s="7" t="s">
        <v>10630</v>
      </c>
      <c r="F2149" s="5" t="str">
        <f>IFERROR(__xludf.DUMMYFUNCTION("GOOGLEFINANCE(""NSE:""&amp;A2149,""name"")"),"Sun Pharmaceutical Industries Ltd")</f>
        <v>Sun Pharmaceutical Industries Ltd</v>
      </c>
    </row>
    <row r="2150">
      <c r="A2150" s="1" t="s">
        <v>10631</v>
      </c>
      <c r="B2150" s="5" t="s">
        <v>10632</v>
      </c>
      <c r="C2150" s="3" t="s">
        <v>10633</v>
      </c>
      <c r="D2150" s="6" t="s">
        <v>10634</v>
      </c>
      <c r="E2150" s="7" t="s">
        <v>10635</v>
      </c>
      <c r="F2150" s="5" t="str">
        <f>IFERROR(__xludf.DUMMYFUNCTION("GOOGLEFINANCE(""NSE:""&amp;A2150,""name"")"),"Sun Tv Network Ltd")</f>
        <v>Sun Tv Network Ltd</v>
      </c>
    </row>
    <row r="2151">
      <c r="A2151" s="1" t="s">
        <v>10636</v>
      </c>
      <c r="B2151" s="5" t="s">
        <v>10637</v>
      </c>
      <c r="C2151" s="3" t="s">
        <v>10638</v>
      </c>
      <c r="D2151" s="6" t="s">
        <v>10639</v>
      </c>
      <c r="E2151" s="7" t="s">
        <v>10640</v>
      </c>
      <c r="F2151" s="5" t="str">
        <f>IFERROR(__xludf.DUMMYFUNCTION("GOOGLEFINANCE(""NSE:""&amp;A2151,""name"")"),"Sundaram Brake Linings Ltd")</f>
        <v>Sundaram Brake Linings Ltd</v>
      </c>
    </row>
    <row r="2152">
      <c r="A2152" s="1" t="s">
        <v>10641</v>
      </c>
      <c r="B2152" s="5" t="s">
        <v>10642</v>
      </c>
      <c r="C2152" s="3" t="s">
        <v>10643</v>
      </c>
      <c r="D2152" s="6" t="s">
        <v>10644</v>
      </c>
      <c r="E2152" s="7" t="s">
        <v>10645</v>
      </c>
      <c r="F2152" s="5" t="str">
        <f>IFERROR(__xludf.DUMMYFUNCTION("GOOGLEFINANCE(""NSE:""&amp;A2152,""name"")"),"Sundaram Clayton Ltd")</f>
        <v>Sundaram Clayton Ltd</v>
      </c>
    </row>
    <row r="2153">
      <c r="A2153" s="1" t="s">
        <v>10646</v>
      </c>
      <c r="B2153" s="5" t="s">
        <v>10647</v>
      </c>
      <c r="C2153" s="3" t="s">
        <v>10648</v>
      </c>
      <c r="D2153" s="6" t="s">
        <v>10649</v>
      </c>
      <c r="E2153" s="7" t="s">
        <v>10650</v>
      </c>
      <c r="F2153" s="5" t="str">
        <f>IFERROR(__xludf.DUMMYFUNCTION("GOOGLEFINANCE(""NSE:""&amp;A2153,""name"")"),"Sundaram Finance Ltd")</f>
        <v>Sundaram Finance Ltd</v>
      </c>
    </row>
    <row r="2154">
      <c r="A2154" s="1" t="s">
        <v>10651</v>
      </c>
      <c r="B2154" s="5" t="s">
        <v>10652</v>
      </c>
      <c r="C2154" s="3" t="s">
        <v>10653</v>
      </c>
      <c r="D2154" s="6" t="s">
        <v>10654</v>
      </c>
      <c r="E2154" s="7" t="s">
        <v>10655</v>
      </c>
      <c r="F2154" s="5" t="str">
        <f>IFERROR(__xludf.DUMMYFUNCTION("GOOGLEFINANCE(""NSE:""&amp;A2154,""name"")"),"Sundram Fasteners Ltd")</f>
        <v>Sundram Fasteners Ltd</v>
      </c>
    </row>
    <row r="2155">
      <c r="A2155" s="1" t="s">
        <v>10656</v>
      </c>
      <c r="B2155" s="5" t="s">
        <v>10657</v>
      </c>
      <c r="C2155" s="3" t="s">
        <v>10658</v>
      </c>
      <c r="D2155" s="6" t="s">
        <v>10659</v>
      </c>
      <c r="E2155" s="7" t="s">
        <v>10660</v>
      </c>
      <c r="F2155" s="5" t="str">
        <f>IFERROR(__xludf.DUMMYFUNCTION("GOOGLEFINANCE(""NSE:""&amp;A2155,""name"")"),"Sundrop Brands Ltd")</f>
        <v>Sundrop Brands Ltd</v>
      </c>
    </row>
    <row r="2156">
      <c r="A2156" s="1" t="s">
        <v>10661</v>
      </c>
      <c r="B2156" s="5" t="s">
        <v>10662</v>
      </c>
      <c r="C2156" s="3" t="s">
        <v>10663</v>
      </c>
      <c r="D2156" s="6" t="s">
        <v>10664</v>
      </c>
      <c r="E2156" s="7" t="s">
        <v>10665</v>
      </c>
      <c r="F2156" s="5" t="str">
        <f>IFERROR(__xludf.DUMMYFUNCTION("GOOGLEFINANCE(""NSE:""&amp;A2156,""name"")"),"Sunflag Iron and Steel Co Ltd")</f>
        <v>Sunflag Iron and Steel Co Ltd</v>
      </c>
    </row>
    <row r="2157">
      <c r="A2157" s="1" t="s">
        <v>10666</v>
      </c>
      <c r="B2157" s="5" t="s">
        <v>10667</v>
      </c>
      <c r="C2157" s="3" t="s">
        <v>10668</v>
      </c>
      <c r="D2157" s="6" t="s">
        <v>10669</v>
      </c>
      <c r="E2157" s="7" t="s">
        <v>10670</v>
      </c>
      <c r="F2157" s="5" t="str">
        <f>IFERROR(__xludf.DUMMYFUNCTION("GOOGLEFINANCE(""NSE:""&amp;A2157,""name"")"),"Sunteck Realty Ltd")</f>
        <v>Sunteck Realty Ltd</v>
      </c>
    </row>
    <row r="2158">
      <c r="A2158" s="1" t="s">
        <v>10671</v>
      </c>
      <c r="B2158" s="5" t="s">
        <v>10672</v>
      </c>
      <c r="C2158" s="3" t="s">
        <v>10673</v>
      </c>
      <c r="D2158" s="6" t="s">
        <v>10674</v>
      </c>
      <c r="E2158" s="7" t="s">
        <v>10675</v>
      </c>
      <c r="F2158" s="5" t="str">
        <f>IFERROR(__xludf.DUMMYFUNCTION("GOOGLEFINANCE(""NSE:""&amp;A2158,""name"")"),"Super Spinning Mills Ltd")</f>
        <v>Super Spinning Mills Ltd</v>
      </c>
    </row>
    <row r="2159">
      <c r="A2159" s="1" t="s">
        <v>10676</v>
      </c>
      <c r="B2159" s="5" t="s">
        <v>10677</v>
      </c>
      <c r="C2159" s="3" t="s">
        <v>10678</v>
      </c>
      <c r="D2159" s="6" t="s">
        <v>10679</v>
      </c>
      <c r="E2159" s="7" t="s">
        <v>10680</v>
      </c>
      <c r="F2159" s="5" t="str">
        <f>IFERROR(__xludf.DUMMYFUNCTION("GOOGLEFINANCE(""NSE:""&amp;A2159,""name"")"),"Super House Ltd")</f>
        <v>Super House Ltd</v>
      </c>
    </row>
    <row r="2160">
      <c r="A2160" s="1" t="s">
        <v>10681</v>
      </c>
      <c r="B2160" s="5" t="s">
        <v>10682</v>
      </c>
      <c r="C2160" s="3" t="s">
        <v>10683</v>
      </c>
      <c r="D2160" s="6" t="s">
        <v>10684</v>
      </c>
      <c r="E2160" s="7" t="s">
        <v>10685</v>
      </c>
      <c r="F2160" s="5" t="str">
        <f>IFERROR(__xludf.DUMMYFUNCTION("GOOGLEFINANCE(""NSE:""&amp;A2160,""name"")"),"Suprajit Engineering Ltd")</f>
        <v>Suprajit Engineering Ltd</v>
      </c>
    </row>
    <row r="2161">
      <c r="A2161" s="1" t="s">
        <v>10686</v>
      </c>
      <c r="B2161" s="5" t="s">
        <v>10687</v>
      </c>
      <c r="C2161" s="3" t="s">
        <v>10688</v>
      </c>
      <c r="D2161" s="6" t="s">
        <v>10689</v>
      </c>
      <c r="E2161" s="7" t="s">
        <v>10690</v>
      </c>
      <c r="F2161" s="5" t="str">
        <f>IFERROR(__xludf.DUMMYFUNCTION("GOOGLEFINANCE(""NSE:""&amp;A2161,""name"")"),"Supreme Holdings&amp;Hospitality (India) Ltd")</f>
        <v>Supreme Holdings&amp;Hospitality (India) Ltd</v>
      </c>
    </row>
    <row r="2162">
      <c r="A2162" s="1" t="s">
        <v>10691</v>
      </c>
      <c r="B2162" s="5" t="s">
        <v>10692</v>
      </c>
      <c r="C2162" s="3" t="s">
        <v>10693</v>
      </c>
      <c r="D2162" s="6" t="s">
        <v>10694</v>
      </c>
      <c r="E2162" s="7" t="s">
        <v>10695</v>
      </c>
      <c r="F2162" s="5" t="str">
        <f>IFERROR(__xludf.DUMMYFUNCTION("GOOGLEFINANCE(""NSE:""&amp;A2162,""name"")"),"Supreme Industries Ltd")</f>
        <v>Supreme Industries Ltd</v>
      </c>
    </row>
    <row r="2163">
      <c r="A2163" s="1" t="s">
        <v>10696</v>
      </c>
      <c r="B2163" s="5" t="s">
        <v>10697</v>
      </c>
      <c r="C2163" s="3" t="s">
        <v>10698</v>
      </c>
      <c r="D2163" s="6" t="s">
        <v>10699</v>
      </c>
      <c r="E2163" s="7" t="s">
        <v>10700</v>
      </c>
      <c r="F2163" s="5" t="str">
        <f>IFERROR(__xludf.DUMMYFUNCTION("GOOGLEFINANCE(""NSE:""&amp;A2163,""name"")"),"Supreme Infrastructure India Ltd")</f>
        <v>Supreme Infrastructure India Ltd</v>
      </c>
    </row>
    <row r="2164">
      <c r="A2164" s="1" t="s">
        <v>10701</v>
      </c>
      <c r="B2164" s="5" t="s">
        <v>10702</v>
      </c>
      <c r="C2164" s="3" t="s">
        <v>10703</v>
      </c>
      <c r="D2164" s="6" t="s">
        <v>10704</v>
      </c>
      <c r="E2164" s="7" t="s">
        <v>10705</v>
      </c>
      <c r="F2164" s="5" t="str">
        <f>IFERROR(__xludf.DUMMYFUNCTION("GOOGLEFINANCE(""NSE:""&amp;A2164,""name"")"),"Supreme Petrochem Ltd")</f>
        <v>Supreme Petrochem Ltd</v>
      </c>
    </row>
    <row r="2165">
      <c r="A2165" s="1" t="s">
        <v>10706</v>
      </c>
      <c r="B2165" s="5" t="s">
        <v>10707</v>
      </c>
      <c r="C2165" s="3" t="s">
        <v>10708</v>
      </c>
      <c r="D2165" s="6" t="s">
        <v>10709</v>
      </c>
      <c r="E2165" s="7" t="s">
        <v>10710</v>
      </c>
      <c r="F2165" s="5" t="str">
        <f>IFERROR(__xludf.DUMMYFUNCTION("GOOGLEFINANCE(""NSE:""&amp;A2165,""name"")"),"Supriya Lifescience Ltd")</f>
        <v>Supriya Lifescience Ltd</v>
      </c>
    </row>
    <row r="2166">
      <c r="A2166" s="1" t="s">
        <v>10711</v>
      </c>
      <c r="B2166" s="5" t="s">
        <v>10712</v>
      </c>
      <c r="C2166" s="3" t="s">
        <v>10713</v>
      </c>
      <c r="D2166" s="6" t="s">
        <v>10714</v>
      </c>
      <c r="E2166" s="7" t="s">
        <v>10715</v>
      </c>
      <c r="F2166" s="5" t="str">
        <f>IFERROR(__xludf.DUMMYFUNCTION("GOOGLEFINANCE(""NSE:""&amp;A2166,""name"")"),"Suraj Estate Developers Ltd")</f>
        <v>Suraj Estate Developers Ltd</v>
      </c>
    </row>
    <row r="2167">
      <c r="A2167" s="1" t="s">
        <v>10716</v>
      </c>
      <c r="B2167" s="5" t="s">
        <v>10717</v>
      </c>
      <c r="C2167" s="3" t="s">
        <v>10718</v>
      </c>
      <c r="D2167" s="6" t="s">
        <v>10719</v>
      </c>
      <c r="E2167" s="7" t="s">
        <v>10720</v>
      </c>
      <c r="F2167" s="5" t="str">
        <f>IFERROR(__xludf.DUMMYFUNCTION("GOOGLEFINANCE(""NSE:""&amp;A2167,""name"")"),"Suraj Ltd")</f>
        <v>Suraj Ltd</v>
      </c>
    </row>
    <row r="2168">
      <c r="A2168" s="1" t="s">
        <v>10721</v>
      </c>
      <c r="B2168" s="5" t="s">
        <v>10722</v>
      </c>
      <c r="C2168" s="3" t="s">
        <v>10723</v>
      </c>
      <c r="D2168" s="6" t="s">
        <v>10724</v>
      </c>
      <c r="E2168" s="7" t="s">
        <v>10725</v>
      </c>
      <c r="F2168" s="5" t="str">
        <f>IFERROR(__xludf.DUMMYFUNCTION("GOOGLEFINANCE(""NSE:""&amp;A2168,""name"")"),"Suraksha Diagnostic Ltd")</f>
        <v>Suraksha Diagnostic Ltd</v>
      </c>
    </row>
    <row r="2169">
      <c r="A2169" s="1" t="s">
        <v>10726</v>
      </c>
      <c r="B2169" s="5" t="s">
        <v>10727</v>
      </c>
      <c r="C2169" s="3" t="s">
        <v>10728</v>
      </c>
      <c r="D2169" s="6" t="s">
        <v>10729</v>
      </c>
      <c r="E2169" s="7" t="s">
        <v>10730</v>
      </c>
      <c r="F2169" s="5" t="str">
        <f>IFERROR(__xludf.DUMMYFUNCTION("GOOGLEFINANCE(""NSE:""&amp;A2169,""name"")"),"Surana Solar Ltd")</f>
        <v>Surana Solar Ltd</v>
      </c>
    </row>
    <row r="2170">
      <c r="A2170" s="1" t="s">
        <v>10731</v>
      </c>
      <c r="B2170" s="5" t="s">
        <v>10732</v>
      </c>
      <c r="C2170" s="3" t="s">
        <v>10733</v>
      </c>
      <c r="D2170" s="6" t="s">
        <v>10734</v>
      </c>
      <c r="E2170" s="7" t="s">
        <v>10735</v>
      </c>
      <c r="F2170" s="5" t="str">
        <f>IFERROR(__xludf.DUMMYFUNCTION("GOOGLEFINANCE(""NSE:""&amp;A2170,""name"")"),"Surana Telecom and Power Ltd")</f>
        <v>Surana Telecom and Power Ltd</v>
      </c>
    </row>
    <row r="2171">
      <c r="A2171" s="1" t="s">
        <v>10736</v>
      </c>
      <c r="B2171" s="5" t="s">
        <v>10737</v>
      </c>
      <c r="C2171" s="3" t="s">
        <v>10738</v>
      </c>
      <c r="D2171" s="6" t="s">
        <v>10739</v>
      </c>
      <c r="E2171" s="7" t="s">
        <v>10740</v>
      </c>
      <c r="F2171" s="5" t="str">
        <f>IFERROR(__xludf.DUMMYFUNCTION("GOOGLEFINANCE(""NSE:""&amp;A2171,""name"")"),"Suratwwala Business Group Ltd")</f>
        <v>Suratwwala Business Group Ltd</v>
      </c>
    </row>
    <row r="2172">
      <c r="A2172" s="1" t="s">
        <v>10741</v>
      </c>
      <c r="B2172" s="5" t="s">
        <v>10742</v>
      </c>
      <c r="C2172" s="3" t="s">
        <v>10743</v>
      </c>
      <c r="D2172" s="6" t="s">
        <v>10744</v>
      </c>
      <c r="E2172" s="7" t="s">
        <v>10745</v>
      </c>
      <c r="F2172" s="5" t="str">
        <f>IFERROR(__xludf.DUMMYFUNCTION("GOOGLEFINANCE(""NSE:""&amp;A2172,""name"")"),"Surya Roshni Ltd")</f>
        <v>Surya Roshni Ltd</v>
      </c>
    </row>
    <row r="2173">
      <c r="A2173" s="1" t="s">
        <v>10746</v>
      </c>
      <c r="B2173" s="5" t="s">
        <v>10747</v>
      </c>
      <c r="C2173" s="3" t="s">
        <v>10748</v>
      </c>
      <c r="D2173" s="6" t="s">
        <v>10749</v>
      </c>
      <c r="E2173" s="7" t="s">
        <v>10750</v>
      </c>
      <c r="F2173" s="5" t="str">
        <f>IFERROR(__xludf.DUMMYFUNCTION("GOOGLEFINANCE(""NSE:""&amp;A2173,""name"")"),"Surya Lakshmi Cotton Mills Ltd")</f>
        <v>Surya Lakshmi Cotton Mills Ltd</v>
      </c>
    </row>
    <row r="2174">
      <c r="A2174" s="1" t="s">
        <v>10751</v>
      </c>
      <c r="B2174" s="5" t="s">
        <v>10752</v>
      </c>
      <c r="C2174" s="3" t="s">
        <v>10753</v>
      </c>
      <c r="D2174" s="6" t="s">
        <v>10754</v>
      </c>
      <c r="E2174" s="7" t="s">
        <v>10755</v>
      </c>
      <c r="F2174" s="5" t="str">
        <f>IFERROR(__xludf.DUMMYFUNCTION("GOOGLEFINANCE(""NSE:""&amp;A2174,""name"")"),"Suryoday Small Finance Bank Ltd")</f>
        <v>Suryoday Small Finance Bank Ltd</v>
      </c>
    </row>
    <row r="2175">
      <c r="A2175" s="1" t="s">
        <v>10756</v>
      </c>
      <c r="B2175" s="5" t="s">
        <v>10757</v>
      </c>
      <c r="C2175" s="3" t="s">
        <v>10758</v>
      </c>
      <c r="D2175" s="6" t="s">
        <v>10759</v>
      </c>
      <c r="E2175" s="7" t="s">
        <v>10760</v>
      </c>
      <c r="F2175" s="5" t="str">
        <f>IFERROR(__xludf.DUMMYFUNCTION("GOOGLEFINANCE(""NSE:""&amp;A2175,""name"")"),"Sutlej Textiles And Industries Ltd")</f>
        <v>Sutlej Textiles And Industries Ltd</v>
      </c>
    </row>
    <row r="2176">
      <c r="A2176" s="1" t="s">
        <v>10761</v>
      </c>
      <c r="B2176" s="5" t="s">
        <v>10762</v>
      </c>
      <c r="C2176" s="3" t="s">
        <v>10763</v>
      </c>
      <c r="D2176" s="6" t="s">
        <v>10764</v>
      </c>
      <c r="E2176" s="7" t="s">
        <v>10765</v>
      </c>
      <c r="F2176" s="5" t="str">
        <f>IFERROR(__xludf.DUMMYFUNCTION("GOOGLEFINANCE(""NSE:""&amp;A2176,""name"")"),"Suven Life Sciences Ltd")</f>
        <v>Suven Life Sciences Ltd</v>
      </c>
    </row>
    <row r="2177">
      <c r="A2177" s="1" t="s">
        <v>10766</v>
      </c>
      <c r="B2177" s="5" t="s">
        <v>10767</v>
      </c>
      <c r="C2177" s="3" t="s">
        <v>10768</v>
      </c>
      <c r="D2177" s="6" t="s">
        <v>10769</v>
      </c>
      <c r="E2177" s="7" t="s">
        <v>10770</v>
      </c>
      <c r="F2177" s="5" t="str">
        <f>IFERROR(__xludf.DUMMYFUNCTION("GOOGLEFINANCE(""NSE:""&amp;A2177,""name"")"),"Suyog Telematics Ltd")</f>
        <v>Suyog Telematics Ltd</v>
      </c>
    </row>
    <row r="2178">
      <c r="A2178" s="1" t="s">
        <v>10771</v>
      </c>
      <c r="B2178" s="5" t="s">
        <v>10772</v>
      </c>
      <c r="C2178" s="3" t="s">
        <v>10773</v>
      </c>
      <c r="D2178" s="6" t="s">
        <v>10774</v>
      </c>
      <c r="E2178" s="7" t="s">
        <v>10775</v>
      </c>
      <c r="F2178" s="5" t="str">
        <f>IFERROR(__xludf.DUMMYFUNCTION("GOOGLEFINANCE(""NSE:""&amp;A2178,""name"")"),"Suzlon Energy Ltd")</f>
        <v>Suzlon Energy Ltd</v>
      </c>
    </row>
    <row r="2179">
      <c r="A2179" s="1" t="s">
        <v>10776</v>
      </c>
      <c r="B2179" s="5" t="s">
        <v>10777</v>
      </c>
      <c r="C2179" s="3" t="s">
        <v>10778</v>
      </c>
      <c r="D2179" s="6" t="s">
        <v>10779</v>
      </c>
      <c r="E2179" s="7" t="s">
        <v>10780</v>
      </c>
      <c r="F2179" s="5" t="str">
        <f>IFERROR(__xludf.DUMMYFUNCTION("GOOGLEFINANCE(""NSE:""&amp;A2179,""name"")"),"Swan Corp Ltd")</f>
        <v>Swan Corp Ltd</v>
      </c>
    </row>
    <row r="2180">
      <c r="A2180" s="1" t="s">
        <v>10781</v>
      </c>
      <c r="B2180" s="5" t="s">
        <v>10782</v>
      </c>
      <c r="C2180" s="3" t="s">
        <v>10783</v>
      </c>
      <c r="D2180" s="6" t="s">
        <v>10784</v>
      </c>
      <c r="E2180" s="7" t="s">
        <v>10785</v>
      </c>
      <c r="F2180" s="5" t="str">
        <f>IFERROR(__xludf.DUMMYFUNCTION("GOOGLEFINANCE(""NSE:""&amp;A2180,""name"")"),"Swan Defence and Heavy Industries Ltd")</f>
        <v>Swan Defence and Heavy Industries Ltd</v>
      </c>
    </row>
    <row r="2181">
      <c r="A2181" s="1" t="s">
        <v>10786</v>
      </c>
      <c r="B2181" s="5" t="s">
        <v>10787</v>
      </c>
      <c r="C2181" s="3" t="s">
        <v>10788</v>
      </c>
      <c r="D2181" s="6" t="s">
        <v>10789</v>
      </c>
      <c r="E2181" s="7" t="s">
        <v>10790</v>
      </c>
      <c r="F2181" s="5" t="str">
        <f>IFERROR(__xludf.DUMMYFUNCTION("GOOGLEFINANCE(""NSE:""&amp;A2181,""name"")"),"Swaraj Engines Ltd")</f>
        <v>Swaraj Engines Ltd</v>
      </c>
    </row>
    <row r="2182">
      <c r="A2182" s="1" t="s">
        <v>10791</v>
      </c>
      <c r="B2182" s="5" t="s">
        <v>10792</v>
      </c>
      <c r="C2182" s="3" t="s">
        <v>10793</v>
      </c>
      <c r="D2182" s="6" t="s">
        <v>10794</v>
      </c>
      <c r="E2182" s="7" t="s">
        <v>10795</v>
      </c>
      <c r="F2182" s="5" t="str">
        <f>IFERROR(__xludf.DUMMYFUNCTION("GOOGLEFINANCE(""NSE:""&amp;A2182,""name"")"),"Swelect Energy Systems Ltd")</f>
        <v>Swelect Energy Systems Ltd</v>
      </c>
    </row>
    <row r="2183">
      <c r="A2183" s="1" t="s">
        <v>10796</v>
      </c>
      <c r="B2183" s="5" t="s">
        <v>10797</v>
      </c>
      <c r="C2183" s="3" t="s">
        <v>10798</v>
      </c>
      <c r="D2183" s="6" t="s">
        <v>10799</v>
      </c>
      <c r="E2183" s="7" t="s">
        <v>10800</v>
      </c>
      <c r="F2183" s="5" t="str">
        <f>IFERROR(__xludf.DUMMYFUNCTION("GOOGLEFINANCE(""NSE:""&amp;A2183,""name"")"),"Swiggy Ltd")</f>
        <v>Swiggy Ltd</v>
      </c>
    </row>
    <row r="2184">
      <c r="A2184" s="1" t="s">
        <v>10801</v>
      </c>
      <c r="B2184" s="5" t="s">
        <v>10802</v>
      </c>
      <c r="C2184" s="3" t="s">
        <v>10803</v>
      </c>
      <c r="D2184" s="6" t="s">
        <v>10804</v>
      </c>
      <c r="E2184" s="7" t="s">
        <v>10805</v>
      </c>
      <c r="F2184" s="5" t="str">
        <f>IFERROR(__xludf.DUMMYFUNCTION("GOOGLEFINANCE(""NSE:""&amp;A2184,""name"")"),"Symphony Ltd")</f>
        <v>Symphony Ltd</v>
      </c>
    </row>
    <row r="2185">
      <c r="A2185" s="1" t="s">
        <v>10806</v>
      </c>
      <c r="B2185" s="5" t="s">
        <v>10807</v>
      </c>
      <c r="C2185" s="3" t="s">
        <v>10808</v>
      </c>
      <c r="D2185" s="6" t="s">
        <v>10809</v>
      </c>
      <c r="E2185" s="7" t="s">
        <v>10810</v>
      </c>
      <c r="F2185" s="5" t="str">
        <f>IFERROR(__xludf.DUMMYFUNCTION("GOOGLEFINANCE(""NSE:""&amp;A2185,""name"")"),"Syncom Formulations (India) Ltd")</f>
        <v>Syncom Formulations (India) Ltd</v>
      </c>
    </row>
    <row r="2186">
      <c r="A2186" s="1" t="s">
        <v>10811</v>
      </c>
      <c r="B2186" s="5" t="s">
        <v>10812</v>
      </c>
      <c r="C2186" s="3" t="s">
        <v>10813</v>
      </c>
      <c r="D2186" s="6" t="s">
        <v>10814</v>
      </c>
      <c r="E2186" s="7" t="s">
        <v>10815</v>
      </c>
      <c r="F2186" s="5" t="str">
        <f>IFERROR(__xludf.DUMMYFUNCTION("GOOGLEFINANCE(""NSE:""&amp;A2186,""name"")"),"Synergy Green Industries Ltd")</f>
        <v>Synergy Green Industries Ltd</v>
      </c>
    </row>
    <row r="2187">
      <c r="A2187" s="1" t="s">
        <v>10816</v>
      </c>
      <c r="B2187" s="5" t="s">
        <v>10817</v>
      </c>
      <c r="C2187" s="3" t="s">
        <v>10818</v>
      </c>
      <c r="D2187" s="6" t="s">
        <v>10819</v>
      </c>
      <c r="E2187" s="7" t="s">
        <v>10820</v>
      </c>
      <c r="F2187" s="5" t="str">
        <f>IFERROR(__xludf.DUMMYFUNCTION("GOOGLEFINANCE(""NSE:""&amp;A2187,""name"")"),"Syngene International Ltd")</f>
        <v>Syngene International Ltd</v>
      </c>
    </row>
    <row r="2188">
      <c r="A2188" s="1" t="s">
        <v>10821</v>
      </c>
      <c r="B2188" s="5" t="s">
        <v>10822</v>
      </c>
      <c r="C2188" s="3" t="s">
        <v>10823</v>
      </c>
      <c r="D2188" s="6" t="s">
        <v>10824</v>
      </c>
      <c r="E2188" s="7" t="s">
        <v>10825</v>
      </c>
      <c r="F2188" s="5" t="str">
        <f>IFERROR(__xludf.DUMMYFUNCTION("GOOGLEFINANCE(""NSE:""&amp;A2188,""name"")"),"Syrma SGS Technology Ltd")</f>
        <v>Syrma SGS Technology Ltd</v>
      </c>
    </row>
    <row r="2189">
      <c r="A2189" s="1" t="s">
        <v>10826</v>
      </c>
      <c r="B2189" s="5" t="s">
        <v>10827</v>
      </c>
      <c r="C2189" s="3" t="s">
        <v>10828</v>
      </c>
      <c r="D2189" s="6" t="s">
        <v>10829</v>
      </c>
      <c r="E2189" s="7" t="s">
        <v>10830</v>
      </c>
      <c r="F2189" s="5" t="str">
        <f>IFERROR(__xludf.DUMMYFUNCTION("GOOGLEFINANCE(""NSE:""&amp;A2189,""name"")"),"Systematix Corporate Services Ltd")</f>
        <v>Systematix Corporate Services Ltd</v>
      </c>
    </row>
    <row r="2190">
      <c r="A2190" s="1" t="s">
        <v>10831</v>
      </c>
      <c r="B2190" s="5" t="s">
        <v>10832</v>
      </c>
      <c r="C2190" s="3" t="s">
        <v>10833</v>
      </c>
      <c r="D2190" s="6" t="s">
        <v>10834</v>
      </c>
      <c r="E2190" s="7" t="s">
        <v>10835</v>
      </c>
      <c r="F2190" s="5" t="str">
        <f>IFERROR(__xludf.DUMMYFUNCTION("GOOGLEFINANCE(""NSE:""&amp;A2190,""name"")"),"T T Ltd")</f>
        <v>T T Ltd</v>
      </c>
    </row>
    <row r="2191">
      <c r="A2191" s="1" t="s">
        <v>10836</v>
      </c>
      <c r="B2191" s="5" t="s">
        <v>10837</v>
      </c>
      <c r="C2191" s="3" t="s">
        <v>10838</v>
      </c>
      <c r="D2191" s="6" t="s">
        <v>10839</v>
      </c>
      <c r="E2191" s="7" t="s">
        <v>10840</v>
      </c>
      <c r="F2191" s="5" t="str">
        <f>IFERROR(__xludf.DUMMYFUNCTION("GOOGLEFINANCE(""NSE:""&amp;A2191,""name"")"),"Tainwala Chemicls and Plstcs (India) Ltd")</f>
        <v>Tainwala Chemicls and Plstcs (India) Ltd</v>
      </c>
    </row>
    <row r="2192">
      <c r="A2192" s="1" t="s">
        <v>10841</v>
      </c>
      <c r="B2192" s="5" t="s">
        <v>10842</v>
      </c>
      <c r="C2192" s="3" t="s">
        <v>10843</v>
      </c>
      <c r="D2192" s="6" t="s">
        <v>10844</v>
      </c>
      <c r="E2192" s="7" t="s">
        <v>10845</v>
      </c>
      <c r="F2192" s="5" t="str">
        <f>IFERROR(__xludf.DUMMYFUNCTION("GOOGLEFINANCE(""NSE:""&amp;A2192,""name"")"),"TAJ GVK Hotels and Resorts Ltd")</f>
        <v>TAJ GVK Hotels and Resorts Ltd</v>
      </c>
    </row>
    <row r="2193">
      <c r="A2193" s="1" t="s">
        <v>10846</v>
      </c>
      <c r="B2193" s="5" t="s">
        <v>10847</v>
      </c>
      <c r="C2193" s="3" t="s">
        <v>10848</v>
      </c>
      <c r="D2193" s="6" t="s">
        <v>10849</v>
      </c>
      <c r="E2193" s="7" t="s">
        <v>10850</v>
      </c>
      <c r="F2193" s="5" t="str">
        <f>IFERROR(__xludf.DUMMYFUNCTION("GOOGLEFINANCE(""NSE:""&amp;A2193,""name"")"),"Take Solutions Ltd")</f>
        <v>Take Solutions Ltd</v>
      </c>
    </row>
    <row r="2194">
      <c r="A2194" s="1" t="s">
        <v>10851</v>
      </c>
      <c r="B2194" s="5" t="s">
        <v>10852</v>
      </c>
      <c r="C2194" s="3" t="s">
        <v>10853</v>
      </c>
      <c r="D2194" s="6" t="s">
        <v>10854</v>
      </c>
      <c r="E2194" s="7" t="s">
        <v>10855</v>
      </c>
      <c r="F2194" s="5" t="str">
        <f>IFERROR(__xludf.DUMMYFUNCTION("GOOGLEFINANCE(""NSE:""&amp;A2194,""name"")"),"Talbros Automotive Components Ltd")</f>
        <v>Talbros Automotive Components Ltd</v>
      </c>
    </row>
    <row r="2195">
      <c r="A2195" s="1" t="s">
        <v>10856</v>
      </c>
      <c r="B2195" s="5" t="s">
        <v>10857</v>
      </c>
      <c r="C2195" s="3" t="s">
        <v>10858</v>
      </c>
      <c r="D2195" s="6" t="s">
        <v>10859</v>
      </c>
      <c r="E2195" s="7" t="s">
        <v>10860</v>
      </c>
      <c r="F2195" s="5" t="str">
        <f>IFERROR(__xludf.DUMMYFUNCTION("GOOGLEFINANCE(""NSE:""&amp;A2195,""name"")"),"Tamilnadu Newsprint &amp; Papers Ltd")</f>
        <v>Tamilnadu Newsprint &amp; Papers Ltd</v>
      </c>
    </row>
    <row r="2196">
      <c r="A2196" s="1" t="s">
        <v>10861</v>
      </c>
      <c r="B2196" s="5" t="s">
        <v>10862</v>
      </c>
      <c r="C2196" s="3" t="s">
        <v>10863</v>
      </c>
      <c r="D2196" s="6" t="s">
        <v>10864</v>
      </c>
      <c r="E2196" s="7" t="s">
        <v>10865</v>
      </c>
      <c r="F2196" s="5" t="str">
        <f>IFERROR(__xludf.DUMMYFUNCTION("GOOGLEFINANCE(""NSE:""&amp;A2196,""name"")"),"Tamilnad Mercantile Bank Ltd")</f>
        <v>Tamilnad Mercantile Bank Ltd</v>
      </c>
    </row>
    <row r="2197">
      <c r="A2197" s="1" t="s">
        <v>10866</v>
      </c>
      <c r="B2197" s="5" t="s">
        <v>10867</v>
      </c>
      <c r="C2197" s="3" t="s">
        <v>10868</v>
      </c>
      <c r="D2197" s="6" t="s">
        <v>10869</v>
      </c>
      <c r="E2197" s="7" t="s">
        <v>10870</v>
      </c>
      <c r="F2197" s="5" t="str">
        <f>IFERROR(__xludf.DUMMYFUNCTION("GOOGLEFINANCE(""NSE:""&amp;A2197,""name"")"),"Tamilnadu Petroproducts Ltd")</f>
        <v>Tamilnadu Petroproducts Ltd</v>
      </c>
    </row>
    <row r="2198">
      <c r="A2198" s="1" t="s">
        <v>10871</v>
      </c>
      <c r="B2198" s="5" t="s">
        <v>10872</v>
      </c>
      <c r="C2198" s="3" t="s">
        <v>10873</v>
      </c>
      <c r="D2198" s="6" t="s">
        <v>10874</v>
      </c>
      <c r="E2198" s="7" t="s">
        <v>10875</v>
      </c>
      <c r="F2198" s="5" t="str">
        <f>IFERROR(__xludf.DUMMYFUNCTION("GOOGLEFINANCE(""NSE:""&amp;A2198,""name"")"),"Tamilnadu Telecommunication Ltd")</f>
        <v>Tamilnadu Telecommunication Ltd</v>
      </c>
    </row>
    <row r="2199">
      <c r="A2199" s="1" t="s">
        <v>10876</v>
      </c>
      <c r="B2199" s="5" t="s">
        <v>10877</v>
      </c>
      <c r="C2199" s="3" t="s">
        <v>10878</v>
      </c>
      <c r="D2199" s="6" t="s">
        <v>10879</v>
      </c>
      <c r="E2199" s="7" t="s">
        <v>10880</v>
      </c>
      <c r="F2199" s="5" t="str">
        <f>IFERROR(__xludf.DUMMYFUNCTION("GOOGLEFINANCE(""NSE:""&amp;A2199,""name"")"),"Tanla Platforms Ltd")</f>
        <v>Tanla Platforms Ltd</v>
      </c>
    </row>
    <row r="2200">
      <c r="A2200" s="1" t="s">
        <v>10881</v>
      </c>
      <c r="B2200" s="5" t="s">
        <v>10882</v>
      </c>
      <c r="C2200" s="3" t="s">
        <v>10883</v>
      </c>
      <c r="D2200" s="6" t="s">
        <v>10884</v>
      </c>
      <c r="E2200" s="7" t="s">
        <v>10885</v>
      </c>
      <c r="F2200" s="5" t="str">
        <f>IFERROR(__xludf.DUMMYFUNCTION("GOOGLEFINANCE(""NSE:""&amp;A2200,""name"")"),"Twamev Construction and Infrastrctr Ltd")</f>
        <v>Twamev Construction and Infrastrctr Ltd</v>
      </c>
    </row>
    <row r="2201">
      <c r="A2201" s="1" t="s">
        <v>10886</v>
      </c>
      <c r="B2201" s="5" t="s">
        <v>10887</v>
      </c>
      <c r="C2201" s="3" t="s">
        <v>10888</v>
      </c>
      <c r="D2201" s="6" t="s">
        <v>10889</v>
      </c>
      <c r="E2201" s="7" t="s">
        <v>10890</v>
      </c>
      <c r="F2201" s="5" t="str">
        <f>IFERROR(__xludf.DUMMYFUNCTION("GOOGLEFINANCE(""NSE:""&amp;A2201,""name"")"),"Tara Chand Infralogistic Solutions Ltd")</f>
        <v>Tara Chand Infralogistic Solutions Ltd</v>
      </c>
    </row>
    <row r="2202">
      <c r="A2202" s="1" t="s">
        <v>10891</v>
      </c>
      <c r="B2202" s="5" t="s">
        <v>10892</v>
      </c>
      <c r="C2202" s="3" t="s">
        <v>10893</v>
      </c>
      <c r="D2202" s="6" t="s">
        <v>10894</v>
      </c>
      <c r="E2202" s="7" t="s">
        <v>10895</v>
      </c>
      <c r="F2202" s="5" t="str">
        <f>IFERROR(__xludf.DUMMYFUNCTION("GOOGLEFINANCE(""NSE:""&amp;A2202,""name"")"),"Tarapur Transformers Ltd")</f>
        <v>Tarapur Transformers Ltd</v>
      </c>
    </row>
    <row r="2203">
      <c r="A2203" s="1" t="s">
        <v>10896</v>
      </c>
      <c r="B2203" s="5" t="s">
        <v>10897</v>
      </c>
      <c r="C2203" s="3" t="s">
        <v>10898</v>
      </c>
      <c r="D2203" s="6" t="s">
        <v>10899</v>
      </c>
      <c r="E2203" s="7" t="s">
        <v>10900</v>
      </c>
      <c r="F2203" s="5" t="str">
        <f>IFERROR(__xludf.DUMMYFUNCTION("GOOGLEFINANCE(""NSE:""&amp;A2203,""name"")"),"Tarmat Ltd")</f>
        <v>Tarmat Ltd</v>
      </c>
    </row>
    <row r="2204">
      <c r="A2204" s="1" t="s">
        <v>10901</v>
      </c>
      <c r="B2204" s="5" t="s">
        <v>10902</v>
      </c>
      <c r="C2204" s="3" t="s">
        <v>10903</v>
      </c>
      <c r="D2204" s="6" t="s">
        <v>10904</v>
      </c>
      <c r="E2204" s="7" t="s">
        <v>10905</v>
      </c>
      <c r="F2204" s="5" t="str">
        <f>IFERROR(__xludf.DUMMYFUNCTION("GOOGLEFINANCE(""NSE:""&amp;A2204,""name"")"),"Tarsons Products Ltd")</f>
        <v>Tarsons Products Ltd</v>
      </c>
    </row>
    <row r="2205">
      <c r="A2205" s="1" t="s">
        <v>10906</v>
      </c>
      <c r="B2205" s="5" t="s">
        <v>10907</v>
      </c>
      <c r="C2205" s="3" t="s">
        <v>10908</v>
      </c>
      <c r="D2205" s="6" t="s">
        <v>10909</v>
      </c>
      <c r="E2205" s="7" t="s">
        <v>10910</v>
      </c>
      <c r="F2205" s="5" t="str">
        <f>IFERROR(__xludf.DUMMYFUNCTION("GOOGLEFINANCE(""NSE:""&amp;A2205,""name"")"),"Tasty Bite Eatables Ltd")</f>
        <v>Tasty Bite Eatables Ltd</v>
      </c>
    </row>
    <row r="2206">
      <c r="A2206" s="1" t="s">
        <v>10911</v>
      </c>
      <c r="B2206" s="5" t="s">
        <v>10912</v>
      </c>
      <c r="C2206" s="3" t="s">
        <v>10913</v>
      </c>
      <c r="D2206" s="6" t="s">
        <v>10914</v>
      </c>
      <c r="E2206" s="7" t="s">
        <v>10915</v>
      </c>
      <c r="F2206" s="5" t="str">
        <f>IFERROR(__xludf.DUMMYFUNCTION("GOOGLEFINANCE(""NSE:""&amp;A2206,""name"")"),"Tata Capital Ltd")</f>
        <v>Tata Capital Ltd</v>
      </c>
    </row>
    <row r="2207">
      <c r="A2207" s="1" t="s">
        <v>10916</v>
      </c>
      <c r="B2207" s="5" t="s">
        <v>10917</v>
      </c>
      <c r="C2207" s="3" t="s">
        <v>10918</v>
      </c>
      <c r="D2207" s="6" t="s">
        <v>10919</v>
      </c>
      <c r="E2207" s="7" t="s">
        <v>10920</v>
      </c>
      <c r="F2207" s="5" t="str">
        <f>IFERROR(__xludf.DUMMYFUNCTION("GOOGLEFINANCE(""NSE:""&amp;A2207,""name"")"),"Tata Chemicals Ltd")</f>
        <v>Tata Chemicals Ltd</v>
      </c>
    </row>
    <row r="2208">
      <c r="A2208" s="1" t="s">
        <v>10921</v>
      </c>
      <c r="B2208" s="5" t="s">
        <v>10922</v>
      </c>
      <c r="C2208" s="3" t="s">
        <v>10923</v>
      </c>
      <c r="D2208" s="6" t="s">
        <v>10924</v>
      </c>
      <c r="E2208" s="7" t="s">
        <v>10925</v>
      </c>
      <c r="F2208" s="5" t="str">
        <f>IFERROR(__xludf.DUMMYFUNCTION("GOOGLEFINANCE(""NSE:""&amp;A2208,""name"")"),"Tata Communications Ltd")</f>
        <v>Tata Communications Ltd</v>
      </c>
    </row>
    <row r="2209">
      <c r="A2209" s="1" t="s">
        <v>10926</v>
      </c>
      <c r="B2209" s="5" t="s">
        <v>10927</v>
      </c>
      <c r="C2209" s="3" t="s">
        <v>10928</v>
      </c>
      <c r="D2209" s="6" t="s">
        <v>10929</v>
      </c>
      <c r="E2209" s="7" t="s">
        <v>10930</v>
      </c>
      <c r="F2209" s="5" t="str">
        <f>IFERROR(__xludf.DUMMYFUNCTION("GOOGLEFINANCE(""NSE:""&amp;A2209,""name"")"),"Tata Consultancy Services Ltd")</f>
        <v>Tata Consultancy Services Ltd</v>
      </c>
    </row>
    <row r="2210">
      <c r="A2210" s="1" t="s">
        <v>10931</v>
      </c>
      <c r="B2210" s="5" t="s">
        <v>10932</v>
      </c>
      <c r="C2210" s="3" t="s">
        <v>10933</v>
      </c>
      <c r="D2210" s="6" t="s">
        <v>10934</v>
      </c>
      <c r="E2210" s="7" t="s">
        <v>10935</v>
      </c>
      <c r="F2210" s="5" t="str">
        <f>IFERROR(__xludf.DUMMYFUNCTION("GOOGLEFINANCE(""NSE:""&amp;A2210,""name"")"),"Tata Consumer Products Ltd")</f>
        <v>Tata Consumer Products Ltd</v>
      </c>
    </row>
    <row r="2211">
      <c r="A2211" s="1" t="s">
        <v>10936</v>
      </c>
      <c r="B2211" s="5" t="s">
        <v>10937</v>
      </c>
      <c r="C2211" s="3" t="s">
        <v>10938</v>
      </c>
      <c r="D2211" s="6" t="s">
        <v>10939</v>
      </c>
      <c r="E2211" s="7" t="s">
        <v>10940</v>
      </c>
      <c r="F2211" s="5" t="str">
        <f>IFERROR(__xludf.DUMMYFUNCTION("GOOGLEFINANCE(""NSE:""&amp;A2211,""name"")"),"Tata Elxsi Ltd")</f>
        <v>Tata Elxsi Ltd</v>
      </c>
    </row>
    <row r="2212">
      <c r="A2212" s="1" t="s">
        <v>10941</v>
      </c>
      <c r="B2212" s="5" t="s">
        <v>10942</v>
      </c>
      <c r="C2212" s="3" t="s">
        <v>10943</v>
      </c>
      <c r="D2212" s="6" t="s">
        <v>10944</v>
      </c>
      <c r="E2212" s="7" t="s">
        <v>10945</v>
      </c>
      <c r="F2212" s="5" t="str">
        <f>IFERROR(__xludf.DUMMYFUNCTION("GOOGLEFINANCE(""NSE:""&amp;A2212,""name"")"),"Tata Gold Exchange Traded Fund")</f>
        <v>Tata Gold Exchange Traded Fund</v>
      </c>
    </row>
    <row r="2213">
      <c r="A2213" s="1" t="s">
        <v>10946</v>
      </c>
      <c r="B2213" s="5" t="s">
        <v>10947</v>
      </c>
      <c r="C2213" s="3" t="s">
        <v>10948</v>
      </c>
      <c r="D2213" s="6" t="s">
        <v>10949</v>
      </c>
      <c r="E2213" s="7" t="s">
        <v>10950</v>
      </c>
      <c r="F2213" s="5" t="str">
        <f>IFERROR(__xludf.DUMMYFUNCTION("GOOGLEFINANCE(""NSE:""&amp;A2213,""name"")"),"Tata Investment Corporation Ltd")</f>
        <v>Tata Investment Corporation Ltd</v>
      </c>
    </row>
    <row r="2214">
      <c r="A2214" s="1" t="s">
        <v>10951</v>
      </c>
      <c r="B2214" s="5" t="s">
        <v>10952</v>
      </c>
      <c r="C2214" s="3" t="s">
        <v>10953</v>
      </c>
      <c r="D2214" s="6" t="s">
        <v>10954</v>
      </c>
      <c r="E2214" s="7" t="s">
        <v>10955</v>
      </c>
      <c r="F2214" s="5" t="str">
        <f>IFERROR(__xludf.DUMMYFUNCTION("GOOGLEFINANCE(""NSE:""&amp;A2214,""name"")"),"Tata Motors Passenger Vhcls Ltd")</f>
        <v>Tata Motors Passenger Vhcls Ltd</v>
      </c>
    </row>
    <row r="2215">
      <c r="A2215" s="1" t="s">
        <v>10956</v>
      </c>
      <c r="B2215" s="5" t="s">
        <v>10957</v>
      </c>
      <c r="C2215" s="3" t="s">
        <v>10958</v>
      </c>
      <c r="D2215" s="6" t="s">
        <v>10959</v>
      </c>
      <c r="E2215" s="7" t="s">
        <v>10960</v>
      </c>
      <c r="F2215" s="5" t="str">
        <f>IFERROR(__xludf.DUMMYFUNCTION("GOOGLEFINANCE(""NSE:""&amp;A2215,""name"")"),"Tata Nifty 50 Exchange Traded Fund")</f>
        <v>Tata Nifty 50 Exchange Traded Fund</v>
      </c>
    </row>
    <row r="2216">
      <c r="A2216" s="1" t="s">
        <v>10961</v>
      </c>
      <c r="B2216" s="5" t="s">
        <v>10962</v>
      </c>
      <c r="C2216" s="3" t="s">
        <v>10963</v>
      </c>
      <c r="D2216" s="6" t="s">
        <v>10964</v>
      </c>
      <c r="E2216" s="7" t="s">
        <v>10965</v>
      </c>
      <c r="F2216" s="5" t="str">
        <f>IFERROR(__xludf.DUMMYFUNCTION("GOOGLEFINANCE(""NSE:""&amp;A2216,""name"")"),"Tata Nifty India Digital Exchange Traded Fund")</f>
        <v>Tata Nifty India Digital Exchange Traded Fund</v>
      </c>
    </row>
    <row r="2217">
      <c r="A2217" s="1" t="s">
        <v>10966</v>
      </c>
      <c r="B2217" s="5" t="s">
        <v>10967</v>
      </c>
      <c r="C2217" s="3" t="s">
        <v>10968</v>
      </c>
      <c r="D2217" s="6" t="s">
        <v>10969</v>
      </c>
      <c r="E2217" s="7" t="s">
        <v>10970</v>
      </c>
      <c r="F2217" s="5" t="str">
        <f>IFERROR(__xludf.DUMMYFUNCTION("GOOGLEFINANCE(""NSE:""&amp;A2217,""name"")"),"Tata Nifty Private Bank Exchange Traded Fund")</f>
        <v>Tata Nifty Private Bank Exchange Traded Fund</v>
      </c>
    </row>
    <row r="2218">
      <c r="A2218" s="1" t="s">
        <v>10971</v>
      </c>
      <c r="B2218" s="5" t="s">
        <v>10972</v>
      </c>
      <c r="C2218" s="3" t="s">
        <v>10973</v>
      </c>
      <c r="D2218" s="6" t="s">
        <v>10974</v>
      </c>
      <c r="E2218" s="7" t="s">
        <v>10975</v>
      </c>
      <c r="F2218" s="5" t="str">
        <f>IFERROR(__xludf.DUMMYFUNCTION("GOOGLEFINANCE(""NSE:""&amp;A2218,""name"")"),"Tata Power Company Ltd")</f>
        <v>Tata Power Company Ltd</v>
      </c>
    </row>
    <row r="2219">
      <c r="A2219" s="1" t="s">
        <v>10976</v>
      </c>
      <c r="B2219" s="5" t="s">
        <v>10977</v>
      </c>
      <c r="C2219" s="3" t="s">
        <v>10978</v>
      </c>
      <c r="D2219" s="6" t="s">
        <v>10979</v>
      </c>
      <c r="E2219" s="7" t="s">
        <v>10980</v>
      </c>
      <c r="F2219" s="5" t="str">
        <f>IFERROR(__xludf.DUMMYFUNCTION("GOOGLEFINANCE(""NSE:""&amp;A2219,""name"")"),"Tata Silver Exchange Traded Fund")</f>
        <v>Tata Silver Exchange Traded Fund</v>
      </c>
    </row>
    <row r="2220">
      <c r="A2220" s="1" t="s">
        <v>10981</v>
      </c>
      <c r="B2220" s="5" t="s">
        <v>10982</v>
      </c>
      <c r="C2220" s="3" t="s">
        <v>10983</v>
      </c>
      <c r="D2220" s="6" t="s">
        <v>10984</v>
      </c>
      <c r="E2220" s="7" t="s">
        <v>10985</v>
      </c>
      <c r="F2220" s="5" t="str">
        <f>IFERROR(__xludf.DUMMYFUNCTION("GOOGLEFINANCE(""NSE:""&amp;A2220,""name"")"),"Tata Steel Ltd")</f>
        <v>Tata Steel Ltd</v>
      </c>
    </row>
    <row r="2221">
      <c r="A2221" s="1" t="s">
        <v>10986</v>
      </c>
      <c r="B2221" s="5" t="s">
        <v>10987</v>
      </c>
      <c r="C2221" s="3" t="s">
        <v>10988</v>
      </c>
      <c r="D2221" s="6" t="s">
        <v>10989</v>
      </c>
      <c r="E2221" s="7" t="s">
        <v>10990</v>
      </c>
      <c r="F2221" s="5" t="str">
        <f>IFERROR(__xludf.DUMMYFUNCTION("GOOGLEFINANCE(""NSE:""&amp;A2221,""name"")"),"Tata Technologies Ltd")</f>
        <v>Tata Technologies Ltd</v>
      </c>
    </row>
    <row r="2222">
      <c r="A2222" s="1" t="s">
        <v>10991</v>
      </c>
      <c r="B2222" s="5" t="s">
        <v>10992</v>
      </c>
      <c r="C2222" s="3" t="s">
        <v>10993</v>
      </c>
      <c r="D2222" s="6" t="s">
        <v>10994</v>
      </c>
      <c r="E2222" s="7" t="s">
        <v>10995</v>
      </c>
      <c r="F2222" s="5" t="str">
        <f>IFERROR(__xludf.DUMMYFUNCTION("GOOGLEFINANCE(""NSE:""&amp;A2222,""name"")"),"Tata Teleservices (Maharashtra) Ltd")</f>
        <v>Tata Teleservices (Maharashtra) Ltd</v>
      </c>
    </row>
    <row r="2223">
      <c r="A2223" s="1" t="s">
        <v>10996</v>
      </c>
      <c r="B2223" s="5" t="s">
        <v>10997</v>
      </c>
      <c r="C2223" s="3" t="s">
        <v>10998</v>
      </c>
      <c r="D2223" s="6" t="s">
        <v>10999</v>
      </c>
      <c r="E2223" s="7" t="s">
        <v>11000</v>
      </c>
      <c r="F2223" s="5" t="str">
        <f>IFERROR(__xludf.DUMMYFUNCTION("GOOGLEFINANCE(""NSE:""&amp;A2223,""name"")"),"Tatva Chintan Pharma Chem Ltd")</f>
        <v>Tatva Chintan Pharma Chem Ltd</v>
      </c>
    </row>
    <row r="2224">
      <c r="A2224" s="1" t="s">
        <v>11001</v>
      </c>
      <c r="B2224" s="5" t="s">
        <v>11002</v>
      </c>
      <c r="C2224" s="3" t="s">
        <v>11003</v>
      </c>
      <c r="D2224" s="6" t="s">
        <v>11004</v>
      </c>
      <c r="E2224" s="7" t="s">
        <v>11005</v>
      </c>
      <c r="F2224" s="5" t="str">
        <f>IFERROR(__xludf.DUMMYFUNCTION("GOOGLEFINANCE(""NSE:""&amp;A2224,""name"")"),"Tbo Tek Ltd")</f>
        <v>Tbo Tek Ltd</v>
      </c>
    </row>
    <row r="2225">
      <c r="A2225" s="1" t="s">
        <v>11006</v>
      </c>
      <c r="B2225" s="5" t="s">
        <v>11007</v>
      </c>
      <c r="C2225" s="3" t="s">
        <v>11008</v>
      </c>
      <c r="D2225" s="6" t="s">
        <v>11009</v>
      </c>
      <c r="E2225" s="7" t="s">
        <v>11010</v>
      </c>
      <c r="F2225" s="5" t="str">
        <f>IFERROR(__xludf.DUMMYFUNCTION("GOOGLEFINANCE(""NSE:""&amp;A2225,""name"")"),"TCI Express Ltd")</f>
        <v>TCI Express Ltd</v>
      </c>
    </row>
    <row r="2226">
      <c r="A2226" s="1" t="s">
        <v>11011</v>
      </c>
      <c r="B2226" s="5" t="s">
        <v>11012</v>
      </c>
      <c r="C2226" s="3" t="s">
        <v>11013</v>
      </c>
      <c r="D2226" s="6" t="s">
        <v>11014</v>
      </c>
      <c r="E2226" s="7" t="s">
        <v>11015</v>
      </c>
      <c r="F2226" s="5" t="str">
        <f>IFERROR(__xludf.DUMMYFUNCTION("GOOGLEFINANCE(""NSE:""&amp;A2226,""name"")"),"TCI Finance Ltd")</f>
        <v>TCI Finance Ltd</v>
      </c>
    </row>
    <row r="2227">
      <c r="A2227" s="1" t="s">
        <v>11016</v>
      </c>
      <c r="B2227" s="5" t="s">
        <v>11017</v>
      </c>
      <c r="C2227" s="3" t="s">
        <v>11018</v>
      </c>
      <c r="D2227" s="6" t="s">
        <v>11019</v>
      </c>
      <c r="E2227" s="7" t="s">
        <v>11020</v>
      </c>
      <c r="F2227" s="5" t="str">
        <f>IFERROR(__xludf.DUMMYFUNCTION("GOOGLEFINANCE(""NSE:""&amp;A2227,""name"")"),"TCPL Packaging Ltd")</f>
        <v>TCPL Packaging Ltd</v>
      </c>
    </row>
    <row r="2228">
      <c r="A2228" s="1" t="s">
        <v>11021</v>
      </c>
      <c r="B2228" s="5" t="s">
        <v>11022</v>
      </c>
      <c r="C2228" s="3" t="s">
        <v>11023</v>
      </c>
      <c r="D2228" s="6" t="s">
        <v>11024</v>
      </c>
      <c r="E2228" s="7" t="s">
        <v>11025</v>
      </c>
      <c r="F2228" s="5" t="str">
        <f>IFERROR(__xludf.DUMMYFUNCTION("GOOGLEFINANCE(""NSE:""&amp;A2228,""name"")"),"TD Power Systems Ltd")</f>
        <v>TD Power Systems Ltd</v>
      </c>
    </row>
    <row r="2229">
      <c r="A2229" s="1" t="s">
        <v>11026</v>
      </c>
      <c r="B2229" s="5" t="s">
        <v>11027</v>
      </c>
      <c r="C2229" s="3" t="s">
        <v>11028</v>
      </c>
      <c r="D2229" s="6" t="s">
        <v>11029</v>
      </c>
      <c r="E2229" s="7" t="s">
        <v>11030</v>
      </c>
      <c r="F2229" s="5" t="str">
        <f>IFERROR(__xludf.DUMMYFUNCTION("GOOGLEFINANCE(""NSE:""&amp;A2229,""name"")"),"Team India Guaranty Ltd")</f>
        <v>Team India Guaranty Ltd</v>
      </c>
    </row>
    <row r="2230">
      <c r="A2230" s="1" t="s">
        <v>11031</v>
      </c>
      <c r="B2230" s="5" t="s">
        <v>11032</v>
      </c>
      <c r="C2230" s="3" t="s">
        <v>11033</v>
      </c>
      <c r="D2230" s="6" t="s">
        <v>11034</v>
      </c>
      <c r="E2230" s="7" t="s">
        <v>11035</v>
      </c>
      <c r="F2230" s="5" t="str">
        <f>IFERROR(__xludf.DUMMYFUNCTION("GOOGLEFINANCE(""NSE:""&amp;A2230,""name"")"),"Teamlease Services Ltd")</f>
        <v>Teamlease Services Ltd</v>
      </c>
    </row>
    <row r="2231">
      <c r="A2231" s="1" t="s">
        <v>11036</v>
      </c>
      <c r="B2231" s="5" t="s">
        <v>11037</v>
      </c>
      <c r="C2231" s="3" t="s">
        <v>11038</v>
      </c>
      <c r="D2231" s="6" t="s">
        <v>11039</v>
      </c>
      <c r="E2231" s="7" t="s">
        <v>11040</v>
      </c>
      <c r="F2231" s="5" t="str">
        <f>IFERROR(__xludf.DUMMYFUNCTION("GOOGLEFINANCE(""NSE:""&amp;A2231,""name"")"),"Tech Mahindra Ltd")</f>
        <v>Tech Mahindra Ltd</v>
      </c>
    </row>
    <row r="2232">
      <c r="A2232" s="1" t="s">
        <v>11041</v>
      </c>
      <c r="B2232" s="5" t="s">
        <v>11042</v>
      </c>
      <c r="C2232" s="3" t="s">
        <v>11043</v>
      </c>
      <c r="D2232" s="6" t="s">
        <v>11044</v>
      </c>
      <c r="E2232" s="7" t="s">
        <v>11045</v>
      </c>
      <c r="F2232" s="5" t="str">
        <f>IFERROR(__xludf.DUMMYFUNCTION("GOOGLEFINANCE(""NSE:""&amp;A2232,""name"")"),"Techno Electric &amp; Engineering Cmpany Ltd")</f>
        <v>Techno Electric &amp; Engineering Cmpany Ltd</v>
      </c>
    </row>
    <row r="2233">
      <c r="A2233" s="1" t="s">
        <v>11046</v>
      </c>
      <c r="B2233" s="5" t="s">
        <v>11047</v>
      </c>
      <c r="C2233" s="3" t="s">
        <v>11048</v>
      </c>
      <c r="D2233" s="6" t="s">
        <v>11049</v>
      </c>
      <c r="E2233" s="7" t="s">
        <v>11050</v>
      </c>
      <c r="F2233" s="5" t="str">
        <f>IFERROR(__xludf.DUMMYFUNCTION("GOOGLEFINANCE(""NSE:""&amp;A2233,""name"")"),"Technocraft Industries (India) Ltd")</f>
        <v>Technocraft Industries (India) Ltd</v>
      </c>
    </row>
    <row r="2234">
      <c r="A2234" s="1" t="s">
        <v>11051</v>
      </c>
      <c r="B2234" s="5" t="s">
        <v>11052</v>
      </c>
      <c r="C2234" s="3" t="s">
        <v>11053</v>
      </c>
      <c r="D2234" s="6" t="s">
        <v>11054</v>
      </c>
      <c r="E2234" s="7" t="s">
        <v>11055</v>
      </c>
      <c r="F2234" s="5" t="str">
        <f>IFERROR(__xludf.DUMMYFUNCTION("GOOGLEFINANCE(""NSE:""&amp;A2234,""name"")"),"Tecil Chemicals and Hydro Power Ltd")</f>
        <v>Tecil Chemicals and Hydro Power Ltd</v>
      </c>
    </row>
    <row r="2235">
      <c r="A2235" s="1" t="s">
        <v>11056</v>
      </c>
      <c r="B2235" s="5" t="s">
        <v>11057</v>
      </c>
      <c r="C2235" s="3" t="s">
        <v>11058</v>
      </c>
      <c r="D2235" s="6" t="s">
        <v>11059</v>
      </c>
      <c r="E2235" s="7" t="s">
        <v>11060</v>
      </c>
      <c r="F2235" s="5" t="str">
        <f>IFERROR(__xludf.DUMMYFUNCTION("GOOGLEFINANCE(""NSE:""&amp;A2235,""name"")"),"Tega Industries Ltd")</f>
        <v>Tega Industries Ltd</v>
      </c>
    </row>
    <row r="2236">
      <c r="A2236" s="1" t="s">
        <v>11061</v>
      </c>
      <c r="B2236" s="5" t="s">
        <v>11062</v>
      </c>
      <c r="D2236" s="3" t="s">
        <v>11063</v>
      </c>
      <c r="E2236" s="7" t="s">
        <v>11064</v>
      </c>
    </row>
    <row r="2237">
      <c r="A2237" s="1" t="s">
        <v>11065</v>
      </c>
      <c r="B2237" s="5" t="s">
        <v>11066</v>
      </c>
      <c r="D2237" s="3" t="s">
        <v>11067</v>
      </c>
      <c r="E2237" s="7" t="s">
        <v>11068</v>
      </c>
    </row>
    <row r="2238">
      <c r="A2238" s="1" t="s">
        <v>11069</v>
      </c>
      <c r="B2238" s="5" t="s">
        <v>11070</v>
      </c>
      <c r="D2238" s="3" t="s">
        <v>11071</v>
      </c>
      <c r="E2238" s="7" t="s">
        <v>11072</v>
      </c>
    </row>
    <row r="2239">
      <c r="A2239" s="1" t="s">
        <v>11073</v>
      </c>
      <c r="B2239" s="5" t="s">
        <v>11074</v>
      </c>
      <c r="D2239" s="3" t="s">
        <v>11075</v>
      </c>
      <c r="E2239" s="7" t="s">
        <v>11076</v>
      </c>
    </row>
    <row r="2240">
      <c r="A2240" s="1" t="s">
        <v>11077</v>
      </c>
      <c r="B2240" s="5" t="s">
        <v>11078</v>
      </c>
      <c r="D2240" s="3" t="s">
        <v>11079</v>
      </c>
      <c r="E2240" s="7" t="s">
        <v>11080</v>
      </c>
    </row>
    <row r="2241">
      <c r="A2241" s="1" t="s">
        <v>11081</v>
      </c>
      <c r="B2241" s="5" t="s">
        <v>11082</v>
      </c>
      <c r="D2241" s="3" t="s">
        <v>11083</v>
      </c>
      <c r="E2241" s="7" t="s">
        <v>11084</v>
      </c>
    </row>
    <row r="2242">
      <c r="A2242" s="1" t="s">
        <v>11085</v>
      </c>
      <c r="B2242" s="5" t="s">
        <v>11086</v>
      </c>
      <c r="D2242" s="3" t="s">
        <v>11087</v>
      </c>
      <c r="E2242" s="7" t="s">
        <v>11088</v>
      </c>
    </row>
    <row r="2243">
      <c r="A2243" s="1" t="s">
        <v>11089</v>
      </c>
      <c r="B2243" s="5" t="s">
        <v>11090</v>
      </c>
      <c r="D2243" s="3" t="s">
        <v>11091</v>
      </c>
      <c r="E2243" s="7" t="s">
        <v>11092</v>
      </c>
    </row>
    <row r="2244">
      <c r="A2244" s="1" t="s">
        <v>11093</v>
      </c>
      <c r="B2244" s="5" t="s">
        <v>11094</v>
      </c>
      <c r="D2244" s="3" t="s">
        <v>11095</v>
      </c>
      <c r="E2244" s="7" t="s">
        <v>11096</v>
      </c>
    </row>
    <row r="2245">
      <c r="A2245" s="1" t="s">
        <v>11097</v>
      </c>
      <c r="B2245" s="5" t="s">
        <v>11098</v>
      </c>
      <c r="D2245" s="3" t="s">
        <v>11099</v>
      </c>
      <c r="E2245" s="7" t="s">
        <v>11100</v>
      </c>
    </row>
    <row r="2246">
      <c r="A2246" s="1" t="s">
        <v>11101</v>
      </c>
      <c r="B2246" s="5" t="s">
        <v>11102</v>
      </c>
      <c r="D2246" s="3" t="s">
        <v>11103</v>
      </c>
      <c r="E2246" s="7" t="s">
        <v>11104</v>
      </c>
    </row>
    <row r="2247">
      <c r="A2247" s="1" t="s">
        <v>11105</v>
      </c>
      <c r="B2247" s="5" t="s">
        <v>11106</v>
      </c>
      <c r="D2247" s="3" t="s">
        <v>11107</v>
      </c>
      <c r="E2247" s="7" t="s">
        <v>11108</v>
      </c>
    </row>
    <row r="2248">
      <c r="A2248" s="1" t="s">
        <v>11109</v>
      </c>
      <c r="B2248" s="5" t="s">
        <v>11110</v>
      </c>
      <c r="D2248" s="3" t="s">
        <v>11111</v>
      </c>
      <c r="E2248" s="7" t="s">
        <v>11112</v>
      </c>
    </row>
    <row r="2249">
      <c r="A2249" s="1" t="s">
        <v>11113</v>
      </c>
      <c r="B2249" s="5" t="s">
        <v>11114</v>
      </c>
      <c r="D2249" s="3" t="s">
        <v>11115</v>
      </c>
      <c r="E2249" s="7" t="s">
        <v>11116</v>
      </c>
    </row>
    <row r="2250">
      <c r="A2250" s="1" t="s">
        <v>11117</v>
      </c>
      <c r="B2250" s="5" t="s">
        <v>11118</v>
      </c>
      <c r="D2250" s="3" t="s">
        <v>11119</v>
      </c>
      <c r="E2250" s="7" t="s">
        <v>11120</v>
      </c>
    </row>
    <row r="2251">
      <c r="A2251" s="1" t="s">
        <v>11121</v>
      </c>
      <c r="B2251" s="5" t="s">
        <v>11122</v>
      </c>
      <c r="D2251" s="3" t="s">
        <v>11123</v>
      </c>
      <c r="E2251" s="7" t="s">
        <v>11124</v>
      </c>
    </row>
    <row r="2252">
      <c r="A2252" s="1" t="s">
        <v>11125</v>
      </c>
      <c r="B2252" s="5" t="s">
        <v>11126</v>
      </c>
      <c r="D2252" s="3" t="s">
        <v>11127</v>
      </c>
      <c r="E2252" s="7" t="s">
        <v>11128</v>
      </c>
    </row>
    <row r="2253">
      <c r="A2253" s="1" t="s">
        <v>11129</v>
      </c>
      <c r="B2253" s="5" t="s">
        <v>11130</v>
      </c>
      <c r="D2253" s="3" t="s">
        <v>11131</v>
      </c>
      <c r="E2253" s="7" t="s">
        <v>11132</v>
      </c>
    </row>
    <row r="2254">
      <c r="A2254" s="1" t="s">
        <v>11133</v>
      </c>
      <c r="B2254" s="5" t="s">
        <v>11134</v>
      </c>
      <c r="D2254" s="3" t="s">
        <v>11135</v>
      </c>
      <c r="E2254" s="7" t="s">
        <v>11136</v>
      </c>
    </row>
    <row r="2255">
      <c r="A2255" s="1" t="s">
        <v>11137</v>
      </c>
      <c r="B2255" s="5" t="s">
        <v>11138</v>
      </c>
      <c r="D2255" s="3" t="s">
        <v>11139</v>
      </c>
      <c r="E2255" s="7" t="s">
        <v>11140</v>
      </c>
    </row>
    <row r="2256">
      <c r="A2256" s="1" t="s">
        <v>11141</v>
      </c>
      <c r="B2256" s="5" t="s">
        <v>11142</v>
      </c>
      <c r="D2256" s="3" t="s">
        <v>11143</v>
      </c>
      <c r="E2256" s="7" t="s">
        <v>11144</v>
      </c>
    </row>
    <row r="2257">
      <c r="A2257" s="1" t="s">
        <v>11145</v>
      </c>
      <c r="B2257" s="5" t="s">
        <v>11146</v>
      </c>
      <c r="D2257" s="3" t="s">
        <v>11147</v>
      </c>
      <c r="E2257" s="7" t="s">
        <v>11148</v>
      </c>
    </row>
    <row r="2258">
      <c r="A2258" s="1" t="s">
        <v>11149</v>
      </c>
      <c r="B2258" s="5" t="s">
        <v>11150</v>
      </c>
      <c r="D2258" s="3" t="s">
        <v>11151</v>
      </c>
      <c r="E2258" s="7" t="s">
        <v>11152</v>
      </c>
    </row>
    <row r="2259">
      <c r="A2259" s="1" t="s">
        <v>11153</v>
      </c>
      <c r="B2259" s="5" t="s">
        <v>11154</v>
      </c>
      <c r="D2259" s="3" t="s">
        <v>11155</v>
      </c>
      <c r="E2259" s="7" t="s">
        <v>11156</v>
      </c>
    </row>
    <row r="2260">
      <c r="A2260" s="1" t="s">
        <v>11157</v>
      </c>
      <c r="B2260" s="5" t="s">
        <v>11158</v>
      </c>
      <c r="D2260" s="3" t="s">
        <v>11159</v>
      </c>
      <c r="E2260" s="7" t="s">
        <v>11160</v>
      </c>
    </row>
    <row r="2261">
      <c r="A2261" s="1" t="s">
        <v>11161</v>
      </c>
      <c r="B2261" s="5" t="s">
        <v>11162</v>
      </c>
      <c r="D2261" s="3" t="s">
        <v>11163</v>
      </c>
      <c r="E2261" s="7" t="s">
        <v>11164</v>
      </c>
    </row>
    <row r="2262">
      <c r="A2262" s="1" t="s">
        <v>11165</v>
      </c>
      <c r="B2262" s="5" t="s">
        <v>11166</v>
      </c>
      <c r="D2262" s="3" t="s">
        <v>11167</v>
      </c>
      <c r="E2262" s="7" t="s">
        <v>11168</v>
      </c>
    </row>
    <row r="2263">
      <c r="A2263" s="1" t="s">
        <v>11169</v>
      </c>
      <c r="B2263" s="5" t="s">
        <v>11170</v>
      </c>
      <c r="D2263" s="3" t="s">
        <v>11171</v>
      </c>
      <c r="E2263" s="7" t="s">
        <v>11172</v>
      </c>
    </row>
    <row r="2264">
      <c r="A2264" s="1" t="s">
        <v>11173</v>
      </c>
      <c r="B2264" s="5" t="s">
        <v>11174</v>
      </c>
      <c r="D2264" s="3" t="s">
        <v>11175</v>
      </c>
      <c r="E2264" s="7" t="s">
        <v>11176</v>
      </c>
    </row>
    <row r="2265">
      <c r="A2265" s="1" t="s">
        <v>11177</v>
      </c>
      <c r="B2265" s="5" t="s">
        <v>11178</v>
      </c>
      <c r="D2265" s="3" t="s">
        <v>11179</v>
      </c>
      <c r="E2265" s="7" t="s">
        <v>11180</v>
      </c>
    </row>
    <row r="2266">
      <c r="A2266" s="1" t="s">
        <v>11181</v>
      </c>
      <c r="B2266" s="5" t="s">
        <v>11182</v>
      </c>
      <c r="D2266" s="3" t="s">
        <v>11183</v>
      </c>
      <c r="E2266" s="7" t="s">
        <v>11184</v>
      </c>
    </row>
    <row r="2267">
      <c r="A2267" s="1" t="s">
        <v>11185</v>
      </c>
      <c r="B2267" s="5" t="s">
        <v>11186</v>
      </c>
      <c r="D2267" s="3" t="s">
        <v>11187</v>
      </c>
      <c r="E2267" s="7" t="s">
        <v>11188</v>
      </c>
    </row>
    <row r="2268">
      <c r="A2268" s="1" t="s">
        <v>11189</v>
      </c>
      <c r="B2268" s="5" t="s">
        <v>11190</v>
      </c>
      <c r="D2268" s="3" t="s">
        <v>11191</v>
      </c>
      <c r="E2268" s="7" t="s">
        <v>11192</v>
      </c>
    </row>
    <row r="2269">
      <c r="A2269" s="1" t="s">
        <v>11193</v>
      </c>
      <c r="B2269" s="5" t="s">
        <v>11194</v>
      </c>
      <c r="D2269" s="3" t="s">
        <v>11195</v>
      </c>
      <c r="E2269" s="7" t="s">
        <v>11196</v>
      </c>
    </row>
    <row r="2270">
      <c r="A2270" s="1" t="s">
        <v>11197</v>
      </c>
      <c r="B2270" s="5" t="s">
        <v>11198</v>
      </c>
      <c r="D2270" s="3" t="s">
        <v>11199</v>
      </c>
      <c r="E2270" s="7" t="s">
        <v>11200</v>
      </c>
    </row>
    <row r="2271">
      <c r="A2271" s="1" t="s">
        <v>11201</v>
      </c>
      <c r="B2271" s="5" t="s">
        <v>11202</v>
      </c>
      <c r="D2271" s="3" t="s">
        <v>11203</v>
      </c>
      <c r="E2271" s="7" t="s">
        <v>11204</v>
      </c>
    </row>
    <row r="2272">
      <c r="A2272" s="1" t="s">
        <v>11205</v>
      </c>
      <c r="B2272" s="5" t="s">
        <v>11206</v>
      </c>
      <c r="D2272" s="3" t="s">
        <v>11207</v>
      </c>
      <c r="E2272" s="7" t="s">
        <v>11208</v>
      </c>
    </row>
    <row r="2273">
      <c r="A2273" s="1" t="s">
        <v>11209</v>
      </c>
      <c r="B2273" s="5" t="s">
        <v>11210</v>
      </c>
      <c r="D2273" s="3" t="s">
        <v>11211</v>
      </c>
      <c r="E2273" s="7" t="s">
        <v>11212</v>
      </c>
    </row>
    <row r="2274">
      <c r="A2274" s="1" t="s">
        <v>11213</v>
      </c>
      <c r="B2274" s="5" t="s">
        <v>11214</v>
      </c>
      <c r="D2274" s="3" t="s">
        <v>11215</v>
      </c>
      <c r="E2274" s="7" t="s">
        <v>11216</v>
      </c>
    </row>
    <row r="2275">
      <c r="A2275" s="1" t="s">
        <v>11217</v>
      </c>
      <c r="B2275" s="5" t="s">
        <v>11218</v>
      </c>
      <c r="D2275" s="3" t="s">
        <v>11219</v>
      </c>
      <c r="E2275" s="7" t="s">
        <v>11220</v>
      </c>
    </row>
    <row r="2276">
      <c r="A2276" s="1" t="s">
        <v>11221</v>
      </c>
      <c r="B2276" s="5" t="s">
        <v>11222</v>
      </c>
      <c r="D2276" s="3" t="s">
        <v>11223</v>
      </c>
      <c r="E2276" s="7" t="s">
        <v>11224</v>
      </c>
    </row>
    <row r="2277">
      <c r="A2277" s="1" t="s">
        <v>11225</v>
      </c>
      <c r="B2277" s="5" t="s">
        <v>11226</v>
      </c>
      <c r="D2277" s="3" t="s">
        <v>11227</v>
      </c>
      <c r="E2277" s="7" t="s">
        <v>11228</v>
      </c>
    </row>
    <row r="2278">
      <c r="A2278" s="1" t="s">
        <v>11229</v>
      </c>
      <c r="B2278" s="5" t="s">
        <v>11230</v>
      </c>
      <c r="D2278" s="3" t="s">
        <v>11231</v>
      </c>
      <c r="E2278" s="7" t="s">
        <v>11232</v>
      </c>
    </row>
    <row r="2279">
      <c r="A2279" s="1" t="s">
        <v>11233</v>
      </c>
      <c r="B2279" s="5" t="s">
        <v>11234</v>
      </c>
      <c r="D2279" s="3" t="s">
        <v>11235</v>
      </c>
      <c r="E2279" s="7" t="s">
        <v>11236</v>
      </c>
    </row>
    <row r="2280">
      <c r="A2280" s="1" t="s">
        <v>11237</v>
      </c>
      <c r="B2280" s="5" t="s">
        <v>11238</v>
      </c>
      <c r="D2280" s="3" t="s">
        <v>11239</v>
      </c>
      <c r="E2280" s="7" t="s">
        <v>11240</v>
      </c>
    </row>
    <row r="2281">
      <c r="A2281" s="1" t="s">
        <v>11241</v>
      </c>
      <c r="B2281" s="5" t="s">
        <v>11242</v>
      </c>
      <c r="D2281" s="3" t="s">
        <v>11243</v>
      </c>
      <c r="E2281" s="7" t="s">
        <v>11244</v>
      </c>
    </row>
    <row r="2282">
      <c r="A2282" s="1" t="s">
        <v>11245</v>
      </c>
      <c r="B2282" s="5" t="s">
        <v>11246</v>
      </c>
      <c r="D2282" s="3" t="s">
        <v>11247</v>
      </c>
      <c r="E2282" s="7" t="s">
        <v>11248</v>
      </c>
    </row>
    <row r="2283">
      <c r="A2283" s="1" t="s">
        <v>11249</v>
      </c>
      <c r="B2283" s="5" t="s">
        <v>11250</v>
      </c>
      <c r="D2283" s="3" t="s">
        <v>11251</v>
      </c>
      <c r="E2283" s="7" t="s">
        <v>11252</v>
      </c>
    </row>
    <row r="2284">
      <c r="A2284" s="1" t="s">
        <v>11253</v>
      </c>
      <c r="B2284" s="5" t="s">
        <v>11254</v>
      </c>
      <c r="D2284" s="3" t="s">
        <v>11255</v>
      </c>
      <c r="E2284" s="7" t="s">
        <v>11256</v>
      </c>
    </row>
    <row r="2285">
      <c r="A2285" s="1" t="s">
        <v>11257</v>
      </c>
      <c r="B2285" s="5" t="s">
        <v>11258</v>
      </c>
      <c r="D2285" s="3" t="s">
        <v>11259</v>
      </c>
      <c r="E2285" s="7" t="s">
        <v>11260</v>
      </c>
    </row>
    <row r="2286">
      <c r="A2286" s="1" t="s">
        <v>11261</v>
      </c>
      <c r="B2286" s="5" t="s">
        <v>11262</v>
      </c>
      <c r="D2286" s="3" t="s">
        <v>11263</v>
      </c>
      <c r="E2286" s="7" t="s">
        <v>11264</v>
      </c>
    </row>
    <row r="2287">
      <c r="A2287" s="1" t="s">
        <v>11265</v>
      </c>
      <c r="B2287" s="5" t="s">
        <v>11265</v>
      </c>
      <c r="D2287" s="3" t="s">
        <v>11266</v>
      </c>
      <c r="E2287" s="7" t="s">
        <v>11267</v>
      </c>
    </row>
    <row r="2288">
      <c r="A2288" s="1" t="s">
        <v>11268</v>
      </c>
      <c r="B2288" s="5" t="s">
        <v>11269</v>
      </c>
      <c r="D2288" s="3" t="s">
        <v>11270</v>
      </c>
      <c r="E2288" s="7" t="s">
        <v>11271</v>
      </c>
    </row>
    <row r="2289">
      <c r="A2289" s="1" t="s">
        <v>11272</v>
      </c>
      <c r="B2289" s="5" t="s">
        <v>11273</v>
      </c>
      <c r="D2289" s="3" t="s">
        <v>11274</v>
      </c>
      <c r="E2289" s="7" t="s">
        <v>11275</v>
      </c>
    </row>
    <row r="2290">
      <c r="A2290" s="1" t="s">
        <v>11276</v>
      </c>
      <c r="B2290" s="5" t="s">
        <v>11277</v>
      </c>
      <c r="D2290" s="3" t="s">
        <v>11278</v>
      </c>
      <c r="E2290" s="7" t="s">
        <v>11279</v>
      </c>
    </row>
    <row r="2291">
      <c r="A2291" s="1" t="s">
        <v>11280</v>
      </c>
      <c r="B2291" s="5" t="s">
        <v>11281</v>
      </c>
      <c r="D2291" s="3" t="s">
        <v>11282</v>
      </c>
      <c r="E2291" s="7" t="s">
        <v>11283</v>
      </c>
    </row>
    <row r="2292">
      <c r="A2292" s="1" t="s">
        <v>11284</v>
      </c>
      <c r="B2292" s="5" t="s">
        <v>11285</v>
      </c>
      <c r="D2292" s="3" t="s">
        <v>11286</v>
      </c>
      <c r="E2292" s="7" t="s">
        <v>11287</v>
      </c>
    </row>
    <row r="2293">
      <c r="A2293" s="1" t="s">
        <v>11288</v>
      </c>
      <c r="B2293" s="5" t="s">
        <v>11289</v>
      </c>
      <c r="D2293" s="3" t="s">
        <v>11290</v>
      </c>
      <c r="E2293" s="7" t="s">
        <v>11291</v>
      </c>
    </row>
    <row r="2294">
      <c r="A2294" s="1" t="s">
        <v>11292</v>
      </c>
      <c r="B2294" s="5" t="s">
        <v>11293</v>
      </c>
      <c r="D2294" s="3" t="s">
        <v>11294</v>
      </c>
      <c r="E2294" s="7" t="s">
        <v>11295</v>
      </c>
    </row>
    <row r="2295">
      <c r="A2295" s="1" t="s">
        <v>11296</v>
      </c>
      <c r="B2295" s="5" t="s">
        <v>11297</v>
      </c>
      <c r="D2295" s="3" t="s">
        <v>11298</v>
      </c>
      <c r="E2295" s="7" t="s">
        <v>11299</v>
      </c>
    </row>
    <row r="2296">
      <c r="A2296" s="1" t="s">
        <v>11300</v>
      </c>
      <c r="B2296" s="5" t="s">
        <v>11301</v>
      </c>
      <c r="D2296" s="3" t="s">
        <v>11302</v>
      </c>
      <c r="E2296" s="7" t="s">
        <v>11303</v>
      </c>
    </row>
    <row r="2297">
      <c r="A2297" s="1" t="s">
        <v>11304</v>
      </c>
      <c r="B2297" s="5" t="s">
        <v>11305</v>
      </c>
      <c r="D2297" s="3" t="s">
        <v>11306</v>
      </c>
      <c r="E2297" s="7" t="s">
        <v>11307</v>
      </c>
    </row>
    <row r="2298">
      <c r="A2298" s="1" t="s">
        <v>11308</v>
      </c>
      <c r="B2298" s="5" t="s">
        <v>11309</v>
      </c>
      <c r="D2298" s="3" t="s">
        <v>11310</v>
      </c>
      <c r="E2298" s="7" t="s">
        <v>11311</v>
      </c>
    </row>
    <row r="2299">
      <c r="A2299" s="1" t="s">
        <v>11312</v>
      </c>
      <c r="B2299" s="5" t="s">
        <v>11313</v>
      </c>
      <c r="D2299" s="3" t="s">
        <v>11314</v>
      </c>
      <c r="E2299" s="7" t="s">
        <v>11315</v>
      </c>
    </row>
    <row r="2300">
      <c r="A2300" s="1" t="s">
        <v>11316</v>
      </c>
      <c r="B2300" s="5" t="s">
        <v>11317</v>
      </c>
      <c r="D2300" s="3" t="s">
        <v>11318</v>
      </c>
      <c r="E2300" s="7" t="s">
        <v>11319</v>
      </c>
    </row>
    <row r="2301">
      <c r="A2301" s="1" t="s">
        <v>11320</v>
      </c>
      <c r="B2301" s="5" t="s">
        <v>11321</v>
      </c>
      <c r="D2301" s="3" t="s">
        <v>11322</v>
      </c>
      <c r="E2301" s="7" t="s">
        <v>11323</v>
      </c>
    </row>
    <row r="2302">
      <c r="A2302" s="1" t="s">
        <v>11324</v>
      </c>
      <c r="B2302" s="5" t="s">
        <v>11325</v>
      </c>
      <c r="D2302" s="3" t="s">
        <v>11326</v>
      </c>
      <c r="E2302" s="7" t="s">
        <v>11327</v>
      </c>
    </row>
    <row r="2303">
      <c r="A2303" s="1" t="s">
        <v>11328</v>
      </c>
      <c r="B2303" s="5" t="s">
        <v>11329</v>
      </c>
      <c r="D2303" s="3" t="s">
        <v>11330</v>
      </c>
      <c r="E2303" s="7" t="s">
        <v>11331</v>
      </c>
    </row>
    <row r="2304">
      <c r="A2304" s="1" t="s">
        <v>11332</v>
      </c>
      <c r="B2304" s="5" t="s">
        <v>11333</v>
      </c>
      <c r="D2304" s="3" t="s">
        <v>11334</v>
      </c>
      <c r="E2304" s="7" t="s">
        <v>11335</v>
      </c>
    </row>
    <row r="2305">
      <c r="A2305" s="1" t="s">
        <v>11336</v>
      </c>
      <c r="B2305" s="5" t="s">
        <v>11337</v>
      </c>
      <c r="D2305" s="3" t="s">
        <v>11338</v>
      </c>
      <c r="E2305" s="7" t="s">
        <v>11339</v>
      </c>
    </row>
    <row r="2306">
      <c r="A2306" s="1" t="s">
        <v>11340</v>
      </c>
      <c r="B2306" s="5" t="s">
        <v>11341</v>
      </c>
      <c r="D2306" s="3" t="s">
        <v>11342</v>
      </c>
      <c r="E2306" s="7" t="s">
        <v>11343</v>
      </c>
    </row>
    <row r="2307">
      <c r="A2307" s="1" t="s">
        <v>11344</v>
      </c>
      <c r="B2307" s="5" t="s">
        <v>11345</v>
      </c>
      <c r="D2307" s="3" t="s">
        <v>11346</v>
      </c>
      <c r="E2307" s="7" t="s">
        <v>11347</v>
      </c>
    </row>
    <row r="2308">
      <c r="A2308" s="1" t="s">
        <v>11348</v>
      </c>
      <c r="B2308" s="5" t="s">
        <v>11349</v>
      </c>
      <c r="D2308" s="3" t="s">
        <v>11350</v>
      </c>
      <c r="E2308" s="7" t="s">
        <v>11351</v>
      </c>
    </row>
    <row r="2309">
      <c r="A2309" s="1" t="s">
        <v>11352</v>
      </c>
      <c r="B2309" s="5" t="s">
        <v>11353</v>
      </c>
      <c r="D2309" s="3" t="s">
        <v>11354</v>
      </c>
      <c r="E2309" s="7" t="s">
        <v>11355</v>
      </c>
    </row>
    <row r="2310">
      <c r="A2310" s="1" t="s">
        <v>11356</v>
      </c>
      <c r="B2310" s="5" t="s">
        <v>11357</v>
      </c>
      <c r="D2310" s="3" t="s">
        <v>11358</v>
      </c>
      <c r="E2310" s="7" t="s">
        <v>11359</v>
      </c>
    </row>
    <row r="2311">
      <c r="A2311" s="1" t="s">
        <v>11360</v>
      </c>
      <c r="B2311" s="5" t="s">
        <v>11361</v>
      </c>
      <c r="D2311" s="3" t="s">
        <v>11362</v>
      </c>
      <c r="E2311" s="7" t="s">
        <v>11363</v>
      </c>
    </row>
    <row r="2312">
      <c r="A2312" s="1" t="s">
        <v>11364</v>
      </c>
      <c r="B2312" s="5" t="s">
        <v>11365</v>
      </c>
      <c r="D2312" s="3" t="s">
        <v>11366</v>
      </c>
      <c r="E2312" s="7" t="s">
        <v>11367</v>
      </c>
    </row>
    <row r="2313">
      <c r="A2313" s="1" t="s">
        <v>11368</v>
      </c>
      <c r="B2313" s="5" t="s">
        <v>11369</v>
      </c>
      <c r="D2313" s="3" t="s">
        <v>11370</v>
      </c>
      <c r="E2313" s="7" t="s">
        <v>11371</v>
      </c>
    </row>
    <row r="2314">
      <c r="A2314" s="1" t="s">
        <v>11372</v>
      </c>
      <c r="B2314" s="5" t="s">
        <v>11373</v>
      </c>
      <c r="D2314" s="3" t="s">
        <v>11374</v>
      </c>
      <c r="E2314" s="7" t="s">
        <v>11375</v>
      </c>
    </row>
    <row r="2315">
      <c r="A2315" s="1" t="s">
        <v>11376</v>
      </c>
      <c r="B2315" s="5" t="s">
        <v>11377</v>
      </c>
      <c r="D2315" s="3" t="s">
        <v>11378</v>
      </c>
      <c r="E2315" s="7" t="s">
        <v>11379</v>
      </c>
    </row>
    <row r="2316">
      <c r="A2316" s="1" t="s">
        <v>11380</v>
      </c>
      <c r="B2316" s="5" t="s">
        <v>11381</v>
      </c>
      <c r="D2316" s="3" t="s">
        <v>11382</v>
      </c>
      <c r="E2316" s="7" t="s">
        <v>11383</v>
      </c>
    </row>
    <row r="2317">
      <c r="A2317" s="1" t="s">
        <v>11384</v>
      </c>
      <c r="B2317" s="5" t="s">
        <v>11385</v>
      </c>
      <c r="D2317" s="3" t="s">
        <v>11386</v>
      </c>
      <c r="E2317" s="7" t="s">
        <v>11387</v>
      </c>
    </row>
    <row r="2318">
      <c r="A2318" s="1" t="s">
        <v>11388</v>
      </c>
      <c r="B2318" s="5" t="s">
        <v>11389</v>
      </c>
      <c r="D2318" s="3" t="s">
        <v>11390</v>
      </c>
      <c r="E2318" s="7" t="s">
        <v>11391</v>
      </c>
    </row>
    <row r="2319">
      <c r="A2319" s="1" t="s">
        <v>11392</v>
      </c>
      <c r="B2319" s="5" t="s">
        <v>11393</v>
      </c>
      <c r="D2319" s="3" t="s">
        <v>11394</v>
      </c>
      <c r="E2319" s="7" t="s">
        <v>11395</v>
      </c>
    </row>
    <row r="2320">
      <c r="A2320" s="1" t="s">
        <v>11396</v>
      </c>
      <c r="B2320" s="5" t="s">
        <v>11397</v>
      </c>
      <c r="D2320" s="3" t="s">
        <v>11398</v>
      </c>
      <c r="E2320" s="7" t="s">
        <v>11399</v>
      </c>
    </row>
    <row r="2321">
      <c r="A2321" s="1" t="s">
        <v>11400</v>
      </c>
      <c r="B2321" s="5" t="s">
        <v>11401</v>
      </c>
      <c r="D2321" s="3" t="s">
        <v>11402</v>
      </c>
      <c r="E2321" s="7" t="s">
        <v>11403</v>
      </c>
    </row>
    <row r="2322">
      <c r="A2322" s="1" t="s">
        <v>11404</v>
      </c>
      <c r="B2322" s="5" t="s">
        <v>11405</v>
      </c>
      <c r="D2322" s="3" t="s">
        <v>11406</v>
      </c>
      <c r="E2322" s="7" t="s">
        <v>11407</v>
      </c>
    </row>
    <row r="2323">
      <c r="A2323" s="1" t="s">
        <v>11408</v>
      </c>
      <c r="B2323" s="5" t="s">
        <v>11409</v>
      </c>
      <c r="D2323" s="3" t="s">
        <v>11410</v>
      </c>
      <c r="E2323" s="7" t="s">
        <v>11411</v>
      </c>
    </row>
    <row r="2324">
      <c r="A2324" s="1" t="s">
        <v>11412</v>
      </c>
      <c r="B2324" s="5" t="s">
        <v>11413</v>
      </c>
      <c r="D2324" s="3" t="s">
        <v>11414</v>
      </c>
      <c r="E2324" s="7" t="s">
        <v>11415</v>
      </c>
    </row>
    <row r="2325">
      <c r="A2325" s="1" t="s">
        <v>11416</v>
      </c>
      <c r="B2325" s="5" t="s">
        <v>11417</v>
      </c>
      <c r="D2325" s="3" t="s">
        <v>11418</v>
      </c>
      <c r="E2325" s="7" t="s">
        <v>11419</v>
      </c>
    </row>
    <row r="2326">
      <c r="A2326" s="1" t="s">
        <v>11420</v>
      </c>
      <c r="B2326" s="5" t="s">
        <v>11421</v>
      </c>
      <c r="D2326" s="3" t="s">
        <v>11422</v>
      </c>
      <c r="E2326" s="7" t="s">
        <v>11423</v>
      </c>
    </row>
    <row r="2327">
      <c r="A2327" s="1" t="s">
        <v>11424</v>
      </c>
      <c r="B2327" s="5" t="s">
        <v>11425</v>
      </c>
      <c r="D2327" s="3" t="s">
        <v>11426</v>
      </c>
      <c r="E2327" s="7" t="s">
        <v>11427</v>
      </c>
    </row>
    <row r="2328">
      <c r="A2328" s="1" t="s">
        <v>11428</v>
      </c>
      <c r="B2328" s="5" t="s">
        <v>11429</v>
      </c>
      <c r="D2328" s="3" t="s">
        <v>11430</v>
      </c>
      <c r="E2328" s="7" t="s">
        <v>11431</v>
      </c>
    </row>
    <row r="2329">
      <c r="A2329" s="1" t="s">
        <v>11432</v>
      </c>
      <c r="B2329" s="5" t="s">
        <v>11433</v>
      </c>
      <c r="D2329" s="3" t="s">
        <v>11434</v>
      </c>
      <c r="E2329" s="7" t="s">
        <v>11435</v>
      </c>
    </row>
    <row r="2330">
      <c r="A2330" s="1" t="s">
        <v>11436</v>
      </c>
      <c r="B2330" s="5" t="s">
        <v>11437</v>
      </c>
      <c r="D2330" s="3" t="s">
        <v>11438</v>
      </c>
      <c r="E2330" s="7" t="s">
        <v>11439</v>
      </c>
    </row>
    <row r="2331">
      <c r="A2331" s="1" t="s">
        <v>11440</v>
      </c>
      <c r="B2331" s="5" t="s">
        <v>11441</v>
      </c>
      <c r="D2331" s="3" t="s">
        <v>11442</v>
      </c>
      <c r="E2331" s="7" t="s">
        <v>11443</v>
      </c>
    </row>
    <row r="2332">
      <c r="A2332" s="1" t="s">
        <v>11444</v>
      </c>
      <c r="B2332" s="5" t="s">
        <v>11445</v>
      </c>
      <c r="D2332" s="3" t="s">
        <v>11446</v>
      </c>
      <c r="E2332" s="7" t="s">
        <v>11447</v>
      </c>
    </row>
    <row r="2333">
      <c r="A2333" s="1" t="s">
        <v>11448</v>
      </c>
      <c r="B2333" s="5" t="s">
        <v>11449</v>
      </c>
      <c r="D2333" s="3" t="s">
        <v>11450</v>
      </c>
      <c r="E2333" s="7" t="s">
        <v>11451</v>
      </c>
    </row>
    <row r="2334">
      <c r="A2334" s="1" t="s">
        <v>11452</v>
      </c>
      <c r="B2334" s="5" t="s">
        <v>11453</v>
      </c>
      <c r="D2334" s="3" t="s">
        <v>11454</v>
      </c>
      <c r="E2334" s="7" t="s">
        <v>11455</v>
      </c>
    </row>
    <row r="2335">
      <c r="A2335" s="1" t="s">
        <v>11456</v>
      </c>
      <c r="B2335" s="5" t="s">
        <v>11457</v>
      </c>
      <c r="D2335" s="3" t="s">
        <v>11458</v>
      </c>
      <c r="E2335" s="7" t="s">
        <v>11459</v>
      </c>
    </row>
    <row r="2336">
      <c r="A2336" s="1" t="s">
        <v>11460</v>
      </c>
      <c r="B2336" s="5" t="s">
        <v>11461</v>
      </c>
      <c r="D2336" s="3" t="s">
        <v>11462</v>
      </c>
      <c r="E2336" s="7" t="s">
        <v>11463</v>
      </c>
    </row>
    <row r="2337">
      <c r="A2337" s="1" t="s">
        <v>11464</v>
      </c>
      <c r="B2337" s="5" t="s">
        <v>11465</v>
      </c>
      <c r="D2337" s="3" t="s">
        <v>11466</v>
      </c>
      <c r="E2337" s="7" t="s">
        <v>11467</v>
      </c>
    </row>
    <row r="2338">
      <c r="A2338" s="1" t="s">
        <v>11468</v>
      </c>
      <c r="B2338" s="5" t="s">
        <v>11469</v>
      </c>
      <c r="D2338" s="3" t="s">
        <v>11470</v>
      </c>
      <c r="E2338" s="7" t="s">
        <v>11471</v>
      </c>
    </row>
    <row r="2339">
      <c r="A2339" s="1" t="s">
        <v>11472</v>
      </c>
      <c r="B2339" s="5" t="s">
        <v>11473</v>
      </c>
      <c r="D2339" s="3" t="s">
        <v>11474</v>
      </c>
      <c r="E2339" s="7" t="s">
        <v>11475</v>
      </c>
    </row>
    <row r="2340">
      <c r="A2340" s="1" t="s">
        <v>11476</v>
      </c>
      <c r="B2340" s="5" t="s">
        <v>11477</v>
      </c>
      <c r="D2340" s="3" t="s">
        <v>11478</v>
      </c>
      <c r="E2340" s="7" t="s">
        <v>11479</v>
      </c>
    </row>
    <row r="2341">
      <c r="A2341" s="1" t="s">
        <v>11480</v>
      </c>
      <c r="B2341" s="5" t="s">
        <v>11481</v>
      </c>
      <c r="D2341" s="3" t="s">
        <v>11482</v>
      </c>
      <c r="E2341" s="7" t="s">
        <v>11483</v>
      </c>
    </row>
    <row r="2342">
      <c r="A2342" s="1" t="s">
        <v>11484</v>
      </c>
      <c r="B2342" s="5" t="s">
        <v>11485</v>
      </c>
      <c r="D2342" s="3" t="s">
        <v>11486</v>
      </c>
      <c r="E2342" s="7" t="s">
        <v>11487</v>
      </c>
    </row>
    <row r="2343">
      <c r="A2343" s="1" t="s">
        <v>11488</v>
      </c>
      <c r="B2343" s="5" t="s">
        <v>11489</v>
      </c>
      <c r="D2343" s="3" t="s">
        <v>11490</v>
      </c>
      <c r="E2343" s="7" t="s">
        <v>11491</v>
      </c>
    </row>
    <row r="2344">
      <c r="A2344" s="1" t="s">
        <v>11492</v>
      </c>
      <c r="B2344" s="5" t="s">
        <v>11493</v>
      </c>
      <c r="D2344" s="3" t="s">
        <v>11494</v>
      </c>
      <c r="E2344" s="7" t="s">
        <v>11495</v>
      </c>
    </row>
    <row r="2345">
      <c r="A2345" s="1" t="s">
        <v>11496</v>
      </c>
      <c r="B2345" s="5" t="s">
        <v>11497</v>
      </c>
      <c r="D2345" s="3" t="s">
        <v>11498</v>
      </c>
      <c r="E2345" s="7" t="s">
        <v>11499</v>
      </c>
    </row>
    <row r="2346">
      <c r="A2346" s="1" t="s">
        <v>11500</v>
      </c>
      <c r="B2346" s="5" t="s">
        <v>11501</v>
      </c>
      <c r="D2346" s="3" t="s">
        <v>11502</v>
      </c>
      <c r="E2346" s="7" t="s">
        <v>11503</v>
      </c>
    </row>
    <row r="2347">
      <c r="A2347" s="1" t="s">
        <v>11504</v>
      </c>
      <c r="B2347" s="5" t="s">
        <v>11505</v>
      </c>
      <c r="D2347" s="3" t="s">
        <v>11506</v>
      </c>
      <c r="E2347" s="7" t="s">
        <v>11507</v>
      </c>
    </row>
    <row r="2348">
      <c r="A2348" s="1" t="s">
        <v>11508</v>
      </c>
      <c r="B2348" s="5" t="s">
        <v>11509</v>
      </c>
      <c r="D2348" s="3" t="s">
        <v>11510</v>
      </c>
      <c r="E2348" s="7" t="s">
        <v>11511</v>
      </c>
    </row>
    <row r="2349">
      <c r="A2349" s="1" t="s">
        <v>11512</v>
      </c>
      <c r="B2349" s="5" t="s">
        <v>11513</v>
      </c>
      <c r="D2349" s="3" t="s">
        <v>11514</v>
      </c>
      <c r="E2349" s="7" t="s">
        <v>11515</v>
      </c>
    </row>
    <row r="2350">
      <c r="A2350" s="1" t="s">
        <v>11516</v>
      </c>
      <c r="B2350" s="5" t="s">
        <v>11517</v>
      </c>
      <c r="D2350" s="3" t="s">
        <v>11518</v>
      </c>
      <c r="E2350" s="7" t="s">
        <v>11519</v>
      </c>
    </row>
    <row r="2351">
      <c r="A2351" s="1" t="s">
        <v>11520</v>
      </c>
      <c r="B2351" s="5" t="s">
        <v>11521</v>
      </c>
      <c r="D2351" s="3" t="s">
        <v>11522</v>
      </c>
      <c r="E2351" s="7" t="s">
        <v>11523</v>
      </c>
    </row>
    <row r="2352">
      <c r="A2352" s="1" t="s">
        <v>11524</v>
      </c>
      <c r="B2352" s="5" t="s">
        <v>11525</v>
      </c>
      <c r="D2352" s="3" t="s">
        <v>11526</v>
      </c>
      <c r="E2352" s="7" t="s">
        <v>11527</v>
      </c>
    </row>
    <row r="2353">
      <c r="A2353" s="1" t="s">
        <v>11528</v>
      </c>
      <c r="B2353" s="5" t="s">
        <v>11529</v>
      </c>
      <c r="D2353" s="3" t="s">
        <v>11530</v>
      </c>
      <c r="E2353" s="7" t="s">
        <v>11531</v>
      </c>
    </row>
    <row r="2354">
      <c r="A2354" s="1" t="s">
        <v>11532</v>
      </c>
      <c r="B2354" s="5" t="s">
        <v>11533</v>
      </c>
      <c r="D2354" s="3" t="s">
        <v>11534</v>
      </c>
      <c r="E2354" s="7" t="s">
        <v>11535</v>
      </c>
    </row>
    <row r="2355">
      <c r="A2355" s="1" t="s">
        <v>11536</v>
      </c>
      <c r="B2355" s="5" t="s">
        <v>11537</v>
      </c>
      <c r="D2355" s="3" t="s">
        <v>11538</v>
      </c>
      <c r="E2355" s="7" t="s">
        <v>11539</v>
      </c>
    </row>
    <row r="2356">
      <c r="A2356" s="1" t="s">
        <v>11540</v>
      </c>
      <c r="B2356" s="5" t="s">
        <v>11541</v>
      </c>
      <c r="D2356" s="3" t="s">
        <v>11542</v>
      </c>
      <c r="E2356" s="7" t="s">
        <v>11543</v>
      </c>
    </row>
    <row r="2357">
      <c r="A2357" s="1" t="s">
        <v>11544</v>
      </c>
      <c r="B2357" s="5" t="s">
        <v>11545</v>
      </c>
      <c r="D2357" s="3" t="s">
        <v>11546</v>
      </c>
      <c r="E2357" s="7" t="s">
        <v>11547</v>
      </c>
    </row>
    <row r="2358">
      <c r="A2358" s="1" t="s">
        <v>11548</v>
      </c>
      <c r="B2358" s="5" t="s">
        <v>11549</v>
      </c>
      <c r="D2358" s="3" t="s">
        <v>11550</v>
      </c>
      <c r="E2358" s="7" t="s">
        <v>11551</v>
      </c>
    </row>
    <row r="2359">
      <c r="A2359" s="1" t="s">
        <v>11552</v>
      </c>
      <c r="B2359" s="5" t="s">
        <v>11553</v>
      </c>
      <c r="D2359" s="3" t="s">
        <v>11554</v>
      </c>
      <c r="E2359" s="7" t="s">
        <v>11555</v>
      </c>
    </row>
    <row r="2360">
      <c r="A2360" s="1" t="s">
        <v>11556</v>
      </c>
      <c r="B2360" s="5" t="s">
        <v>11557</v>
      </c>
      <c r="D2360" s="3" t="s">
        <v>11558</v>
      </c>
      <c r="E2360" s="7" t="s">
        <v>11559</v>
      </c>
    </row>
    <row r="2361">
      <c r="A2361" s="1" t="s">
        <v>11560</v>
      </c>
      <c r="B2361" s="5" t="s">
        <v>11561</v>
      </c>
      <c r="D2361" s="3" t="s">
        <v>11562</v>
      </c>
      <c r="E2361" s="7" t="s">
        <v>11563</v>
      </c>
    </row>
    <row r="2362">
      <c r="A2362" s="1" t="s">
        <v>11564</v>
      </c>
      <c r="B2362" s="5" t="s">
        <v>11565</v>
      </c>
      <c r="D2362" s="3" t="s">
        <v>11566</v>
      </c>
      <c r="E2362" s="7" t="s">
        <v>11567</v>
      </c>
    </row>
    <row r="2363">
      <c r="A2363" s="1" t="s">
        <v>11568</v>
      </c>
      <c r="B2363" s="5" t="s">
        <v>11569</v>
      </c>
      <c r="D2363" s="3" t="s">
        <v>11570</v>
      </c>
      <c r="E2363" s="7" t="s">
        <v>11571</v>
      </c>
    </row>
    <row r="2364">
      <c r="A2364" s="1" t="s">
        <v>11572</v>
      </c>
      <c r="B2364" s="5" t="s">
        <v>11573</v>
      </c>
      <c r="D2364" s="3" t="s">
        <v>11574</v>
      </c>
      <c r="E2364" s="7" t="s">
        <v>11575</v>
      </c>
    </row>
    <row r="2365">
      <c r="A2365" s="1" t="s">
        <v>11576</v>
      </c>
      <c r="B2365" s="5" t="s">
        <v>11577</v>
      </c>
      <c r="D2365" s="3" t="s">
        <v>11578</v>
      </c>
      <c r="E2365" s="7" t="s">
        <v>11579</v>
      </c>
    </row>
    <row r="2366">
      <c r="A2366" s="1" t="s">
        <v>11580</v>
      </c>
      <c r="B2366" s="5" t="s">
        <v>11581</v>
      </c>
      <c r="D2366" s="3" t="s">
        <v>11582</v>
      </c>
      <c r="E2366" s="7" t="s">
        <v>11583</v>
      </c>
    </row>
    <row r="2367">
      <c r="A2367" s="1" t="s">
        <v>11584</v>
      </c>
      <c r="B2367" s="5" t="s">
        <v>11585</v>
      </c>
      <c r="D2367" s="3" t="s">
        <v>11586</v>
      </c>
      <c r="E2367" s="7" t="s">
        <v>11587</v>
      </c>
    </row>
    <row r="2368">
      <c r="A2368" s="1" t="s">
        <v>11588</v>
      </c>
      <c r="B2368" s="5" t="s">
        <v>11589</v>
      </c>
      <c r="D2368" s="3" t="s">
        <v>11590</v>
      </c>
      <c r="E2368" s="7" t="s">
        <v>11591</v>
      </c>
    </row>
    <row r="2369">
      <c r="A2369" s="1" t="s">
        <v>11592</v>
      </c>
      <c r="B2369" s="5" t="s">
        <v>11593</v>
      </c>
      <c r="D2369" s="3" t="s">
        <v>11594</v>
      </c>
      <c r="E2369" s="7" t="s">
        <v>11595</v>
      </c>
    </row>
    <row r="2370">
      <c r="A2370" s="1" t="s">
        <v>11596</v>
      </c>
      <c r="B2370" s="5" t="s">
        <v>11597</v>
      </c>
      <c r="D2370" s="3" t="s">
        <v>11598</v>
      </c>
      <c r="E2370" s="7" t="s">
        <v>11599</v>
      </c>
    </row>
    <row r="2371">
      <c r="A2371" s="1" t="s">
        <v>11600</v>
      </c>
      <c r="B2371" s="5" t="s">
        <v>11601</v>
      </c>
      <c r="D2371" s="3" t="s">
        <v>11602</v>
      </c>
      <c r="E2371" s="7" t="s">
        <v>11603</v>
      </c>
    </row>
    <row r="2372">
      <c r="A2372" s="1" t="s">
        <v>11604</v>
      </c>
      <c r="B2372" s="5" t="s">
        <v>11605</v>
      </c>
      <c r="D2372" s="3" t="s">
        <v>11606</v>
      </c>
      <c r="E2372" s="7" t="s">
        <v>11607</v>
      </c>
    </row>
    <row r="2373">
      <c r="A2373" s="1" t="s">
        <v>11608</v>
      </c>
      <c r="B2373" s="5" t="s">
        <v>11609</v>
      </c>
      <c r="D2373" s="3" t="s">
        <v>11610</v>
      </c>
      <c r="E2373" s="7" t="s">
        <v>11611</v>
      </c>
    </row>
    <row r="2374">
      <c r="A2374" s="1" t="s">
        <v>11612</v>
      </c>
      <c r="B2374" s="5" t="s">
        <v>11613</v>
      </c>
      <c r="D2374" s="3" t="s">
        <v>11614</v>
      </c>
      <c r="E2374" s="7" t="s">
        <v>11615</v>
      </c>
    </row>
    <row r="2375">
      <c r="A2375" s="1" t="s">
        <v>11616</v>
      </c>
      <c r="B2375" s="5" t="s">
        <v>11617</v>
      </c>
      <c r="D2375" s="3" t="s">
        <v>11618</v>
      </c>
      <c r="E2375" s="7" t="s">
        <v>11619</v>
      </c>
    </row>
    <row r="2376">
      <c r="A2376" s="1" t="s">
        <v>11620</v>
      </c>
      <c r="B2376" s="5" t="s">
        <v>11621</v>
      </c>
      <c r="D2376" s="3" t="s">
        <v>11622</v>
      </c>
      <c r="E2376" s="7" t="s">
        <v>11623</v>
      </c>
    </row>
    <row r="2377">
      <c r="A2377" s="1" t="s">
        <v>11624</v>
      </c>
      <c r="B2377" s="5" t="s">
        <v>11625</v>
      </c>
      <c r="D2377" s="3" t="s">
        <v>11626</v>
      </c>
      <c r="E2377" s="7" t="s">
        <v>11627</v>
      </c>
    </row>
    <row r="2378">
      <c r="A2378" s="1" t="s">
        <v>11628</v>
      </c>
      <c r="B2378" s="5" t="s">
        <v>11629</v>
      </c>
      <c r="D2378" s="3" t="s">
        <v>11630</v>
      </c>
      <c r="E2378" s="7" t="s">
        <v>11631</v>
      </c>
    </row>
    <row r="2379">
      <c r="A2379" s="1" t="s">
        <v>11632</v>
      </c>
      <c r="B2379" s="5" t="s">
        <v>11633</v>
      </c>
      <c r="D2379" s="3" t="s">
        <v>11634</v>
      </c>
      <c r="E2379" s="7" t="s">
        <v>11635</v>
      </c>
    </row>
    <row r="2380">
      <c r="A2380" s="1" t="s">
        <v>11636</v>
      </c>
      <c r="B2380" s="5" t="s">
        <v>11637</v>
      </c>
      <c r="D2380" s="3" t="s">
        <v>11638</v>
      </c>
      <c r="E2380" s="7" t="s">
        <v>11639</v>
      </c>
    </row>
    <row r="2381">
      <c r="A2381" s="1" t="s">
        <v>11640</v>
      </c>
      <c r="B2381" s="5" t="s">
        <v>11641</v>
      </c>
      <c r="D2381" s="3" t="s">
        <v>11642</v>
      </c>
      <c r="E2381" s="7" t="s">
        <v>11643</v>
      </c>
    </row>
    <row r="2382">
      <c r="A2382" s="1" t="s">
        <v>11644</v>
      </c>
      <c r="B2382" s="5" t="s">
        <v>11645</v>
      </c>
      <c r="D2382" s="3" t="s">
        <v>11646</v>
      </c>
      <c r="E2382" s="7" t="s">
        <v>11647</v>
      </c>
    </row>
    <row r="2383">
      <c r="A2383" s="1" t="s">
        <v>11648</v>
      </c>
      <c r="B2383" s="5" t="s">
        <v>11649</v>
      </c>
      <c r="D2383" s="3" t="s">
        <v>11650</v>
      </c>
      <c r="E2383" s="7" t="s">
        <v>11651</v>
      </c>
    </row>
    <row r="2384">
      <c r="A2384" s="1" t="s">
        <v>11652</v>
      </c>
      <c r="B2384" s="5" t="s">
        <v>11653</v>
      </c>
      <c r="D2384" s="3" t="s">
        <v>11654</v>
      </c>
      <c r="E2384" s="7" t="s">
        <v>11655</v>
      </c>
    </row>
    <row r="2385">
      <c r="A2385" s="1" t="s">
        <v>11656</v>
      </c>
      <c r="B2385" s="5" t="s">
        <v>11657</v>
      </c>
      <c r="D2385" s="3" t="s">
        <v>11658</v>
      </c>
      <c r="E2385" s="7" t="s">
        <v>11659</v>
      </c>
    </row>
    <row r="2386">
      <c r="A2386" s="1" t="s">
        <v>11660</v>
      </c>
      <c r="B2386" s="5" t="s">
        <v>11661</v>
      </c>
      <c r="D2386" s="3" t="s">
        <v>11662</v>
      </c>
      <c r="E2386" s="7" t="s">
        <v>11663</v>
      </c>
    </row>
    <row r="2387">
      <c r="A2387" s="1" t="s">
        <v>11664</v>
      </c>
      <c r="B2387" s="5" t="s">
        <v>11665</v>
      </c>
      <c r="D2387" s="3" t="s">
        <v>11666</v>
      </c>
      <c r="E2387" s="7" t="s">
        <v>11667</v>
      </c>
    </row>
    <row r="2388">
      <c r="A2388" s="1" t="s">
        <v>11668</v>
      </c>
      <c r="B2388" s="5" t="s">
        <v>11669</v>
      </c>
      <c r="D2388" s="3" t="s">
        <v>11670</v>
      </c>
      <c r="E2388" s="7" t="s">
        <v>11671</v>
      </c>
    </row>
    <row r="2389">
      <c r="A2389" s="1" t="s">
        <v>11672</v>
      </c>
      <c r="B2389" s="5" t="s">
        <v>11673</v>
      </c>
      <c r="D2389" s="3" t="s">
        <v>11674</v>
      </c>
      <c r="E2389" s="7" t="s">
        <v>11675</v>
      </c>
    </row>
    <row r="2390">
      <c r="A2390" s="1" t="s">
        <v>11676</v>
      </c>
      <c r="B2390" s="5" t="s">
        <v>11677</v>
      </c>
      <c r="D2390" s="3" t="s">
        <v>11678</v>
      </c>
      <c r="E2390" s="7" t="s">
        <v>11679</v>
      </c>
    </row>
    <row r="2391">
      <c r="A2391" s="1" t="s">
        <v>11680</v>
      </c>
      <c r="B2391" s="5" t="s">
        <v>11681</v>
      </c>
      <c r="D2391" s="3" t="s">
        <v>11682</v>
      </c>
      <c r="E2391" s="7" t="s">
        <v>11683</v>
      </c>
    </row>
    <row r="2392">
      <c r="A2392" s="1" t="s">
        <v>11684</v>
      </c>
      <c r="B2392" s="5" t="s">
        <v>11685</v>
      </c>
      <c r="D2392" s="3" t="s">
        <v>11686</v>
      </c>
      <c r="E2392" s="7" t="s">
        <v>11687</v>
      </c>
    </row>
    <row r="2393">
      <c r="A2393" s="1" t="s">
        <v>11688</v>
      </c>
      <c r="B2393" s="5" t="s">
        <v>11689</v>
      </c>
      <c r="D2393" s="3" t="s">
        <v>11690</v>
      </c>
      <c r="E2393" s="7" t="s">
        <v>11691</v>
      </c>
    </row>
    <row r="2394">
      <c r="A2394" s="1" t="s">
        <v>11692</v>
      </c>
      <c r="B2394" s="5" t="s">
        <v>11693</v>
      </c>
      <c r="D2394" s="3" t="s">
        <v>11694</v>
      </c>
      <c r="E2394" s="7" t="s">
        <v>11695</v>
      </c>
    </row>
    <row r="2395">
      <c r="A2395" s="1" t="s">
        <v>11696</v>
      </c>
      <c r="B2395" s="5" t="s">
        <v>11697</v>
      </c>
      <c r="D2395" s="3" t="s">
        <v>11698</v>
      </c>
      <c r="E2395" s="7" t="s">
        <v>11699</v>
      </c>
    </row>
    <row r="2396">
      <c r="A2396" s="1" t="s">
        <v>11700</v>
      </c>
      <c r="B2396" s="5" t="s">
        <v>11701</v>
      </c>
      <c r="D2396" s="3" t="s">
        <v>11702</v>
      </c>
      <c r="E2396" s="7" t="s">
        <v>11703</v>
      </c>
    </row>
    <row r="2397">
      <c r="A2397" s="1" t="s">
        <v>11704</v>
      </c>
      <c r="B2397" s="5" t="s">
        <v>11705</v>
      </c>
      <c r="D2397" s="3" t="s">
        <v>11706</v>
      </c>
      <c r="E2397" s="7" t="s">
        <v>11707</v>
      </c>
    </row>
    <row r="2398">
      <c r="A2398" s="1" t="s">
        <v>11708</v>
      </c>
      <c r="B2398" s="5" t="s">
        <v>11709</v>
      </c>
      <c r="D2398" s="3" t="s">
        <v>11710</v>
      </c>
      <c r="E2398" s="7" t="s">
        <v>11711</v>
      </c>
    </row>
    <row r="2399">
      <c r="A2399" s="1" t="s">
        <v>11712</v>
      </c>
      <c r="B2399" s="5" t="s">
        <v>11713</v>
      </c>
      <c r="D2399" s="3" t="s">
        <v>11714</v>
      </c>
      <c r="E2399" s="7" t="s">
        <v>11715</v>
      </c>
    </row>
    <row r="2400">
      <c r="A2400" s="1" t="s">
        <v>11716</v>
      </c>
      <c r="B2400" s="5" t="s">
        <v>11717</v>
      </c>
      <c r="D2400" s="3" t="s">
        <v>11718</v>
      </c>
      <c r="E2400" s="7" t="s">
        <v>11719</v>
      </c>
    </row>
    <row r="2401">
      <c r="A2401" s="1" t="s">
        <v>11720</v>
      </c>
      <c r="B2401" s="5" t="s">
        <v>11721</v>
      </c>
      <c r="D2401" s="3" t="s">
        <v>11722</v>
      </c>
      <c r="E2401" s="7" t="s">
        <v>11723</v>
      </c>
    </row>
    <row r="2402">
      <c r="A2402" s="1" t="s">
        <v>11724</v>
      </c>
      <c r="B2402" s="5" t="s">
        <v>11725</v>
      </c>
      <c r="D2402" s="3" t="s">
        <v>11726</v>
      </c>
      <c r="E2402" s="7" t="s">
        <v>11727</v>
      </c>
    </row>
    <row r="2403">
      <c r="A2403" s="1" t="s">
        <v>11728</v>
      </c>
      <c r="B2403" s="5" t="s">
        <v>11729</v>
      </c>
      <c r="D2403" s="3" t="s">
        <v>11730</v>
      </c>
      <c r="E2403" s="7" t="s">
        <v>11731</v>
      </c>
    </row>
    <row r="2404">
      <c r="A2404" s="1" t="s">
        <v>11732</v>
      </c>
      <c r="B2404" s="5" t="s">
        <v>11733</v>
      </c>
      <c r="D2404" s="3" t="s">
        <v>11734</v>
      </c>
      <c r="E2404" s="7" t="s">
        <v>11735</v>
      </c>
    </row>
    <row r="2405">
      <c r="A2405" s="1" t="s">
        <v>11736</v>
      </c>
      <c r="B2405" s="5" t="s">
        <v>11737</v>
      </c>
      <c r="D2405" s="3" t="s">
        <v>11738</v>
      </c>
      <c r="E2405" s="7" t="s">
        <v>11739</v>
      </c>
    </row>
    <row r="2406">
      <c r="A2406" s="1" t="s">
        <v>11740</v>
      </c>
      <c r="B2406" s="5" t="s">
        <v>11741</v>
      </c>
      <c r="D2406" s="3" t="s">
        <v>11742</v>
      </c>
      <c r="E2406" s="7" t="s">
        <v>11743</v>
      </c>
    </row>
    <row r="2407">
      <c r="A2407" s="1" t="s">
        <v>11744</v>
      </c>
      <c r="B2407" s="5" t="s">
        <v>11745</v>
      </c>
      <c r="D2407" s="3" t="s">
        <v>11746</v>
      </c>
      <c r="E2407" s="7" t="s">
        <v>11747</v>
      </c>
    </row>
    <row r="2408">
      <c r="A2408" s="1" t="s">
        <v>11748</v>
      </c>
      <c r="B2408" s="5" t="s">
        <v>11749</v>
      </c>
      <c r="D2408" s="3" t="s">
        <v>11750</v>
      </c>
      <c r="E2408" s="7" t="s">
        <v>11751</v>
      </c>
    </row>
    <row r="2409">
      <c r="A2409" s="1" t="s">
        <v>11752</v>
      </c>
      <c r="B2409" s="5" t="s">
        <v>11753</v>
      </c>
      <c r="D2409" s="3" t="s">
        <v>11754</v>
      </c>
      <c r="E2409" s="7" t="s">
        <v>11755</v>
      </c>
    </row>
    <row r="2410">
      <c r="A2410" s="1" t="s">
        <v>11756</v>
      </c>
      <c r="B2410" s="5" t="s">
        <v>11757</v>
      </c>
      <c r="D2410" s="3" t="s">
        <v>11758</v>
      </c>
      <c r="E2410" s="7" t="s">
        <v>11759</v>
      </c>
    </row>
    <row r="2411">
      <c r="A2411" s="1" t="s">
        <v>11760</v>
      </c>
      <c r="B2411" s="5" t="s">
        <v>11761</v>
      </c>
      <c r="D2411" s="3" t="s">
        <v>11762</v>
      </c>
      <c r="E2411" s="7" t="s">
        <v>11763</v>
      </c>
    </row>
    <row r="2412">
      <c r="A2412" s="1" t="s">
        <v>11764</v>
      </c>
      <c r="B2412" s="5" t="s">
        <v>11765</v>
      </c>
      <c r="D2412" s="3" t="s">
        <v>11766</v>
      </c>
      <c r="E2412" s="7" t="s">
        <v>11767</v>
      </c>
    </row>
    <row r="2413">
      <c r="A2413" s="1" t="s">
        <v>11768</v>
      </c>
      <c r="B2413" s="5" t="s">
        <v>11769</v>
      </c>
      <c r="D2413" s="3" t="s">
        <v>11770</v>
      </c>
      <c r="E2413" s="7" t="s">
        <v>11771</v>
      </c>
    </row>
    <row r="2414">
      <c r="A2414" s="1" t="s">
        <v>11772</v>
      </c>
      <c r="B2414" s="5" t="s">
        <v>11773</v>
      </c>
      <c r="D2414" s="3" t="s">
        <v>11774</v>
      </c>
      <c r="E2414" s="7" t="s">
        <v>11775</v>
      </c>
    </row>
    <row r="2415">
      <c r="A2415" s="1" t="s">
        <v>11776</v>
      </c>
      <c r="B2415" s="5" t="s">
        <v>11777</v>
      </c>
      <c r="D2415" s="3" t="s">
        <v>11778</v>
      </c>
      <c r="E2415" s="7" t="s">
        <v>11779</v>
      </c>
    </row>
    <row r="2416">
      <c r="A2416" s="1" t="s">
        <v>11780</v>
      </c>
      <c r="B2416" s="5" t="s">
        <v>11781</v>
      </c>
      <c r="D2416" s="3" t="s">
        <v>11782</v>
      </c>
      <c r="E2416" s="7" t="s">
        <v>11783</v>
      </c>
    </row>
    <row r="2417">
      <c r="A2417" s="1" t="s">
        <v>11784</v>
      </c>
      <c r="B2417" s="5" t="s">
        <v>11785</v>
      </c>
      <c r="D2417" s="3" t="s">
        <v>11786</v>
      </c>
      <c r="E2417" s="7" t="s">
        <v>11787</v>
      </c>
    </row>
    <row r="2418">
      <c r="A2418" s="1" t="s">
        <v>11788</v>
      </c>
      <c r="B2418" s="5" t="s">
        <v>11789</v>
      </c>
      <c r="D2418" s="3" t="s">
        <v>11790</v>
      </c>
      <c r="E2418" s="7" t="s">
        <v>11791</v>
      </c>
    </row>
    <row r="2419">
      <c r="A2419" s="1" t="s">
        <v>11792</v>
      </c>
      <c r="B2419" s="5" t="s">
        <v>11793</v>
      </c>
      <c r="D2419" s="3" t="s">
        <v>11794</v>
      </c>
      <c r="E2419" s="7" t="s">
        <v>11795</v>
      </c>
    </row>
    <row r="2420">
      <c r="A2420" s="1" t="s">
        <v>11796</v>
      </c>
      <c r="B2420" s="5" t="s">
        <v>11797</v>
      </c>
      <c r="D2420" s="3" t="s">
        <v>11798</v>
      </c>
      <c r="E2420" s="7" t="s">
        <v>11799</v>
      </c>
    </row>
    <row r="2421">
      <c r="A2421" s="1" t="s">
        <v>11800</v>
      </c>
      <c r="B2421" s="5" t="s">
        <v>11801</v>
      </c>
      <c r="D2421" s="3" t="s">
        <v>11802</v>
      </c>
      <c r="E2421" s="7" t="s">
        <v>11803</v>
      </c>
    </row>
    <row r="2422">
      <c r="A2422" s="1" t="s">
        <v>11804</v>
      </c>
      <c r="B2422" s="5" t="s">
        <v>11805</v>
      </c>
      <c r="D2422" s="3" t="s">
        <v>11806</v>
      </c>
      <c r="E2422" s="7" t="s">
        <v>11807</v>
      </c>
    </row>
    <row r="2423">
      <c r="A2423" s="1" t="s">
        <v>11808</v>
      </c>
      <c r="B2423" s="5" t="s">
        <v>11809</v>
      </c>
      <c r="D2423" s="3" t="s">
        <v>11810</v>
      </c>
      <c r="E2423" s="7" t="s">
        <v>11811</v>
      </c>
    </row>
    <row r="2424">
      <c r="A2424" s="1" t="s">
        <v>11812</v>
      </c>
      <c r="B2424" s="5" t="s">
        <v>11813</v>
      </c>
      <c r="D2424" s="3" t="s">
        <v>11814</v>
      </c>
      <c r="E2424" s="7" t="s">
        <v>11815</v>
      </c>
    </row>
    <row r="2425">
      <c r="A2425" s="1" t="s">
        <v>11816</v>
      </c>
      <c r="B2425" s="5" t="s">
        <v>11817</v>
      </c>
      <c r="D2425" s="3" t="s">
        <v>11818</v>
      </c>
      <c r="E2425" s="7" t="s">
        <v>11819</v>
      </c>
    </row>
    <row r="2426">
      <c r="A2426" s="1" t="s">
        <v>11820</v>
      </c>
      <c r="B2426" s="5" t="s">
        <v>11821</v>
      </c>
      <c r="D2426" s="3" t="s">
        <v>11822</v>
      </c>
      <c r="E2426" s="7" t="s">
        <v>11823</v>
      </c>
    </row>
    <row r="2427">
      <c r="A2427" s="1" t="s">
        <v>11824</v>
      </c>
      <c r="B2427" s="5" t="s">
        <v>11825</v>
      </c>
      <c r="D2427" s="3" t="s">
        <v>11826</v>
      </c>
      <c r="E2427" s="7" t="s">
        <v>11827</v>
      </c>
    </row>
    <row r="2428">
      <c r="A2428" s="1" t="s">
        <v>11828</v>
      </c>
      <c r="B2428" s="5" t="s">
        <v>11829</v>
      </c>
      <c r="D2428" s="3" t="s">
        <v>11830</v>
      </c>
      <c r="E2428" s="7" t="s">
        <v>11831</v>
      </c>
    </row>
    <row r="2429">
      <c r="A2429" s="1" t="s">
        <v>11832</v>
      </c>
      <c r="B2429" s="5" t="s">
        <v>11833</v>
      </c>
      <c r="D2429" s="3" t="s">
        <v>11834</v>
      </c>
      <c r="E2429" s="7" t="s">
        <v>11835</v>
      </c>
    </row>
    <row r="2430">
      <c r="A2430" s="1" t="s">
        <v>11836</v>
      </c>
      <c r="B2430" s="5" t="s">
        <v>11837</v>
      </c>
      <c r="D2430" s="3" t="s">
        <v>11838</v>
      </c>
      <c r="E2430" s="7" t="s">
        <v>11839</v>
      </c>
    </row>
    <row r="2431">
      <c r="A2431" s="1" t="s">
        <v>11840</v>
      </c>
      <c r="B2431" s="5" t="s">
        <v>11841</v>
      </c>
      <c r="D2431" s="3" t="s">
        <v>11842</v>
      </c>
      <c r="E2431" s="7" t="s">
        <v>11843</v>
      </c>
    </row>
    <row r="2432">
      <c r="A2432" s="1" t="s">
        <v>11844</v>
      </c>
      <c r="B2432" s="5" t="s">
        <v>11845</v>
      </c>
      <c r="D2432" s="3" t="s">
        <v>11846</v>
      </c>
      <c r="E2432" s="7" t="s">
        <v>11847</v>
      </c>
    </row>
    <row r="2433">
      <c r="A2433" s="1" t="s">
        <v>11848</v>
      </c>
      <c r="B2433" s="5" t="s">
        <v>11849</v>
      </c>
      <c r="D2433" s="3" t="s">
        <v>11850</v>
      </c>
      <c r="E2433" s="7" t="s">
        <v>11851</v>
      </c>
    </row>
    <row r="2434">
      <c r="A2434" s="1" t="s">
        <v>11852</v>
      </c>
      <c r="B2434" s="5" t="s">
        <v>11853</v>
      </c>
      <c r="D2434" s="3" t="s">
        <v>11854</v>
      </c>
      <c r="E2434" s="7" t="s">
        <v>11855</v>
      </c>
    </row>
    <row r="2435">
      <c r="A2435" s="1" t="s">
        <v>11856</v>
      </c>
      <c r="B2435" s="5" t="s">
        <v>11857</v>
      </c>
      <c r="D2435" s="3" t="s">
        <v>11858</v>
      </c>
      <c r="E2435" s="7" t="s">
        <v>11859</v>
      </c>
    </row>
    <row r="2436">
      <c r="A2436" s="1" t="s">
        <v>11860</v>
      </c>
      <c r="B2436" s="5" t="s">
        <v>11861</v>
      </c>
      <c r="D2436" s="3" t="s">
        <v>11862</v>
      </c>
      <c r="E2436" s="7" t="s">
        <v>11863</v>
      </c>
    </row>
    <row r="2437">
      <c r="A2437" s="1" t="s">
        <v>11864</v>
      </c>
      <c r="B2437" s="5" t="s">
        <v>11865</v>
      </c>
      <c r="D2437" s="3" t="s">
        <v>11866</v>
      </c>
      <c r="E2437" s="7" t="s">
        <v>11867</v>
      </c>
    </row>
    <row r="2438">
      <c r="A2438" s="1" t="s">
        <v>11868</v>
      </c>
      <c r="B2438" s="5" t="s">
        <v>11869</v>
      </c>
      <c r="D2438" s="3" t="s">
        <v>11870</v>
      </c>
      <c r="E2438" s="7" t="s">
        <v>11871</v>
      </c>
    </row>
    <row r="2439">
      <c r="A2439" s="1" t="s">
        <v>11872</v>
      </c>
      <c r="B2439" s="5" t="s">
        <v>11873</v>
      </c>
      <c r="D2439" s="3" t="s">
        <v>11874</v>
      </c>
      <c r="E2439" s="7" t="s">
        <v>11875</v>
      </c>
    </row>
    <row r="2440">
      <c r="A2440" s="1" t="s">
        <v>11876</v>
      </c>
      <c r="B2440" s="5" t="s">
        <v>11877</v>
      </c>
      <c r="D2440" s="3" t="s">
        <v>11878</v>
      </c>
      <c r="E2440" s="7" t="s">
        <v>11879</v>
      </c>
    </row>
    <row r="2441">
      <c r="A2441" s="1" t="s">
        <v>11880</v>
      </c>
      <c r="B2441" s="5" t="s">
        <v>11881</v>
      </c>
      <c r="D2441" s="3" t="s">
        <v>11882</v>
      </c>
      <c r="E2441" s="7" t="s">
        <v>11883</v>
      </c>
    </row>
    <row r="2442">
      <c r="A2442" s="1" t="s">
        <v>11884</v>
      </c>
      <c r="B2442" s="5" t="s">
        <v>11885</v>
      </c>
      <c r="D2442" s="3" t="s">
        <v>11886</v>
      </c>
      <c r="E2442" s="7" t="s">
        <v>11887</v>
      </c>
    </row>
    <row r="2443">
      <c r="A2443" s="1" t="s">
        <v>11888</v>
      </c>
      <c r="B2443" s="5" t="s">
        <v>11889</v>
      </c>
      <c r="D2443" s="3" t="s">
        <v>11890</v>
      </c>
      <c r="E2443" s="7" t="s">
        <v>11891</v>
      </c>
    </row>
    <row r="2444">
      <c r="A2444" s="1" t="s">
        <v>11892</v>
      </c>
      <c r="B2444" s="5" t="s">
        <v>11893</v>
      </c>
      <c r="D2444" s="3" t="s">
        <v>11894</v>
      </c>
      <c r="E2444" s="7" t="s">
        <v>11895</v>
      </c>
    </row>
    <row r="2445">
      <c r="A2445" s="1" t="s">
        <v>11896</v>
      </c>
      <c r="B2445" s="5" t="s">
        <v>11897</v>
      </c>
      <c r="D2445" s="3" t="s">
        <v>11898</v>
      </c>
      <c r="E2445" s="7" t="s">
        <v>11899</v>
      </c>
    </row>
    <row r="2446">
      <c r="A2446" s="1" t="s">
        <v>11900</v>
      </c>
      <c r="B2446" s="5" t="s">
        <v>11901</v>
      </c>
      <c r="D2446" s="3" t="s">
        <v>11902</v>
      </c>
      <c r="E2446" s="7" t="s">
        <v>11903</v>
      </c>
    </row>
    <row r="2447">
      <c r="A2447" s="1" t="s">
        <v>11904</v>
      </c>
      <c r="B2447" s="5" t="s">
        <v>11905</v>
      </c>
      <c r="D2447" s="3" t="s">
        <v>11906</v>
      </c>
      <c r="E2447" s="7" t="s">
        <v>11907</v>
      </c>
    </row>
    <row r="2448">
      <c r="A2448" s="1" t="s">
        <v>11908</v>
      </c>
      <c r="B2448" s="5" t="s">
        <v>11909</v>
      </c>
      <c r="D2448" s="3" t="s">
        <v>11910</v>
      </c>
      <c r="E2448" s="7" t="s">
        <v>11911</v>
      </c>
    </row>
    <row r="2449">
      <c r="A2449" s="1" t="s">
        <v>11912</v>
      </c>
      <c r="B2449" s="5" t="s">
        <v>11913</v>
      </c>
      <c r="D2449" s="3" t="s">
        <v>11914</v>
      </c>
      <c r="E2449" s="7" t="s">
        <v>11915</v>
      </c>
    </row>
    <row r="2450">
      <c r="A2450" s="1" t="s">
        <v>11916</v>
      </c>
      <c r="B2450" s="5" t="s">
        <v>11917</v>
      </c>
      <c r="D2450" s="3" t="s">
        <v>11918</v>
      </c>
      <c r="E2450" s="7" t="s">
        <v>11919</v>
      </c>
    </row>
    <row r="2451">
      <c r="A2451" s="1" t="s">
        <v>11920</v>
      </c>
      <c r="B2451" s="5" t="s">
        <v>11921</v>
      </c>
      <c r="D2451" s="3" t="s">
        <v>11922</v>
      </c>
      <c r="E2451" s="7" t="s">
        <v>11923</v>
      </c>
    </row>
    <row r="2452">
      <c r="A2452" s="1" t="s">
        <v>11924</v>
      </c>
      <c r="B2452" s="5" t="s">
        <v>11925</v>
      </c>
      <c r="D2452" s="3" t="s">
        <v>11926</v>
      </c>
      <c r="E2452" s="7" t="s">
        <v>11927</v>
      </c>
    </row>
    <row r="2453">
      <c r="A2453" s="1" t="s">
        <v>11928</v>
      </c>
      <c r="B2453" s="5" t="s">
        <v>11929</v>
      </c>
      <c r="D2453" s="3" t="s">
        <v>11930</v>
      </c>
      <c r="E2453" s="7" t="s">
        <v>11931</v>
      </c>
    </row>
    <row r="2454">
      <c r="A2454" s="1" t="s">
        <v>11932</v>
      </c>
      <c r="B2454" s="5" t="s">
        <v>11933</v>
      </c>
      <c r="D2454" s="3" t="s">
        <v>11934</v>
      </c>
      <c r="E2454" s="7" t="s">
        <v>11935</v>
      </c>
    </row>
    <row r="2455">
      <c r="A2455" s="1" t="s">
        <v>11936</v>
      </c>
      <c r="B2455" s="5" t="s">
        <v>11937</v>
      </c>
      <c r="D2455" s="3" t="s">
        <v>11938</v>
      </c>
      <c r="E2455" s="7" t="s">
        <v>11939</v>
      </c>
    </row>
    <row r="2456">
      <c r="A2456" s="1" t="s">
        <v>11940</v>
      </c>
      <c r="B2456" s="5" t="s">
        <v>11941</v>
      </c>
      <c r="D2456" s="3" t="s">
        <v>11942</v>
      </c>
      <c r="E2456" s="7" t="s">
        <v>11943</v>
      </c>
    </row>
    <row r="2457">
      <c r="A2457" s="1" t="s">
        <v>11944</v>
      </c>
      <c r="B2457" s="5" t="s">
        <v>11945</v>
      </c>
      <c r="D2457" s="3" t="s">
        <v>11946</v>
      </c>
      <c r="E2457" s="7" t="s">
        <v>11947</v>
      </c>
    </row>
    <row r="2458">
      <c r="A2458" s="1" t="s">
        <v>11948</v>
      </c>
      <c r="B2458" s="5" t="s">
        <v>11949</v>
      </c>
      <c r="D2458" s="3" t="s">
        <v>11950</v>
      </c>
      <c r="E2458" s="7" t="s">
        <v>11951</v>
      </c>
    </row>
    <row r="2459">
      <c r="A2459" s="1" t="s">
        <v>11952</v>
      </c>
      <c r="B2459" s="5" t="s">
        <v>11953</v>
      </c>
      <c r="D2459" s="3" t="s">
        <v>11954</v>
      </c>
      <c r="E2459" s="7" t="s">
        <v>11955</v>
      </c>
    </row>
    <row r="2460">
      <c r="A2460" s="1" t="s">
        <v>11956</v>
      </c>
      <c r="B2460" s="5" t="s">
        <v>11957</v>
      </c>
      <c r="D2460" s="3" t="s">
        <v>11958</v>
      </c>
      <c r="E2460" s="7" t="s">
        <v>11959</v>
      </c>
    </row>
    <row r="2461">
      <c r="A2461" s="1" t="s">
        <v>11960</v>
      </c>
      <c r="B2461" s="5" t="s">
        <v>11961</v>
      </c>
      <c r="D2461" s="3" t="s">
        <v>11962</v>
      </c>
      <c r="E2461" s="7" t="s">
        <v>11963</v>
      </c>
    </row>
    <row r="2462">
      <c r="A2462" s="1" t="s">
        <v>11964</v>
      </c>
      <c r="B2462" s="5" t="s">
        <v>11965</v>
      </c>
      <c r="D2462" s="3" t="s">
        <v>11966</v>
      </c>
      <c r="E2462" s="7" t="s">
        <v>11967</v>
      </c>
    </row>
    <row r="2463">
      <c r="A2463" s="1" t="s">
        <v>11968</v>
      </c>
      <c r="B2463" s="5" t="s">
        <v>11969</v>
      </c>
      <c r="D2463" s="3" t="s">
        <v>11970</v>
      </c>
      <c r="E2463" s="7" t="s">
        <v>11971</v>
      </c>
    </row>
    <row r="2464">
      <c r="A2464" s="1" t="s">
        <v>11972</v>
      </c>
      <c r="B2464" s="5" t="s">
        <v>11973</v>
      </c>
      <c r="D2464" s="3" t="s">
        <v>11974</v>
      </c>
      <c r="E2464" s="7" t="s">
        <v>11975</v>
      </c>
    </row>
    <row r="2465">
      <c r="A2465" s="1" t="s">
        <v>11976</v>
      </c>
      <c r="B2465" s="5" t="s">
        <v>11977</v>
      </c>
      <c r="D2465" s="3" t="s">
        <v>11978</v>
      </c>
      <c r="E2465" s="7" t="s">
        <v>11979</v>
      </c>
    </row>
    <row r="2466">
      <c r="A2466" s="1" t="s">
        <v>11980</v>
      </c>
      <c r="B2466" s="5" t="s">
        <v>11981</v>
      </c>
      <c r="D2466" s="3" t="s">
        <v>11982</v>
      </c>
      <c r="E2466" s="7" t="s">
        <v>11983</v>
      </c>
    </row>
    <row r="2467">
      <c r="A2467" s="1" t="s">
        <v>11984</v>
      </c>
      <c r="B2467" s="5" t="s">
        <v>11985</v>
      </c>
      <c r="D2467" s="3" t="s">
        <v>11986</v>
      </c>
      <c r="E2467" s="7" t="s">
        <v>11987</v>
      </c>
    </row>
    <row r="2468">
      <c r="A2468" s="1" t="s">
        <v>11988</v>
      </c>
      <c r="B2468" s="5" t="s">
        <v>11989</v>
      </c>
      <c r="D2468" s="3" t="s">
        <v>11990</v>
      </c>
      <c r="E2468" s="7" t="s">
        <v>11991</v>
      </c>
    </row>
    <row r="2469">
      <c r="A2469" s="1" t="s">
        <v>11992</v>
      </c>
      <c r="B2469" s="5" t="s">
        <v>11993</v>
      </c>
      <c r="D2469" s="3" t="s">
        <v>11994</v>
      </c>
      <c r="E2469" s="7" t="s">
        <v>11995</v>
      </c>
    </row>
    <row r="2470">
      <c r="A2470" s="1" t="s">
        <v>11996</v>
      </c>
      <c r="B2470" s="5" t="s">
        <v>11997</v>
      </c>
      <c r="D2470" s="3" t="s">
        <v>11998</v>
      </c>
      <c r="E2470" s="7" t="s">
        <v>11999</v>
      </c>
    </row>
    <row r="2471">
      <c r="A2471" s="1" t="s">
        <v>12000</v>
      </c>
      <c r="B2471" s="5" t="s">
        <v>12001</v>
      </c>
      <c r="D2471" s="3" t="s">
        <v>12002</v>
      </c>
      <c r="E2471" s="7" t="s">
        <v>12003</v>
      </c>
    </row>
    <row r="2472">
      <c r="A2472" s="1" t="s">
        <v>12004</v>
      </c>
      <c r="B2472" s="5" t="s">
        <v>12005</v>
      </c>
      <c r="D2472" s="3" t="s">
        <v>12006</v>
      </c>
      <c r="E2472" s="7" t="s">
        <v>12007</v>
      </c>
    </row>
    <row r="2473">
      <c r="A2473" s="1" t="s">
        <v>12008</v>
      </c>
      <c r="B2473" s="5" t="s">
        <v>12009</v>
      </c>
      <c r="D2473" s="3" t="s">
        <v>12010</v>
      </c>
      <c r="E2473" s="7" t="s">
        <v>12011</v>
      </c>
    </row>
    <row r="2474">
      <c r="A2474" s="1" t="s">
        <v>12012</v>
      </c>
      <c r="B2474" s="5" t="s">
        <v>12013</v>
      </c>
      <c r="D2474" s="3" t="s">
        <v>12014</v>
      </c>
      <c r="E2474" s="7" t="s">
        <v>12015</v>
      </c>
    </row>
    <row r="2475">
      <c r="A2475" s="1" t="s">
        <v>12016</v>
      </c>
      <c r="B2475" s="5" t="s">
        <v>12017</v>
      </c>
      <c r="D2475" s="3" t="s">
        <v>12018</v>
      </c>
      <c r="E2475" s="7" t="s">
        <v>12019</v>
      </c>
    </row>
    <row r="2476">
      <c r="A2476" s="1" t="s">
        <v>12020</v>
      </c>
      <c r="B2476" s="5" t="s">
        <v>12021</v>
      </c>
      <c r="D2476" s="3" t="s">
        <v>12022</v>
      </c>
      <c r="E2476" s="7" t="s">
        <v>12023</v>
      </c>
    </row>
    <row r="2477">
      <c r="A2477" s="1" t="s">
        <v>12024</v>
      </c>
      <c r="B2477" s="5" t="s">
        <v>12025</v>
      </c>
      <c r="D2477" s="3" t="s">
        <v>12026</v>
      </c>
      <c r="E2477" s="7" t="s">
        <v>12027</v>
      </c>
    </row>
    <row r="2478">
      <c r="A2478" s="1" t="s">
        <v>12028</v>
      </c>
      <c r="B2478" s="5" t="s">
        <v>12029</v>
      </c>
      <c r="D2478" s="3" t="s">
        <v>12030</v>
      </c>
      <c r="E2478" s="7" t="s">
        <v>12031</v>
      </c>
    </row>
    <row r="2479">
      <c r="A2479" s="1" t="s">
        <v>12032</v>
      </c>
      <c r="B2479" s="5" t="s">
        <v>12033</v>
      </c>
      <c r="D2479" s="3" t="s">
        <v>12034</v>
      </c>
      <c r="E2479" s="7" t="s">
        <v>12035</v>
      </c>
    </row>
    <row r="2480">
      <c r="A2480" s="1" t="s">
        <v>12036</v>
      </c>
      <c r="B2480" s="5" t="s">
        <v>12037</v>
      </c>
      <c r="D2480" s="3" t="s">
        <v>12038</v>
      </c>
      <c r="E2480" s="7" t="s">
        <v>12039</v>
      </c>
    </row>
    <row r="2481">
      <c r="A2481" s="1" t="s">
        <v>12040</v>
      </c>
      <c r="B2481" s="5" t="s">
        <v>12041</v>
      </c>
      <c r="D2481" s="3" t="s">
        <v>12042</v>
      </c>
      <c r="E2481" s="7" t="s">
        <v>12043</v>
      </c>
    </row>
    <row r="2482">
      <c r="A2482" s="1" t="s">
        <v>12044</v>
      </c>
      <c r="B2482" s="5" t="s">
        <v>12045</v>
      </c>
      <c r="D2482" s="3" t="s">
        <v>12046</v>
      </c>
      <c r="E2482" s="7" t="s">
        <v>12047</v>
      </c>
    </row>
    <row r="2483">
      <c r="A2483" s="1" t="s">
        <v>12048</v>
      </c>
      <c r="B2483" s="5" t="s">
        <v>12049</v>
      </c>
      <c r="D2483" s="3" t="s">
        <v>12050</v>
      </c>
      <c r="E2483" s="7" t="s">
        <v>12051</v>
      </c>
    </row>
    <row r="2484">
      <c r="A2484" s="1" t="s">
        <v>12052</v>
      </c>
      <c r="B2484" s="5" t="s">
        <v>12053</v>
      </c>
      <c r="D2484" s="3" t="s">
        <v>12054</v>
      </c>
      <c r="E2484" s="7" t="s">
        <v>12055</v>
      </c>
    </row>
    <row r="2485">
      <c r="A2485" s="1" t="s">
        <v>12056</v>
      </c>
      <c r="B2485" s="5" t="s">
        <v>12057</v>
      </c>
      <c r="D2485" s="3" t="s">
        <v>12058</v>
      </c>
      <c r="E2485" s="7" t="s">
        <v>12059</v>
      </c>
    </row>
    <row r="2486">
      <c r="A2486" s="1" t="s">
        <v>12060</v>
      </c>
      <c r="B2486" s="5" t="s">
        <v>12061</v>
      </c>
      <c r="D2486" s="3" t="s">
        <v>12062</v>
      </c>
      <c r="E2486" s="7" t="s">
        <v>12063</v>
      </c>
    </row>
    <row r="2487">
      <c r="A2487" s="1" t="s">
        <v>12064</v>
      </c>
      <c r="B2487" s="5" t="s">
        <v>12065</v>
      </c>
      <c r="D2487" s="3" t="s">
        <v>12066</v>
      </c>
      <c r="E2487" s="7" t="s">
        <v>12067</v>
      </c>
    </row>
    <row r="2488">
      <c r="A2488" s="1" t="s">
        <v>12068</v>
      </c>
      <c r="B2488" s="5" t="s">
        <v>12069</v>
      </c>
      <c r="D2488" s="3" t="s">
        <v>12070</v>
      </c>
      <c r="E2488" s="7" t="s">
        <v>12071</v>
      </c>
    </row>
    <row r="2489">
      <c r="A2489" s="1" t="s">
        <v>12072</v>
      </c>
      <c r="B2489" s="5" t="s">
        <v>12073</v>
      </c>
      <c r="D2489" s="3" t="s">
        <v>12074</v>
      </c>
      <c r="E2489" s="7" t="s">
        <v>12075</v>
      </c>
    </row>
    <row r="2490">
      <c r="A2490" s="1" t="s">
        <v>12076</v>
      </c>
      <c r="B2490" s="5" t="s">
        <v>12077</v>
      </c>
      <c r="D2490" s="3" t="s">
        <v>12078</v>
      </c>
      <c r="E2490" s="7" t="s">
        <v>12079</v>
      </c>
    </row>
    <row r="2491">
      <c r="A2491" s="1" t="s">
        <v>12080</v>
      </c>
      <c r="B2491" s="5" t="s">
        <v>12081</v>
      </c>
      <c r="D2491" s="3" t="s">
        <v>12082</v>
      </c>
      <c r="E2491" s="7" t="s">
        <v>12083</v>
      </c>
    </row>
    <row r="2492">
      <c r="A2492" s="1" t="s">
        <v>12084</v>
      </c>
      <c r="B2492" s="5" t="s">
        <v>12085</v>
      </c>
      <c r="D2492" s="3" t="s">
        <v>12086</v>
      </c>
      <c r="E2492" s="7" t="s">
        <v>12087</v>
      </c>
    </row>
    <row r="2493">
      <c r="A2493" s="1" t="s">
        <v>12088</v>
      </c>
      <c r="B2493" s="5" t="s">
        <v>12089</v>
      </c>
      <c r="D2493" s="3" t="s">
        <v>12090</v>
      </c>
      <c r="E2493" s="7" t="s">
        <v>12091</v>
      </c>
    </row>
    <row r="2494">
      <c r="A2494" s="1" t="s">
        <v>12092</v>
      </c>
      <c r="B2494" s="5" t="s">
        <v>12093</v>
      </c>
      <c r="D2494" s="3" t="s">
        <v>12094</v>
      </c>
      <c r="E2494" s="7" t="s">
        <v>12095</v>
      </c>
    </row>
    <row r="2495">
      <c r="A2495" s="1" t="s">
        <v>12096</v>
      </c>
      <c r="B2495" s="5" t="s">
        <v>12097</v>
      </c>
      <c r="D2495" s="3" t="s">
        <v>12098</v>
      </c>
      <c r="E2495" s="7" t="s">
        <v>12099</v>
      </c>
    </row>
    <row r="2496">
      <c r="A2496" s="1" t="s">
        <v>12100</v>
      </c>
      <c r="B2496" s="5" t="s">
        <v>12101</v>
      </c>
      <c r="D2496" s="3" t="s">
        <v>12102</v>
      </c>
      <c r="E2496" s="7" t="s">
        <v>12103</v>
      </c>
    </row>
    <row r="2497">
      <c r="A2497" s="1" t="s">
        <v>12104</v>
      </c>
      <c r="B2497" s="5" t="s">
        <v>12105</v>
      </c>
      <c r="D2497" s="3" t="s">
        <v>12106</v>
      </c>
      <c r="E2497" s="7" t="s">
        <v>12107</v>
      </c>
    </row>
    <row r="2498">
      <c r="A2498" s="1" t="s">
        <v>12108</v>
      </c>
      <c r="B2498" s="5" t="s">
        <v>12109</v>
      </c>
      <c r="D2498" s="3" t="s">
        <v>12110</v>
      </c>
      <c r="E2498" s="7" t="s">
        <v>12111</v>
      </c>
    </row>
    <row r="2499">
      <c r="A2499" s="1" t="s">
        <v>12112</v>
      </c>
      <c r="B2499" s="5" t="s">
        <v>12113</v>
      </c>
      <c r="D2499" s="3" t="s">
        <v>12114</v>
      </c>
      <c r="E2499" s="7" t="s">
        <v>12115</v>
      </c>
    </row>
    <row r="2500">
      <c r="A2500" s="1" t="s">
        <v>12116</v>
      </c>
      <c r="B2500" s="5" t="s">
        <v>12117</v>
      </c>
      <c r="D2500" s="3" t="s">
        <v>12118</v>
      </c>
      <c r="E2500" s="7" t="s">
        <v>12119</v>
      </c>
    </row>
    <row r="2501">
      <c r="A2501" s="1" t="s">
        <v>12120</v>
      </c>
      <c r="B2501" s="5" t="s">
        <v>12121</v>
      </c>
      <c r="D2501" s="3" t="s">
        <v>12122</v>
      </c>
      <c r="E2501" s="7" t="s">
        <v>12123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  <hyperlink r:id="rId69" ref="D36"/>
    <hyperlink r:id="rId70" ref="E36"/>
    <hyperlink r:id="rId71" ref="D37"/>
    <hyperlink r:id="rId72" ref="E37"/>
    <hyperlink r:id="rId73" ref="D38"/>
    <hyperlink r:id="rId74" ref="E38"/>
    <hyperlink r:id="rId75" ref="D39"/>
    <hyperlink r:id="rId76" ref="E39"/>
    <hyperlink r:id="rId77" ref="D40"/>
    <hyperlink r:id="rId78" ref="E40"/>
    <hyperlink r:id="rId79" ref="D41"/>
    <hyperlink r:id="rId80" ref="E41"/>
    <hyperlink r:id="rId81" ref="D42"/>
    <hyperlink r:id="rId82" ref="E42"/>
    <hyperlink r:id="rId83" ref="D43"/>
    <hyperlink r:id="rId84" ref="E43"/>
    <hyperlink r:id="rId85" ref="D44"/>
    <hyperlink r:id="rId86" ref="E44"/>
    <hyperlink r:id="rId87" ref="D45"/>
    <hyperlink r:id="rId88" ref="E45"/>
    <hyperlink r:id="rId89" ref="D46"/>
    <hyperlink r:id="rId90" ref="E46"/>
    <hyperlink r:id="rId91" ref="D47"/>
    <hyperlink r:id="rId92" ref="E47"/>
    <hyperlink r:id="rId93" ref="D48"/>
    <hyperlink r:id="rId94" ref="E48"/>
    <hyperlink r:id="rId95" ref="D49"/>
    <hyperlink r:id="rId96" ref="E49"/>
    <hyperlink r:id="rId97" ref="D50"/>
    <hyperlink r:id="rId98" ref="E50"/>
    <hyperlink r:id="rId99" ref="D51"/>
    <hyperlink r:id="rId100" ref="E51"/>
    <hyperlink r:id="rId101" ref="D52"/>
    <hyperlink r:id="rId102" ref="E52"/>
    <hyperlink r:id="rId103" ref="D53"/>
    <hyperlink r:id="rId104" ref="E53"/>
    <hyperlink r:id="rId105" ref="D54"/>
    <hyperlink r:id="rId106" ref="E54"/>
    <hyperlink r:id="rId107" ref="D55"/>
    <hyperlink r:id="rId108" ref="E55"/>
    <hyperlink r:id="rId109" ref="D56"/>
    <hyperlink r:id="rId110" ref="E56"/>
    <hyperlink r:id="rId111" ref="D57"/>
    <hyperlink r:id="rId112" ref="E57"/>
    <hyperlink r:id="rId113" ref="D58"/>
    <hyperlink r:id="rId114" ref="E58"/>
    <hyperlink r:id="rId115" ref="D59"/>
    <hyperlink r:id="rId116" ref="E59"/>
    <hyperlink r:id="rId117" ref="D60"/>
    <hyperlink r:id="rId118" ref="E60"/>
    <hyperlink r:id="rId119" ref="D61"/>
    <hyperlink r:id="rId120" ref="E61"/>
    <hyperlink r:id="rId121" ref="D62"/>
    <hyperlink r:id="rId122" ref="E62"/>
    <hyperlink r:id="rId123" ref="D63"/>
    <hyperlink r:id="rId124" ref="E63"/>
    <hyperlink r:id="rId125" ref="D64"/>
    <hyperlink r:id="rId126" ref="E64"/>
    <hyperlink r:id="rId127" ref="D65"/>
    <hyperlink r:id="rId128" ref="E65"/>
    <hyperlink r:id="rId129" ref="D66"/>
    <hyperlink r:id="rId130" ref="E66"/>
    <hyperlink r:id="rId131" ref="D67"/>
    <hyperlink r:id="rId132" ref="E67"/>
    <hyperlink r:id="rId133" ref="D68"/>
    <hyperlink r:id="rId134" ref="E68"/>
    <hyperlink r:id="rId135" ref="D69"/>
    <hyperlink r:id="rId136" ref="E69"/>
    <hyperlink r:id="rId137" ref="D70"/>
    <hyperlink r:id="rId138" ref="E70"/>
    <hyperlink r:id="rId139" ref="D71"/>
    <hyperlink r:id="rId140" ref="E71"/>
    <hyperlink r:id="rId141" ref="D72"/>
    <hyperlink r:id="rId142" ref="E72"/>
    <hyperlink r:id="rId143" ref="D73"/>
    <hyperlink r:id="rId144" ref="E73"/>
    <hyperlink r:id="rId145" ref="D74"/>
    <hyperlink r:id="rId146" ref="E74"/>
    <hyperlink r:id="rId147" ref="D75"/>
    <hyperlink r:id="rId148" ref="E75"/>
    <hyperlink r:id="rId149" ref="D76"/>
    <hyperlink r:id="rId150" ref="E76"/>
    <hyperlink r:id="rId151" ref="D77"/>
    <hyperlink r:id="rId152" ref="E77"/>
    <hyperlink r:id="rId153" ref="D78"/>
    <hyperlink r:id="rId154" ref="E78"/>
    <hyperlink r:id="rId155" ref="D79"/>
    <hyperlink r:id="rId156" ref="E79"/>
    <hyperlink r:id="rId157" ref="D80"/>
    <hyperlink r:id="rId158" ref="E80"/>
    <hyperlink r:id="rId159" ref="D81"/>
    <hyperlink r:id="rId160" ref="E81"/>
    <hyperlink r:id="rId161" ref="D82"/>
    <hyperlink r:id="rId162" ref="E82"/>
    <hyperlink r:id="rId163" ref="D83"/>
    <hyperlink r:id="rId164" ref="E83"/>
    <hyperlink r:id="rId165" ref="D84"/>
    <hyperlink r:id="rId166" ref="E84"/>
    <hyperlink r:id="rId167" ref="D85"/>
    <hyperlink r:id="rId168" ref="E85"/>
    <hyperlink r:id="rId169" ref="D86"/>
    <hyperlink r:id="rId170" ref="E86"/>
    <hyperlink r:id="rId171" ref="D87"/>
    <hyperlink r:id="rId172" ref="E87"/>
    <hyperlink r:id="rId173" ref="D88"/>
    <hyperlink r:id="rId174" ref="E88"/>
    <hyperlink r:id="rId175" ref="D89"/>
    <hyperlink r:id="rId176" ref="E89"/>
    <hyperlink r:id="rId177" ref="D90"/>
    <hyperlink r:id="rId178" ref="E90"/>
    <hyperlink r:id="rId179" ref="D91"/>
    <hyperlink r:id="rId180" ref="E91"/>
    <hyperlink r:id="rId181" ref="D92"/>
    <hyperlink r:id="rId182" ref="E92"/>
    <hyperlink r:id="rId183" ref="D93"/>
    <hyperlink r:id="rId184" ref="E93"/>
    <hyperlink r:id="rId185" ref="D94"/>
    <hyperlink r:id="rId186" ref="E94"/>
    <hyperlink r:id="rId187" ref="D95"/>
    <hyperlink r:id="rId188" ref="E95"/>
    <hyperlink r:id="rId189" ref="D96"/>
    <hyperlink r:id="rId190" ref="E96"/>
    <hyperlink r:id="rId191" ref="D97"/>
    <hyperlink r:id="rId192" ref="E97"/>
    <hyperlink r:id="rId193" ref="D98"/>
    <hyperlink r:id="rId194" ref="E98"/>
    <hyperlink r:id="rId195" ref="D99"/>
    <hyperlink r:id="rId196" ref="E99"/>
    <hyperlink r:id="rId197" ref="D100"/>
    <hyperlink r:id="rId198" ref="E100"/>
    <hyperlink r:id="rId199" ref="D101"/>
    <hyperlink r:id="rId200" ref="E101"/>
    <hyperlink r:id="rId201" ref="D102"/>
    <hyperlink r:id="rId202" ref="E102"/>
    <hyperlink r:id="rId203" ref="D103"/>
    <hyperlink r:id="rId204" ref="E103"/>
    <hyperlink r:id="rId205" ref="D104"/>
    <hyperlink r:id="rId206" ref="E104"/>
    <hyperlink r:id="rId207" ref="D105"/>
    <hyperlink r:id="rId208" ref="E105"/>
    <hyperlink r:id="rId209" ref="D106"/>
    <hyperlink r:id="rId210" ref="E106"/>
    <hyperlink r:id="rId211" ref="D107"/>
    <hyperlink r:id="rId212" ref="E107"/>
    <hyperlink r:id="rId213" ref="D108"/>
    <hyperlink r:id="rId214" ref="E108"/>
    <hyperlink r:id="rId215" ref="D109"/>
    <hyperlink r:id="rId216" ref="E109"/>
    <hyperlink r:id="rId217" ref="D110"/>
    <hyperlink r:id="rId218" ref="E110"/>
    <hyperlink r:id="rId219" ref="D111"/>
    <hyperlink r:id="rId220" ref="E111"/>
    <hyperlink r:id="rId221" ref="D112"/>
    <hyperlink r:id="rId222" ref="E112"/>
    <hyperlink r:id="rId223" ref="D113"/>
    <hyperlink r:id="rId224" ref="E113"/>
    <hyperlink r:id="rId225" ref="D114"/>
    <hyperlink r:id="rId226" ref="E114"/>
    <hyperlink r:id="rId227" ref="D115"/>
    <hyperlink r:id="rId228" ref="E115"/>
    <hyperlink r:id="rId229" ref="D116"/>
    <hyperlink r:id="rId230" ref="E116"/>
    <hyperlink r:id="rId231" ref="D117"/>
    <hyperlink r:id="rId232" ref="E117"/>
    <hyperlink r:id="rId233" ref="D118"/>
    <hyperlink r:id="rId234" ref="E118"/>
    <hyperlink r:id="rId235" ref="D119"/>
    <hyperlink r:id="rId236" ref="E119"/>
    <hyperlink r:id="rId237" ref="D120"/>
    <hyperlink r:id="rId238" ref="E120"/>
    <hyperlink r:id="rId239" ref="D121"/>
    <hyperlink r:id="rId240" ref="E121"/>
    <hyperlink r:id="rId241" ref="D122"/>
    <hyperlink r:id="rId242" ref="E122"/>
    <hyperlink r:id="rId243" ref="D123"/>
    <hyperlink r:id="rId244" ref="E123"/>
    <hyperlink r:id="rId245" ref="D124"/>
    <hyperlink r:id="rId246" ref="E124"/>
    <hyperlink r:id="rId247" ref="D125"/>
    <hyperlink r:id="rId248" ref="E125"/>
    <hyperlink r:id="rId249" ref="D126"/>
    <hyperlink r:id="rId250" ref="E126"/>
    <hyperlink r:id="rId251" ref="D127"/>
    <hyperlink r:id="rId252" ref="E127"/>
    <hyperlink r:id="rId253" ref="D128"/>
    <hyperlink r:id="rId254" ref="E128"/>
    <hyperlink r:id="rId255" ref="D129"/>
    <hyperlink r:id="rId256" ref="E129"/>
    <hyperlink r:id="rId257" ref="D130"/>
    <hyperlink r:id="rId258" ref="E130"/>
    <hyperlink r:id="rId259" ref="D131"/>
    <hyperlink r:id="rId260" ref="E131"/>
    <hyperlink r:id="rId261" ref="D132"/>
    <hyperlink r:id="rId262" ref="E132"/>
    <hyperlink r:id="rId263" ref="D133"/>
    <hyperlink r:id="rId264" ref="E133"/>
    <hyperlink r:id="rId265" ref="D134"/>
    <hyperlink r:id="rId266" ref="E134"/>
    <hyperlink r:id="rId267" ref="D135"/>
    <hyperlink r:id="rId268" ref="E135"/>
    <hyperlink r:id="rId269" ref="D136"/>
    <hyperlink r:id="rId270" ref="E136"/>
    <hyperlink r:id="rId271" ref="D137"/>
    <hyperlink r:id="rId272" ref="E137"/>
    <hyperlink r:id="rId273" ref="D138"/>
    <hyperlink r:id="rId274" ref="E138"/>
    <hyperlink r:id="rId275" ref="D139"/>
    <hyperlink r:id="rId276" ref="E139"/>
    <hyperlink r:id="rId277" ref="D140"/>
    <hyperlink r:id="rId278" ref="E140"/>
    <hyperlink r:id="rId279" ref="D141"/>
    <hyperlink r:id="rId280" ref="E141"/>
    <hyperlink r:id="rId281" ref="D142"/>
    <hyperlink r:id="rId282" ref="E142"/>
    <hyperlink r:id="rId283" ref="D143"/>
    <hyperlink r:id="rId284" ref="E143"/>
    <hyperlink r:id="rId285" ref="D144"/>
    <hyperlink r:id="rId286" ref="E144"/>
    <hyperlink r:id="rId287" ref="D145"/>
    <hyperlink r:id="rId288" ref="E145"/>
    <hyperlink r:id="rId289" ref="D146"/>
    <hyperlink r:id="rId290" ref="E146"/>
    <hyperlink r:id="rId291" ref="D147"/>
    <hyperlink r:id="rId292" ref="E147"/>
    <hyperlink r:id="rId293" ref="D148"/>
    <hyperlink r:id="rId294" ref="E148"/>
    <hyperlink r:id="rId295" ref="D149"/>
    <hyperlink r:id="rId296" ref="E149"/>
    <hyperlink r:id="rId297" ref="D150"/>
    <hyperlink r:id="rId298" ref="E150"/>
    <hyperlink r:id="rId299" ref="D151"/>
    <hyperlink r:id="rId300" ref="E151"/>
    <hyperlink r:id="rId301" ref="D152"/>
    <hyperlink r:id="rId302" ref="E152"/>
    <hyperlink r:id="rId303" ref="D153"/>
    <hyperlink r:id="rId304" ref="E153"/>
    <hyperlink r:id="rId305" ref="D154"/>
    <hyperlink r:id="rId306" ref="E154"/>
    <hyperlink r:id="rId307" ref="D155"/>
    <hyperlink r:id="rId308" ref="E155"/>
    <hyperlink r:id="rId309" ref="D156"/>
    <hyperlink r:id="rId310" ref="E156"/>
    <hyperlink r:id="rId311" ref="D157"/>
    <hyperlink r:id="rId312" ref="E157"/>
    <hyperlink r:id="rId313" ref="D158"/>
    <hyperlink r:id="rId314" ref="E158"/>
    <hyperlink r:id="rId315" ref="D159"/>
    <hyperlink r:id="rId316" ref="E159"/>
    <hyperlink r:id="rId317" ref="D160"/>
    <hyperlink r:id="rId318" ref="E160"/>
    <hyperlink r:id="rId319" ref="D161"/>
    <hyperlink r:id="rId320" ref="E161"/>
    <hyperlink r:id="rId321" ref="D162"/>
    <hyperlink r:id="rId322" ref="E162"/>
    <hyperlink r:id="rId323" ref="D163"/>
    <hyperlink r:id="rId324" ref="E163"/>
    <hyperlink r:id="rId325" ref="D164"/>
    <hyperlink r:id="rId326" ref="E164"/>
    <hyperlink r:id="rId327" ref="D165"/>
    <hyperlink r:id="rId328" ref="E165"/>
    <hyperlink r:id="rId329" ref="D166"/>
    <hyperlink r:id="rId330" ref="E166"/>
    <hyperlink r:id="rId331" ref="D167"/>
    <hyperlink r:id="rId332" ref="E167"/>
    <hyperlink r:id="rId333" ref="D168"/>
    <hyperlink r:id="rId334" ref="E168"/>
    <hyperlink r:id="rId335" ref="D169"/>
    <hyperlink r:id="rId336" ref="E169"/>
    <hyperlink r:id="rId337" ref="D170"/>
    <hyperlink r:id="rId338" ref="E170"/>
    <hyperlink r:id="rId339" ref="D171"/>
    <hyperlink r:id="rId340" ref="E171"/>
    <hyperlink r:id="rId341" ref="D172"/>
    <hyperlink r:id="rId342" ref="E172"/>
    <hyperlink r:id="rId343" ref="D173"/>
    <hyperlink r:id="rId344" ref="E173"/>
    <hyperlink r:id="rId345" ref="D174"/>
    <hyperlink r:id="rId346" ref="E174"/>
    <hyperlink r:id="rId347" ref="D175"/>
    <hyperlink r:id="rId348" ref="E175"/>
    <hyperlink r:id="rId349" ref="D176"/>
    <hyperlink r:id="rId350" ref="E176"/>
    <hyperlink r:id="rId351" ref="D177"/>
    <hyperlink r:id="rId352" ref="E177"/>
    <hyperlink r:id="rId353" ref="D178"/>
    <hyperlink r:id="rId354" ref="E178"/>
    <hyperlink r:id="rId355" ref="D179"/>
    <hyperlink r:id="rId356" ref="E179"/>
    <hyperlink r:id="rId357" ref="D180"/>
    <hyperlink r:id="rId358" ref="E180"/>
    <hyperlink r:id="rId359" ref="D181"/>
    <hyperlink r:id="rId360" ref="E181"/>
    <hyperlink r:id="rId361" ref="D182"/>
    <hyperlink r:id="rId362" ref="E182"/>
    <hyperlink r:id="rId363" ref="D183"/>
    <hyperlink r:id="rId364" ref="E183"/>
    <hyperlink r:id="rId365" ref="D184"/>
    <hyperlink r:id="rId366" ref="E184"/>
    <hyperlink r:id="rId367" ref="D185"/>
    <hyperlink r:id="rId368" ref="E185"/>
    <hyperlink r:id="rId369" ref="D186"/>
    <hyperlink r:id="rId370" ref="E186"/>
    <hyperlink r:id="rId371" ref="D187"/>
    <hyperlink r:id="rId372" ref="E187"/>
    <hyperlink r:id="rId373" ref="D188"/>
    <hyperlink r:id="rId374" ref="E188"/>
    <hyperlink r:id="rId375" ref="D189"/>
    <hyperlink r:id="rId376" ref="E189"/>
    <hyperlink r:id="rId377" ref="D190"/>
    <hyperlink r:id="rId378" ref="E190"/>
    <hyperlink r:id="rId379" ref="D191"/>
    <hyperlink r:id="rId380" ref="E191"/>
    <hyperlink r:id="rId381" ref="D192"/>
    <hyperlink r:id="rId382" ref="E192"/>
    <hyperlink r:id="rId383" ref="D193"/>
    <hyperlink r:id="rId384" ref="E193"/>
    <hyperlink r:id="rId385" ref="D194"/>
    <hyperlink r:id="rId386" ref="E194"/>
    <hyperlink r:id="rId387" ref="D195"/>
    <hyperlink r:id="rId388" ref="E195"/>
    <hyperlink r:id="rId389" ref="D196"/>
    <hyperlink r:id="rId390" ref="E196"/>
    <hyperlink r:id="rId391" ref="D197"/>
    <hyperlink r:id="rId392" ref="E197"/>
    <hyperlink r:id="rId393" ref="D198"/>
    <hyperlink r:id="rId394" ref="E198"/>
    <hyperlink r:id="rId395" ref="D199"/>
    <hyperlink r:id="rId396" ref="E199"/>
    <hyperlink r:id="rId397" ref="D200"/>
    <hyperlink r:id="rId398" ref="E200"/>
    <hyperlink r:id="rId399" ref="D201"/>
    <hyperlink r:id="rId400" ref="E201"/>
    <hyperlink r:id="rId401" ref="D202"/>
    <hyperlink r:id="rId402" ref="E202"/>
    <hyperlink r:id="rId403" ref="D203"/>
    <hyperlink r:id="rId404" ref="E203"/>
    <hyperlink r:id="rId405" ref="D204"/>
    <hyperlink r:id="rId406" ref="E204"/>
    <hyperlink r:id="rId407" ref="D205"/>
    <hyperlink r:id="rId408" ref="E205"/>
    <hyperlink r:id="rId409" ref="D206"/>
    <hyperlink r:id="rId410" ref="E206"/>
    <hyperlink r:id="rId411" ref="D207"/>
    <hyperlink r:id="rId412" ref="E207"/>
    <hyperlink r:id="rId413" ref="D208"/>
    <hyperlink r:id="rId414" ref="E208"/>
    <hyperlink r:id="rId415" ref="D209"/>
    <hyperlink r:id="rId416" ref="E209"/>
    <hyperlink r:id="rId417" ref="D210"/>
    <hyperlink r:id="rId418" ref="E210"/>
    <hyperlink r:id="rId419" ref="D211"/>
    <hyperlink r:id="rId420" ref="E211"/>
    <hyperlink r:id="rId421" ref="D212"/>
    <hyperlink r:id="rId422" ref="E212"/>
    <hyperlink r:id="rId423" ref="D213"/>
    <hyperlink r:id="rId424" ref="E213"/>
    <hyperlink r:id="rId425" ref="D214"/>
    <hyperlink r:id="rId426" ref="E214"/>
    <hyperlink r:id="rId427" ref="D215"/>
    <hyperlink r:id="rId428" ref="E215"/>
    <hyperlink r:id="rId429" ref="D216"/>
    <hyperlink r:id="rId430" ref="E216"/>
    <hyperlink r:id="rId431" ref="D217"/>
    <hyperlink r:id="rId432" ref="E217"/>
    <hyperlink r:id="rId433" ref="D218"/>
    <hyperlink r:id="rId434" ref="E218"/>
    <hyperlink r:id="rId435" ref="D219"/>
    <hyperlink r:id="rId436" ref="E219"/>
    <hyperlink r:id="rId437" ref="D220"/>
    <hyperlink r:id="rId438" ref="E220"/>
    <hyperlink r:id="rId439" ref="D221"/>
    <hyperlink r:id="rId440" ref="E221"/>
    <hyperlink r:id="rId441" ref="D222"/>
    <hyperlink r:id="rId442" ref="E222"/>
    <hyperlink r:id="rId443" ref="D223"/>
    <hyperlink r:id="rId444" ref="E223"/>
    <hyperlink r:id="rId445" ref="D224"/>
    <hyperlink r:id="rId446" ref="E224"/>
    <hyperlink r:id="rId447" ref="D225"/>
    <hyperlink r:id="rId448" ref="E225"/>
    <hyperlink r:id="rId449" ref="D226"/>
    <hyperlink r:id="rId450" ref="E226"/>
    <hyperlink r:id="rId451" ref="D227"/>
    <hyperlink r:id="rId452" ref="E227"/>
    <hyperlink r:id="rId453" ref="D228"/>
    <hyperlink r:id="rId454" ref="E228"/>
    <hyperlink r:id="rId455" ref="D229"/>
    <hyperlink r:id="rId456" ref="E229"/>
    <hyperlink r:id="rId457" ref="D230"/>
    <hyperlink r:id="rId458" ref="E230"/>
    <hyperlink r:id="rId459" ref="D231"/>
    <hyperlink r:id="rId460" ref="E231"/>
    <hyperlink r:id="rId461" ref="D232"/>
    <hyperlink r:id="rId462" ref="E232"/>
    <hyperlink r:id="rId463" ref="D233"/>
    <hyperlink r:id="rId464" ref="E233"/>
    <hyperlink r:id="rId465" ref="D234"/>
    <hyperlink r:id="rId466" ref="E234"/>
    <hyperlink r:id="rId467" ref="D235"/>
    <hyperlink r:id="rId468" ref="E235"/>
    <hyperlink r:id="rId469" ref="D236"/>
    <hyperlink r:id="rId470" ref="E236"/>
    <hyperlink r:id="rId471" ref="D237"/>
    <hyperlink r:id="rId472" ref="E237"/>
    <hyperlink r:id="rId473" ref="D238"/>
    <hyperlink r:id="rId474" ref="E238"/>
    <hyperlink r:id="rId475" ref="D239"/>
    <hyperlink r:id="rId476" ref="E239"/>
    <hyperlink r:id="rId477" ref="D240"/>
    <hyperlink r:id="rId478" ref="E240"/>
    <hyperlink r:id="rId479" ref="D241"/>
    <hyperlink r:id="rId480" ref="E241"/>
    <hyperlink r:id="rId481" ref="D242"/>
    <hyperlink r:id="rId482" ref="E242"/>
    <hyperlink r:id="rId483" ref="D243"/>
    <hyperlink r:id="rId484" ref="E243"/>
    <hyperlink r:id="rId485" ref="D244"/>
    <hyperlink r:id="rId486" ref="E244"/>
    <hyperlink r:id="rId487" ref="D245"/>
    <hyperlink r:id="rId488" ref="E245"/>
    <hyperlink r:id="rId489" ref="D246"/>
    <hyperlink r:id="rId490" ref="E246"/>
    <hyperlink r:id="rId491" ref="D247"/>
    <hyperlink r:id="rId492" ref="E247"/>
    <hyperlink r:id="rId493" ref="D248"/>
    <hyperlink r:id="rId494" ref="E248"/>
    <hyperlink r:id="rId495" ref="D249"/>
    <hyperlink r:id="rId496" ref="E249"/>
    <hyperlink r:id="rId497" ref="D250"/>
    <hyperlink r:id="rId498" ref="E250"/>
    <hyperlink r:id="rId499" ref="D251"/>
    <hyperlink r:id="rId500" ref="E251"/>
    <hyperlink r:id="rId501" ref="D252"/>
    <hyperlink r:id="rId502" ref="E252"/>
    <hyperlink r:id="rId503" ref="D253"/>
    <hyperlink r:id="rId504" ref="E253"/>
    <hyperlink r:id="rId505" ref="D254"/>
    <hyperlink r:id="rId506" ref="E254"/>
    <hyperlink r:id="rId507" ref="D255"/>
    <hyperlink r:id="rId508" ref="E255"/>
    <hyperlink r:id="rId509" ref="D256"/>
    <hyperlink r:id="rId510" ref="E256"/>
    <hyperlink r:id="rId511" ref="D257"/>
    <hyperlink r:id="rId512" ref="E257"/>
    <hyperlink r:id="rId513" ref="D258"/>
    <hyperlink r:id="rId514" ref="E258"/>
    <hyperlink r:id="rId515" ref="D259"/>
    <hyperlink r:id="rId516" ref="E259"/>
    <hyperlink r:id="rId517" ref="D260"/>
    <hyperlink r:id="rId518" ref="E260"/>
    <hyperlink r:id="rId519" ref="D261"/>
    <hyperlink r:id="rId520" ref="E261"/>
    <hyperlink r:id="rId521" ref="D262"/>
    <hyperlink r:id="rId522" ref="E262"/>
    <hyperlink r:id="rId523" ref="D263"/>
    <hyperlink r:id="rId524" ref="E263"/>
    <hyperlink r:id="rId525" ref="D264"/>
    <hyperlink r:id="rId526" ref="E264"/>
    <hyperlink r:id="rId527" ref="D265"/>
    <hyperlink r:id="rId528" ref="E265"/>
    <hyperlink r:id="rId529" ref="D266"/>
    <hyperlink r:id="rId530" ref="E266"/>
    <hyperlink r:id="rId531" ref="D267"/>
    <hyperlink r:id="rId532" ref="E267"/>
    <hyperlink r:id="rId533" ref="D268"/>
    <hyperlink r:id="rId534" ref="E268"/>
    <hyperlink r:id="rId535" ref="D269"/>
    <hyperlink r:id="rId536" ref="E269"/>
    <hyperlink r:id="rId537" ref="D270"/>
    <hyperlink r:id="rId538" ref="E270"/>
    <hyperlink r:id="rId539" ref="D271"/>
    <hyperlink r:id="rId540" ref="E271"/>
    <hyperlink r:id="rId541" ref="D272"/>
    <hyperlink r:id="rId542" ref="E272"/>
    <hyperlink r:id="rId543" ref="D273"/>
    <hyperlink r:id="rId544" ref="E273"/>
    <hyperlink r:id="rId545" ref="D274"/>
    <hyperlink r:id="rId546" ref="E274"/>
    <hyperlink r:id="rId547" ref="D275"/>
    <hyperlink r:id="rId548" ref="E275"/>
    <hyperlink r:id="rId549" ref="D276"/>
    <hyperlink r:id="rId550" ref="E276"/>
    <hyperlink r:id="rId551" ref="D277"/>
    <hyperlink r:id="rId552" ref="E277"/>
    <hyperlink r:id="rId553" ref="D278"/>
    <hyperlink r:id="rId554" ref="E278"/>
    <hyperlink r:id="rId555" ref="D279"/>
    <hyperlink r:id="rId556" ref="E279"/>
    <hyperlink r:id="rId557" ref="D280"/>
    <hyperlink r:id="rId558" ref="E280"/>
    <hyperlink r:id="rId559" ref="D281"/>
    <hyperlink r:id="rId560" ref="E281"/>
    <hyperlink r:id="rId561" ref="D282"/>
    <hyperlink r:id="rId562" ref="E282"/>
    <hyperlink r:id="rId563" ref="D283"/>
    <hyperlink r:id="rId564" ref="E283"/>
    <hyperlink r:id="rId565" ref="D284"/>
    <hyperlink r:id="rId566" ref="E284"/>
    <hyperlink r:id="rId567" ref="D285"/>
    <hyperlink r:id="rId568" ref="E285"/>
    <hyperlink r:id="rId569" ref="D286"/>
    <hyperlink r:id="rId570" ref="E286"/>
    <hyperlink r:id="rId571" ref="D287"/>
    <hyperlink r:id="rId572" ref="E287"/>
    <hyperlink r:id="rId573" ref="D288"/>
    <hyperlink r:id="rId574" ref="E288"/>
    <hyperlink r:id="rId575" ref="D289"/>
    <hyperlink r:id="rId576" ref="E289"/>
    <hyperlink r:id="rId577" ref="D290"/>
    <hyperlink r:id="rId578" ref="E290"/>
    <hyperlink r:id="rId579" ref="D291"/>
    <hyperlink r:id="rId580" ref="E291"/>
    <hyperlink r:id="rId581" ref="D292"/>
    <hyperlink r:id="rId582" ref="E292"/>
    <hyperlink r:id="rId583" ref="D293"/>
    <hyperlink r:id="rId584" ref="E293"/>
    <hyperlink r:id="rId585" ref="D294"/>
    <hyperlink r:id="rId586" ref="E294"/>
    <hyperlink r:id="rId587" ref="D295"/>
    <hyperlink r:id="rId588" ref="E295"/>
    <hyperlink r:id="rId589" ref="D296"/>
    <hyperlink r:id="rId590" ref="E296"/>
    <hyperlink r:id="rId591" ref="D297"/>
    <hyperlink r:id="rId592" ref="E297"/>
    <hyperlink r:id="rId593" ref="D298"/>
    <hyperlink r:id="rId594" ref="E298"/>
    <hyperlink r:id="rId595" ref="D299"/>
    <hyperlink r:id="rId596" ref="E299"/>
    <hyperlink r:id="rId597" ref="D300"/>
    <hyperlink r:id="rId598" ref="E300"/>
    <hyperlink r:id="rId599" ref="D301"/>
    <hyperlink r:id="rId600" ref="E301"/>
    <hyperlink r:id="rId601" ref="D302"/>
    <hyperlink r:id="rId602" ref="E302"/>
    <hyperlink r:id="rId603" ref="D303"/>
    <hyperlink r:id="rId604" ref="E303"/>
    <hyperlink r:id="rId605" ref="D304"/>
    <hyperlink r:id="rId606" ref="E304"/>
    <hyperlink r:id="rId607" ref="D305"/>
    <hyperlink r:id="rId608" ref="E305"/>
    <hyperlink r:id="rId609" ref="D306"/>
    <hyperlink r:id="rId610" ref="E306"/>
    <hyperlink r:id="rId611" ref="D307"/>
    <hyperlink r:id="rId612" ref="E307"/>
    <hyperlink r:id="rId613" ref="D308"/>
    <hyperlink r:id="rId614" ref="E308"/>
    <hyperlink r:id="rId615" ref="D309"/>
    <hyperlink r:id="rId616" ref="E309"/>
    <hyperlink r:id="rId617" ref="D310"/>
    <hyperlink r:id="rId618" ref="E310"/>
    <hyperlink r:id="rId619" ref="D311"/>
    <hyperlink r:id="rId620" ref="E311"/>
    <hyperlink r:id="rId621" ref="D312"/>
    <hyperlink r:id="rId622" ref="E312"/>
    <hyperlink r:id="rId623" ref="D313"/>
    <hyperlink r:id="rId624" ref="E313"/>
    <hyperlink r:id="rId625" ref="D314"/>
    <hyperlink r:id="rId626" ref="E314"/>
    <hyperlink r:id="rId627" ref="D315"/>
    <hyperlink r:id="rId628" ref="E315"/>
    <hyperlink r:id="rId629" ref="D316"/>
    <hyperlink r:id="rId630" ref="E316"/>
    <hyperlink r:id="rId631" ref="D317"/>
    <hyperlink r:id="rId632" ref="E317"/>
    <hyperlink r:id="rId633" ref="D318"/>
    <hyperlink r:id="rId634" ref="E318"/>
    <hyperlink r:id="rId635" ref="D319"/>
    <hyperlink r:id="rId636" ref="E319"/>
    <hyperlink r:id="rId637" ref="D320"/>
    <hyperlink r:id="rId638" ref="E320"/>
    <hyperlink r:id="rId639" ref="D321"/>
    <hyperlink r:id="rId640" ref="E321"/>
    <hyperlink r:id="rId641" ref="D322"/>
    <hyperlink r:id="rId642" ref="E322"/>
    <hyperlink r:id="rId643" ref="D323"/>
    <hyperlink r:id="rId644" ref="E323"/>
    <hyperlink r:id="rId645" ref="D324"/>
    <hyperlink r:id="rId646" ref="E324"/>
    <hyperlink r:id="rId647" ref="D325"/>
    <hyperlink r:id="rId648" ref="E325"/>
    <hyperlink r:id="rId649" ref="D326"/>
    <hyperlink r:id="rId650" ref="E326"/>
    <hyperlink r:id="rId651" ref="D327"/>
    <hyperlink r:id="rId652" ref="E327"/>
    <hyperlink r:id="rId653" ref="D328"/>
    <hyperlink r:id="rId654" ref="E328"/>
    <hyperlink r:id="rId655" ref="D329"/>
    <hyperlink r:id="rId656" ref="E329"/>
    <hyperlink r:id="rId657" ref="D330"/>
    <hyperlink r:id="rId658" ref="E330"/>
    <hyperlink r:id="rId659" ref="D331"/>
    <hyperlink r:id="rId660" ref="E331"/>
    <hyperlink r:id="rId661" ref="D332"/>
    <hyperlink r:id="rId662" ref="E332"/>
    <hyperlink r:id="rId663" ref="D333"/>
    <hyperlink r:id="rId664" ref="E333"/>
    <hyperlink r:id="rId665" ref="D334"/>
    <hyperlink r:id="rId666" ref="E334"/>
    <hyperlink r:id="rId667" ref="D335"/>
    <hyperlink r:id="rId668" ref="E335"/>
    <hyperlink r:id="rId669" ref="D336"/>
    <hyperlink r:id="rId670" ref="E336"/>
    <hyperlink r:id="rId671" ref="D337"/>
    <hyperlink r:id="rId672" ref="E337"/>
    <hyperlink r:id="rId673" ref="D338"/>
    <hyperlink r:id="rId674" ref="E338"/>
    <hyperlink r:id="rId675" ref="D339"/>
    <hyperlink r:id="rId676" ref="E339"/>
    <hyperlink r:id="rId677" ref="D340"/>
    <hyperlink r:id="rId678" ref="E340"/>
    <hyperlink r:id="rId679" ref="D341"/>
    <hyperlink r:id="rId680" ref="E341"/>
    <hyperlink r:id="rId681" ref="D342"/>
    <hyperlink r:id="rId682" ref="E342"/>
    <hyperlink r:id="rId683" ref="D343"/>
    <hyperlink r:id="rId684" ref="E343"/>
    <hyperlink r:id="rId685" ref="D344"/>
    <hyperlink r:id="rId686" ref="E344"/>
    <hyperlink r:id="rId687" ref="D345"/>
    <hyperlink r:id="rId688" ref="E345"/>
    <hyperlink r:id="rId689" ref="D346"/>
    <hyperlink r:id="rId690" ref="E346"/>
    <hyperlink r:id="rId691" ref="D347"/>
    <hyperlink r:id="rId692" ref="E347"/>
    <hyperlink r:id="rId693" ref="D348"/>
    <hyperlink r:id="rId694" ref="E348"/>
    <hyperlink r:id="rId695" ref="D349"/>
    <hyperlink r:id="rId696" ref="E349"/>
    <hyperlink r:id="rId697" ref="D350"/>
    <hyperlink r:id="rId698" ref="E350"/>
    <hyperlink r:id="rId699" ref="D351"/>
    <hyperlink r:id="rId700" ref="E351"/>
    <hyperlink r:id="rId701" ref="D352"/>
    <hyperlink r:id="rId702" ref="E352"/>
    <hyperlink r:id="rId703" ref="D353"/>
    <hyperlink r:id="rId704" ref="E353"/>
    <hyperlink r:id="rId705" ref="D354"/>
    <hyperlink r:id="rId706" ref="E354"/>
    <hyperlink r:id="rId707" ref="D355"/>
    <hyperlink r:id="rId708" ref="E355"/>
    <hyperlink r:id="rId709" ref="D356"/>
    <hyperlink r:id="rId710" ref="E356"/>
    <hyperlink r:id="rId711" ref="D357"/>
    <hyperlink r:id="rId712" ref="E357"/>
    <hyperlink r:id="rId713" ref="D358"/>
    <hyperlink r:id="rId714" ref="E358"/>
    <hyperlink r:id="rId715" ref="D359"/>
    <hyperlink r:id="rId716" ref="E359"/>
    <hyperlink r:id="rId717" ref="D360"/>
    <hyperlink r:id="rId718" ref="E360"/>
    <hyperlink r:id="rId719" ref="D361"/>
    <hyperlink r:id="rId720" ref="E361"/>
    <hyperlink r:id="rId721" ref="D362"/>
    <hyperlink r:id="rId722" ref="E362"/>
    <hyperlink r:id="rId723" ref="D363"/>
    <hyperlink r:id="rId724" ref="E363"/>
    <hyperlink r:id="rId725" ref="D364"/>
    <hyperlink r:id="rId726" ref="E364"/>
    <hyperlink r:id="rId727" ref="D365"/>
    <hyperlink r:id="rId728" ref="E365"/>
    <hyperlink r:id="rId729" ref="D366"/>
    <hyperlink r:id="rId730" ref="E366"/>
    <hyperlink r:id="rId731" ref="D367"/>
    <hyperlink r:id="rId732" ref="E367"/>
    <hyperlink r:id="rId733" ref="D368"/>
    <hyperlink r:id="rId734" ref="E368"/>
    <hyperlink r:id="rId735" ref="D369"/>
    <hyperlink r:id="rId736" ref="E369"/>
    <hyperlink r:id="rId737" ref="D370"/>
    <hyperlink r:id="rId738" ref="E370"/>
    <hyperlink r:id="rId739" ref="D371"/>
    <hyperlink r:id="rId740" ref="E371"/>
    <hyperlink r:id="rId741" ref="D372"/>
    <hyperlink r:id="rId742" ref="E372"/>
    <hyperlink r:id="rId743" ref="D373"/>
    <hyperlink r:id="rId744" ref="E373"/>
    <hyperlink r:id="rId745" ref="D374"/>
    <hyperlink r:id="rId746" ref="E374"/>
    <hyperlink r:id="rId747" ref="D375"/>
    <hyperlink r:id="rId748" ref="E375"/>
    <hyperlink r:id="rId749" ref="D376"/>
    <hyperlink r:id="rId750" ref="E376"/>
    <hyperlink r:id="rId751" ref="D377"/>
    <hyperlink r:id="rId752" ref="E377"/>
    <hyperlink r:id="rId753" ref="D378"/>
    <hyperlink r:id="rId754" ref="E378"/>
    <hyperlink r:id="rId755" ref="D379"/>
    <hyperlink r:id="rId756" ref="E379"/>
    <hyperlink r:id="rId757" ref="D380"/>
    <hyperlink r:id="rId758" ref="E380"/>
    <hyperlink r:id="rId759" ref="D381"/>
    <hyperlink r:id="rId760" ref="E381"/>
    <hyperlink r:id="rId761" ref="D382"/>
    <hyperlink r:id="rId762" ref="E382"/>
    <hyperlink r:id="rId763" ref="D383"/>
    <hyperlink r:id="rId764" ref="E383"/>
    <hyperlink r:id="rId765" ref="D384"/>
    <hyperlink r:id="rId766" ref="E384"/>
    <hyperlink r:id="rId767" ref="D385"/>
    <hyperlink r:id="rId768" ref="E385"/>
    <hyperlink r:id="rId769" ref="D386"/>
    <hyperlink r:id="rId770" ref="E386"/>
    <hyperlink r:id="rId771" ref="D387"/>
    <hyperlink r:id="rId772" ref="E387"/>
    <hyperlink r:id="rId773" ref="D388"/>
    <hyperlink r:id="rId774" ref="E388"/>
    <hyperlink r:id="rId775" ref="D389"/>
    <hyperlink r:id="rId776" ref="E389"/>
    <hyperlink r:id="rId777" ref="D390"/>
    <hyperlink r:id="rId778" ref="E390"/>
    <hyperlink r:id="rId779" ref="D391"/>
    <hyperlink r:id="rId780" ref="E391"/>
    <hyperlink r:id="rId781" ref="D392"/>
    <hyperlink r:id="rId782" ref="E392"/>
    <hyperlink r:id="rId783" ref="D393"/>
    <hyperlink r:id="rId784" ref="E393"/>
    <hyperlink r:id="rId785" ref="D394"/>
    <hyperlink r:id="rId786" ref="E394"/>
    <hyperlink r:id="rId787" ref="D395"/>
    <hyperlink r:id="rId788" ref="E395"/>
    <hyperlink r:id="rId789" ref="D396"/>
    <hyperlink r:id="rId790" ref="E396"/>
    <hyperlink r:id="rId791" ref="D397"/>
    <hyperlink r:id="rId792" ref="E397"/>
    <hyperlink r:id="rId793" ref="D398"/>
    <hyperlink r:id="rId794" ref="E398"/>
    <hyperlink r:id="rId795" ref="D399"/>
    <hyperlink r:id="rId796" ref="E399"/>
    <hyperlink r:id="rId797" ref="D400"/>
    <hyperlink r:id="rId798" ref="E400"/>
    <hyperlink r:id="rId799" ref="D401"/>
    <hyperlink r:id="rId800" ref="E401"/>
    <hyperlink r:id="rId801" ref="D402"/>
    <hyperlink r:id="rId802" ref="E402"/>
    <hyperlink r:id="rId803" ref="D403"/>
    <hyperlink r:id="rId804" ref="E403"/>
    <hyperlink r:id="rId805" ref="D404"/>
    <hyperlink r:id="rId806" ref="E404"/>
    <hyperlink r:id="rId807" ref="D405"/>
    <hyperlink r:id="rId808" ref="E405"/>
    <hyperlink r:id="rId809" ref="D406"/>
    <hyperlink r:id="rId810" ref="E406"/>
    <hyperlink r:id="rId811" ref="D407"/>
    <hyperlink r:id="rId812" ref="E407"/>
    <hyperlink r:id="rId813" ref="D408"/>
    <hyperlink r:id="rId814" ref="E408"/>
    <hyperlink r:id="rId815" ref="D409"/>
    <hyperlink r:id="rId816" ref="E409"/>
    <hyperlink r:id="rId817" ref="D410"/>
    <hyperlink r:id="rId818" ref="E410"/>
    <hyperlink r:id="rId819" ref="D411"/>
    <hyperlink r:id="rId820" ref="E411"/>
    <hyperlink r:id="rId821" ref="D412"/>
    <hyperlink r:id="rId822" ref="E412"/>
    <hyperlink r:id="rId823" ref="D413"/>
    <hyperlink r:id="rId824" ref="E413"/>
    <hyperlink r:id="rId825" ref="D414"/>
    <hyperlink r:id="rId826" ref="E414"/>
    <hyperlink r:id="rId827" ref="D415"/>
    <hyperlink r:id="rId828" ref="E415"/>
    <hyperlink r:id="rId829" ref="D416"/>
    <hyperlink r:id="rId830" ref="E416"/>
    <hyperlink r:id="rId831" ref="D417"/>
    <hyperlink r:id="rId832" ref="E417"/>
    <hyperlink r:id="rId833" ref="D418"/>
    <hyperlink r:id="rId834" ref="E418"/>
    <hyperlink r:id="rId835" ref="D419"/>
    <hyperlink r:id="rId836" ref="E419"/>
    <hyperlink r:id="rId837" ref="D420"/>
    <hyperlink r:id="rId838" ref="E420"/>
    <hyperlink r:id="rId839" ref="D421"/>
    <hyperlink r:id="rId840" ref="E421"/>
    <hyperlink r:id="rId841" ref="D422"/>
    <hyperlink r:id="rId842" ref="E422"/>
    <hyperlink r:id="rId843" ref="D423"/>
    <hyperlink r:id="rId844" ref="E423"/>
    <hyperlink r:id="rId845" ref="D424"/>
    <hyperlink r:id="rId846" ref="E424"/>
    <hyperlink r:id="rId847" ref="D425"/>
    <hyperlink r:id="rId848" ref="E425"/>
    <hyperlink r:id="rId849" ref="D426"/>
    <hyperlink r:id="rId850" ref="E426"/>
    <hyperlink r:id="rId851" ref="D427"/>
    <hyperlink r:id="rId852" ref="E427"/>
    <hyperlink r:id="rId853" ref="D428"/>
    <hyperlink r:id="rId854" ref="E428"/>
    <hyperlink r:id="rId855" ref="D429"/>
    <hyperlink r:id="rId856" ref="E429"/>
    <hyperlink r:id="rId857" ref="D430"/>
    <hyperlink r:id="rId858" ref="E430"/>
    <hyperlink r:id="rId859" ref="D431"/>
    <hyperlink r:id="rId860" ref="E431"/>
    <hyperlink r:id="rId861" ref="D432"/>
    <hyperlink r:id="rId862" ref="E432"/>
    <hyperlink r:id="rId863" ref="D433"/>
    <hyperlink r:id="rId864" ref="E433"/>
    <hyperlink r:id="rId865" ref="D434"/>
    <hyperlink r:id="rId866" ref="E434"/>
    <hyperlink r:id="rId867" ref="D435"/>
    <hyperlink r:id="rId868" ref="E435"/>
    <hyperlink r:id="rId869" ref="D436"/>
    <hyperlink r:id="rId870" ref="E436"/>
    <hyperlink r:id="rId871" ref="D437"/>
    <hyperlink r:id="rId872" ref="E437"/>
    <hyperlink r:id="rId873" ref="D438"/>
    <hyperlink r:id="rId874" ref="E438"/>
    <hyperlink r:id="rId875" ref="D439"/>
    <hyperlink r:id="rId876" ref="E439"/>
    <hyperlink r:id="rId877" ref="D440"/>
    <hyperlink r:id="rId878" ref="E440"/>
    <hyperlink r:id="rId879" ref="D441"/>
    <hyperlink r:id="rId880" ref="E441"/>
    <hyperlink r:id="rId881" ref="D442"/>
    <hyperlink r:id="rId882" ref="E442"/>
    <hyperlink r:id="rId883" ref="D443"/>
    <hyperlink r:id="rId884" ref="E443"/>
    <hyperlink r:id="rId885" ref="D444"/>
    <hyperlink r:id="rId886" ref="E444"/>
    <hyperlink r:id="rId887" ref="D445"/>
    <hyperlink r:id="rId888" ref="E445"/>
    <hyperlink r:id="rId889" ref="D446"/>
    <hyperlink r:id="rId890" ref="E446"/>
    <hyperlink r:id="rId891" ref="D447"/>
    <hyperlink r:id="rId892" ref="E447"/>
    <hyperlink r:id="rId893" ref="D448"/>
    <hyperlink r:id="rId894" ref="E448"/>
    <hyperlink r:id="rId895" ref="D449"/>
    <hyperlink r:id="rId896" ref="E449"/>
    <hyperlink r:id="rId897" ref="D450"/>
    <hyperlink r:id="rId898" ref="E450"/>
    <hyperlink r:id="rId899" ref="D451"/>
    <hyperlink r:id="rId900" ref="E451"/>
    <hyperlink r:id="rId901" ref="D452"/>
    <hyperlink r:id="rId902" ref="E452"/>
    <hyperlink r:id="rId903" ref="D453"/>
    <hyperlink r:id="rId904" ref="E453"/>
    <hyperlink r:id="rId905" ref="D454"/>
    <hyperlink r:id="rId906" ref="E454"/>
    <hyperlink r:id="rId907" ref="D455"/>
    <hyperlink r:id="rId908" ref="E455"/>
    <hyperlink r:id="rId909" ref="D456"/>
    <hyperlink r:id="rId910" ref="E456"/>
    <hyperlink r:id="rId911" ref="D457"/>
    <hyperlink r:id="rId912" ref="E457"/>
    <hyperlink r:id="rId913" ref="D458"/>
    <hyperlink r:id="rId914" ref="E458"/>
    <hyperlink r:id="rId915" ref="D459"/>
    <hyperlink r:id="rId916" ref="E459"/>
    <hyperlink r:id="rId917" ref="D460"/>
    <hyperlink r:id="rId918" ref="E460"/>
    <hyperlink r:id="rId919" ref="D461"/>
    <hyperlink r:id="rId920" ref="E461"/>
    <hyperlink r:id="rId921" ref="D462"/>
    <hyperlink r:id="rId922" ref="E462"/>
    <hyperlink r:id="rId923" ref="D463"/>
    <hyperlink r:id="rId924" ref="E463"/>
    <hyperlink r:id="rId925" ref="D464"/>
    <hyperlink r:id="rId926" ref="E464"/>
    <hyperlink r:id="rId927" ref="D465"/>
    <hyperlink r:id="rId928" ref="E465"/>
    <hyperlink r:id="rId929" ref="D466"/>
    <hyperlink r:id="rId930" ref="E466"/>
    <hyperlink r:id="rId931" ref="D467"/>
    <hyperlink r:id="rId932" ref="E467"/>
    <hyperlink r:id="rId933" ref="D468"/>
    <hyperlink r:id="rId934" ref="E468"/>
    <hyperlink r:id="rId935" ref="D469"/>
    <hyperlink r:id="rId936" ref="E469"/>
    <hyperlink r:id="rId937" ref="D470"/>
    <hyperlink r:id="rId938" ref="E470"/>
    <hyperlink r:id="rId939" ref="D471"/>
    <hyperlink r:id="rId940" ref="E471"/>
    <hyperlink r:id="rId941" ref="D472"/>
    <hyperlink r:id="rId942" ref="E472"/>
    <hyperlink r:id="rId943" ref="D473"/>
    <hyperlink r:id="rId944" ref="E473"/>
    <hyperlink r:id="rId945" ref="D474"/>
    <hyperlink r:id="rId946" ref="E474"/>
    <hyperlink r:id="rId947" ref="D475"/>
    <hyperlink r:id="rId948" ref="E475"/>
    <hyperlink r:id="rId949" ref="D476"/>
    <hyperlink r:id="rId950" ref="E476"/>
    <hyperlink r:id="rId951" ref="D477"/>
    <hyperlink r:id="rId952" ref="E477"/>
    <hyperlink r:id="rId953" ref="D478"/>
    <hyperlink r:id="rId954" ref="E478"/>
    <hyperlink r:id="rId955" ref="D479"/>
    <hyperlink r:id="rId956" ref="E479"/>
    <hyperlink r:id="rId957" ref="D480"/>
    <hyperlink r:id="rId958" ref="E480"/>
    <hyperlink r:id="rId959" ref="D481"/>
    <hyperlink r:id="rId960" ref="E481"/>
    <hyperlink r:id="rId961" ref="D482"/>
    <hyperlink r:id="rId962" ref="E482"/>
    <hyperlink r:id="rId963" ref="D483"/>
    <hyperlink r:id="rId964" ref="E483"/>
    <hyperlink r:id="rId965" ref="D484"/>
    <hyperlink r:id="rId966" ref="E484"/>
    <hyperlink r:id="rId967" ref="D485"/>
    <hyperlink r:id="rId968" ref="E485"/>
    <hyperlink r:id="rId969" ref="D486"/>
    <hyperlink r:id="rId970" ref="E486"/>
    <hyperlink r:id="rId971" ref="D487"/>
    <hyperlink r:id="rId972" ref="E487"/>
    <hyperlink r:id="rId973" ref="D488"/>
    <hyperlink r:id="rId974" ref="E488"/>
    <hyperlink r:id="rId975" ref="D489"/>
    <hyperlink r:id="rId976" ref="E489"/>
    <hyperlink r:id="rId977" ref="D490"/>
    <hyperlink r:id="rId978" ref="E490"/>
    <hyperlink r:id="rId979" ref="D491"/>
    <hyperlink r:id="rId980" ref="E491"/>
    <hyperlink r:id="rId981" ref="D492"/>
    <hyperlink r:id="rId982" ref="E492"/>
    <hyperlink r:id="rId983" ref="D493"/>
    <hyperlink r:id="rId984" ref="E493"/>
    <hyperlink r:id="rId985" ref="D494"/>
    <hyperlink r:id="rId986" ref="E494"/>
    <hyperlink r:id="rId987" ref="D495"/>
    <hyperlink r:id="rId988" ref="E495"/>
    <hyperlink r:id="rId989" ref="D496"/>
    <hyperlink r:id="rId990" ref="E496"/>
    <hyperlink r:id="rId991" ref="D497"/>
    <hyperlink r:id="rId992" ref="E497"/>
    <hyperlink r:id="rId993" ref="D498"/>
    <hyperlink r:id="rId994" ref="E498"/>
    <hyperlink r:id="rId995" ref="D499"/>
    <hyperlink r:id="rId996" ref="E499"/>
    <hyperlink r:id="rId997" ref="D500"/>
    <hyperlink r:id="rId998" ref="E500"/>
    <hyperlink r:id="rId999" ref="D501"/>
    <hyperlink r:id="rId1000" ref="E501"/>
    <hyperlink r:id="rId1001" ref="D502"/>
    <hyperlink r:id="rId1002" ref="E502"/>
    <hyperlink r:id="rId1003" ref="D503"/>
    <hyperlink r:id="rId1004" ref="E503"/>
    <hyperlink r:id="rId1005" ref="D504"/>
    <hyperlink r:id="rId1006" ref="E504"/>
    <hyperlink r:id="rId1007" ref="D505"/>
    <hyperlink r:id="rId1008" ref="E505"/>
    <hyperlink r:id="rId1009" ref="D506"/>
    <hyperlink r:id="rId1010" ref="E506"/>
    <hyperlink r:id="rId1011" ref="D507"/>
    <hyperlink r:id="rId1012" ref="E507"/>
    <hyperlink r:id="rId1013" ref="D508"/>
    <hyperlink r:id="rId1014" ref="E508"/>
    <hyperlink r:id="rId1015" ref="D509"/>
    <hyperlink r:id="rId1016" ref="E509"/>
    <hyperlink r:id="rId1017" ref="D510"/>
    <hyperlink r:id="rId1018" ref="E510"/>
    <hyperlink r:id="rId1019" ref="D511"/>
    <hyperlink r:id="rId1020" ref="E511"/>
    <hyperlink r:id="rId1021" ref="D512"/>
    <hyperlink r:id="rId1022" ref="E512"/>
    <hyperlink r:id="rId1023" ref="D513"/>
    <hyperlink r:id="rId1024" ref="E513"/>
    <hyperlink r:id="rId1025" ref="D514"/>
    <hyperlink r:id="rId1026" ref="E514"/>
    <hyperlink r:id="rId1027" ref="D515"/>
    <hyperlink r:id="rId1028" ref="E515"/>
    <hyperlink r:id="rId1029" ref="D516"/>
    <hyperlink r:id="rId1030" ref="E516"/>
    <hyperlink r:id="rId1031" ref="D517"/>
    <hyperlink r:id="rId1032" ref="E517"/>
    <hyperlink r:id="rId1033" ref="D518"/>
    <hyperlink r:id="rId1034" ref="E518"/>
    <hyperlink r:id="rId1035" ref="D519"/>
    <hyperlink r:id="rId1036" ref="E519"/>
    <hyperlink r:id="rId1037" ref="D520"/>
    <hyperlink r:id="rId1038" ref="E520"/>
    <hyperlink r:id="rId1039" ref="D521"/>
    <hyperlink r:id="rId1040" ref="E521"/>
    <hyperlink r:id="rId1041" ref="D522"/>
    <hyperlink r:id="rId1042" ref="E522"/>
    <hyperlink r:id="rId1043" ref="D523"/>
    <hyperlink r:id="rId1044" ref="E523"/>
    <hyperlink r:id="rId1045" ref="D524"/>
    <hyperlink r:id="rId1046" ref="E524"/>
    <hyperlink r:id="rId1047" ref="D525"/>
    <hyperlink r:id="rId1048" ref="E525"/>
    <hyperlink r:id="rId1049" ref="D526"/>
    <hyperlink r:id="rId1050" ref="E526"/>
    <hyperlink r:id="rId1051" ref="D527"/>
    <hyperlink r:id="rId1052" ref="E527"/>
    <hyperlink r:id="rId1053" ref="D528"/>
    <hyperlink r:id="rId1054" ref="E528"/>
    <hyperlink r:id="rId1055" ref="D529"/>
    <hyperlink r:id="rId1056" ref="E529"/>
    <hyperlink r:id="rId1057" ref="D530"/>
    <hyperlink r:id="rId1058" ref="E530"/>
    <hyperlink r:id="rId1059" ref="D531"/>
    <hyperlink r:id="rId1060" ref="E531"/>
    <hyperlink r:id="rId1061" ref="D532"/>
    <hyperlink r:id="rId1062" ref="E532"/>
    <hyperlink r:id="rId1063" ref="D533"/>
    <hyperlink r:id="rId1064" ref="E533"/>
    <hyperlink r:id="rId1065" ref="D534"/>
    <hyperlink r:id="rId1066" ref="E534"/>
    <hyperlink r:id="rId1067" ref="D535"/>
    <hyperlink r:id="rId1068" ref="E535"/>
    <hyperlink r:id="rId1069" ref="D536"/>
    <hyperlink r:id="rId1070" ref="E536"/>
    <hyperlink r:id="rId1071" ref="D537"/>
    <hyperlink r:id="rId1072" ref="E537"/>
    <hyperlink r:id="rId1073" ref="D538"/>
    <hyperlink r:id="rId1074" ref="E538"/>
    <hyperlink r:id="rId1075" ref="D539"/>
    <hyperlink r:id="rId1076" ref="E539"/>
    <hyperlink r:id="rId1077" ref="D540"/>
    <hyperlink r:id="rId1078" ref="E540"/>
    <hyperlink r:id="rId1079" ref="D541"/>
    <hyperlink r:id="rId1080" ref="E541"/>
    <hyperlink r:id="rId1081" ref="D542"/>
    <hyperlink r:id="rId1082" ref="E542"/>
    <hyperlink r:id="rId1083" ref="D543"/>
    <hyperlink r:id="rId1084" ref="E543"/>
    <hyperlink r:id="rId1085" ref="D544"/>
    <hyperlink r:id="rId1086" ref="E544"/>
    <hyperlink r:id="rId1087" ref="D545"/>
    <hyperlink r:id="rId1088" ref="E545"/>
    <hyperlink r:id="rId1089" ref="D546"/>
    <hyperlink r:id="rId1090" ref="E546"/>
    <hyperlink r:id="rId1091" ref="D547"/>
    <hyperlink r:id="rId1092" ref="E547"/>
    <hyperlink r:id="rId1093" ref="D548"/>
    <hyperlink r:id="rId1094" ref="E548"/>
    <hyperlink r:id="rId1095" ref="D549"/>
    <hyperlink r:id="rId1096" ref="E549"/>
    <hyperlink r:id="rId1097" ref="D550"/>
    <hyperlink r:id="rId1098" ref="E550"/>
    <hyperlink r:id="rId1099" ref="D551"/>
    <hyperlink r:id="rId1100" ref="E551"/>
    <hyperlink r:id="rId1101" ref="D552"/>
    <hyperlink r:id="rId1102" ref="E552"/>
    <hyperlink r:id="rId1103" ref="D553"/>
    <hyperlink r:id="rId1104" ref="E553"/>
    <hyperlink r:id="rId1105" ref="D554"/>
    <hyperlink r:id="rId1106" ref="E554"/>
    <hyperlink r:id="rId1107" ref="D555"/>
    <hyperlink r:id="rId1108" ref="E555"/>
    <hyperlink r:id="rId1109" ref="D556"/>
    <hyperlink r:id="rId1110" ref="E556"/>
    <hyperlink r:id="rId1111" ref="D557"/>
    <hyperlink r:id="rId1112" ref="E557"/>
    <hyperlink r:id="rId1113" ref="D558"/>
    <hyperlink r:id="rId1114" ref="E558"/>
    <hyperlink r:id="rId1115" ref="D559"/>
    <hyperlink r:id="rId1116" ref="E559"/>
    <hyperlink r:id="rId1117" ref="D560"/>
    <hyperlink r:id="rId1118" ref="E560"/>
    <hyperlink r:id="rId1119" ref="D561"/>
    <hyperlink r:id="rId1120" ref="E561"/>
    <hyperlink r:id="rId1121" ref="D562"/>
    <hyperlink r:id="rId1122" ref="E562"/>
    <hyperlink r:id="rId1123" ref="D563"/>
    <hyperlink r:id="rId1124" ref="E563"/>
    <hyperlink r:id="rId1125" ref="D564"/>
    <hyperlink r:id="rId1126" ref="E564"/>
    <hyperlink r:id="rId1127" ref="D565"/>
    <hyperlink r:id="rId1128" ref="E565"/>
    <hyperlink r:id="rId1129" ref="D566"/>
    <hyperlink r:id="rId1130" ref="E566"/>
    <hyperlink r:id="rId1131" ref="D567"/>
    <hyperlink r:id="rId1132" ref="E567"/>
    <hyperlink r:id="rId1133" ref="D568"/>
    <hyperlink r:id="rId1134" ref="E568"/>
    <hyperlink r:id="rId1135" ref="D569"/>
    <hyperlink r:id="rId1136" ref="E569"/>
    <hyperlink r:id="rId1137" ref="D570"/>
    <hyperlink r:id="rId1138" ref="E570"/>
    <hyperlink r:id="rId1139" ref="D571"/>
    <hyperlink r:id="rId1140" ref="E571"/>
    <hyperlink r:id="rId1141" ref="D572"/>
    <hyperlink r:id="rId1142" ref="E572"/>
    <hyperlink r:id="rId1143" ref="D573"/>
    <hyperlink r:id="rId1144" ref="E573"/>
    <hyperlink r:id="rId1145" ref="D574"/>
    <hyperlink r:id="rId1146" ref="E574"/>
    <hyperlink r:id="rId1147" ref="D575"/>
    <hyperlink r:id="rId1148" ref="E575"/>
    <hyperlink r:id="rId1149" ref="D576"/>
    <hyperlink r:id="rId1150" ref="E576"/>
    <hyperlink r:id="rId1151" ref="D577"/>
    <hyperlink r:id="rId1152" ref="E577"/>
    <hyperlink r:id="rId1153" ref="D578"/>
    <hyperlink r:id="rId1154" ref="E578"/>
    <hyperlink r:id="rId1155" ref="D579"/>
    <hyperlink r:id="rId1156" ref="E579"/>
    <hyperlink r:id="rId1157" ref="D580"/>
    <hyperlink r:id="rId1158" ref="E580"/>
    <hyperlink r:id="rId1159" ref="D581"/>
    <hyperlink r:id="rId1160" ref="E581"/>
    <hyperlink r:id="rId1161" ref="D582"/>
    <hyperlink r:id="rId1162" ref="E582"/>
    <hyperlink r:id="rId1163" ref="D583"/>
    <hyperlink r:id="rId1164" ref="E583"/>
    <hyperlink r:id="rId1165" ref="D584"/>
    <hyperlink r:id="rId1166" ref="E584"/>
    <hyperlink r:id="rId1167" ref="D585"/>
    <hyperlink r:id="rId1168" ref="E585"/>
    <hyperlink r:id="rId1169" ref="D586"/>
    <hyperlink r:id="rId1170" ref="E586"/>
    <hyperlink r:id="rId1171" ref="D587"/>
    <hyperlink r:id="rId1172" ref="E587"/>
    <hyperlink r:id="rId1173" ref="D588"/>
    <hyperlink r:id="rId1174" ref="E588"/>
    <hyperlink r:id="rId1175" ref="D589"/>
    <hyperlink r:id="rId1176" ref="E589"/>
    <hyperlink r:id="rId1177" ref="D590"/>
    <hyperlink r:id="rId1178" ref="E590"/>
    <hyperlink r:id="rId1179" ref="D591"/>
    <hyperlink r:id="rId1180" ref="E591"/>
    <hyperlink r:id="rId1181" ref="D592"/>
    <hyperlink r:id="rId1182" ref="E592"/>
    <hyperlink r:id="rId1183" ref="D593"/>
    <hyperlink r:id="rId1184" ref="E593"/>
    <hyperlink r:id="rId1185" ref="D594"/>
    <hyperlink r:id="rId1186" ref="E594"/>
    <hyperlink r:id="rId1187" ref="D595"/>
    <hyperlink r:id="rId1188" ref="E595"/>
    <hyperlink r:id="rId1189" ref="D596"/>
    <hyperlink r:id="rId1190" ref="E596"/>
    <hyperlink r:id="rId1191" ref="D597"/>
    <hyperlink r:id="rId1192" ref="E597"/>
    <hyperlink r:id="rId1193" ref="D598"/>
    <hyperlink r:id="rId1194" ref="E598"/>
    <hyperlink r:id="rId1195" ref="D599"/>
    <hyperlink r:id="rId1196" ref="E599"/>
    <hyperlink r:id="rId1197" ref="D600"/>
    <hyperlink r:id="rId1198" ref="E600"/>
    <hyperlink r:id="rId1199" ref="D601"/>
    <hyperlink r:id="rId1200" ref="E601"/>
    <hyperlink r:id="rId1201" ref="D602"/>
    <hyperlink r:id="rId1202" ref="E602"/>
    <hyperlink r:id="rId1203" ref="D603"/>
    <hyperlink r:id="rId1204" ref="E603"/>
    <hyperlink r:id="rId1205" ref="D604"/>
    <hyperlink r:id="rId1206" ref="E604"/>
    <hyperlink r:id="rId1207" ref="D605"/>
    <hyperlink r:id="rId1208" ref="E605"/>
    <hyperlink r:id="rId1209" ref="D606"/>
    <hyperlink r:id="rId1210" ref="E606"/>
    <hyperlink r:id="rId1211" ref="D607"/>
    <hyperlink r:id="rId1212" ref="E607"/>
    <hyperlink r:id="rId1213" ref="D608"/>
    <hyperlink r:id="rId1214" ref="E608"/>
    <hyperlink r:id="rId1215" ref="D609"/>
    <hyperlink r:id="rId1216" ref="E609"/>
    <hyperlink r:id="rId1217" ref="D610"/>
    <hyperlink r:id="rId1218" ref="E610"/>
    <hyperlink r:id="rId1219" ref="D611"/>
    <hyperlink r:id="rId1220" ref="E611"/>
    <hyperlink r:id="rId1221" ref="D612"/>
    <hyperlink r:id="rId1222" ref="E612"/>
    <hyperlink r:id="rId1223" ref="D613"/>
    <hyperlink r:id="rId1224" ref="E613"/>
    <hyperlink r:id="rId1225" ref="D614"/>
    <hyperlink r:id="rId1226" ref="E614"/>
    <hyperlink r:id="rId1227" ref="D615"/>
    <hyperlink r:id="rId1228" ref="E615"/>
    <hyperlink r:id="rId1229" ref="D616"/>
    <hyperlink r:id="rId1230" ref="E616"/>
    <hyperlink r:id="rId1231" ref="D617"/>
    <hyperlink r:id="rId1232" ref="E617"/>
    <hyperlink r:id="rId1233" ref="D618"/>
    <hyperlink r:id="rId1234" ref="E618"/>
    <hyperlink r:id="rId1235" ref="D619"/>
    <hyperlink r:id="rId1236" ref="E619"/>
    <hyperlink r:id="rId1237" ref="D620"/>
    <hyperlink r:id="rId1238" ref="E620"/>
    <hyperlink r:id="rId1239" ref="D621"/>
    <hyperlink r:id="rId1240" ref="E621"/>
    <hyperlink r:id="rId1241" ref="D622"/>
    <hyperlink r:id="rId1242" ref="E622"/>
    <hyperlink r:id="rId1243" ref="D623"/>
    <hyperlink r:id="rId1244" ref="E623"/>
    <hyperlink r:id="rId1245" ref="D624"/>
    <hyperlink r:id="rId1246" ref="E624"/>
    <hyperlink r:id="rId1247" ref="D625"/>
    <hyperlink r:id="rId1248" ref="E625"/>
    <hyperlink r:id="rId1249" ref="D626"/>
    <hyperlink r:id="rId1250" ref="E626"/>
    <hyperlink r:id="rId1251" ref="D627"/>
    <hyperlink r:id="rId1252" ref="E627"/>
    <hyperlink r:id="rId1253" ref="D628"/>
    <hyperlink r:id="rId1254" ref="E628"/>
    <hyperlink r:id="rId1255" ref="D629"/>
    <hyperlink r:id="rId1256" ref="E629"/>
    <hyperlink r:id="rId1257" ref="D630"/>
    <hyperlink r:id="rId1258" ref="E630"/>
    <hyperlink r:id="rId1259" ref="D631"/>
    <hyperlink r:id="rId1260" ref="E631"/>
    <hyperlink r:id="rId1261" ref="D632"/>
    <hyperlink r:id="rId1262" ref="E632"/>
    <hyperlink r:id="rId1263" ref="D633"/>
    <hyperlink r:id="rId1264" ref="E633"/>
    <hyperlink r:id="rId1265" ref="D634"/>
    <hyperlink r:id="rId1266" ref="E634"/>
    <hyperlink r:id="rId1267" ref="D635"/>
    <hyperlink r:id="rId1268" ref="E635"/>
    <hyperlink r:id="rId1269" ref="D636"/>
    <hyperlink r:id="rId1270" ref="E636"/>
    <hyperlink r:id="rId1271" ref="D637"/>
    <hyperlink r:id="rId1272" ref="E637"/>
    <hyperlink r:id="rId1273" ref="D638"/>
    <hyperlink r:id="rId1274" ref="E638"/>
    <hyperlink r:id="rId1275" ref="D639"/>
    <hyperlink r:id="rId1276" ref="E639"/>
    <hyperlink r:id="rId1277" ref="D640"/>
    <hyperlink r:id="rId1278" ref="E640"/>
    <hyperlink r:id="rId1279" ref="D641"/>
    <hyperlink r:id="rId1280" ref="E641"/>
    <hyperlink r:id="rId1281" ref="D642"/>
    <hyperlink r:id="rId1282" ref="E642"/>
    <hyperlink r:id="rId1283" ref="D643"/>
    <hyperlink r:id="rId1284" ref="E643"/>
    <hyperlink r:id="rId1285" ref="D644"/>
    <hyperlink r:id="rId1286" ref="E644"/>
    <hyperlink r:id="rId1287" ref="D645"/>
    <hyperlink r:id="rId1288" ref="E645"/>
    <hyperlink r:id="rId1289" ref="D646"/>
    <hyperlink r:id="rId1290" ref="E646"/>
    <hyperlink r:id="rId1291" ref="D647"/>
    <hyperlink r:id="rId1292" ref="E647"/>
    <hyperlink r:id="rId1293" ref="D648"/>
    <hyperlink r:id="rId1294" ref="E648"/>
    <hyperlink r:id="rId1295" ref="D649"/>
    <hyperlink r:id="rId1296" ref="E649"/>
    <hyperlink r:id="rId1297" ref="D650"/>
    <hyperlink r:id="rId1298" ref="E650"/>
    <hyperlink r:id="rId1299" ref="D651"/>
    <hyperlink r:id="rId1300" ref="E651"/>
    <hyperlink r:id="rId1301" ref="D652"/>
    <hyperlink r:id="rId1302" ref="E652"/>
    <hyperlink r:id="rId1303" ref="D653"/>
    <hyperlink r:id="rId1304" ref="E653"/>
    <hyperlink r:id="rId1305" ref="D654"/>
    <hyperlink r:id="rId1306" ref="E654"/>
    <hyperlink r:id="rId1307" ref="D655"/>
    <hyperlink r:id="rId1308" ref="E655"/>
    <hyperlink r:id="rId1309" ref="D656"/>
    <hyperlink r:id="rId1310" ref="E656"/>
    <hyperlink r:id="rId1311" ref="D657"/>
    <hyperlink r:id="rId1312" ref="E657"/>
    <hyperlink r:id="rId1313" ref="D658"/>
    <hyperlink r:id="rId1314" ref="E658"/>
    <hyperlink r:id="rId1315" ref="D659"/>
    <hyperlink r:id="rId1316" ref="E659"/>
    <hyperlink r:id="rId1317" ref="D660"/>
    <hyperlink r:id="rId1318" ref="E660"/>
    <hyperlink r:id="rId1319" ref="D661"/>
    <hyperlink r:id="rId1320" ref="E661"/>
    <hyperlink r:id="rId1321" ref="D662"/>
    <hyperlink r:id="rId1322" ref="E662"/>
    <hyperlink r:id="rId1323" ref="D663"/>
    <hyperlink r:id="rId1324" ref="E663"/>
    <hyperlink r:id="rId1325" ref="D664"/>
    <hyperlink r:id="rId1326" ref="E664"/>
    <hyperlink r:id="rId1327" ref="D665"/>
    <hyperlink r:id="rId1328" ref="E665"/>
    <hyperlink r:id="rId1329" ref="D666"/>
    <hyperlink r:id="rId1330" ref="E666"/>
    <hyperlink r:id="rId1331" ref="D667"/>
    <hyperlink r:id="rId1332" ref="E667"/>
    <hyperlink r:id="rId1333" ref="D668"/>
    <hyperlink r:id="rId1334" ref="E668"/>
    <hyperlink r:id="rId1335" ref="D669"/>
    <hyperlink r:id="rId1336" ref="E669"/>
    <hyperlink r:id="rId1337" ref="D670"/>
    <hyperlink r:id="rId1338" ref="E670"/>
    <hyperlink r:id="rId1339" ref="D671"/>
    <hyperlink r:id="rId1340" ref="E671"/>
    <hyperlink r:id="rId1341" ref="D672"/>
    <hyperlink r:id="rId1342" ref="E672"/>
    <hyperlink r:id="rId1343" ref="D673"/>
    <hyperlink r:id="rId1344" ref="E673"/>
    <hyperlink r:id="rId1345" ref="D674"/>
    <hyperlink r:id="rId1346" ref="E674"/>
    <hyperlink r:id="rId1347" ref="D675"/>
    <hyperlink r:id="rId1348" ref="E675"/>
    <hyperlink r:id="rId1349" ref="D676"/>
    <hyperlink r:id="rId1350" ref="E676"/>
    <hyperlink r:id="rId1351" ref="D677"/>
    <hyperlink r:id="rId1352" ref="E677"/>
    <hyperlink r:id="rId1353" ref="D678"/>
    <hyperlink r:id="rId1354" ref="E678"/>
    <hyperlink r:id="rId1355" ref="D679"/>
    <hyperlink r:id="rId1356" ref="E679"/>
    <hyperlink r:id="rId1357" ref="D680"/>
    <hyperlink r:id="rId1358" ref="E680"/>
    <hyperlink r:id="rId1359" ref="D681"/>
    <hyperlink r:id="rId1360" ref="E681"/>
    <hyperlink r:id="rId1361" ref="D682"/>
    <hyperlink r:id="rId1362" ref="E682"/>
    <hyperlink r:id="rId1363" ref="D683"/>
    <hyperlink r:id="rId1364" ref="E683"/>
    <hyperlink r:id="rId1365" ref="D684"/>
    <hyperlink r:id="rId1366" ref="E684"/>
    <hyperlink r:id="rId1367" ref="D685"/>
    <hyperlink r:id="rId1368" ref="E685"/>
    <hyperlink r:id="rId1369" ref="D686"/>
    <hyperlink r:id="rId1370" ref="E686"/>
    <hyperlink r:id="rId1371" ref="D687"/>
    <hyperlink r:id="rId1372" ref="E687"/>
    <hyperlink r:id="rId1373" ref="D688"/>
    <hyperlink r:id="rId1374" ref="E688"/>
    <hyperlink r:id="rId1375" ref="D689"/>
    <hyperlink r:id="rId1376" ref="E689"/>
    <hyperlink r:id="rId1377" ref="D690"/>
    <hyperlink r:id="rId1378" ref="E690"/>
    <hyperlink r:id="rId1379" ref="D691"/>
    <hyperlink r:id="rId1380" ref="E691"/>
    <hyperlink r:id="rId1381" ref="D692"/>
    <hyperlink r:id="rId1382" ref="E692"/>
    <hyperlink r:id="rId1383" ref="D693"/>
    <hyperlink r:id="rId1384" ref="E693"/>
    <hyperlink r:id="rId1385" ref="D694"/>
    <hyperlink r:id="rId1386" ref="E694"/>
    <hyperlink r:id="rId1387" ref="D695"/>
    <hyperlink r:id="rId1388" ref="E695"/>
    <hyperlink r:id="rId1389" ref="D696"/>
    <hyperlink r:id="rId1390" ref="E696"/>
    <hyperlink r:id="rId1391" ref="D697"/>
    <hyperlink r:id="rId1392" ref="E697"/>
    <hyperlink r:id="rId1393" ref="D698"/>
    <hyperlink r:id="rId1394" ref="E698"/>
    <hyperlink r:id="rId1395" ref="D699"/>
    <hyperlink r:id="rId1396" ref="E699"/>
    <hyperlink r:id="rId1397" ref="D700"/>
    <hyperlink r:id="rId1398" ref="E700"/>
    <hyperlink r:id="rId1399" ref="D701"/>
    <hyperlink r:id="rId1400" ref="E701"/>
    <hyperlink r:id="rId1401" ref="D702"/>
    <hyperlink r:id="rId1402" ref="E702"/>
    <hyperlink r:id="rId1403" ref="D703"/>
    <hyperlink r:id="rId1404" ref="E703"/>
    <hyperlink r:id="rId1405" ref="D704"/>
    <hyperlink r:id="rId1406" ref="E704"/>
    <hyperlink r:id="rId1407" ref="D705"/>
    <hyperlink r:id="rId1408" ref="E705"/>
    <hyperlink r:id="rId1409" ref="D706"/>
    <hyperlink r:id="rId1410" ref="E706"/>
    <hyperlink r:id="rId1411" ref="D707"/>
    <hyperlink r:id="rId1412" ref="E707"/>
    <hyperlink r:id="rId1413" ref="D708"/>
    <hyperlink r:id="rId1414" ref="E708"/>
    <hyperlink r:id="rId1415" ref="D709"/>
    <hyperlink r:id="rId1416" ref="E709"/>
    <hyperlink r:id="rId1417" ref="D710"/>
    <hyperlink r:id="rId1418" ref="E710"/>
    <hyperlink r:id="rId1419" ref="D711"/>
    <hyperlink r:id="rId1420" ref="E711"/>
    <hyperlink r:id="rId1421" ref="D712"/>
    <hyperlink r:id="rId1422" ref="E712"/>
    <hyperlink r:id="rId1423" ref="D713"/>
    <hyperlink r:id="rId1424" ref="E713"/>
    <hyperlink r:id="rId1425" ref="D714"/>
    <hyperlink r:id="rId1426" ref="E714"/>
    <hyperlink r:id="rId1427" ref="D715"/>
    <hyperlink r:id="rId1428" ref="E715"/>
    <hyperlink r:id="rId1429" ref="D716"/>
    <hyperlink r:id="rId1430" ref="E716"/>
    <hyperlink r:id="rId1431" ref="D717"/>
    <hyperlink r:id="rId1432" ref="E717"/>
    <hyperlink r:id="rId1433" ref="D718"/>
    <hyperlink r:id="rId1434" ref="E718"/>
    <hyperlink r:id="rId1435" ref="D719"/>
    <hyperlink r:id="rId1436" ref="E719"/>
    <hyperlink r:id="rId1437" ref="D720"/>
    <hyperlink r:id="rId1438" ref="E720"/>
    <hyperlink r:id="rId1439" ref="D721"/>
    <hyperlink r:id="rId1440" ref="E721"/>
    <hyperlink r:id="rId1441" ref="D722"/>
    <hyperlink r:id="rId1442" ref="E722"/>
    <hyperlink r:id="rId1443" ref="D723"/>
    <hyperlink r:id="rId1444" ref="E723"/>
    <hyperlink r:id="rId1445" ref="D724"/>
    <hyperlink r:id="rId1446" ref="E724"/>
    <hyperlink r:id="rId1447" ref="D725"/>
    <hyperlink r:id="rId1448" ref="E725"/>
    <hyperlink r:id="rId1449" ref="D726"/>
    <hyperlink r:id="rId1450" ref="E726"/>
    <hyperlink r:id="rId1451" ref="D727"/>
    <hyperlink r:id="rId1452" ref="E727"/>
    <hyperlink r:id="rId1453" ref="D728"/>
    <hyperlink r:id="rId1454" ref="E728"/>
    <hyperlink r:id="rId1455" ref="D729"/>
    <hyperlink r:id="rId1456" ref="E729"/>
    <hyperlink r:id="rId1457" ref="D730"/>
    <hyperlink r:id="rId1458" ref="E730"/>
    <hyperlink r:id="rId1459" ref="D731"/>
    <hyperlink r:id="rId1460" ref="E731"/>
    <hyperlink r:id="rId1461" ref="D732"/>
    <hyperlink r:id="rId1462" ref="E732"/>
    <hyperlink r:id="rId1463" ref="D733"/>
    <hyperlink r:id="rId1464" ref="E733"/>
    <hyperlink r:id="rId1465" ref="D734"/>
    <hyperlink r:id="rId1466" ref="E734"/>
    <hyperlink r:id="rId1467" ref="D735"/>
    <hyperlink r:id="rId1468" ref="E735"/>
    <hyperlink r:id="rId1469" ref="D736"/>
    <hyperlink r:id="rId1470" ref="E736"/>
    <hyperlink r:id="rId1471" ref="D737"/>
    <hyperlink r:id="rId1472" ref="E737"/>
    <hyperlink r:id="rId1473" ref="D738"/>
    <hyperlink r:id="rId1474" ref="E738"/>
    <hyperlink r:id="rId1475" ref="D739"/>
    <hyperlink r:id="rId1476" ref="E739"/>
    <hyperlink r:id="rId1477" ref="D740"/>
    <hyperlink r:id="rId1478" ref="E740"/>
    <hyperlink r:id="rId1479" ref="D741"/>
    <hyperlink r:id="rId1480" ref="E741"/>
    <hyperlink r:id="rId1481" ref="D742"/>
    <hyperlink r:id="rId1482" ref="E742"/>
    <hyperlink r:id="rId1483" ref="D743"/>
    <hyperlink r:id="rId1484" ref="E743"/>
    <hyperlink r:id="rId1485" ref="D744"/>
    <hyperlink r:id="rId1486" ref="E744"/>
    <hyperlink r:id="rId1487" ref="D745"/>
    <hyperlink r:id="rId1488" ref="E745"/>
    <hyperlink r:id="rId1489" ref="D746"/>
    <hyperlink r:id="rId1490" ref="E746"/>
    <hyperlink r:id="rId1491" ref="D747"/>
    <hyperlink r:id="rId1492" ref="E747"/>
    <hyperlink r:id="rId1493" ref="D748"/>
    <hyperlink r:id="rId1494" ref="E748"/>
    <hyperlink r:id="rId1495" ref="D749"/>
    <hyperlink r:id="rId1496" ref="E749"/>
    <hyperlink r:id="rId1497" ref="D750"/>
    <hyperlink r:id="rId1498" ref="E750"/>
    <hyperlink r:id="rId1499" ref="D751"/>
    <hyperlink r:id="rId1500" ref="E751"/>
    <hyperlink r:id="rId1501" ref="D752"/>
    <hyperlink r:id="rId1502" ref="E752"/>
    <hyperlink r:id="rId1503" ref="D753"/>
    <hyperlink r:id="rId1504" ref="E753"/>
    <hyperlink r:id="rId1505" ref="D754"/>
    <hyperlink r:id="rId1506" ref="E754"/>
    <hyperlink r:id="rId1507" ref="D755"/>
    <hyperlink r:id="rId1508" ref="E755"/>
    <hyperlink r:id="rId1509" ref="D756"/>
    <hyperlink r:id="rId1510" ref="E756"/>
    <hyperlink r:id="rId1511" ref="D757"/>
    <hyperlink r:id="rId1512" ref="E757"/>
    <hyperlink r:id="rId1513" ref="D758"/>
    <hyperlink r:id="rId1514" ref="E758"/>
    <hyperlink r:id="rId1515" ref="D759"/>
    <hyperlink r:id="rId1516" ref="E759"/>
    <hyperlink r:id="rId1517" ref="D760"/>
    <hyperlink r:id="rId1518" ref="E760"/>
    <hyperlink r:id="rId1519" ref="D761"/>
    <hyperlink r:id="rId1520" ref="E761"/>
    <hyperlink r:id="rId1521" ref="D762"/>
    <hyperlink r:id="rId1522" ref="E762"/>
    <hyperlink r:id="rId1523" ref="D763"/>
    <hyperlink r:id="rId1524" ref="E763"/>
    <hyperlink r:id="rId1525" ref="D764"/>
    <hyperlink r:id="rId1526" ref="E764"/>
    <hyperlink r:id="rId1527" ref="D765"/>
    <hyperlink r:id="rId1528" ref="E765"/>
    <hyperlink r:id="rId1529" ref="D766"/>
    <hyperlink r:id="rId1530" ref="E766"/>
    <hyperlink r:id="rId1531" ref="D767"/>
    <hyperlink r:id="rId1532" ref="E767"/>
    <hyperlink r:id="rId1533" ref="D768"/>
    <hyperlink r:id="rId1534" ref="E768"/>
    <hyperlink r:id="rId1535" ref="D769"/>
    <hyperlink r:id="rId1536" ref="E769"/>
    <hyperlink r:id="rId1537" ref="D770"/>
    <hyperlink r:id="rId1538" ref="E770"/>
    <hyperlink r:id="rId1539" ref="D771"/>
    <hyperlink r:id="rId1540" ref="E771"/>
    <hyperlink r:id="rId1541" ref="D772"/>
    <hyperlink r:id="rId1542" ref="E772"/>
    <hyperlink r:id="rId1543" ref="D773"/>
    <hyperlink r:id="rId1544" ref="E773"/>
    <hyperlink r:id="rId1545" ref="D774"/>
    <hyperlink r:id="rId1546" ref="E774"/>
    <hyperlink r:id="rId1547" ref="D775"/>
    <hyperlink r:id="rId1548" ref="E775"/>
    <hyperlink r:id="rId1549" ref="D776"/>
    <hyperlink r:id="rId1550" ref="E776"/>
    <hyperlink r:id="rId1551" ref="D777"/>
    <hyperlink r:id="rId1552" ref="E777"/>
    <hyperlink r:id="rId1553" ref="D778"/>
    <hyperlink r:id="rId1554" ref="E778"/>
    <hyperlink r:id="rId1555" ref="D779"/>
    <hyperlink r:id="rId1556" ref="E779"/>
    <hyperlink r:id="rId1557" ref="D780"/>
    <hyperlink r:id="rId1558" ref="E780"/>
    <hyperlink r:id="rId1559" ref="D781"/>
    <hyperlink r:id="rId1560" ref="E781"/>
    <hyperlink r:id="rId1561" ref="D782"/>
    <hyperlink r:id="rId1562" ref="E782"/>
    <hyperlink r:id="rId1563" ref="D783"/>
    <hyperlink r:id="rId1564" ref="E783"/>
    <hyperlink r:id="rId1565" ref="D784"/>
    <hyperlink r:id="rId1566" ref="E784"/>
    <hyperlink r:id="rId1567" ref="D785"/>
    <hyperlink r:id="rId1568" ref="E785"/>
    <hyperlink r:id="rId1569" ref="D786"/>
    <hyperlink r:id="rId1570" ref="E786"/>
    <hyperlink r:id="rId1571" ref="D787"/>
    <hyperlink r:id="rId1572" ref="E787"/>
    <hyperlink r:id="rId1573" ref="D788"/>
    <hyperlink r:id="rId1574" ref="E788"/>
    <hyperlink r:id="rId1575" ref="D789"/>
    <hyperlink r:id="rId1576" ref="E789"/>
    <hyperlink r:id="rId1577" ref="D790"/>
    <hyperlink r:id="rId1578" ref="E790"/>
    <hyperlink r:id="rId1579" ref="D791"/>
    <hyperlink r:id="rId1580" ref="E791"/>
    <hyperlink r:id="rId1581" ref="D792"/>
    <hyperlink r:id="rId1582" ref="E792"/>
    <hyperlink r:id="rId1583" ref="D793"/>
    <hyperlink r:id="rId1584" ref="E793"/>
    <hyperlink r:id="rId1585" ref="D794"/>
    <hyperlink r:id="rId1586" ref="E794"/>
    <hyperlink r:id="rId1587" ref="D795"/>
    <hyperlink r:id="rId1588" ref="E795"/>
    <hyperlink r:id="rId1589" ref="D796"/>
    <hyperlink r:id="rId1590" ref="E796"/>
    <hyperlink r:id="rId1591" ref="D797"/>
    <hyperlink r:id="rId1592" ref="E797"/>
    <hyperlink r:id="rId1593" ref="D798"/>
    <hyperlink r:id="rId1594" ref="E798"/>
    <hyperlink r:id="rId1595" ref="D799"/>
    <hyperlink r:id="rId1596" ref="E799"/>
    <hyperlink r:id="rId1597" ref="D800"/>
    <hyperlink r:id="rId1598" ref="E800"/>
    <hyperlink r:id="rId1599" ref="D801"/>
    <hyperlink r:id="rId1600" ref="E801"/>
    <hyperlink r:id="rId1601" ref="D802"/>
    <hyperlink r:id="rId1602" ref="E802"/>
    <hyperlink r:id="rId1603" ref="D803"/>
    <hyperlink r:id="rId1604" ref="E803"/>
    <hyperlink r:id="rId1605" ref="D804"/>
    <hyperlink r:id="rId1606" ref="E804"/>
    <hyperlink r:id="rId1607" ref="D805"/>
    <hyperlink r:id="rId1608" ref="E805"/>
    <hyperlink r:id="rId1609" ref="D806"/>
    <hyperlink r:id="rId1610" ref="E806"/>
    <hyperlink r:id="rId1611" ref="D807"/>
    <hyperlink r:id="rId1612" ref="E807"/>
    <hyperlink r:id="rId1613" ref="D808"/>
    <hyperlink r:id="rId1614" ref="E808"/>
    <hyperlink r:id="rId1615" ref="D809"/>
    <hyperlink r:id="rId1616" ref="E809"/>
    <hyperlink r:id="rId1617" ref="D810"/>
    <hyperlink r:id="rId1618" ref="E810"/>
    <hyperlink r:id="rId1619" ref="D811"/>
    <hyperlink r:id="rId1620" ref="E811"/>
    <hyperlink r:id="rId1621" ref="D812"/>
    <hyperlink r:id="rId1622" ref="E812"/>
    <hyperlink r:id="rId1623" ref="D813"/>
    <hyperlink r:id="rId1624" ref="E813"/>
    <hyperlink r:id="rId1625" ref="D814"/>
    <hyperlink r:id="rId1626" ref="E814"/>
    <hyperlink r:id="rId1627" ref="D815"/>
    <hyperlink r:id="rId1628" ref="E815"/>
    <hyperlink r:id="rId1629" ref="D816"/>
    <hyperlink r:id="rId1630" ref="E816"/>
    <hyperlink r:id="rId1631" ref="D817"/>
    <hyperlink r:id="rId1632" ref="E817"/>
    <hyperlink r:id="rId1633" ref="D818"/>
    <hyperlink r:id="rId1634" ref="E818"/>
    <hyperlink r:id="rId1635" ref="D819"/>
    <hyperlink r:id="rId1636" ref="E819"/>
    <hyperlink r:id="rId1637" ref="D820"/>
    <hyperlink r:id="rId1638" ref="E820"/>
    <hyperlink r:id="rId1639" ref="D821"/>
    <hyperlink r:id="rId1640" ref="E821"/>
    <hyperlink r:id="rId1641" ref="D822"/>
    <hyperlink r:id="rId1642" ref="E822"/>
    <hyperlink r:id="rId1643" ref="D823"/>
    <hyperlink r:id="rId1644" ref="E823"/>
    <hyperlink r:id="rId1645" ref="D824"/>
    <hyperlink r:id="rId1646" ref="E824"/>
    <hyperlink r:id="rId1647" ref="D825"/>
    <hyperlink r:id="rId1648" ref="E825"/>
    <hyperlink r:id="rId1649" ref="D826"/>
    <hyperlink r:id="rId1650" ref="E826"/>
    <hyperlink r:id="rId1651" ref="D827"/>
    <hyperlink r:id="rId1652" ref="E827"/>
    <hyperlink r:id="rId1653" ref="D828"/>
    <hyperlink r:id="rId1654" ref="E828"/>
    <hyperlink r:id="rId1655" ref="D829"/>
    <hyperlink r:id="rId1656" ref="E829"/>
    <hyperlink r:id="rId1657" ref="D830"/>
    <hyperlink r:id="rId1658" ref="E830"/>
    <hyperlink r:id="rId1659" ref="D831"/>
    <hyperlink r:id="rId1660" ref="E831"/>
    <hyperlink r:id="rId1661" ref="D832"/>
    <hyperlink r:id="rId1662" ref="E832"/>
    <hyperlink r:id="rId1663" ref="D833"/>
    <hyperlink r:id="rId1664" ref="E833"/>
    <hyperlink r:id="rId1665" ref="D834"/>
    <hyperlink r:id="rId1666" ref="E834"/>
    <hyperlink r:id="rId1667" ref="D835"/>
    <hyperlink r:id="rId1668" ref="E835"/>
    <hyperlink r:id="rId1669" ref="D836"/>
    <hyperlink r:id="rId1670" ref="E836"/>
    <hyperlink r:id="rId1671" ref="D837"/>
    <hyperlink r:id="rId1672" ref="E837"/>
    <hyperlink r:id="rId1673" ref="D838"/>
    <hyperlink r:id="rId1674" ref="E838"/>
    <hyperlink r:id="rId1675" ref="D839"/>
    <hyperlink r:id="rId1676" ref="E839"/>
    <hyperlink r:id="rId1677" ref="D840"/>
    <hyperlink r:id="rId1678" ref="E840"/>
    <hyperlink r:id="rId1679" ref="D841"/>
    <hyperlink r:id="rId1680" ref="E841"/>
    <hyperlink r:id="rId1681" ref="D842"/>
    <hyperlink r:id="rId1682" ref="E842"/>
    <hyperlink r:id="rId1683" ref="D843"/>
    <hyperlink r:id="rId1684" ref="E843"/>
    <hyperlink r:id="rId1685" ref="D844"/>
    <hyperlink r:id="rId1686" ref="E844"/>
    <hyperlink r:id="rId1687" ref="D845"/>
    <hyperlink r:id="rId1688" ref="E845"/>
    <hyperlink r:id="rId1689" ref="D846"/>
    <hyperlink r:id="rId1690" ref="E846"/>
    <hyperlink r:id="rId1691" ref="D847"/>
    <hyperlink r:id="rId1692" ref="E847"/>
    <hyperlink r:id="rId1693" ref="D848"/>
    <hyperlink r:id="rId1694" ref="E848"/>
    <hyperlink r:id="rId1695" ref="D849"/>
    <hyperlink r:id="rId1696" ref="E849"/>
    <hyperlink r:id="rId1697" ref="D850"/>
    <hyperlink r:id="rId1698" ref="E850"/>
    <hyperlink r:id="rId1699" ref="D851"/>
    <hyperlink r:id="rId1700" ref="E851"/>
    <hyperlink r:id="rId1701" ref="D852"/>
    <hyperlink r:id="rId1702" ref="E852"/>
    <hyperlink r:id="rId1703" ref="D853"/>
    <hyperlink r:id="rId1704" ref="E853"/>
    <hyperlink r:id="rId1705" ref="D854"/>
    <hyperlink r:id="rId1706" ref="E854"/>
    <hyperlink r:id="rId1707" ref="D855"/>
    <hyperlink r:id="rId1708" ref="E855"/>
    <hyperlink r:id="rId1709" ref="D856"/>
    <hyperlink r:id="rId1710" ref="E856"/>
    <hyperlink r:id="rId1711" ref="D857"/>
    <hyperlink r:id="rId1712" ref="E857"/>
    <hyperlink r:id="rId1713" ref="D858"/>
    <hyperlink r:id="rId1714" ref="E858"/>
    <hyperlink r:id="rId1715" ref="D859"/>
    <hyperlink r:id="rId1716" ref="E859"/>
    <hyperlink r:id="rId1717" ref="D860"/>
    <hyperlink r:id="rId1718" ref="E860"/>
    <hyperlink r:id="rId1719" ref="D861"/>
    <hyperlink r:id="rId1720" ref="E861"/>
    <hyperlink r:id="rId1721" ref="D862"/>
    <hyperlink r:id="rId1722" ref="E862"/>
    <hyperlink r:id="rId1723" ref="D863"/>
    <hyperlink r:id="rId1724" ref="E863"/>
    <hyperlink r:id="rId1725" ref="D864"/>
    <hyperlink r:id="rId1726" ref="E864"/>
    <hyperlink r:id="rId1727" ref="D865"/>
    <hyperlink r:id="rId1728" ref="E865"/>
    <hyperlink r:id="rId1729" ref="D866"/>
    <hyperlink r:id="rId1730" ref="E866"/>
    <hyperlink r:id="rId1731" ref="D867"/>
    <hyperlink r:id="rId1732" ref="E867"/>
    <hyperlink r:id="rId1733" ref="D868"/>
    <hyperlink r:id="rId1734" ref="E868"/>
    <hyperlink r:id="rId1735" ref="D869"/>
    <hyperlink r:id="rId1736" ref="E869"/>
    <hyperlink r:id="rId1737" ref="D870"/>
    <hyperlink r:id="rId1738" ref="E870"/>
    <hyperlink r:id="rId1739" ref="D871"/>
    <hyperlink r:id="rId1740" ref="E871"/>
    <hyperlink r:id="rId1741" ref="D872"/>
    <hyperlink r:id="rId1742" ref="E872"/>
    <hyperlink r:id="rId1743" ref="D873"/>
    <hyperlink r:id="rId1744" ref="E873"/>
    <hyperlink r:id="rId1745" ref="D874"/>
    <hyperlink r:id="rId1746" ref="E874"/>
    <hyperlink r:id="rId1747" ref="D875"/>
    <hyperlink r:id="rId1748" ref="E875"/>
    <hyperlink r:id="rId1749" ref="D876"/>
    <hyperlink r:id="rId1750" ref="E876"/>
    <hyperlink r:id="rId1751" ref="D877"/>
    <hyperlink r:id="rId1752" ref="E877"/>
    <hyperlink r:id="rId1753" ref="D878"/>
    <hyperlink r:id="rId1754" ref="E878"/>
    <hyperlink r:id="rId1755" ref="D879"/>
    <hyperlink r:id="rId1756" ref="E879"/>
    <hyperlink r:id="rId1757" ref="D880"/>
    <hyperlink r:id="rId1758" ref="E880"/>
    <hyperlink r:id="rId1759" ref="D881"/>
    <hyperlink r:id="rId1760" ref="E881"/>
    <hyperlink r:id="rId1761" ref="D882"/>
    <hyperlink r:id="rId1762" ref="E882"/>
    <hyperlink r:id="rId1763" ref="D883"/>
    <hyperlink r:id="rId1764" ref="E883"/>
    <hyperlink r:id="rId1765" ref="D884"/>
    <hyperlink r:id="rId1766" ref="E884"/>
    <hyperlink r:id="rId1767" ref="D885"/>
    <hyperlink r:id="rId1768" ref="E885"/>
    <hyperlink r:id="rId1769" ref="D886"/>
    <hyperlink r:id="rId1770" ref="E886"/>
    <hyperlink r:id="rId1771" ref="D887"/>
    <hyperlink r:id="rId1772" ref="E887"/>
    <hyperlink r:id="rId1773" ref="D888"/>
    <hyperlink r:id="rId1774" ref="E888"/>
    <hyperlink r:id="rId1775" ref="D889"/>
    <hyperlink r:id="rId1776" ref="E889"/>
    <hyperlink r:id="rId1777" ref="D890"/>
    <hyperlink r:id="rId1778" ref="E890"/>
    <hyperlink r:id="rId1779" ref="D891"/>
    <hyperlink r:id="rId1780" ref="E891"/>
    <hyperlink r:id="rId1781" ref="D892"/>
    <hyperlink r:id="rId1782" ref="E892"/>
    <hyperlink r:id="rId1783" ref="D893"/>
    <hyperlink r:id="rId1784" ref="E893"/>
    <hyperlink r:id="rId1785" ref="D894"/>
    <hyperlink r:id="rId1786" ref="E894"/>
    <hyperlink r:id="rId1787" ref="D895"/>
    <hyperlink r:id="rId1788" ref="E895"/>
    <hyperlink r:id="rId1789" ref="D896"/>
    <hyperlink r:id="rId1790" ref="E896"/>
    <hyperlink r:id="rId1791" ref="D897"/>
    <hyperlink r:id="rId1792" ref="E897"/>
    <hyperlink r:id="rId1793" ref="D898"/>
    <hyperlink r:id="rId1794" ref="E898"/>
    <hyperlink r:id="rId1795" ref="D899"/>
    <hyperlink r:id="rId1796" ref="E899"/>
    <hyperlink r:id="rId1797" ref="D900"/>
    <hyperlink r:id="rId1798" ref="E900"/>
    <hyperlink r:id="rId1799" ref="D901"/>
    <hyperlink r:id="rId1800" ref="E901"/>
    <hyperlink r:id="rId1801" ref="D902"/>
    <hyperlink r:id="rId1802" ref="E902"/>
    <hyperlink r:id="rId1803" ref="D903"/>
    <hyperlink r:id="rId1804" ref="E903"/>
    <hyperlink r:id="rId1805" ref="D904"/>
    <hyperlink r:id="rId1806" ref="E904"/>
    <hyperlink r:id="rId1807" ref="D905"/>
    <hyperlink r:id="rId1808" ref="E905"/>
    <hyperlink r:id="rId1809" ref="D906"/>
    <hyperlink r:id="rId1810" ref="E906"/>
    <hyperlink r:id="rId1811" ref="D907"/>
    <hyperlink r:id="rId1812" ref="E907"/>
    <hyperlink r:id="rId1813" ref="D908"/>
    <hyperlink r:id="rId1814" ref="E908"/>
    <hyperlink r:id="rId1815" ref="D909"/>
    <hyperlink r:id="rId1816" ref="E909"/>
    <hyperlink r:id="rId1817" ref="D910"/>
    <hyperlink r:id="rId1818" ref="E910"/>
    <hyperlink r:id="rId1819" ref="D911"/>
    <hyperlink r:id="rId1820" ref="E911"/>
    <hyperlink r:id="rId1821" ref="D912"/>
    <hyperlink r:id="rId1822" ref="E912"/>
    <hyperlink r:id="rId1823" ref="D913"/>
    <hyperlink r:id="rId1824" ref="E913"/>
    <hyperlink r:id="rId1825" ref="D914"/>
    <hyperlink r:id="rId1826" ref="E914"/>
    <hyperlink r:id="rId1827" ref="D915"/>
    <hyperlink r:id="rId1828" ref="E915"/>
    <hyperlink r:id="rId1829" ref="D916"/>
    <hyperlink r:id="rId1830" ref="E916"/>
    <hyperlink r:id="rId1831" ref="D917"/>
    <hyperlink r:id="rId1832" ref="E917"/>
    <hyperlink r:id="rId1833" ref="D918"/>
    <hyperlink r:id="rId1834" ref="E918"/>
    <hyperlink r:id="rId1835" ref="D919"/>
    <hyperlink r:id="rId1836" ref="E919"/>
    <hyperlink r:id="rId1837" ref="D920"/>
    <hyperlink r:id="rId1838" ref="E920"/>
    <hyperlink r:id="rId1839" ref="D921"/>
    <hyperlink r:id="rId1840" ref="E921"/>
    <hyperlink r:id="rId1841" ref="D922"/>
    <hyperlink r:id="rId1842" ref="E922"/>
    <hyperlink r:id="rId1843" ref="D923"/>
    <hyperlink r:id="rId1844" ref="E923"/>
    <hyperlink r:id="rId1845" ref="D924"/>
    <hyperlink r:id="rId1846" ref="E924"/>
    <hyperlink r:id="rId1847" ref="D925"/>
    <hyperlink r:id="rId1848" ref="E925"/>
    <hyperlink r:id="rId1849" ref="D926"/>
    <hyperlink r:id="rId1850" ref="E926"/>
    <hyperlink r:id="rId1851" ref="D927"/>
    <hyperlink r:id="rId1852" ref="E927"/>
    <hyperlink r:id="rId1853" ref="D928"/>
    <hyperlink r:id="rId1854" ref="E928"/>
    <hyperlink r:id="rId1855" ref="D929"/>
    <hyperlink r:id="rId1856" ref="E929"/>
    <hyperlink r:id="rId1857" ref="D930"/>
    <hyperlink r:id="rId1858" ref="E930"/>
    <hyperlink r:id="rId1859" ref="D931"/>
    <hyperlink r:id="rId1860" ref="E931"/>
    <hyperlink r:id="rId1861" ref="D932"/>
    <hyperlink r:id="rId1862" ref="E932"/>
    <hyperlink r:id="rId1863" ref="D933"/>
    <hyperlink r:id="rId1864" ref="E933"/>
    <hyperlink r:id="rId1865" ref="D934"/>
    <hyperlink r:id="rId1866" ref="E934"/>
    <hyperlink r:id="rId1867" ref="D935"/>
    <hyperlink r:id="rId1868" ref="E935"/>
    <hyperlink r:id="rId1869" ref="D936"/>
    <hyperlink r:id="rId1870" ref="E936"/>
    <hyperlink r:id="rId1871" ref="D937"/>
    <hyperlink r:id="rId1872" ref="E937"/>
    <hyperlink r:id="rId1873" ref="D938"/>
    <hyperlink r:id="rId1874" ref="E938"/>
    <hyperlink r:id="rId1875" ref="D939"/>
    <hyperlink r:id="rId1876" ref="E939"/>
    <hyperlink r:id="rId1877" ref="D940"/>
    <hyperlink r:id="rId1878" ref="E940"/>
    <hyperlink r:id="rId1879" ref="D941"/>
    <hyperlink r:id="rId1880" ref="E941"/>
    <hyperlink r:id="rId1881" ref="D942"/>
    <hyperlink r:id="rId1882" ref="E942"/>
    <hyperlink r:id="rId1883" ref="D943"/>
    <hyperlink r:id="rId1884" ref="E943"/>
    <hyperlink r:id="rId1885" ref="D944"/>
    <hyperlink r:id="rId1886" ref="E944"/>
    <hyperlink r:id="rId1887" ref="D945"/>
    <hyperlink r:id="rId1888" ref="E945"/>
    <hyperlink r:id="rId1889" ref="D946"/>
    <hyperlink r:id="rId1890" ref="E946"/>
    <hyperlink r:id="rId1891" ref="D947"/>
    <hyperlink r:id="rId1892" ref="E947"/>
    <hyperlink r:id="rId1893" ref="D948"/>
    <hyperlink r:id="rId1894" ref="E948"/>
    <hyperlink r:id="rId1895" ref="D949"/>
    <hyperlink r:id="rId1896" ref="E949"/>
    <hyperlink r:id="rId1897" ref="D950"/>
    <hyperlink r:id="rId1898" ref="E950"/>
    <hyperlink r:id="rId1899" ref="D951"/>
    <hyperlink r:id="rId1900" ref="E951"/>
    <hyperlink r:id="rId1901" ref="D952"/>
    <hyperlink r:id="rId1902" ref="E952"/>
    <hyperlink r:id="rId1903" ref="D953"/>
    <hyperlink r:id="rId1904" ref="E953"/>
    <hyperlink r:id="rId1905" ref="D954"/>
    <hyperlink r:id="rId1906" ref="E954"/>
    <hyperlink r:id="rId1907" ref="D955"/>
    <hyperlink r:id="rId1908" ref="E955"/>
    <hyperlink r:id="rId1909" ref="D956"/>
    <hyperlink r:id="rId1910" ref="E956"/>
    <hyperlink r:id="rId1911" ref="D957"/>
    <hyperlink r:id="rId1912" ref="E957"/>
    <hyperlink r:id="rId1913" ref="D958"/>
    <hyperlink r:id="rId1914" ref="E958"/>
    <hyperlink r:id="rId1915" ref="D959"/>
    <hyperlink r:id="rId1916" ref="E959"/>
    <hyperlink r:id="rId1917" ref="D960"/>
    <hyperlink r:id="rId1918" ref="E960"/>
    <hyperlink r:id="rId1919" ref="D961"/>
    <hyperlink r:id="rId1920" ref="E961"/>
    <hyperlink r:id="rId1921" ref="D962"/>
    <hyperlink r:id="rId1922" ref="E962"/>
    <hyperlink r:id="rId1923" ref="D963"/>
    <hyperlink r:id="rId1924" ref="E963"/>
    <hyperlink r:id="rId1925" ref="D964"/>
    <hyperlink r:id="rId1926" ref="E964"/>
    <hyperlink r:id="rId1927" ref="D965"/>
    <hyperlink r:id="rId1928" ref="E965"/>
    <hyperlink r:id="rId1929" ref="D966"/>
    <hyperlink r:id="rId1930" ref="E966"/>
    <hyperlink r:id="rId1931" ref="D967"/>
    <hyperlink r:id="rId1932" ref="E967"/>
    <hyperlink r:id="rId1933" ref="D968"/>
    <hyperlink r:id="rId1934" ref="E968"/>
    <hyperlink r:id="rId1935" ref="D969"/>
    <hyperlink r:id="rId1936" ref="E969"/>
    <hyperlink r:id="rId1937" ref="D970"/>
    <hyperlink r:id="rId1938" ref="E970"/>
    <hyperlink r:id="rId1939" ref="D971"/>
    <hyperlink r:id="rId1940" ref="E971"/>
    <hyperlink r:id="rId1941" ref="D972"/>
    <hyperlink r:id="rId1942" ref="E972"/>
    <hyperlink r:id="rId1943" ref="D973"/>
    <hyperlink r:id="rId1944" ref="E973"/>
    <hyperlink r:id="rId1945" ref="D974"/>
    <hyperlink r:id="rId1946" ref="E974"/>
    <hyperlink r:id="rId1947" ref="D975"/>
    <hyperlink r:id="rId1948" ref="E975"/>
    <hyperlink r:id="rId1949" ref="D976"/>
    <hyperlink r:id="rId1950" ref="E976"/>
    <hyperlink r:id="rId1951" ref="D977"/>
    <hyperlink r:id="rId1952" ref="E977"/>
    <hyperlink r:id="rId1953" ref="D978"/>
    <hyperlink r:id="rId1954" ref="E978"/>
    <hyperlink r:id="rId1955" ref="D979"/>
    <hyperlink r:id="rId1956" ref="E979"/>
    <hyperlink r:id="rId1957" ref="D980"/>
    <hyperlink r:id="rId1958" ref="E980"/>
    <hyperlink r:id="rId1959" ref="D981"/>
    <hyperlink r:id="rId1960" ref="E981"/>
    <hyperlink r:id="rId1961" ref="D982"/>
    <hyperlink r:id="rId1962" ref="E982"/>
    <hyperlink r:id="rId1963" ref="D983"/>
    <hyperlink r:id="rId1964" ref="E983"/>
    <hyperlink r:id="rId1965" ref="D984"/>
    <hyperlink r:id="rId1966" ref="E984"/>
    <hyperlink r:id="rId1967" ref="D985"/>
    <hyperlink r:id="rId1968" ref="E985"/>
    <hyperlink r:id="rId1969" ref="D986"/>
    <hyperlink r:id="rId1970" ref="E986"/>
    <hyperlink r:id="rId1971" ref="D987"/>
    <hyperlink r:id="rId1972" ref="E987"/>
    <hyperlink r:id="rId1973" ref="D988"/>
    <hyperlink r:id="rId1974" ref="E988"/>
    <hyperlink r:id="rId1975" ref="D989"/>
    <hyperlink r:id="rId1976" ref="E989"/>
    <hyperlink r:id="rId1977" ref="D990"/>
    <hyperlink r:id="rId1978" ref="E990"/>
    <hyperlink r:id="rId1979" ref="D991"/>
    <hyperlink r:id="rId1980" ref="E991"/>
    <hyperlink r:id="rId1981" ref="D992"/>
    <hyperlink r:id="rId1982" ref="E992"/>
    <hyperlink r:id="rId1983" ref="D993"/>
    <hyperlink r:id="rId1984" ref="E993"/>
    <hyperlink r:id="rId1985" ref="D994"/>
    <hyperlink r:id="rId1986" ref="E994"/>
    <hyperlink r:id="rId1987" ref="D995"/>
    <hyperlink r:id="rId1988" ref="E995"/>
    <hyperlink r:id="rId1989" ref="D996"/>
    <hyperlink r:id="rId1990" ref="E996"/>
    <hyperlink r:id="rId1991" ref="D997"/>
    <hyperlink r:id="rId1992" ref="E997"/>
    <hyperlink r:id="rId1993" ref="D998"/>
    <hyperlink r:id="rId1994" ref="E998"/>
    <hyperlink r:id="rId1995" ref="D999"/>
    <hyperlink r:id="rId1996" ref="E999"/>
    <hyperlink r:id="rId1997" ref="D1000"/>
    <hyperlink r:id="rId1998" ref="E1000"/>
    <hyperlink r:id="rId1999" ref="D1001"/>
    <hyperlink r:id="rId2000" ref="E1001"/>
    <hyperlink r:id="rId2001" ref="D1002"/>
    <hyperlink r:id="rId2002" ref="E1002"/>
    <hyperlink r:id="rId2003" ref="D1003"/>
    <hyperlink r:id="rId2004" ref="E1003"/>
    <hyperlink r:id="rId2005" ref="D1004"/>
    <hyperlink r:id="rId2006" ref="E1004"/>
    <hyperlink r:id="rId2007" ref="D1005"/>
    <hyperlink r:id="rId2008" ref="E1005"/>
    <hyperlink r:id="rId2009" ref="D1006"/>
    <hyperlink r:id="rId2010" ref="E1006"/>
    <hyperlink r:id="rId2011" ref="D1007"/>
    <hyperlink r:id="rId2012" ref="E1007"/>
    <hyperlink r:id="rId2013" ref="D1008"/>
    <hyperlink r:id="rId2014" ref="E1008"/>
    <hyperlink r:id="rId2015" ref="D1009"/>
    <hyperlink r:id="rId2016" ref="E1009"/>
    <hyperlink r:id="rId2017" ref="D1010"/>
    <hyperlink r:id="rId2018" ref="E1010"/>
    <hyperlink r:id="rId2019" ref="D1011"/>
    <hyperlink r:id="rId2020" ref="E1011"/>
    <hyperlink r:id="rId2021" ref="D1012"/>
    <hyperlink r:id="rId2022" ref="E1012"/>
    <hyperlink r:id="rId2023" ref="D1013"/>
    <hyperlink r:id="rId2024" ref="E1013"/>
    <hyperlink r:id="rId2025" ref="D1014"/>
    <hyperlink r:id="rId2026" ref="E1014"/>
    <hyperlink r:id="rId2027" ref="D1015"/>
    <hyperlink r:id="rId2028" ref="E1015"/>
    <hyperlink r:id="rId2029" ref="D1016"/>
    <hyperlink r:id="rId2030" ref="E1016"/>
    <hyperlink r:id="rId2031" ref="D1017"/>
    <hyperlink r:id="rId2032" ref="E1017"/>
    <hyperlink r:id="rId2033" ref="D1018"/>
    <hyperlink r:id="rId2034" ref="E1018"/>
    <hyperlink r:id="rId2035" ref="D1019"/>
    <hyperlink r:id="rId2036" ref="E1019"/>
    <hyperlink r:id="rId2037" ref="D1020"/>
    <hyperlink r:id="rId2038" ref="E1020"/>
    <hyperlink r:id="rId2039" ref="D1021"/>
    <hyperlink r:id="rId2040" ref="E1021"/>
    <hyperlink r:id="rId2041" ref="D1022"/>
    <hyperlink r:id="rId2042" ref="E1022"/>
    <hyperlink r:id="rId2043" ref="D1023"/>
    <hyperlink r:id="rId2044" ref="E1023"/>
    <hyperlink r:id="rId2045" ref="D1024"/>
    <hyperlink r:id="rId2046" ref="E1024"/>
    <hyperlink r:id="rId2047" ref="D1025"/>
    <hyperlink r:id="rId2048" ref="E1025"/>
    <hyperlink r:id="rId2049" ref="D1026"/>
    <hyperlink r:id="rId2050" ref="E1026"/>
    <hyperlink r:id="rId2051" ref="D1027"/>
    <hyperlink r:id="rId2052" ref="E1027"/>
    <hyperlink r:id="rId2053" ref="D1028"/>
    <hyperlink r:id="rId2054" ref="E1028"/>
    <hyperlink r:id="rId2055" ref="D1029"/>
    <hyperlink r:id="rId2056" ref="E1029"/>
    <hyperlink r:id="rId2057" ref="D1030"/>
    <hyperlink r:id="rId2058" ref="E1030"/>
    <hyperlink r:id="rId2059" ref="D1031"/>
    <hyperlink r:id="rId2060" ref="E1031"/>
    <hyperlink r:id="rId2061" ref="D1032"/>
    <hyperlink r:id="rId2062" ref="E1032"/>
    <hyperlink r:id="rId2063" ref="D1033"/>
    <hyperlink r:id="rId2064" ref="E1033"/>
    <hyperlink r:id="rId2065" ref="D1034"/>
    <hyperlink r:id="rId2066" ref="E1034"/>
    <hyperlink r:id="rId2067" ref="D1035"/>
    <hyperlink r:id="rId2068" ref="E1035"/>
    <hyperlink r:id="rId2069" ref="D1036"/>
    <hyperlink r:id="rId2070" ref="E1036"/>
    <hyperlink r:id="rId2071" ref="D1037"/>
    <hyperlink r:id="rId2072" ref="E1037"/>
    <hyperlink r:id="rId2073" ref="D1038"/>
    <hyperlink r:id="rId2074" ref="E1038"/>
    <hyperlink r:id="rId2075" ref="D1039"/>
    <hyperlink r:id="rId2076" ref="E1039"/>
    <hyperlink r:id="rId2077" ref="D1040"/>
    <hyperlink r:id="rId2078" ref="E1040"/>
    <hyperlink r:id="rId2079" ref="D1041"/>
    <hyperlink r:id="rId2080" ref="E1041"/>
    <hyperlink r:id="rId2081" ref="D1042"/>
    <hyperlink r:id="rId2082" ref="E1042"/>
    <hyperlink r:id="rId2083" ref="D1043"/>
    <hyperlink r:id="rId2084" ref="E1043"/>
    <hyperlink r:id="rId2085" ref="D1044"/>
    <hyperlink r:id="rId2086" ref="E1044"/>
    <hyperlink r:id="rId2087" ref="D1045"/>
    <hyperlink r:id="rId2088" ref="E1045"/>
    <hyperlink r:id="rId2089" ref="D1046"/>
    <hyperlink r:id="rId2090" ref="E1046"/>
    <hyperlink r:id="rId2091" ref="D1047"/>
    <hyperlink r:id="rId2092" ref="E1047"/>
    <hyperlink r:id="rId2093" ref="D1048"/>
    <hyperlink r:id="rId2094" ref="E1048"/>
    <hyperlink r:id="rId2095" ref="D1049"/>
    <hyperlink r:id="rId2096" ref="E1049"/>
    <hyperlink r:id="rId2097" ref="D1050"/>
    <hyperlink r:id="rId2098" ref="E1050"/>
    <hyperlink r:id="rId2099" ref="D1051"/>
    <hyperlink r:id="rId2100" ref="E1051"/>
    <hyperlink r:id="rId2101" ref="D1052"/>
    <hyperlink r:id="rId2102" ref="E1052"/>
    <hyperlink r:id="rId2103" ref="D1053"/>
    <hyperlink r:id="rId2104" ref="E1053"/>
    <hyperlink r:id="rId2105" ref="D1054"/>
    <hyperlink r:id="rId2106" ref="E1054"/>
    <hyperlink r:id="rId2107" ref="D1055"/>
    <hyperlink r:id="rId2108" ref="E1055"/>
    <hyperlink r:id="rId2109" ref="D1056"/>
    <hyperlink r:id="rId2110" ref="E1056"/>
    <hyperlink r:id="rId2111" ref="D1057"/>
    <hyperlink r:id="rId2112" ref="E1057"/>
    <hyperlink r:id="rId2113" ref="D1058"/>
    <hyperlink r:id="rId2114" ref="E1058"/>
    <hyperlink r:id="rId2115" ref="D1059"/>
    <hyperlink r:id="rId2116" ref="E1059"/>
    <hyperlink r:id="rId2117" ref="D1060"/>
    <hyperlink r:id="rId2118" ref="E1060"/>
    <hyperlink r:id="rId2119" ref="D1061"/>
    <hyperlink r:id="rId2120" ref="E1061"/>
    <hyperlink r:id="rId2121" ref="D1062"/>
    <hyperlink r:id="rId2122" ref="E1062"/>
    <hyperlink r:id="rId2123" ref="D1063"/>
    <hyperlink r:id="rId2124" ref="E1063"/>
    <hyperlink r:id="rId2125" ref="D1064"/>
    <hyperlink r:id="rId2126" ref="E1064"/>
    <hyperlink r:id="rId2127" ref="D1065"/>
    <hyperlink r:id="rId2128" ref="E1065"/>
    <hyperlink r:id="rId2129" ref="D1066"/>
    <hyperlink r:id="rId2130" ref="E1066"/>
    <hyperlink r:id="rId2131" ref="D1067"/>
    <hyperlink r:id="rId2132" ref="E1067"/>
    <hyperlink r:id="rId2133" ref="D1068"/>
    <hyperlink r:id="rId2134" ref="E1068"/>
    <hyperlink r:id="rId2135" ref="D1069"/>
    <hyperlink r:id="rId2136" ref="E1069"/>
    <hyperlink r:id="rId2137" ref="D1070"/>
    <hyperlink r:id="rId2138" ref="E1070"/>
    <hyperlink r:id="rId2139" ref="D1071"/>
    <hyperlink r:id="rId2140" ref="E1071"/>
    <hyperlink r:id="rId2141" ref="D1072"/>
    <hyperlink r:id="rId2142" ref="E1072"/>
    <hyperlink r:id="rId2143" ref="D1073"/>
    <hyperlink r:id="rId2144" ref="E1073"/>
    <hyperlink r:id="rId2145" ref="D1074"/>
    <hyperlink r:id="rId2146" ref="E1074"/>
    <hyperlink r:id="rId2147" ref="D1075"/>
    <hyperlink r:id="rId2148" ref="E1075"/>
    <hyperlink r:id="rId2149" ref="D1076"/>
    <hyperlink r:id="rId2150" ref="E1076"/>
    <hyperlink r:id="rId2151" ref="D1077"/>
    <hyperlink r:id="rId2152" ref="E1077"/>
    <hyperlink r:id="rId2153" ref="D1078"/>
    <hyperlink r:id="rId2154" ref="E1078"/>
    <hyperlink r:id="rId2155" ref="D1079"/>
    <hyperlink r:id="rId2156" ref="E1079"/>
    <hyperlink r:id="rId2157" ref="D1080"/>
    <hyperlink r:id="rId2158" ref="E1080"/>
    <hyperlink r:id="rId2159" ref="D1081"/>
    <hyperlink r:id="rId2160" ref="E1081"/>
    <hyperlink r:id="rId2161" ref="D1082"/>
    <hyperlink r:id="rId2162" ref="E1082"/>
    <hyperlink r:id="rId2163" ref="D1083"/>
    <hyperlink r:id="rId2164" ref="E1083"/>
    <hyperlink r:id="rId2165" ref="D1084"/>
    <hyperlink r:id="rId2166" ref="E1084"/>
    <hyperlink r:id="rId2167" ref="D1085"/>
    <hyperlink r:id="rId2168" ref="E1085"/>
    <hyperlink r:id="rId2169" ref="D1086"/>
    <hyperlink r:id="rId2170" ref="E1086"/>
    <hyperlink r:id="rId2171" ref="D1087"/>
    <hyperlink r:id="rId2172" ref="E1087"/>
    <hyperlink r:id="rId2173" ref="D1088"/>
    <hyperlink r:id="rId2174" ref="E1088"/>
    <hyperlink r:id="rId2175" ref="D1089"/>
    <hyperlink r:id="rId2176" ref="E1089"/>
    <hyperlink r:id="rId2177" ref="D1090"/>
    <hyperlink r:id="rId2178" ref="E1090"/>
    <hyperlink r:id="rId2179" ref="D1091"/>
    <hyperlink r:id="rId2180" ref="E1091"/>
    <hyperlink r:id="rId2181" ref="D1092"/>
    <hyperlink r:id="rId2182" ref="E1092"/>
    <hyperlink r:id="rId2183" ref="D1093"/>
    <hyperlink r:id="rId2184" ref="E1093"/>
    <hyperlink r:id="rId2185" ref="D1094"/>
    <hyperlink r:id="rId2186" ref="E1094"/>
    <hyperlink r:id="rId2187" ref="D1095"/>
    <hyperlink r:id="rId2188" ref="E1095"/>
    <hyperlink r:id="rId2189" ref="D1096"/>
    <hyperlink r:id="rId2190" ref="E1096"/>
    <hyperlink r:id="rId2191" ref="D1097"/>
    <hyperlink r:id="rId2192" ref="E1097"/>
    <hyperlink r:id="rId2193" ref="D1098"/>
    <hyperlink r:id="rId2194" ref="E1098"/>
    <hyperlink r:id="rId2195" ref="D1099"/>
    <hyperlink r:id="rId2196" ref="E1099"/>
    <hyperlink r:id="rId2197" ref="D1100"/>
    <hyperlink r:id="rId2198" ref="E1100"/>
    <hyperlink r:id="rId2199" ref="D1101"/>
    <hyperlink r:id="rId2200" ref="E1101"/>
    <hyperlink r:id="rId2201" ref="D1102"/>
    <hyperlink r:id="rId2202" ref="E1102"/>
    <hyperlink r:id="rId2203" ref="D1103"/>
    <hyperlink r:id="rId2204" ref="E1103"/>
    <hyperlink r:id="rId2205" ref="D1104"/>
    <hyperlink r:id="rId2206" ref="E1104"/>
    <hyperlink r:id="rId2207" ref="D1105"/>
    <hyperlink r:id="rId2208" ref="E1105"/>
    <hyperlink r:id="rId2209" ref="D1106"/>
    <hyperlink r:id="rId2210" ref="E1106"/>
    <hyperlink r:id="rId2211" ref="D1107"/>
    <hyperlink r:id="rId2212" ref="E1107"/>
    <hyperlink r:id="rId2213" ref="D1108"/>
    <hyperlink r:id="rId2214" ref="E1108"/>
    <hyperlink r:id="rId2215" ref="D1109"/>
    <hyperlink r:id="rId2216" ref="E1109"/>
    <hyperlink r:id="rId2217" ref="D1110"/>
    <hyperlink r:id="rId2218" ref="E1110"/>
    <hyperlink r:id="rId2219" ref="D1111"/>
    <hyperlink r:id="rId2220" ref="E1111"/>
    <hyperlink r:id="rId2221" ref="D1112"/>
    <hyperlink r:id="rId2222" ref="E1112"/>
    <hyperlink r:id="rId2223" ref="D1113"/>
    <hyperlink r:id="rId2224" ref="E1113"/>
    <hyperlink r:id="rId2225" ref="D1114"/>
    <hyperlink r:id="rId2226" ref="E1114"/>
    <hyperlink r:id="rId2227" ref="D1115"/>
    <hyperlink r:id="rId2228" ref="E1115"/>
    <hyperlink r:id="rId2229" ref="D1116"/>
    <hyperlink r:id="rId2230" ref="E1116"/>
    <hyperlink r:id="rId2231" ref="D1117"/>
    <hyperlink r:id="rId2232" ref="E1117"/>
    <hyperlink r:id="rId2233" ref="D1118"/>
    <hyperlink r:id="rId2234" ref="E1118"/>
    <hyperlink r:id="rId2235" ref="D1119"/>
    <hyperlink r:id="rId2236" ref="E1119"/>
    <hyperlink r:id="rId2237" ref="D1120"/>
    <hyperlink r:id="rId2238" ref="E1120"/>
    <hyperlink r:id="rId2239" ref="D1121"/>
    <hyperlink r:id="rId2240" ref="E1121"/>
    <hyperlink r:id="rId2241" ref="D1122"/>
    <hyperlink r:id="rId2242" ref="E1122"/>
    <hyperlink r:id="rId2243" ref="D1123"/>
    <hyperlink r:id="rId2244" ref="E1123"/>
    <hyperlink r:id="rId2245" ref="D1124"/>
    <hyperlink r:id="rId2246" ref="E1124"/>
    <hyperlink r:id="rId2247" ref="D1125"/>
    <hyperlink r:id="rId2248" ref="E1125"/>
    <hyperlink r:id="rId2249" ref="D1126"/>
    <hyperlink r:id="rId2250" ref="E1126"/>
    <hyperlink r:id="rId2251" ref="D1127"/>
    <hyperlink r:id="rId2252" ref="E1127"/>
    <hyperlink r:id="rId2253" ref="D1128"/>
    <hyperlink r:id="rId2254" ref="E1128"/>
    <hyperlink r:id="rId2255" ref="D1129"/>
    <hyperlink r:id="rId2256" ref="E1129"/>
    <hyperlink r:id="rId2257" ref="D1130"/>
    <hyperlink r:id="rId2258" ref="E1130"/>
    <hyperlink r:id="rId2259" ref="D1131"/>
    <hyperlink r:id="rId2260" ref="E1131"/>
    <hyperlink r:id="rId2261" ref="D1132"/>
    <hyperlink r:id="rId2262" ref="E1132"/>
    <hyperlink r:id="rId2263" ref="D1133"/>
    <hyperlink r:id="rId2264" ref="E1133"/>
    <hyperlink r:id="rId2265" ref="D1134"/>
    <hyperlink r:id="rId2266" ref="E1134"/>
    <hyperlink r:id="rId2267" ref="D1135"/>
    <hyperlink r:id="rId2268" ref="E1135"/>
    <hyperlink r:id="rId2269" ref="D1136"/>
    <hyperlink r:id="rId2270" ref="E1136"/>
    <hyperlink r:id="rId2271" ref="D1137"/>
    <hyperlink r:id="rId2272" ref="E1137"/>
    <hyperlink r:id="rId2273" ref="D1138"/>
    <hyperlink r:id="rId2274" ref="E1138"/>
    <hyperlink r:id="rId2275" ref="D1139"/>
    <hyperlink r:id="rId2276" ref="E1139"/>
    <hyperlink r:id="rId2277" ref="D1140"/>
    <hyperlink r:id="rId2278" ref="E1140"/>
    <hyperlink r:id="rId2279" ref="D1141"/>
    <hyperlink r:id="rId2280" ref="E1141"/>
    <hyperlink r:id="rId2281" ref="D1142"/>
    <hyperlink r:id="rId2282" ref="E1142"/>
    <hyperlink r:id="rId2283" ref="D1143"/>
    <hyperlink r:id="rId2284" ref="E1143"/>
    <hyperlink r:id="rId2285" ref="D1144"/>
    <hyperlink r:id="rId2286" ref="E1144"/>
    <hyperlink r:id="rId2287" ref="D1145"/>
    <hyperlink r:id="rId2288" ref="E1145"/>
    <hyperlink r:id="rId2289" ref="D1146"/>
    <hyperlink r:id="rId2290" ref="E1146"/>
    <hyperlink r:id="rId2291" ref="D1147"/>
    <hyperlink r:id="rId2292" ref="E1147"/>
    <hyperlink r:id="rId2293" ref="D1148"/>
    <hyperlink r:id="rId2294" ref="E1148"/>
    <hyperlink r:id="rId2295" ref="D1149"/>
    <hyperlink r:id="rId2296" ref="E1149"/>
    <hyperlink r:id="rId2297" ref="D1150"/>
    <hyperlink r:id="rId2298" ref="E1150"/>
    <hyperlink r:id="rId2299" ref="D1151"/>
    <hyperlink r:id="rId2300" ref="E1151"/>
    <hyperlink r:id="rId2301" ref="D1152"/>
    <hyperlink r:id="rId2302" ref="E1152"/>
    <hyperlink r:id="rId2303" ref="D1153"/>
    <hyperlink r:id="rId2304" ref="E1153"/>
    <hyperlink r:id="rId2305" ref="D1154"/>
    <hyperlink r:id="rId2306" ref="E1154"/>
    <hyperlink r:id="rId2307" ref="D1155"/>
    <hyperlink r:id="rId2308" ref="E1155"/>
    <hyperlink r:id="rId2309" ref="D1156"/>
    <hyperlink r:id="rId2310" ref="E1156"/>
    <hyperlink r:id="rId2311" ref="D1157"/>
    <hyperlink r:id="rId2312" ref="E1157"/>
    <hyperlink r:id="rId2313" ref="D1158"/>
    <hyperlink r:id="rId2314" ref="E1158"/>
    <hyperlink r:id="rId2315" ref="D1159"/>
    <hyperlink r:id="rId2316" ref="E1159"/>
    <hyperlink r:id="rId2317" ref="D1160"/>
    <hyperlink r:id="rId2318" ref="E1160"/>
    <hyperlink r:id="rId2319" ref="D1161"/>
    <hyperlink r:id="rId2320" ref="E1161"/>
    <hyperlink r:id="rId2321" ref="D1162"/>
    <hyperlink r:id="rId2322" ref="E1162"/>
    <hyperlink r:id="rId2323" ref="D1163"/>
    <hyperlink r:id="rId2324" ref="E1163"/>
    <hyperlink r:id="rId2325" ref="D1164"/>
    <hyperlink r:id="rId2326" ref="E1164"/>
    <hyperlink r:id="rId2327" ref="D1165"/>
    <hyperlink r:id="rId2328" ref="E1165"/>
    <hyperlink r:id="rId2329" ref="D1166"/>
    <hyperlink r:id="rId2330" ref="E1166"/>
    <hyperlink r:id="rId2331" ref="D1167"/>
    <hyperlink r:id="rId2332" ref="E1167"/>
    <hyperlink r:id="rId2333" ref="D1168"/>
    <hyperlink r:id="rId2334" ref="E1168"/>
    <hyperlink r:id="rId2335" ref="D1169"/>
    <hyperlink r:id="rId2336" ref="E1169"/>
    <hyperlink r:id="rId2337" ref="D1170"/>
    <hyperlink r:id="rId2338" ref="E1170"/>
    <hyperlink r:id="rId2339" ref="D1171"/>
    <hyperlink r:id="rId2340" ref="E1171"/>
    <hyperlink r:id="rId2341" ref="D1172"/>
    <hyperlink r:id="rId2342" ref="E1172"/>
    <hyperlink r:id="rId2343" ref="D1173"/>
    <hyperlink r:id="rId2344" ref="E1173"/>
    <hyperlink r:id="rId2345" ref="D1174"/>
    <hyperlink r:id="rId2346" ref="E1174"/>
    <hyperlink r:id="rId2347" ref="D1175"/>
    <hyperlink r:id="rId2348" ref="E1175"/>
    <hyperlink r:id="rId2349" ref="D1176"/>
    <hyperlink r:id="rId2350" ref="E1176"/>
    <hyperlink r:id="rId2351" ref="D1177"/>
    <hyperlink r:id="rId2352" ref="E1177"/>
    <hyperlink r:id="rId2353" ref="D1178"/>
    <hyperlink r:id="rId2354" ref="E1178"/>
    <hyperlink r:id="rId2355" ref="D1179"/>
    <hyperlink r:id="rId2356" ref="E1179"/>
    <hyperlink r:id="rId2357" ref="D1180"/>
    <hyperlink r:id="rId2358" ref="E1180"/>
    <hyperlink r:id="rId2359" ref="D1181"/>
    <hyperlink r:id="rId2360" ref="E1181"/>
    <hyperlink r:id="rId2361" ref="D1182"/>
    <hyperlink r:id="rId2362" ref="E1182"/>
    <hyperlink r:id="rId2363" ref="D1183"/>
    <hyperlink r:id="rId2364" ref="E1183"/>
    <hyperlink r:id="rId2365" ref="D1184"/>
    <hyperlink r:id="rId2366" ref="E1184"/>
    <hyperlink r:id="rId2367" ref="D1185"/>
    <hyperlink r:id="rId2368" ref="E1185"/>
    <hyperlink r:id="rId2369" ref="D1186"/>
    <hyperlink r:id="rId2370" ref="E1186"/>
    <hyperlink r:id="rId2371" ref="D1187"/>
    <hyperlink r:id="rId2372" ref="E1187"/>
    <hyperlink r:id="rId2373" ref="D1188"/>
    <hyperlink r:id="rId2374" ref="E1188"/>
    <hyperlink r:id="rId2375" ref="D1189"/>
    <hyperlink r:id="rId2376" ref="E1189"/>
    <hyperlink r:id="rId2377" ref="D1190"/>
    <hyperlink r:id="rId2378" ref="E1190"/>
    <hyperlink r:id="rId2379" ref="D1191"/>
    <hyperlink r:id="rId2380" ref="E1191"/>
    <hyperlink r:id="rId2381" ref="D1192"/>
    <hyperlink r:id="rId2382" ref="E1192"/>
    <hyperlink r:id="rId2383" ref="D1193"/>
    <hyperlink r:id="rId2384" ref="E1193"/>
    <hyperlink r:id="rId2385" ref="D1194"/>
    <hyperlink r:id="rId2386" ref="E1194"/>
    <hyperlink r:id="rId2387" ref="D1195"/>
    <hyperlink r:id="rId2388" ref="E1195"/>
    <hyperlink r:id="rId2389" ref="D1196"/>
    <hyperlink r:id="rId2390" ref="E1196"/>
    <hyperlink r:id="rId2391" ref="D1197"/>
    <hyperlink r:id="rId2392" ref="E1197"/>
    <hyperlink r:id="rId2393" ref="D1198"/>
    <hyperlink r:id="rId2394" ref="E1198"/>
    <hyperlink r:id="rId2395" ref="D1199"/>
    <hyperlink r:id="rId2396" ref="E1199"/>
    <hyperlink r:id="rId2397" ref="D1200"/>
    <hyperlink r:id="rId2398" ref="E1200"/>
    <hyperlink r:id="rId2399" ref="D1201"/>
    <hyperlink r:id="rId2400" ref="E1201"/>
    <hyperlink r:id="rId2401" ref="D1202"/>
    <hyperlink r:id="rId2402" ref="E1202"/>
    <hyperlink r:id="rId2403" ref="D1203"/>
    <hyperlink r:id="rId2404" ref="E1203"/>
    <hyperlink r:id="rId2405" ref="D1204"/>
    <hyperlink r:id="rId2406" ref="E1204"/>
    <hyperlink r:id="rId2407" ref="D1205"/>
    <hyperlink r:id="rId2408" ref="E1205"/>
    <hyperlink r:id="rId2409" ref="D1206"/>
    <hyperlink r:id="rId2410" ref="E1206"/>
    <hyperlink r:id="rId2411" ref="D1207"/>
    <hyperlink r:id="rId2412" ref="E1207"/>
    <hyperlink r:id="rId2413" ref="D1208"/>
    <hyperlink r:id="rId2414" ref="E1208"/>
    <hyperlink r:id="rId2415" ref="D1209"/>
    <hyperlink r:id="rId2416" ref="E1209"/>
    <hyperlink r:id="rId2417" ref="D1210"/>
    <hyperlink r:id="rId2418" ref="E1210"/>
    <hyperlink r:id="rId2419" ref="D1211"/>
    <hyperlink r:id="rId2420" ref="E1211"/>
    <hyperlink r:id="rId2421" ref="D1212"/>
    <hyperlink r:id="rId2422" ref="E1212"/>
    <hyperlink r:id="rId2423" ref="D1213"/>
    <hyperlink r:id="rId2424" ref="E1213"/>
    <hyperlink r:id="rId2425" ref="D1214"/>
    <hyperlink r:id="rId2426" ref="E1214"/>
    <hyperlink r:id="rId2427" ref="D1215"/>
    <hyperlink r:id="rId2428" ref="E1215"/>
    <hyperlink r:id="rId2429" ref="D1216"/>
    <hyperlink r:id="rId2430" ref="E1216"/>
    <hyperlink r:id="rId2431" ref="D1217"/>
    <hyperlink r:id="rId2432" ref="E1217"/>
    <hyperlink r:id="rId2433" ref="D1218"/>
    <hyperlink r:id="rId2434" ref="E1218"/>
    <hyperlink r:id="rId2435" ref="D1219"/>
    <hyperlink r:id="rId2436" ref="E1219"/>
    <hyperlink r:id="rId2437" ref="D1220"/>
    <hyperlink r:id="rId2438" ref="E1220"/>
    <hyperlink r:id="rId2439" ref="D1221"/>
    <hyperlink r:id="rId2440" ref="E1221"/>
    <hyperlink r:id="rId2441" ref="D1222"/>
    <hyperlink r:id="rId2442" ref="E1222"/>
    <hyperlink r:id="rId2443" ref="D1223"/>
    <hyperlink r:id="rId2444" ref="E1223"/>
    <hyperlink r:id="rId2445" ref="D1224"/>
    <hyperlink r:id="rId2446" ref="E1224"/>
    <hyperlink r:id="rId2447" ref="D1225"/>
    <hyperlink r:id="rId2448" ref="E1225"/>
    <hyperlink r:id="rId2449" ref="D1226"/>
    <hyperlink r:id="rId2450" ref="E1226"/>
    <hyperlink r:id="rId2451" ref="D1227"/>
    <hyperlink r:id="rId2452" ref="E1227"/>
    <hyperlink r:id="rId2453" ref="D1228"/>
    <hyperlink r:id="rId2454" ref="E1228"/>
    <hyperlink r:id="rId2455" ref="D1229"/>
    <hyperlink r:id="rId2456" ref="E1229"/>
    <hyperlink r:id="rId2457" ref="D1230"/>
    <hyperlink r:id="rId2458" ref="E1230"/>
    <hyperlink r:id="rId2459" ref="D1231"/>
    <hyperlink r:id="rId2460" ref="E1231"/>
    <hyperlink r:id="rId2461" ref="D1232"/>
    <hyperlink r:id="rId2462" ref="E1232"/>
    <hyperlink r:id="rId2463" ref="D1233"/>
    <hyperlink r:id="rId2464" ref="E1233"/>
    <hyperlink r:id="rId2465" ref="D1234"/>
    <hyperlink r:id="rId2466" ref="E1234"/>
    <hyperlink r:id="rId2467" ref="D1235"/>
    <hyperlink r:id="rId2468" ref="E1235"/>
    <hyperlink r:id="rId2469" ref="D1236"/>
    <hyperlink r:id="rId2470" ref="E1236"/>
    <hyperlink r:id="rId2471" ref="D1237"/>
    <hyperlink r:id="rId2472" ref="E1237"/>
    <hyperlink r:id="rId2473" ref="D1238"/>
    <hyperlink r:id="rId2474" ref="E1238"/>
    <hyperlink r:id="rId2475" ref="D1239"/>
    <hyperlink r:id="rId2476" ref="E1239"/>
    <hyperlink r:id="rId2477" ref="D1240"/>
    <hyperlink r:id="rId2478" ref="E1240"/>
    <hyperlink r:id="rId2479" ref="D1241"/>
    <hyperlink r:id="rId2480" ref="E1241"/>
    <hyperlink r:id="rId2481" ref="D1242"/>
    <hyperlink r:id="rId2482" ref="E1242"/>
    <hyperlink r:id="rId2483" ref="D1243"/>
    <hyperlink r:id="rId2484" ref="E1243"/>
    <hyperlink r:id="rId2485" ref="D1244"/>
    <hyperlink r:id="rId2486" ref="E1244"/>
    <hyperlink r:id="rId2487" ref="D1245"/>
    <hyperlink r:id="rId2488" ref="E1245"/>
    <hyperlink r:id="rId2489" ref="D1246"/>
    <hyperlink r:id="rId2490" ref="E1246"/>
    <hyperlink r:id="rId2491" ref="D1247"/>
    <hyperlink r:id="rId2492" ref="E1247"/>
    <hyperlink r:id="rId2493" ref="D1248"/>
    <hyperlink r:id="rId2494" ref="E1248"/>
    <hyperlink r:id="rId2495" ref="D1249"/>
    <hyperlink r:id="rId2496" ref="E1249"/>
    <hyperlink r:id="rId2497" ref="D1250"/>
    <hyperlink r:id="rId2498" ref="E1250"/>
    <hyperlink r:id="rId2499" ref="D1251"/>
    <hyperlink r:id="rId2500" ref="E1251"/>
    <hyperlink r:id="rId2501" ref="D1252"/>
    <hyperlink r:id="rId2502" ref="E1252"/>
    <hyperlink r:id="rId2503" ref="D1253"/>
    <hyperlink r:id="rId2504" ref="E1253"/>
    <hyperlink r:id="rId2505" ref="D1254"/>
    <hyperlink r:id="rId2506" ref="E1254"/>
    <hyperlink r:id="rId2507" ref="D1255"/>
    <hyperlink r:id="rId2508" ref="E1255"/>
    <hyperlink r:id="rId2509" ref="D1256"/>
    <hyperlink r:id="rId2510" ref="E1256"/>
    <hyperlink r:id="rId2511" ref="D1257"/>
    <hyperlink r:id="rId2512" ref="E1257"/>
    <hyperlink r:id="rId2513" ref="D1258"/>
    <hyperlink r:id="rId2514" ref="E1258"/>
    <hyperlink r:id="rId2515" ref="D1259"/>
    <hyperlink r:id="rId2516" ref="E1259"/>
    <hyperlink r:id="rId2517" ref="D1260"/>
    <hyperlink r:id="rId2518" ref="E1260"/>
    <hyperlink r:id="rId2519" ref="D1261"/>
    <hyperlink r:id="rId2520" ref="E1261"/>
    <hyperlink r:id="rId2521" ref="D1262"/>
    <hyperlink r:id="rId2522" ref="E1262"/>
    <hyperlink r:id="rId2523" ref="D1263"/>
    <hyperlink r:id="rId2524" ref="E1263"/>
    <hyperlink r:id="rId2525" ref="D1264"/>
    <hyperlink r:id="rId2526" ref="E1264"/>
    <hyperlink r:id="rId2527" ref="D1265"/>
    <hyperlink r:id="rId2528" ref="E1265"/>
    <hyperlink r:id="rId2529" ref="D1266"/>
    <hyperlink r:id="rId2530" ref="E1266"/>
    <hyperlink r:id="rId2531" ref="D1267"/>
    <hyperlink r:id="rId2532" ref="E1267"/>
    <hyperlink r:id="rId2533" ref="D1268"/>
    <hyperlink r:id="rId2534" ref="E1268"/>
    <hyperlink r:id="rId2535" ref="D1269"/>
    <hyperlink r:id="rId2536" ref="E1269"/>
    <hyperlink r:id="rId2537" ref="D1270"/>
    <hyperlink r:id="rId2538" ref="E1270"/>
    <hyperlink r:id="rId2539" ref="D1271"/>
    <hyperlink r:id="rId2540" ref="E1271"/>
    <hyperlink r:id="rId2541" ref="D1272"/>
    <hyperlink r:id="rId2542" ref="E1272"/>
    <hyperlink r:id="rId2543" ref="D1273"/>
    <hyperlink r:id="rId2544" ref="E1273"/>
    <hyperlink r:id="rId2545" ref="D1274"/>
    <hyperlink r:id="rId2546" ref="E1274"/>
    <hyperlink r:id="rId2547" ref="D1275"/>
    <hyperlink r:id="rId2548" ref="E1275"/>
    <hyperlink r:id="rId2549" ref="D1276"/>
    <hyperlink r:id="rId2550" ref="E1276"/>
    <hyperlink r:id="rId2551" ref="D1277"/>
    <hyperlink r:id="rId2552" ref="E1277"/>
    <hyperlink r:id="rId2553" ref="D1278"/>
    <hyperlink r:id="rId2554" ref="E1278"/>
    <hyperlink r:id="rId2555" ref="D1279"/>
    <hyperlink r:id="rId2556" ref="E1279"/>
    <hyperlink r:id="rId2557" ref="D1280"/>
    <hyperlink r:id="rId2558" ref="E1280"/>
    <hyperlink r:id="rId2559" ref="D1281"/>
    <hyperlink r:id="rId2560" ref="E1281"/>
    <hyperlink r:id="rId2561" ref="D1282"/>
    <hyperlink r:id="rId2562" ref="E1282"/>
    <hyperlink r:id="rId2563" ref="D1283"/>
    <hyperlink r:id="rId2564" ref="E1283"/>
    <hyperlink r:id="rId2565" ref="D1284"/>
    <hyperlink r:id="rId2566" ref="E1284"/>
    <hyperlink r:id="rId2567" ref="D1285"/>
    <hyperlink r:id="rId2568" ref="E1285"/>
    <hyperlink r:id="rId2569" ref="D1286"/>
    <hyperlink r:id="rId2570" ref="E1286"/>
    <hyperlink r:id="rId2571" ref="D1287"/>
    <hyperlink r:id="rId2572" ref="E1287"/>
    <hyperlink r:id="rId2573" ref="D1288"/>
    <hyperlink r:id="rId2574" ref="E1288"/>
    <hyperlink r:id="rId2575" ref="D1289"/>
    <hyperlink r:id="rId2576" ref="E1289"/>
    <hyperlink r:id="rId2577" ref="D1290"/>
    <hyperlink r:id="rId2578" ref="E1290"/>
    <hyperlink r:id="rId2579" ref="D1291"/>
    <hyperlink r:id="rId2580" ref="E1291"/>
    <hyperlink r:id="rId2581" ref="D1292"/>
    <hyperlink r:id="rId2582" ref="E1292"/>
    <hyperlink r:id="rId2583" ref="D1293"/>
    <hyperlink r:id="rId2584" ref="E1293"/>
    <hyperlink r:id="rId2585" ref="D1294"/>
    <hyperlink r:id="rId2586" ref="E1294"/>
    <hyperlink r:id="rId2587" ref="D1295"/>
    <hyperlink r:id="rId2588" ref="E1295"/>
    <hyperlink r:id="rId2589" ref="D1296"/>
    <hyperlink r:id="rId2590" ref="E1296"/>
    <hyperlink r:id="rId2591" ref="D1297"/>
    <hyperlink r:id="rId2592" ref="E1297"/>
    <hyperlink r:id="rId2593" ref="D1298"/>
    <hyperlink r:id="rId2594" ref="E1298"/>
    <hyperlink r:id="rId2595" ref="D1299"/>
    <hyperlink r:id="rId2596" ref="E1299"/>
    <hyperlink r:id="rId2597" ref="D1300"/>
    <hyperlink r:id="rId2598" ref="E1300"/>
    <hyperlink r:id="rId2599" ref="D1301"/>
    <hyperlink r:id="rId2600" ref="E1301"/>
    <hyperlink r:id="rId2601" ref="D1302"/>
    <hyperlink r:id="rId2602" ref="E1302"/>
    <hyperlink r:id="rId2603" ref="D1303"/>
    <hyperlink r:id="rId2604" ref="E1303"/>
    <hyperlink r:id="rId2605" ref="D1304"/>
    <hyperlink r:id="rId2606" ref="E1304"/>
    <hyperlink r:id="rId2607" ref="D1305"/>
    <hyperlink r:id="rId2608" ref="E1305"/>
    <hyperlink r:id="rId2609" ref="D1306"/>
    <hyperlink r:id="rId2610" ref="E1306"/>
    <hyperlink r:id="rId2611" ref="D1307"/>
    <hyperlink r:id="rId2612" ref="E1307"/>
    <hyperlink r:id="rId2613" ref="D1308"/>
    <hyperlink r:id="rId2614" ref="E1308"/>
    <hyperlink r:id="rId2615" ref="D1309"/>
    <hyperlink r:id="rId2616" ref="E1309"/>
    <hyperlink r:id="rId2617" ref="D1310"/>
    <hyperlink r:id="rId2618" ref="E1310"/>
    <hyperlink r:id="rId2619" ref="D1311"/>
    <hyperlink r:id="rId2620" ref="E1311"/>
    <hyperlink r:id="rId2621" ref="D1312"/>
    <hyperlink r:id="rId2622" ref="E1312"/>
    <hyperlink r:id="rId2623" ref="D1313"/>
    <hyperlink r:id="rId2624" ref="E1313"/>
    <hyperlink r:id="rId2625" ref="D1314"/>
    <hyperlink r:id="rId2626" ref="E1314"/>
    <hyperlink r:id="rId2627" ref="D1315"/>
    <hyperlink r:id="rId2628" ref="E1315"/>
    <hyperlink r:id="rId2629" ref="D1316"/>
    <hyperlink r:id="rId2630" ref="E1316"/>
    <hyperlink r:id="rId2631" ref="D1317"/>
    <hyperlink r:id="rId2632" ref="E1317"/>
    <hyperlink r:id="rId2633" ref="D1318"/>
    <hyperlink r:id="rId2634" ref="E1318"/>
    <hyperlink r:id="rId2635" ref="D1319"/>
    <hyperlink r:id="rId2636" ref="E1319"/>
    <hyperlink r:id="rId2637" ref="D1320"/>
    <hyperlink r:id="rId2638" ref="E1320"/>
    <hyperlink r:id="rId2639" ref="D1321"/>
    <hyperlink r:id="rId2640" ref="E1321"/>
    <hyperlink r:id="rId2641" ref="D1322"/>
    <hyperlink r:id="rId2642" ref="E1322"/>
    <hyperlink r:id="rId2643" ref="D1323"/>
    <hyperlink r:id="rId2644" ref="E1323"/>
    <hyperlink r:id="rId2645" ref="D1324"/>
    <hyperlink r:id="rId2646" ref="E1324"/>
    <hyperlink r:id="rId2647" ref="D1325"/>
    <hyperlink r:id="rId2648" ref="E1325"/>
    <hyperlink r:id="rId2649" ref="D1326"/>
    <hyperlink r:id="rId2650" ref="E1326"/>
    <hyperlink r:id="rId2651" ref="D1327"/>
    <hyperlink r:id="rId2652" ref="E1327"/>
    <hyperlink r:id="rId2653" ref="D1328"/>
    <hyperlink r:id="rId2654" ref="E1328"/>
    <hyperlink r:id="rId2655" ref="D1329"/>
    <hyperlink r:id="rId2656" ref="E1329"/>
    <hyperlink r:id="rId2657" ref="D1330"/>
    <hyperlink r:id="rId2658" ref="E1330"/>
    <hyperlink r:id="rId2659" ref="D1331"/>
    <hyperlink r:id="rId2660" ref="E1331"/>
    <hyperlink r:id="rId2661" ref="D1332"/>
    <hyperlink r:id="rId2662" ref="E1332"/>
    <hyperlink r:id="rId2663" ref="D1333"/>
    <hyperlink r:id="rId2664" ref="E1333"/>
    <hyperlink r:id="rId2665" ref="D1334"/>
    <hyperlink r:id="rId2666" ref="E1334"/>
    <hyperlink r:id="rId2667" ref="D1335"/>
    <hyperlink r:id="rId2668" ref="E1335"/>
    <hyperlink r:id="rId2669" ref="D1336"/>
    <hyperlink r:id="rId2670" ref="E1336"/>
    <hyperlink r:id="rId2671" ref="D1337"/>
    <hyperlink r:id="rId2672" ref="E1337"/>
    <hyperlink r:id="rId2673" ref="D1338"/>
    <hyperlink r:id="rId2674" ref="E1338"/>
    <hyperlink r:id="rId2675" ref="D1339"/>
    <hyperlink r:id="rId2676" ref="E1339"/>
    <hyperlink r:id="rId2677" ref="D1340"/>
    <hyperlink r:id="rId2678" ref="E1340"/>
    <hyperlink r:id="rId2679" ref="D1341"/>
    <hyperlink r:id="rId2680" ref="E1341"/>
    <hyperlink r:id="rId2681" ref="D1342"/>
    <hyperlink r:id="rId2682" ref="E1342"/>
    <hyperlink r:id="rId2683" ref="D1343"/>
    <hyperlink r:id="rId2684" ref="E1343"/>
    <hyperlink r:id="rId2685" ref="D1344"/>
    <hyperlink r:id="rId2686" ref="E1344"/>
    <hyperlink r:id="rId2687" ref="D1345"/>
    <hyperlink r:id="rId2688" ref="E1345"/>
    <hyperlink r:id="rId2689" ref="D1346"/>
    <hyperlink r:id="rId2690" ref="E1346"/>
    <hyperlink r:id="rId2691" ref="D1347"/>
    <hyperlink r:id="rId2692" ref="E1347"/>
    <hyperlink r:id="rId2693" ref="D1348"/>
    <hyperlink r:id="rId2694" ref="E1348"/>
    <hyperlink r:id="rId2695" ref="D1349"/>
    <hyperlink r:id="rId2696" ref="E1349"/>
    <hyperlink r:id="rId2697" ref="D1350"/>
    <hyperlink r:id="rId2698" ref="E1350"/>
    <hyperlink r:id="rId2699" ref="D1351"/>
    <hyperlink r:id="rId2700" ref="E1351"/>
    <hyperlink r:id="rId2701" ref="D1352"/>
    <hyperlink r:id="rId2702" ref="E1352"/>
    <hyperlink r:id="rId2703" ref="D1353"/>
    <hyperlink r:id="rId2704" ref="E1353"/>
    <hyperlink r:id="rId2705" ref="D1354"/>
    <hyperlink r:id="rId2706" ref="E1354"/>
    <hyperlink r:id="rId2707" ref="D1355"/>
    <hyperlink r:id="rId2708" ref="E1355"/>
    <hyperlink r:id="rId2709" ref="D1356"/>
    <hyperlink r:id="rId2710" ref="E1356"/>
    <hyperlink r:id="rId2711" ref="D1357"/>
    <hyperlink r:id="rId2712" ref="E1357"/>
    <hyperlink r:id="rId2713" ref="D1358"/>
    <hyperlink r:id="rId2714" ref="E1358"/>
    <hyperlink r:id="rId2715" ref="D1359"/>
    <hyperlink r:id="rId2716" ref="E1359"/>
    <hyperlink r:id="rId2717" ref="D1360"/>
    <hyperlink r:id="rId2718" ref="E1360"/>
    <hyperlink r:id="rId2719" ref="D1361"/>
    <hyperlink r:id="rId2720" ref="E1361"/>
    <hyperlink r:id="rId2721" ref="D1362"/>
    <hyperlink r:id="rId2722" ref="E1362"/>
    <hyperlink r:id="rId2723" ref="D1363"/>
    <hyperlink r:id="rId2724" ref="E1363"/>
    <hyperlink r:id="rId2725" ref="D1364"/>
    <hyperlink r:id="rId2726" ref="E1364"/>
    <hyperlink r:id="rId2727" ref="D1365"/>
    <hyperlink r:id="rId2728" ref="E1365"/>
    <hyperlink r:id="rId2729" ref="D1366"/>
    <hyperlink r:id="rId2730" ref="E1366"/>
    <hyperlink r:id="rId2731" ref="D1367"/>
    <hyperlink r:id="rId2732" ref="E1367"/>
    <hyperlink r:id="rId2733" ref="D1368"/>
    <hyperlink r:id="rId2734" ref="E1368"/>
    <hyperlink r:id="rId2735" ref="D1369"/>
    <hyperlink r:id="rId2736" ref="E1369"/>
    <hyperlink r:id="rId2737" ref="D1370"/>
    <hyperlink r:id="rId2738" ref="E1370"/>
    <hyperlink r:id="rId2739" ref="D1371"/>
    <hyperlink r:id="rId2740" ref="E1371"/>
    <hyperlink r:id="rId2741" ref="D1372"/>
    <hyperlink r:id="rId2742" ref="E1372"/>
    <hyperlink r:id="rId2743" ref="D1373"/>
    <hyperlink r:id="rId2744" ref="E1373"/>
    <hyperlink r:id="rId2745" ref="D1374"/>
    <hyperlink r:id="rId2746" ref="E1374"/>
    <hyperlink r:id="rId2747" ref="D1375"/>
    <hyperlink r:id="rId2748" ref="E1375"/>
    <hyperlink r:id="rId2749" ref="D1376"/>
    <hyperlink r:id="rId2750" ref="E1376"/>
    <hyperlink r:id="rId2751" ref="D1377"/>
    <hyperlink r:id="rId2752" ref="E1377"/>
    <hyperlink r:id="rId2753" ref="D1378"/>
    <hyperlink r:id="rId2754" ref="E1378"/>
    <hyperlink r:id="rId2755" ref="D1379"/>
    <hyperlink r:id="rId2756" ref="E1379"/>
    <hyperlink r:id="rId2757" ref="D1380"/>
    <hyperlink r:id="rId2758" ref="E1380"/>
    <hyperlink r:id="rId2759" ref="D1381"/>
    <hyperlink r:id="rId2760" ref="E1381"/>
    <hyperlink r:id="rId2761" ref="D1382"/>
    <hyperlink r:id="rId2762" ref="E1382"/>
    <hyperlink r:id="rId2763" ref="D1383"/>
    <hyperlink r:id="rId2764" ref="E1383"/>
    <hyperlink r:id="rId2765" ref="D1384"/>
    <hyperlink r:id="rId2766" ref="E1384"/>
    <hyperlink r:id="rId2767" ref="D1385"/>
    <hyperlink r:id="rId2768" ref="E1385"/>
    <hyperlink r:id="rId2769" ref="D1386"/>
    <hyperlink r:id="rId2770" ref="E1386"/>
    <hyperlink r:id="rId2771" ref="D1387"/>
    <hyperlink r:id="rId2772" ref="E1387"/>
    <hyperlink r:id="rId2773" ref="D1388"/>
    <hyperlink r:id="rId2774" ref="E1388"/>
    <hyperlink r:id="rId2775" ref="D1389"/>
    <hyperlink r:id="rId2776" ref="E1389"/>
    <hyperlink r:id="rId2777" ref="D1390"/>
    <hyperlink r:id="rId2778" ref="E1390"/>
    <hyperlink r:id="rId2779" ref="D1391"/>
    <hyperlink r:id="rId2780" ref="E1391"/>
    <hyperlink r:id="rId2781" ref="D1392"/>
    <hyperlink r:id="rId2782" ref="E1392"/>
    <hyperlink r:id="rId2783" ref="D1393"/>
    <hyperlink r:id="rId2784" ref="E1393"/>
    <hyperlink r:id="rId2785" ref="D1394"/>
    <hyperlink r:id="rId2786" ref="E1394"/>
    <hyperlink r:id="rId2787" ref="D1395"/>
    <hyperlink r:id="rId2788" ref="E1395"/>
    <hyperlink r:id="rId2789" ref="D1396"/>
    <hyperlink r:id="rId2790" ref="E1396"/>
    <hyperlink r:id="rId2791" ref="D1397"/>
    <hyperlink r:id="rId2792" ref="E1397"/>
    <hyperlink r:id="rId2793" ref="D1398"/>
    <hyperlink r:id="rId2794" ref="E1398"/>
    <hyperlink r:id="rId2795" ref="D1399"/>
    <hyperlink r:id="rId2796" ref="E1399"/>
    <hyperlink r:id="rId2797" ref="D1400"/>
    <hyperlink r:id="rId2798" ref="E1400"/>
    <hyperlink r:id="rId2799" ref="D1401"/>
    <hyperlink r:id="rId2800" ref="E1401"/>
    <hyperlink r:id="rId2801" ref="D1402"/>
    <hyperlink r:id="rId2802" ref="E1402"/>
    <hyperlink r:id="rId2803" ref="D1403"/>
    <hyperlink r:id="rId2804" ref="E1403"/>
    <hyperlink r:id="rId2805" ref="D1404"/>
    <hyperlink r:id="rId2806" ref="E1404"/>
    <hyperlink r:id="rId2807" ref="D1405"/>
    <hyperlink r:id="rId2808" ref="E1405"/>
    <hyperlink r:id="rId2809" ref="D1406"/>
    <hyperlink r:id="rId2810" ref="E1406"/>
    <hyperlink r:id="rId2811" ref="D1407"/>
    <hyperlink r:id="rId2812" ref="E1407"/>
    <hyperlink r:id="rId2813" ref="D1408"/>
    <hyperlink r:id="rId2814" ref="E1408"/>
    <hyperlink r:id="rId2815" ref="D1409"/>
    <hyperlink r:id="rId2816" ref="E1409"/>
    <hyperlink r:id="rId2817" ref="D1410"/>
    <hyperlink r:id="rId2818" ref="E1410"/>
    <hyperlink r:id="rId2819" ref="D1411"/>
    <hyperlink r:id="rId2820" ref="E1411"/>
    <hyperlink r:id="rId2821" ref="D1412"/>
    <hyperlink r:id="rId2822" ref="E1412"/>
    <hyperlink r:id="rId2823" ref="D1413"/>
    <hyperlink r:id="rId2824" ref="E1413"/>
    <hyperlink r:id="rId2825" ref="D1414"/>
    <hyperlink r:id="rId2826" ref="E1414"/>
    <hyperlink r:id="rId2827" ref="D1415"/>
    <hyperlink r:id="rId2828" ref="E1415"/>
    <hyperlink r:id="rId2829" ref="D1416"/>
    <hyperlink r:id="rId2830" ref="E1416"/>
    <hyperlink r:id="rId2831" ref="D1417"/>
    <hyperlink r:id="rId2832" ref="E1417"/>
    <hyperlink r:id="rId2833" ref="D1418"/>
    <hyperlink r:id="rId2834" ref="E1418"/>
    <hyperlink r:id="rId2835" ref="D1419"/>
    <hyperlink r:id="rId2836" ref="E1419"/>
    <hyperlink r:id="rId2837" ref="D1420"/>
    <hyperlink r:id="rId2838" ref="E1420"/>
    <hyperlink r:id="rId2839" ref="D1421"/>
    <hyperlink r:id="rId2840" ref="E1421"/>
    <hyperlink r:id="rId2841" ref="D1422"/>
    <hyperlink r:id="rId2842" ref="E1422"/>
    <hyperlink r:id="rId2843" ref="D1423"/>
    <hyperlink r:id="rId2844" ref="E1423"/>
    <hyperlink r:id="rId2845" ref="D1424"/>
    <hyperlink r:id="rId2846" ref="E1424"/>
    <hyperlink r:id="rId2847" ref="D1425"/>
    <hyperlink r:id="rId2848" ref="E1425"/>
    <hyperlink r:id="rId2849" ref="D1426"/>
    <hyperlink r:id="rId2850" ref="E1426"/>
    <hyperlink r:id="rId2851" ref="D1427"/>
    <hyperlink r:id="rId2852" ref="E1427"/>
    <hyperlink r:id="rId2853" ref="D1428"/>
    <hyperlink r:id="rId2854" ref="E1428"/>
    <hyperlink r:id="rId2855" ref="D1429"/>
    <hyperlink r:id="rId2856" ref="E1429"/>
    <hyperlink r:id="rId2857" ref="D1430"/>
    <hyperlink r:id="rId2858" ref="E1430"/>
    <hyperlink r:id="rId2859" ref="D1431"/>
    <hyperlink r:id="rId2860" ref="E1431"/>
    <hyperlink r:id="rId2861" ref="D1432"/>
    <hyperlink r:id="rId2862" ref="E1432"/>
    <hyperlink r:id="rId2863" ref="D1433"/>
    <hyperlink r:id="rId2864" ref="E1433"/>
    <hyperlink r:id="rId2865" ref="D1434"/>
    <hyperlink r:id="rId2866" ref="E1434"/>
    <hyperlink r:id="rId2867" ref="D1435"/>
    <hyperlink r:id="rId2868" ref="E1435"/>
    <hyperlink r:id="rId2869" ref="D1436"/>
    <hyperlink r:id="rId2870" ref="E1436"/>
    <hyperlink r:id="rId2871" ref="D1437"/>
    <hyperlink r:id="rId2872" ref="E1437"/>
    <hyperlink r:id="rId2873" ref="D1438"/>
    <hyperlink r:id="rId2874" ref="E1438"/>
    <hyperlink r:id="rId2875" ref="D1439"/>
    <hyperlink r:id="rId2876" ref="E1439"/>
    <hyperlink r:id="rId2877" ref="D1440"/>
    <hyperlink r:id="rId2878" ref="E1440"/>
    <hyperlink r:id="rId2879" ref="D1441"/>
    <hyperlink r:id="rId2880" ref="E1441"/>
    <hyperlink r:id="rId2881" ref="D1442"/>
    <hyperlink r:id="rId2882" ref="E1442"/>
    <hyperlink r:id="rId2883" ref="D1443"/>
    <hyperlink r:id="rId2884" ref="E1443"/>
    <hyperlink r:id="rId2885" ref="D1444"/>
    <hyperlink r:id="rId2886" ref="E1444"/>
    <hyperlink r:id="rId2887" ref="D1445"/>
    <hyperlink r:id="rId2888" ref="E1445"/>
    <hyperlink r:id="rId2889" ref="D1446"/>
    <hyperlink r:id="rId2890" ref="E1446"/>
    <hyperlink r:id="rId2891" ref="D1447"/>
    <hyperlink r:id="rId2892" ref="E1447"/>
    <hyperlink r:id="rId2893" ref="D1448"/>
    <hyperlink r:id="rId2894" ref="E1448"/>
    <hyperlink r:id="rId2895" ref="D1449"/>
    <hyperlink r:id="rId2896" ref="E1449"/>
    <hyperlink r:id="rId2897" ref="D1450"/>
    <hyperlink r:id="rId2898" ref="E1450"/>
    <hyperlink r:id="rId2899" ref="D1451"/>
    <hyperlink r:id="rId2900" ref="E1451"/>
    <hyperlink r:id="rId2901" ref="D1452"/>
    <hyperlink r:id="rId2902" ref="E1452"/>
    <hyperlink r:id="rId2903" ref="D1453"/>
    <hyperlink r:id="rId2904" ref="E1453"/>
    <hyperlink r:id="rId2905" ref="D1454"/>
    <hyperlink r:id="rId2906" ref="E1454"/>
    <hyperlink r:id="rId2907" ref="D1455"/>
    <hyperlink r:id="rId2908" ref="E1455"/>
    <hyperlink r:id="rId2909" ref="D1456"/>
    <hyperlink r:id="rId2910" ref="E1456"/>
    <hyperlink r:id="rId2911" ref="D1457"/>
    <hyperlink r:id="rId2912" ref="E1457"/>
    <hyperlink r:id="rId2913" ref="D1458"/>
    <hyperlink r:id="rId2914" ref="E1458"/>
    <hyperlink r:id="rId2915" ref="D1459"/>
    <hyperlink r:id="rId2916" ref="E1459"/>
    <hyperlink r:id="rId2917" ref="D1460"/>
    <hyperlink r:id="rId2918" ref="E1460"/>
    <hyperlink r:id="rId2919" ref="D1461"/>
    <hyperlink r:id="rId2920" ref="E1461"/>
    <hyperlink r:id="rId2921" ref="D1462"/>
    <hyperlink r:id="rId2922" ref="E1462"/>
    <hyperlink r:id="rId2923" ref="D1463"/>
    <hyperlink r:id="rId2924" ref="E1463"/>
    <hyperlink r:id="rId2925" ref="D1464"/>
    <hyperlink r:id="rId2926" ref="E1464"/>
    <hyperlink r:id="rId2927" ref="D1465"/>
    <hyperlink r:id="rId2928" ref="E1465"/>
    <hyperlink r:id="rId2929" ref="D1466"/>
    <hyperlink r:id="rId2930" ref="E1466"/>
    <hyperlink r:id="rId2931" ref="D1467"/>
    <hyperlink r:id="rId2932" ref="E1467"/>
    <hyperlink r:id="rId2933" ref="D1468"/>
    <hyperlink r:id="rId2934" ref="E1468"/>
    <hyperlink r:id="rId2935" ref="D1469"/>
    <hyperlink r:id="rId2936" ref="E1469"/>
    <hyperlink r:id="rId2937" ref="D1470"/>
    <hyperlink r:id="rId2938" ref="E1470"/>
    <hyperlink r:id="rId2939" ref="D1471"/>
    <hyperlink r:id="rId2940" ref="E1471"/>
    <hyperlink r:id="rId2941" ref="D1472"/>
    <hyperlink r:id="rId2942" ref="E1472"/>
    <hyperlink r:id="rId2943" ref="D1473"/>
    <hyperlink r:id="rId2944" ref="E1473"/>
    <hyperlink r:id="rId2945" ref="D1474"/>
    <hyperlink r:id="rId2946" ref="E1474"/>
    <hyperlink r:id="rId2947" ref="D1475"/>
    <hyperlink r:id="rId2948" ref="E1475"/>
    <hyperlink r:id="rId2949" ref="D1476"/>
    <hyperlink r:id="rId2950" ref="E1476"/>
    <hyperlink r:id="rId2951" ref="D1477"/>
    <hyperlink r:id="rId2952" ref="E1477"/>
    <hyperlink r:id="rId2953" ref="D1478"/>
    <hyperlink r:id="rId2954" ref="E1478"/>
    <hyperlink r:id="rId2955" ref="D1479"/>
    <hyperlink r:id="rId2956" ref="E1479"/>
    <hyperlink r:id="rId2957" ref="D1480"/>
    <hyperlink r:id="rId2958" ref="E1480"/>
    <hyperlink r:id="rId2959" ref="D1481"/>
    <hyperlink r:id="rId2960" ref="E1481"/>
    <hyperlink r:id="rId2961" ref="D1482"/>
    <hyperlink r:id="rId2962" ref="E1482"/>
    <hyperlink r:id="rId2963" ref="D1483"/>
    <hyperlink r:id="rId2964" ref="E1483"/>
    <hyperlink r:id="rId2965" ref="D1484"/>
    <hyperlink r:id="rId2966" ref="E1484"/>
    <hyperlink r:id="rId2967" ref="D1485"/>
    <hyperlink r:id="rId2968" ref="E1485"/>
    <hyperlink r:id="rId2969" ref="D1486"/>
    <hyperlink r:id="rId2970" ref="E1486"/>
    <hyperlink r:id="rId2971" ref="D1487"/>
    <hyperlink r:id="rId2972" ref="E1487"/>
    <hyperlink r:id="rId2973" ref="D1488"/>
    <hyperlink r:id="rId2974" ref="E1488"/>
    <hyperlink r:id="rId2975" ref="D1489"/>
    <hyperlink r:id="rId2976" ref="E1489"/>
    <hyperlink r:id="rId2977" ref="D1490"/>
    <hyperlink r:id="rId2978" ref="E1490"/>
    <hyperlink r:id="rId2979" ref="D1491"/>
    <hyperlink r:id="rId2980" ref="E1491"/>
    <hyperlink r:id="rId2981" ref="D1492"/>
    <hyperlink r:id="rId2982" ref="E1492"/>
    <hyperlink r:id="rId2983" ref="D1493"/>
    <hyperlink r:id="rId2984" ref="E1493"/>
    <hyperlink r:id="rId2985" ref="D1494"/>
    <hyperlink r:id="rId2986" ref="E1494"/>
    <hyperlink r:id="rId2987" ref="D1495"/>
    <hyperlink r:id="rId2988" ref="E1495"/>
    <hyperlink r:id="rId2989" ref="D1496"/>
    <hyperlink r:id="rId2990" ref="E1496"/>
    <hyperlink r:id="rId2991" ref="D1497"/>
    <hyperlink r:id="rId2992" ref="E1497"/>
    <hyperlink r:id="rId2993" ref="D1498"/>
    <hyperlink r:id="rId2994" ref="E1498"/>
    <hyperlink r:id="rId2995" ref="D1499"/>
    <hyperlink r:id="rId2996" ref="E1499"/>
    <hyperlink r:id="rId2997" ref="D1500"/>
    <hyperlink r:id="rId2998" ref="E1500"/>
    <hyperlink r:id="rId2999" ref="D1501"/>
    <hyperlink r:id="rId3000" ref="E1501"/>
    <hyperlink r:id="rId3001" ref="D1502"/>
    <hyperlink r:id="rId3002" ref="E1502"/>
    <hyperlink r:id="rId3003" ref="D1503"/>
    <hyperlink r:id="rId3004" ref="E1503"/>
    <hyperlink r:id="rId3005" ref="D1504"/>
    <hyperlink r:id="rId3006" ref="E1504"/>
    <hyperlink r:id="rId3007" ref="D1505"/>
    <hyperlink r:id="rId3008" ref="E1505"/>
    <hyperlink r:id="rId3009" ref="D1506"/>
    <hyperlink r:id="rId3010" ref="E1506"/>
    <hyperlink r:id="rId3011" ref="D1507"/>
    <hyperlink r:id="rId3012" ref="E1507"/>
    <hyperlink r:id="rId3013" ref="D1508"/>
    <hyperlink r:id="rId3014" ref="E1508"/>
    <hyperlink r:id="rId3015" ref="D1509"/>
    <hyperlink r:id="rId3016" ref="E1509"/>
    <hyperlink r:id="rId3017" ref="D1510"/>
    <hyperlink r:id="rId3018" ref="E1510"/>
    <hyperlink r:id="rId3019" ref="D1511"/>
    <hyperlink r:id="rId3020" ref="E1511"/>
    <hyperlink r:id="rId3021" ref="D1512"/>
    <hyperlink r:id="rId3022" ref="E1512"/>
    <hyperlink r:id="rId3023" ref="D1513"/>
    <hyperlink r:id="rId3024" ref="E1513"/>
    <hyperlink r:id="rId3025" ref="D1514"/>
    <hyperlink r:id="rId3026" ref="E1514"/>
    <hyperlink r:id="rId3027" ref="D1515"/>
    <hyperlink r:id="rId3028" ref="E1515"/>
    <hyperlink r:id="rId3029" ref="D1516"/>
    <hyperlink r:id="rId3030" ref="E1516"/>
    <hyperlink r:id="rId3031" ref="D1517"/>
    <hyperlink r:id="rId3032" ref="E1517"/>
    <hyperlink r:id="rId3033" ref="D1518"/>
    <hyperlink r:id="rId3034" ref="E1518"/>
    <hyperlink r:id="rId3035" ref="D1519"/>
    <hyperlink r:id="rId3036" ref="E1519"/>
    <hyperlink r:id="rId3037" ref="D1520"/>
    <hyperlink r:id="rId3038" ref="E1520"/>
    <hyperlink r:id="rId3039" ref="D1521"/>
    <hyperlink r:id="rId3040" ref="E1521"/>
    <hyperlink r:id="rId3041" ref="D1522"/>
    <hyperlink r:id="rId3042" ref="E1522"/>
    <hyperlink r:id="rId3043" ref="D1523"/>
    <hyperlink r:id="rId3044" ref="E1523"/>
    <hyperlink r:id="rId3045" ref="D1524"/>
    <hyperlink r:id="rId3046" ref="E1524"/>
    <hyperlink r:id="rId3047" ref="D1525"/>
    <hyperlink r:id="rId3048" ref="E1525"/>
    <hyperlink r:id="rId3049" ref="D1526"/>
    <hyperlink r:id="rId3050" ref="E1526"/>
    <hyperlink r:id="rId3051" ref="D1527"/>
    <hyperlink r:id="rId3052" ref="E1527"/>
    <hyperlink r:id="rId3053" ref="D1528"/>
    <hyperlink r:id="rId3054" ref="E1528"/>
    <hyperlink r:id="rId3055" ref="D1529"/>
    <hyperlink r:id="rId3056" ref="E1529"/>
    <hyperlink r:id="rId3057" ref="D1530"/>
    <hyperlink r:id="rId3058" ref="E1530"/>
    <hyperlink r:id="rId3059" ref="D1531"/>
    <hyperlink r:id="rId3060" ref="E1531"/>
    <hyperlink r:id="rId3061" ref="D1532"/>
    <hyperlink r:id="rId3062" ref="E1532"/>
    <hyperlink r:id="rId3063" ref="D1533"/>
    <hyperlink r:id="rId3064" ref="E1533"/>
    <hyperlink r:id="rId3065" ref="D1534"/>
    <hyperlink r:id="rId3066" ref="E1534"/>
    <hyperlink r:id="rId3067" ref="D1535"/>
    <hyperlink r:id="rId3068" ref="E1535"/>
    <hyperlink r:id="rId3069" ref="D1536"/>
    <hyperlink r:id="rId3070" ref="E1536"/>
    <hyperlink r:id="rId3071" ref="D1537"/>
    <hyperlink r:id="rId3072" ref="E1537"/>
    <hyperlink r:id="rId3073" ref="D1538"/>
    <hyperlink r:id="rId3074" ref="E1538"/>
    <hyperlink r:id="rId3075" ref="D1539"/>
    <hyperlink r:id="rId3076" ref="E1539"/>
    <hyperlink r:id="rId3077" ref="D1540"/>
    <hyperlink r:id="rId3078" ref="E1540"/>
    <hyperlink r:id="rId3079" ref="D1541"/>
    <hyperlink r:id="rId3080" ref="E1541"/>
    <hyperlink r:id="rId3081" ref="D1542"/>
    <hyperlink r:id="rId3082" ref="E1542"/>
    <hyperlink r:id="rId3083" ref="D1543"/>
    <hyperlink r:id="rId3084" ref="E1543"/>
    <hyperlink r:id="rId3085" ref="D1544"/>
    <hyperlink r:id="rId3086" ref="E1544"/>
    <hyperlink r:id="rId3087" ref="D1545"/>
    <hyperlink r:id="rId3088" ref="E1545"/>
    <hyperlink r:id="rId3089" ref="D1546"/>
    <hyperlink r:id="rId3090" ref="E1546"/>
    <hyperlink r:id="rId3091" ref="D1547"/>
    <hyperlink r:id="rId3092" ref="E1547"/>
    <hyperlink r:id="rId3093" ref="D1548"/>
    <hyperlink r:id="rId3094" ref="E1548"/>
    <hyperlink r:id="rId3095" ref="D1549"/>
    <hyperlink r:id="rId3096" ref="E1549"/>
    <hyperlink r:id="rId3097" ref="D1550"/>
    <hyperlink r:id="rId3098" ref="E1550"/>
    <hyperlink r:id="rId3099" ref="D1551"/>
    <hyperlink r:id="rId3100" ref="E1551"/>
    <hyperlink r:id="rId3101" ref="D1552"/>
    <hyperlink r:id="rId3102" ref="E1552"/>
    <hyperlink r:id="rId3103" ref="D1553"/>
    <hyperlink r:id="rId3104" ref="E1553"/>
    <hyperlink r:id="rId3105" ref="D1554"/>
    <hyperlink r:id="rId3106" ref="E1554"/>
    <hyperlink r:id="rId3107" ref="D1555"/>
    <hyperlink r:id="rId3108" ref="E1555"/>
    <hyperlink r:id="rId3109" ref="D1556"/>
    <hyperlink r:id="rId3110" ref="E1556"/>
    <hyperlink r:id="rId3111" ref="D1557"/>
    <hyperlink r:id="rId3112" ref="E1557"/>
    <hyperlink r:id="rId3113" ref="D1558"/>
    <hyperlink r:id="rId3114" ref="E1558"/>
    <hyperlink r:id="rId3115" ref="D1559"/>
    <hyperlink r:id="rId3116" ref="E1559"/>
    <hyperlink r:id="rId3117" ref="D1560"/>
    <hyperlink r:id="rId3118" ref="E1560"/>
    <hyperlink r:id="rId3119" ref="D1561"/>
    <hyperlink r:id="rId3120" ref="E1561"/>
    <hyperlink r:id="rId3121" ref="D1562"/>
    <hyperlink r:id="rId3122" ref="E1562"/>
    <hyperlink r:id="rId3123" ref="D1563"/>
    <hyperlink r:id="rId3124" ref="E1563"/>
    <hyperlink r:id="rId3125" ref="D1564"/>
    <hyperlink r:id="rId3126" ref="E1564"/>
    <hyperlink r:id="rId3127" ref="D1565"/>
    <hyperlink r:id="rId3128" ref="E1565"/>
    <hyperlink r:id="rId3129" ref="D1566"/>
    <hyperlink r:id="rId3130" ref="E1566"/>
    <hyperlink r:id="rId3131" ref="D1567"/>
    <hyperlink r:id="rId3132" ref="E1567"/>
    <hyperlink r:id="rId3133" ref="D1568"/>
    <hyperlink r:id="rId3134" ref="E1568"/>
    <hyperlink r:id="rId3135" ref="D1569"/>
    <hyperlink r:id="rId3136" ref="E1569"/>
    <hyperlink r:id="rId3137" ref="D1570"/>
    <hyperlink r:id="rId3138" ref="E1570"/>
    <hyperlink r:id="rId3139" ref="D1571"/>
    <hyperlink r:id="rId3140" ref="E1571"/>
    <hyperlink r:id="rId3141" ref="D1572"/>
    <hyperlink r:id="rId3142" ref="E1572"/>
    <hyperlink r:id="rId3143" ref="D1573"/>
    <hyperlink r:id="rId3144" ref="E1573"/>
    <hyperlink r:id="rId3145" ref="D1574"/>
    <hyperlink r:id="rId3146" ref="E1574"/>
    <hyperlink r:id="rId3147" ref="D1575"/>
    <hyperlink r:id="rId3148" ref="E1575"/>
    <hyperlink r:id="rId3149" ref="D1576"/>
    <hyperlink r:id="rId3150" ref="E1576"/>
    <hyperlink r:id="rId3151" ref="D1577"/>
    <hyperlink r:id="rId3152" ref="E1577"/>
    <hyperlink r:id="rId3153" ref="D1578"/>
    <hyperlink r:id="rId3154" ref="E1578"/>
    <hyperlink r:id="rId3155" ref="D1579"/>
    <hyperlink r:id="rId3156" ref="E1579"/>
    <hyperlink r:id="rId3157" ref="D1580"/>
    <hyperlink r:id="rId3158" ref="E1580"/>
    <hyperlink r:id="rId3159" ref="D1581"/>
    <hyperlink r:id="rId3160" ref="E1581"/>
    <hyperlink r:id="rId3161" ref="D1582"/>
    <hyperlink r:id="rId3162" ref="E1582"/>
    <hyperlink r:id="rId3163" ref="D1583"/>
    <hyperlink r:id="rId3164" ref="E1583"/>
    <hyperlink r:id="rId3165" ref="D1584"/>
    <hyperlink r:id="rId3166" ref="E1584"/>
    <hyperlink r:id="rId3167" ref="D1585"/>
    <hyperlink r:id="rId3168" ref="E1585"/>
    <hyperlink r:id="rId3169" ref="D1586"/>
    <hyperlink r:id="rId3170" ref="E1586"/>
    <hyperlink r:id="rId3171" ref="D1587"/>
    <hyperlink r:id="rId3172" ref="E1587"/>
    <hyperlink r:id="rId3173" ref="D1588"/>
    <hyperlink r:id="rId3174" ref="E1588"/>
    <hyperlink r:id="rId3175" ref="D1589"/>
    <hyperlink r:id="rId3176" ref="E1589"/>
    <hyperlink r:id="rId3177" ref="D1590"/>
    <hyperlink r:id="rId3178" ref="E1590"/>
    <hyperlink r:id="rId3179" ref="D1591"/>
    <hyperlink r:id="rId3180" ref="E1591"/>
    <hyperlink r:id="rId3181" ref="D1592"/>
    <hyperlink r:id="rId3182" ref="E1592"/>
    <hyperlink r:id="rId3183" ref="D1593"/>
    <hyperlink r:id="rId3184" ref="E1593"/>
    <hyperlink r:id="rId3185" ref="D1594"/>
    <hyperlink r:id="rId3186" ref="E1594"/>
    <hyperlink r:id="rId3187" ref="D1595"/>
    <hyperlink r:id="rId3188" ref="E1595"/>
    <hyperlink r:id="rId3189" ref="D1596"/>
    <hyperlink r:id="rId3190" ref="E1596"/>
    <hyperlink r:id="rId3191" ref="D1597"/>
    <hyperlink r:id="rId3192" ref="E1597"/>
    <hyperlink r:id="rId3193" ref="D1598"/>
    <hyperlink r:id="rId3194" ref="E1598"/>
    <hyperlink r:id="rId3195" ref="D1599"/>
    <hyperlink r:id="rId3196" ref="E1599"/>
    <hyperlink r:id="rId3197" ref="D1600"/>
    <hyperlink r:id="rId3198" ref="E1600"/>
    <hyperlink r:id="rId3199" ref="D1601"/>
    <hyperlink r:id="rId3200" ref="E1601"/>
    <hyperlink r:id="rId3201" ref="D1602"/>
    <hyperlink r:id="rId3202" ref="E1602"/>
    <hyperlink r:id="rId3203" ref="D1603"/>
    <hyperlink r:id="rId3204" ref="E1603"/>
    <hyperlink r:id="rId3205" ref="D1604"/>
    <hyperlink r:id="rId3206" ref="E1604"/>
    <hyperlink r:id="rId3207" ref="D1605"/>
    <hyperlink r:id="rId3208" ref="E1605"/>
    <hyperlink r:id="rId3209" ref="D1606"/>
    <hyperlink r:id="rId3210" ref="E1606"/>
    <hyperlink r:id="rId3211" ref="D1607"/>
    <hyperlink r:id="rId3212" ref="E1607"/>
    <hyperlink r:id="rId3213" ref="D1608"/>
    <hyperlink r:id="rId3214" ref="E1608"/>
    <hyperlink r:id="rId3215" ref="D1609"/>
    <hyperlink r:id="rId3216" ref="E1609"/>
    <hyperlink r:id="rId3217" ref="D1610"/>
    <hyperlink r:id="rId3218" ref="E1610"/>
    <hyperlink r:id="rId3219" ref="D1611"/>
    <hyperlink r:id="rId3220" ref="E1611"/>
    <hyperlink r:id="rId3221" ref="D1612"/>
    <hyperlink r:id="rId3222" ref="E1612"/>
    <hyperlink r:id="rId3223" ref="D1613"/>
    <hyperlink r:id="rId3224" ref="E1613"/>
    <hyperlink r:id="rId3225" ref="D1614"/>
    <hyperlink r:id="rId3226" ref="E1614"/>
    <hyperlink r:id="rId3227" ref="D1615"/>
    <hyperlink r:id="rId3228" ref="E1615"/>
    <hyperlink r:id="rId3229" ref="D1616"/>
    <hyperlink r:id="rId3230" ref="E1616"/>
    <hyperlink r:id="rId3231" ref="D1617"/>
    <hyperlink r:id="rId3232" ref="E1617"/>
    <hyperlink r:id="rId3233" ref="D1618"/>
    <hyperlink r:id="rId3234" ref="E1618"/>
    <hyperlink r:id="rId3235" ref="D1619"/>
    <hyperlink r:id="rId3236" ref="E1619"/>
    <hyperlink r:id="rId3237" ref="D1620"/>
    <hyperlink r:id="rId3238" ref="E1620"/>
    <hyperlink r:id="rId3239" ref="D1621"/>
    <hyperlink r:id="rId3240" ref="E1621"/>
    <hyperlink r:id="rId3241" ref="D1622"/>
    <hyperlink r:id="rId3242" ref="E1622"/>
    <hyperlink r:id="rId3243" ref="D1623"/>
    <hyperlink r:id="rId3244" ref="E1623"/>
    <hyperlink r:id="rId3245" ref="D1624"/>
    <hyperlink r:id="rId3246" ref="E1624"/>
    <hyperlink r:id="rId3247" ref="D1625"/>
    <hyperlink r:id="rId3248" ref="E1625"/>
    <hyperlink r:id="rId3249" ref="D1626"/>
    <hyperlink r:id="rId3250" ref="E1626"/>
    <hyperlink r:id="rId3251" ref="D1627"/>
    <hyperlink r:id="rId3252" ref="E1627"/>
    <hyperlink r:id="rId3253" ref="D1628"/>
    <hyperlink r:id="rId3254" ref="E1628"/>
    <hyperlink r:id="rId3255" ref="D1629"/>
    <hyperlink r:id="rId3256" ref="E1629"/>
    <hyperlink r:id="rId3257" ref="D1630"/>
    <hyperlink r:id="rId3258" ref="E1630"/>
    <hyperlink r:id="rId3259" ref="D1631"/>
    <hyperlink r:id="rId3260" ref="E1631"/>
    <hyperlink r:id="rId3261" ref="D1632"/>
    <hyperlink r:id="rId3262" ref="E1632"/>
    <hyperlink r:id="rId3263" ref="D1633"/>
    <hyperlink r:id="rId3264" ref="E1633"/>
    <hyperlink r:id="rId3265" ref="D1634"/>
    <hyperlink r:id="rId3266" ref="E1634"/>
    <hyperlink r:id="rId3267" ref="D1635"/>
    <hyperlink r:id="rId3268" ref="E1635"/>
    <hyperlink r:id="rId3269" ref="D1636"/>
    <hyperlink r:id="rId3270" ref="E1636"/>
    <hyperlink r:id="rId3271" ref="D1637"/>
    <hyperlink r:id="rId3272" ref="E1637"/>
    <hyperlink r:id="rId3273" ref="D1638"/>
    <hyperlink r:id="rId3274" ref="E1638"/>
    <hyperlink r:id="rId3275" ref="D1639"/>
    <hyperlink r:id="rId3276" ref="E1639"/>
    <hyperlink r:id="rId3277" ref="D1640"/>
    <hyperlink r:id="rId3278" ref="E1640"/>
    <hyperlink r:id="rId3279" ref="D1641"/>
    <hyperlink r:id="rId3280" ref="E1641"/>
    <hyperlink r:id="rId3281" ref="D1642"/>
    <hyperlink r:id="rId3282" ref="E1642"/>
    <hyperlink r:id="rId3283" ref="D1643"/>
    <hyperlink r:id="rId3284" ref="E1643"/>
    <hyperlink r:id="rId3285" ref="D1644"/>
    <hyperlink r:id="rId3286" ref="E1644"/>
    <hyperlink r:id="rId3287" ref="D1645"/>
    <hyperlink r:id="rId3288" ref="E1645"/>
    <hyperlink r:id="rId3289" ref="D1646"/>
    <hyperlink r:id="rId3290" ref="E1646"/>
    <hyperlink r:id="rId3291" ref="D1647"/>
    <hyperlink r:id="rId3292" ref="E1647"/>
    <hyperlink r:id="rId3293" ref="D1648"/>
    <hyperlink r:id="rId3294" ref="E1648"/>
    <hyperlink r:id="rId3295" ref="D1649"/>
    <hyperlink r:id="rId3296" ref="E1649"/>
    <hyperlink r:id="rId3297" ref="D1650"/>
    <hyperlink r:id="rId3298" ref="E1650"/>
    <hyperlink r:id="rId3299" ref="D1651"/>
    <hyperlink r:id="rId3300" ref="E1651"/>
    <hyperlink r:id="rId3301" ref="D1652"/>
    <hyperlink r:id="rId3302" ref="E1652"/>
    <hyperlink r:id="rId3303" ref="D1653"/>
    <hyperlink r:id="rId3304" ref="E1653"/>
    <hyperlink r:id="rId3305" ref="D1654"/>
    <hyperlink r:id="rId3306" ref="E1654"/>
    <hyperlink r:id="rId3307" ref="D1655"/>
    <hyperlink r:id="rId3308" ref="E1655"/>
    <hyperlink r:id="rId3309" ref="D1656"/>
    <hyperlink r:id="rId3310" ref="E1656"/>
    <hyperlink r:id="rId3311" ref="D1657"/>
    <hyperlink r:id="rId3312" ref="E1657"/>
    <hyperlink r:id="rId3313" ref="D1658"/>
    <hyperlink r:id="rId3314" ref="E1658"/>
    <hyperlink r:id="rId3315" ref="D1659"/>
    <hyperlink r:id="rId3316" ref="E1659"/>
    <hyperlink r:id="rId3317" ref="D1660"/>
    <hyperlink r:id="rId3318" ref="E1660"/>
    <hyperlink r:id="rId3319" ref="D1661"/>
    <hyperlink r:id="rId3320" ref="E1661"/>
    <hyperlink r:id="rId3321" ref="D1662"/>
    <hyperlink r:id="rId3322" ref="E1662"/>
    <hyperlink r:id="rId3323" ref="D1663"/>
    <hyperlink r:id="rId3324" ref="E1663"/>
    <hyperlink r:id="rId3325" ref="D1664"/>
    <hyperlink r:id="rId3326" ref="E1664"/>
    <hyperlink r:id="rId3327" ref="D1665"/>
    <hyperlink r:id="rId3328" ref="E1665"/>
    <hyperlink r:id="rId3329" ref="D1666"/>
    <hyperlink r:id="rId3330" ref="E1666"/>
    <hyperlink r:id="rId3331" ref="D1667"/>
    <hyperlink r:id="rId3332" ref="E1667"/>
    <hyperlink r:id="rId3333" ref="D1668"/>
    <hyperlink r:id="rId3334" ref="E1668"/>
    <hyperlink r:id="rId3335" ref="D1669"/>
    <hyperlink r:id="rId3336" ref="E1669"/>
    <hyperlink r:id="rId3337" ref="D1670"/>
    <hyperlink r:id="rId3338" ref="E1670"/>
    <hyperlink r:id="rId3339" ref="D1671"/>
    <hyperlink r:id="rId3340" ref="E1671"/>
    <hyperlink r:id="rId3341" ref="D1672"/>
    <hyperlink r:id="rId3342" ref="E1672"/>
    <hyperlink r:id="rId3343" ref="D1673"/>
    <hyperlink r:id="rId3344" ref="E1673"/>
    <hyperlink r:id="rId3345" ref="D1674"/>
    <hyperlink r:id="rId3346" ref="E1674"/>
    <hyperlink r:id="rId3347" ref="D1675"/>
    <hyperlink r:id="rId3348" ref="E1675"/>
    <hyperlink r:id="rId3349" ref="D1676"/>
    <hyperlink r:id="rId3350" ref="E1676"/>
    <hyperlink r:id="rId3351" ref="D1677"/>
    <hyperlink r:id="rId3352" ref="E1677"/>
    <hyperlink r:id="rId3353" ref="D1678"/>
    <hyperlink r:id="rId3354" ref="E1678"/>
    <hyperlink r:id="rId3355" ref="D1679"/>
    <hyperlink r:id="rId3356" ref="E1679"/>
    <hyperlink r:id="rId3357" ref="D1680"/>
    <hyperlink r:id="rId3358" ref="E1680"/>
    <hyperlink r:id="rId3359" ref="D1681"/>
    <hyperlink r:id="rId3360" ref="E1681"/>
    <hyperlink r:id="rId3361" ref="D1682"/>
    <hyperlink r:id="rId3362" ref="E1682"/>
    <hyperlink r:id="rId3363" ref="D1683"/>
    <hyperlink r:id="rId3364" ref="E1683"/>
    <hyperlink r:id="rId3365" ref="D1684"/>
    <hyperlink r:id="rId3366" ref="E1684"/>
    <hyperlink r:id="rId3367" ref="D1685"/>
    <hyperlink r:id="rId3368" ref="E1685"/>
    <hyperlink r:id="rId3369" ref="D1686"/>
    <hyperlink r:id="rId3370" ref="E1686"/>
    <hyperlink r:id="rId3371" ref="D1687"/>
    <hyperlink r:id="rId3372" ref="E1687"/>
    <hyperlink r:id="rId3373" ref="D1688"/>
    <hyperlink r:id="rId3374" ref="E1688"/>
    <hyperlink r:id="rId3375" ref="D1689"/>
    <hyperlink r:id="rId3376" ref="E1689"/>
    <hyperlink r:id="rId3377" ref="D1690"/>
    <hyperlink r:id="rId3378" ref="E1690"/>
    <hyperlink r:id="rId3379" ref="D1691"/>
    <hyperlink r:id="rId3380" ref="E1691"/>
    <hyperlink r:id="rId3381" ref="D1692"/>
    <hyperlink r:id="rId3382" ref="E1692"/>
    <hyperlink r:id="rId3383" ref="D1693"/>
    <hyperlink r:id="rId3384" ref="E1693"/>
    <hyperlink r:id="rId3385" ref="D1694"/>
    <hyperlink r:id="rId3386" ref="E1694"/>
    <hyperlink r:id="rId3387" ref="D1695"/>
    <hyperlink r:id="rId3388" ref="E1695"/>
    <hyperlink r:id="rId3389" ref="D1696"/>
    <hyperlink r:id="rId3390" ref="E1696"/>
    <hyperlink r:id="rId3391" ref="D1697"/>
    <hyperlink r:id="rId3392" ref="E1697"/>
    <hyperlink r:id="rId3393" ref="D1698"/>
    <hyperlink r:id="rId3394" ref="E1698"/>
    <hyperlink r:id="rId3395" ref="D1699"/>
    <hyperlink r:id="rId3396" ref="E1699"/>
    <hyperlink r:id="rId3397" ref="D1700"/>
    <hyperlink r:id="rId3398" ref="E1700"/>
    <hyperlink r:id="rId3399" ref="D1701"/>
    <hyperlink r:id="rId3400" ref="E1701"/>
    <hyperlink r:id="rId3401" ref="D1702"/>
    <hyperlink r:id="rId3402" ref="E1702"/>
    <hyperlink r:id="rId3403" ref="D1703"/>
    <hyperlink r:id="rId3404" ref="E1703"/>
    <hyperlink r:id="rId3405" ref="D1704"/>
    <hyperlink r:id="rId3406" ref="E1704"/>
    <hyperlink r:id="rId3407" ref="D1705"/>
    <hyperlink r:id="rId3408" ref="E1705"/>
    <hyperlink r:id="rId3409" ref="D1706"/>
    <hyperlink r:id="rId3410" ref="E1706"/>
    <hyperlink r:id="rId3411" ref="D1707"/>
    <hyperlink r:id="rId3412" ref="E1707"/>
    <hyperlink r:id="rId3413" ref="D1708"/>
    <hyperlink r:id="rId3414" ref="E1708"/>
    <hyperlink r:id="rId3415" ref="D1709"/>
    <hyperlink r:id="rId3416" ref="E1709"/>
    <hyperlink r:id="rId3417" ref="D1710"/>
    <hyperlink r:id="rId3418" ref="E1710"/>
    <hyperlink r:id="rId3419" ref="D1711"/>
    <hyperlink r:id="rId3420" ref="E1711"/>
    <hyperlink r:id="rId3421" ref="D1712"/>
    <hyperlink r:id="rId3422" ref="E1712"/>
    <hyperlink r:id="rId3423" ref="D1713"/>
    <hyperlink r:id="rId3424" ref="E1713"/>
    <hyperlink r:id="rId3425" ref="D1714"/>
    <hyperlink r:id="rId3426" ref="E1714"/>
    <hyperlink r:id="rId3427" ref="D1715"/>
    <hyperlink r:id="rId3428" ref="E1715"/>
    <hyperlink r:id="rId3429" ref="D1716"/>
    <hyperlink r:id="rId3430" ref="E1716"/>
    <hyperlink r:id="rId3431" ref="D1717"/>
    <hyperlink r:id="rId3432" ref="E1717"/>
    <hyperlink r:id="rId3433" ref="D1718"/>
    <hyperlink r:id="rId3434" ref="E1718"/>
    <hyperlink r:id="rId3435" ref="D1719"/>
    <hyperlink r:id="rId3436" ref="E1719"/>
    <hyperlink r:id="rId3437" ref="D1720"/>
    <hyperlink r:id="rId3438" ref="E1720"/>
    <hyperlink r:id="rId3439" ref="D1721"/>
    <hyperlink r:id="rId3440" ref="E1721"/>
    <hyperlink r:id="rId3441" ref="D1722"/>
    <hyperlink r:id="rId3442" ref="E1722"/>
    <hyperlink r:id="rId3443" ref="D1723"/>
    <hyperlink r:id="rId3444" ref="E1723"/>
    <hyperlink r:id="rId3445" ref="D1724"/>
    <hyperlink r:id="rId3446" ref="E1724"/>
    <hyperlink r:id="rId3447" ref="D1725"/>
    <hyperlink r:id="rId3448" ref="E1725"/>
    <hyperlink r:id="rId3449" ref="D1726"/>
    <hyperlink r:id="rId3450" ref="E1726"/>
    <hyperlink r:id="rId3451" ref="D1727"/>
    <hyperlink r:id="rId3452" ref="E1727"/>
    <hyperlink r:id="rId3453" ref="D1728"/>
    <hyperlink r:id="rId3454" ref="E1728"/>
    <hyperlink r:id="rId3455" ref="D1729"/>
    <hyperlink r:id="rId3456" ref="E1729"/>
    <hyperlink r:id="rId3457" ref="D1730"/>
    <hyperlink r:id="rId3458" ref="E1730"/>
    <hyperlink r:id="rId3459" ref="D1731"/>
    <hyperlink r:id="rId3460" ref="E1731"/>
    <hyperlink r:id="rId3461" ref="D1732"/>
    <hyperlink r:id="rId3462" ref="E1732"/>
    <hyperlink r:id="rId3463" ref="D1733"/>
    <hyperlink r:id="rId3464" ref="E1733"/>
    <hyperlink r:id="rId3465" ref="D1734"/>
    <hyperlink r:id="rId3466" ref="E1734"/>
    <hyperlink r:id="rId3467" ref="D1735"/>
    <hyperlink r:id="rId3468" ref="E1735"/>
    <hyperlink r:id="rId3469" ref="D1736"/>
    <hyperlink r:id="rId3470" ref="E1736"/>
    <hyperlink r:id="rId3471" ref="D1737"/>
    <hyperlink r:id="rId3472" ref="E1737"/>
    <hyperlink r:id="rId3473" ref="D1738"/>
    <hyperlink r:id="rId3474" ref="E1738"/>
    <hyperlink r:id="rId3475" ref="D1739"/>
    <hyperlink r:id="rId3476" ref="E1739"/>
    <hyperlink r:id="rId3477" ref="D1740"/>
    <hyperlink r:id="rId3478" ref="E1740"/>
    <hyperlink r:id="rId3479" ref="D1741"/>
    <hyperlink r:id="rId3480" ref="E1741"/>
    <hyperlink r:id="rId3481" ref="D1742"/>
    <hyperlink r:id="rId3482" ref="E1742"/>
    <hyperlink r:id="rId3483" ref="D1743"/>
    <hyperlink r:id="rId3484" ref="E1743"/>
    <hyperlink r:id="rId3485" ref="D1744"/>
    <hyperlink r:id="rId3486" ref="E1744"/>
    <hyperlink r:id="rId3487" ref="D1745"/>
    <hyperlink r:id="rId3488" ref="E1745"/>
    <hyperlink r:id="rId3489" ref="D1746"/>
    <hyperlink r:id="rId3490" ref="E1746"/>
    <hyperlink r:id="rId3491" ref="D1747"/>
    <hyperlink r:id="rId3492" ref="E1747"/>
    <hyperlink r:id="rId3493" ref="D1748"/>
    <hyperlink r:id="rId3494" ref="E1748"/>
    <hyperlink r:id="rId3495" ref="D1749"/>
    <hyperlink r:id="rId3496" ref="E1749"/>
    <hyperlink r:id="rId3497" ref="D1750"/>
    <hyperlink r:id="rId3498" ref="E1750"/>
    <hyperlink r:id="rId3499" ref="D1751"/>
    <hyperlink r:id="rId3500" ref="E1751"/>
    <hyperlink r:id="rId3501" ref="D1752"/>
    <hyperlink r:id="rId3502" ref="E1752"/>
    <hyperlink r:id="rId3503" ref="D1753"/>
    <hyperlink r:id="rId3504" ref="E1753"/>
    <hyperlink r:id="rId3505" ref="D1754"/>
    <hyperlink r:id="rId3506" ref="E1754"/>
    <hyperlink r:id="rId3507" ref="D1755"/>
    <hyperlink r:id="rId3508" ref="E1755"/>
    <hyperlink r:id="rId3509" ref="D1756"/>
    <hyperlink r:id="rId3510" ref="E1756"/>
    <hyperlink r:id="rId3511" ref="D1757"/>
    <hyperlink r:id="rId3512" ref="E1757"/>
    <hyperlink r:id="rId3513" ref="D1758"/>
    <hyperlink r:id="rId3514" ref="E1758"/>
    <hyperlink r:id="rId3515" ref="D1759"/>
    <hyperlink r:id="rId3516" ref="E1759"/>
    <hyperlink r:id="rId3517" ref="D1760"/>
    <hyperlink r:id="rId3518" ref="E1760"/>
    <hyperlink r:id="rId3519" ref="D1761"/>
    <hyperlink r:id="rId3520" ref="E1761"/>
    <hyperlink r:id="rId3521" ref="D1762"/>
    <hyperlink r:id="rId3522" ref="E1762"/>
    <hyperlink r:id="rId3523" ref="D1763"/>
    <hyperlink r:id="rId3524" ref="E1763"/>
    <hyperlink r:id="rId3525" ref="D1764"/>
    <hyperlink r:id="rId3526" ref="E1764"/>
    <hyperlink r:id="rId3527" ref="D1765"/>
    <hyperlink r:id="rId3528" ref="E1765"/>
    <hyperlink r:id="rId3529" ref="D1766"/>
    <hyperlink r:id="rId3530" ref="E1766"/>
    <hyperlink r:id="rId3531" ref="D1767"/>
    <hyperlink r:id="rId3532" ref="E1767"/>
    <hyperlink r:id="rId3533" ref="D1768"/>
    <hyperlink r:id="rId3534" ref="E1768"/>
    <hyperlink r:id="rId3535" ref="D1769"/>
    <hyperlink r:id="rId3536" ref="E1769"/>
    <hyperlink r:id="rId3537" ref="D1770"/>
    <hyperlink r:id="rId3538" ref="E1770"/>
    <hyperlink r:id="rId3539" ref="D1771"/>
    <hyperlink r:id="rId3540" ref="E1771"/>
    <hyperlink r:id="rId3541" ref="D1772"/>
    <hyperlink r:id="rId3542" ref="E1772"/>
    <hyperlink r:id="rId3543" ref="D1773"/>
    <hyperlink r:id="rId3544" ref="E1773"/>
    <hyperlink r:id="rId3545" ref="D1774"/>
    <hyperlink r:id="rId3546" ref="E1774"/>
    <hyperlink r:id="rId3547" ref="D1775"/>
    <hyperlink r:id="rId3548" ref="E1775"/>
    <hyperlink r:id="rId3549" ref="D1776"/>
    <hyperlink r:id="rId3550" ref="E1776"/>
    <hyperlink r:id="rId3551" ref="D1777"/>
    <hyperlink r:id="rId3552" ref="E1777"/>
    <hyperlink r:id="rId3553" ref="D1778"/>
    <hyperlink r:id="rId3554" ref="E1778"/>
    <hyperlink r:id="rId3555" ref="D1779"/>
    <hyperlink r:id="rId3556" ref="E1779"/>
    <hyperlink r:id="rId3557" ref="D1780"/>
    <hyperlink r:id="rId3558" ref="E1780"/>
    <hyperlink r:id="rId3559" ref="D1781"/>
    <hyperlink r:id="rId3560" ref="E1781"/>
    <hyperlink r:id="rId3561" ref="D1782"/>
    <hyperlink r:id="rId3562" ref="E1782"/>
    <hyperlink r:id="rId3563" ref="D1783"/>
    <hyperlink r:id="rId3564" ref="E1783"/>
    <hyperlink r:id="rId3565" ref="D1784"/>
    <hyperlink r:id="rId3566" ref="E1784"/>
    <hyperlink r:id="rId3567" ref="D1785"/>
    <hyperlink r:id="rId3568" ref="E1785"/>
    <hyperlink r:id="rId3569" ref="D1786"/>
    <hyperlink r:id="rId3570" ref="E1786"/>
    <hyperlink r:id="rId3571" ref="D1787"/>
    <hyperlink r:id="rId3572" ref="E1787"/>
    <hyperlink r:id="rId3573" ref="D1788"/>
    <hyperlink r:id="rId3574" ref="E1788"/>
    <hyperlink r:id="rId3575" ref="D1789"/>
    <hyperlink r:id="rId3576" ref="E1789"/>
    <hyperlink r:id="rId3577" ref="D1790"/>
    <hyperlink r:id="rId3578" ref="E1790"/>
    <hyperlink r:id="rId3579" ref="D1791"/>
    <hyperlink r:id="rId3580" ref="E1791"/>
    <hyperlink r:id="rId3581" ref="D1792"/>
    <hyperlink r:id="rId3582" ref="E1792"/>
    <hyperlink r:id="rId3583" ref="D1793"/>
    <hyperlink r:id="rId3584" ref="E1793"/>
    <hyperlink r:id="rId3585" ref="D1794"/>
    <hyperlink r:id="rId3586" ref="E1794"/>
    <hyperlink r:id="rId3587" ref="D1795"/>
    <hyperlink r:id="rId3588" ref="E1795"/>
    <hyperlink r:id="rId3589" ref="D1796"/>
    <hyperlink r:id="rId3590" ref="E1796"/>
    <hyperlink r:id="rId3591" ref="D1797"/>
    <hyperlink r:id="rId3592" ref="E1797"/>
    <hyperlink r:id="rId3593" ref="D1798"/>
    <hyperlink r:id="rId3594" ref="E1798"/>
    <hyperlink r:id="rId3595" ref="D1799"/>
    <hyperlink r:id="rId3596" ref="E1799"/>
    <hyperlink r:id="rId3597" ref="D1800"/>
    <hyperlink r:id="rId3598" ref="E1800"/>
    <hyperlink r:id="rId3599" ref="D1801"/>
    <hyperlink r:id="rId3600" ref="E1801"/>
    <hyperlink r:id="rId3601" ref="D1802"/>
    <hyperlink r:id="rId3602" ref="E1802"/>
    <hyperlink r:id="rId3603" ref="D1803"/>
    <hyperlink r:id="rId3604" ref="E1803"/>
    <hyperlink r:id="rId3605" ref="D1804"/>
    <hyperlink r:id="rId3606" ref="E1804"/>
    <hyperlink r:id="rId3607" ref="D1805"/>
    <hyperlink r:id="rId3608" ref="E1805"/>
    <hyperlink r:id="rId3609" ref="D1806"/>
    <hyperlink r:id="rId3610" ref="E1806"/>
    <hyperlink r:id="rId3611" ref="D1807"/>
    <hyperlink r:id="rId3612" ref="E1807"/>
    <hyperlink r:id="rId3613" ref="D1808"/>
    <hyperlink r:id="rId3614" ref="E1808"/>
    <hyperlink r:id="rId3615" ref="D1809"/>
    <hyperlink r:id="rId3616" ref="E1809"/>
    <hyperlink r:id="rId3617" ref="D1810"/>
    <hyperlink r:id="rId3618" ref="E1810"/>
    <hyperlink r:id="rId3619" ref="D1811"/>
    <hyperlink r:id="rId3620" ref="E1811"/>
    <hyperlink r:id="rId3621" ref="D1812"/>
    <hyperlink r:id="rId3622" ref="E1812"/>
    <hyperlink r:id="rId3623" ref="D1813"/>
    <hyperlink r:id="rId3624" ref="E1813"/>
    <hyperlink r:id="rId3625" ref="D1814"/>
    <hyperlink r:id="rId3626" ref="E1814"/>
    <hyperlink r:id="rId3627" ref="D1815"/>
    <hyperlink r:id="rId3628" ref="E1815"/>
    <hyperlink r:id="rId3629" ref="D1816"/>
    <hyperlink r:id="rId3630" ref="E1816"/>
    <hyperlink r:id="rId3631" ref="D1817"/>
    <hyperlink r:id="rId3632" ref="E1817"/>
    <hyperlink r:id="rId3633" ref="D1818"/>
    <hyperlink r:id="rId3634" ref="E1818"/>
    <hyperlink r:id="rId3635" ref="D1819"/>
    <hyperlink r:id="rId3636" ref="E1819"/>
    <hyperlink r:id="rId3637" ref="D1820"/>
    <hyperlink r:id="rId3638" ref="E1820"/>
    <hyperlink r:id="rId3639" ref="D1821"/>
    <hyperlink r:id="rId3640" ref="E1821"/>
    <hyperlink r:id="rId3641" ref="D1822"/>
    <hyperlink r:id="rId3642" ref="E1822"/>
    <hyperlink r:id="rId3643" ref="D1823"/>
    <hyperlink r:id="rId3644" ref="E1823"/>
    <hyperlink r:id="rId3645" ref="D1824"/>
    <hyperlink r:id="rId3646" ref="E1824"/>
    <hyperlink r:id="rId3647" ref="D1825"/>
    <hyperlink r:id="rId3648" ref="E1825"/>
    <hyperlink r:id="rId3649" ref="D1826"/>
    <hyperlink r:id="rId3650" ref="E1826"/>
    <hyperlink r:id="rId3651" ref="D1827"/>
    <hyperlink r:id="rId3652" ref="E1827"/>
    <hyperlink r:id="rId3653" ref="D1828"/>
    <hyperlink r:id="rId3654" ref="E1828"/>
    <hyperlink r:id="rId3655" ref="D1829"/>
    <hyperlink r:id="rId3656" ref="E1829"/>
    <hyperlink r:id="rId3657" ref="D1830"/>
    <hyperlink r:id="rId3658" ref="E1830"/>
    <hyperlink r:id="rId3659" ref="D1831"/>
    <hyperlink r:id="rId3660" ref="E1831"/>
    <hyperlink r:id="rId3661" ref="D1832"/>
    <hyperlink r:id="rId3662" ref="E1832"/>
    <hyperlink r:id="rId3663" ref="D1833"/>
    <hyperlink r:id="rId3664" ref="E1833"/>
    <hyperlink r:id="rId3665" ref="D1834"/>
    <hyperlink r:id="rId3666" ref="E1834"/>
    <hyperlink r:id="rId3667" ref="D1835"/>
    <hyperlink r:id="rId3668" ref="E1835"/>
    <hyperlink r:id="rId3669" ref="D1836"/>
    <hyperlink r:id="rId3670" ref="E1836"/>
    <hyperlink r:id="rId3671" ref="D1837"/>
    <hyperlink r:id="rId3672" ref="E1837"/>
    <hyperlink r:id="rId3673" ref="D1838"/>
    <hyperlink r:id="rId3674" ref="E1838"/>
    <hyperlink r:id="rId3675" ref="D1839"/>
    <hyperlink r:id="rId3676" ref="E1839"/>
    <hyperlink r:id="rId3677" ref="D1840"/>
    <hyperlink r:id="rId3678" ref="E1840"/>
    <hyperlink r:id="rId3679" ref="D1841"/>
    <hyperlink r:id="rId3680" ref="E1841"/>
    <hyperlink r:id="rId3681" ref="D1842"/>
    <hyperlink r:id="rId3682" ref="E1842"/>
    <hyperlink r:id="rId3683" ref="D1843"/>
    <hyperlink r:id="rId3684" ref="E1843"/>
    <hyperlink r:id="rId3685" ref="D1844"/>
    <hyperlink r:id="rId3686" ref="E1844"/>
    <hyperlink r:id="rId3687" ref="D1845"/>
    <hyperlink r:id="rId3688" ref="E1845"/>
    <hyperlink r:id="rId3689" ref="D1846"/>
    <hyperlink r:id="rId3690" ref="E1846"/>
    <hyperlink r:id="rId3691" ref="D1847"/>
    <hyperlink r:id="rId3692" ref="E1847"/>
    <hyperlink r:id="rId3693" ref="D1848"/>
    <hyperlink r:id="rId3694" ref="E1848"/>
    <hyperlink r:id="rId3695" ref="D1849"/>
    <hyperlink r:id="rId3696" ref="E1849"/>
    <hyperlink r:id="rId3697" ref="D1850"/>
    <hyperlink r:id="rId3698" ref="E1850"/>
    <hyperlink r:id="rId3699" ref="D1851"/>
    <hyperlink r:id="rId3700" ref="E1851"/>
    <hyperlink r:id="rId3701" ref="D1852"/>
    <hyperlink r:id="rId3702" ref="E1852"/>
    <hyperlink r:id="rId3703" ref="D1853"/>
    <hyperlink r:id="rId3704" ref="E1853"/>
    <hyperlink r:id="rId3705" ref="D1854"/>
    <hyperlink r:id="rId3706" ref="E1854"/>
    <hyperlink r:id="rId3707" ref="D1855"/>
    <hyperlink r:id="rId3708" ref="E1855"/>
    <hyperlink r:id="rId3709" ref="D1856"/>
    <hyperlink r:id="rId3710" ref="E1856"/>
    <hyperlink r:id="rId3711" ref="D1857"/>
    <hyperlink r:id="rId3712" ref="E1857"/>
    <hyperlink r:id="rId3713" ref="D1858"/>
    <hyperlink r:id="rId3714" ref="E1858"/>
    <hyperlink r:id="rId3715" ref="D1859"/>
    <hyperlink r:id="rId3716" ref="E1859"/>
    <hyperlink r:id="rId3717" ref="D1860"/>
    <hyperlink r:id="rId3718" ref="E1860"/>
    <hyperlink r:id="rId3719" ref="D1861"/>
    <hyperlink r:id="rId3720" ref="E1861"/>
    <hyperlink r:id="rId3721" ref="D1862"/>
    <hyperlink r:id="rId3722" ref="E1862"/>
    <hyperlink r:id="rId3723" ref="D1863"/>
    <hyperlink r:id="rId3724" ref="E1863"/>
    <hyperlink r:id="rId3725" ref="D1864"/>
    <hyperlink r:id="rId3726" ref="E1864"/>
    <hyperlink r:id="rId3727" ref="D1865"/>
    <hyperlink r:id="rId3728" ref="E1865"/>
    <hyperlink r:id="rId3729" ref="D1866"/>
    <hyperlink r:id="rId3730" ref="E1866"/>
    <hyperlink r:id="rId3731" ref="D1867"/>
    <hyperlink r:id="rId3732" ref="E1867"/>
    <hyperlink r:id="rId3733" ref="D1868"/>
    <hyperlink r:id="rId3734" ref="E1868"/>
    <hyperlink r:id="rId3735" ref="D1869"/>
    <hyperlink r:id="rId3736" ref="E1869"/>
    <hyperlink r:id="rId3737" ref="D1870"/>
    <hyperlink r:id="rId3738" ref="E1870"/>
    <hyperlink r:id="rId3739" ref="D1871"/>
    <hyperlink r:id="rId3740" ref="E1871"/>
    <hyperlink r:id="rId3741" ref="D1872"/>
    <hyperlink r:id="rId3742" ref="E1872"/>
    <hyperlink r:id="rId3743" ref="D1873"/>
    <hyperlink r:id="rId3744" ref="E1873"/>
    <hyperlink r:id="rId3745" ref="D1874"/>
    <hyperlink r:id="rId3746" ref="E1874"/>
    <hyperlink r:id="rId3747" ref="D1875"/>
    <hyperlink r:id="rId3748" ref="E1875"/>
    <hyperlink r:id="rId3749" ref="D1876"/>
    <hyperlink r:id="rId3750" ref="E1876"/>
    <hyperlink r:id="rId3751" ref="D1877"/>
    <hyperlink r:id="rId3752" ref="E1877"/>
    <hyperlink r:id="rId3753" ref="D1878"/>
    <hyperlink r:id="rId3754" ref="E1878"/>
    <hyperlink r:id="rId3755" ref="D1879"/>
    <hyperlink r:id="rId3756" ref="E1879"/>
    <hyperlink r:id="rId3757" ref="D1880"/>
    <hyperlink r:id="rId3758" ref="E1880"/>
    <hyperlink r:id="rId3759" ref="D1881"/>
    <hyperlink r:id="rId3760" ref="E1881"/>
    <hyperlink r:id="rId3761" ref="D1882"/>
    <hyperlink r:id="rId3762" ref="E1882"/>
    <hyperlink r:id="rId3763" ref="D1883"/>
    <hyperlink r:id="rId3764" ref="E1883"/>
    <hyperlink r:id="rId3765" ref="D1884"/>
    <hyperlink r:id="rId3766" ref="E1884"/>
    <hyperlink r:id="rId3767" ref="D1885"/>
    <hyperlink r:id="rId3768" ref="E1885"/>
    <hyperlink r:id="rId3769" ref="D1886"/>
    <hyperlink r:id="rId3770" ref="E1886"/>
    <hyperlink r:id="rId3771" ref="D1887"/>
    <hyperlink r:id="rId3772" ref="E1887"/>
    <hyperlink r:id="rId3773" ref="D1888"/>
    <hyperlink r:id="rId3774" ref="E1888"/>
    <hyperlink r:id="rId3775" ref="D1889"/>
    <hyperlink r:id="rId3776" ref="E1889"/>
    <hyperlink r:id="rId3777" ref="D1890"/>
    <hyperlink r:id="rId3778" ref="E1890"/>
    <hyperlink r:id="rId3779" ref="D1891"/>
    <hyperlink r:id="rId3780" ref="E1891"/>
    <hyperlink r:id="rId3781" ref="D1892"/>
    <hyperlink r:id="rId3782" ref="E1892"/>
    <hyperlink r:id="rId3783" ref="D1893"/>
    <hyperlink r:id="rId3784" ref="E1893"/>
    <hyperlink r:id="rId3785" ref="D1894"/>
    <hyperlink r:id="rId3786" ref="E1894"/>
    <hyperlink r:id="rId3787" ref="D1895"/>
    <hyperlink r:id="rId3788" ref="E1895"/>
    <hyperlink r:id="rId3789" ref="D1896"/>
    <hyperlink r:id="rId3790" ref="E1896"/>
    <hyperlink r:id="rId3791" ref="D1897"/>
    <hyperlink r:id="rId3792" ref="E1897"/>
    <hyperlink r:id="rId3793" ref="D1898"/>
    <hyperlink r:id="rId3794" ref="E1898"/>
    <hyperlink r:id="rId3795" ref="D1899"/>
    <hyperlink r:id="rId3796" ref="E1899"/>
    <hyperlink r:id="rId3797" ref="D1900"/>
    <hyperlink r:id="rId3798" ref="E1900"/>
    <hyperlink r:id="rId3799" ref="D1901"/>
    <hyperlink r:id="rId3800" ref="E1901"/>
    <hyperlink r:id="rId3801" ref="D1902"/>
    <hyperlink r:id="rId3802" ref="E1902"/>
    <hyperlink r:id="rId3803" ref="D1903"/>
    <hyperlink r:id="rId3804" ref="E1903"/>
    <hyperlink r:id="rId3805" ref="D1904"/>
    <hyperlink r:id="rId3806" ref="E1904"/>
    <hyperlink r:id="rId3807" ref="D1905"/>
    <hyperlink r:id="rId3808" ref="E1905"/>
    <hyperlink r:id="rId3809" ref="D1906"/>
    <hyperlink r:id="rId3810" ref="E1906"/>
    <hyperlink r:id="rId3811" ref="D1907"/>
    <hyperlink r:id="rId3812" ref="E1907"/>
    <hyperlink r:id="rId3813" ref="D1908"/>
    <hyperlink r:id="rId3814" ref="E1908"/>
    <hyperlink r:id="rId3815" ref="D1909"/>
    <hyperlink r:id="rId3816" ref="E1909"/>
    <hyperlink r:id="rId3817" ref="D1910"/>
    <hyperlink r:id="rId3818" ref="E1910"/>
    <hyperlink r:id="rId3819" ref="D1911"/>
    <hyperlink r:id="rId3820" ref="E1911"/>
    <hyperlink r:id="rId3821" ref="D1912"/>
    <hyperlink r:id="rId3822" ref="E1912"/>
    <hyperlink r:id="rId3823" ref="D1913"/>
    <hyperlink r:id="rId3824" ref="E1913"/>
    <hyperlink r:id="rId3825" ref="D1914"/>
    <hyperlink r:id="rId3826" ref="E1914"/>
    <hyperlink r:id="rId3827" ref="D1915"/>
    <hyperlink r:id="rId3828" ref="E1915"/>
    <hyperlink r:id="rId3829" ref="D1916"/>
    <hyperlink r:id="rId3830" ref="E1916"/>
    <hyperlink r:id="rId3831" ref="D1917"/>
    <hyperlink r:id="rId3832" ref="E1917"/>
    <hyperlink r:id="rId3833" ref="D1918"/>
    <hyperlink r:id="rId3834" ref="E1918"/>
    <hyperlink r:id="rId3835" ref="D1919"/>
    <hyperlink r:id="rId3836" ref="E1919"/>
    <hyperlink r:id="rId3837" ref="D1920"/>
    <hyperlink r:id="rId3838" ref="E1920"/>
    <hyperlink r:id="rId3839" ref="D1921"/>
    <hyperlink r:id="rId3840" ref="E1921"/>
    <hyperlink r:id="rId3841" ref="D1922"/>
    <hyperlink r:id="rId3842" ref="E1922"/>
    <hyperlink r:id="rId3843" ref="D1923"/>
    <hyperlink r:id="rId3844" ref="E1923"/>
    <hyperlink r:id="rId3845" ref="D1924"/>
    <hyperlink r:id="rId3846" ref="E1924"/>
    <hyperlink r:id="rId3847" ref="D1925"/>
    <hyperlink r:id="rId3848" ref="E1925"/>
    <hyperlink r:id="rId3849" ref="D1926"/>
    <hyperlink r:id="rId3850" ref="E1926"/>
    <hyperlink r:id="rId3851" ref="D1927"/>
    <hyperlink r:id="rId3852" ref="E1927"/>
    <hyperlink r:id="rId3853" ref="D1928"/>
    <hyperlink r:id="rId3854" ref="E1928"/>
    <hyperlink r:id="rId3855" ref="D1929"/>
    <hyperlink r:id="rId3856" ref="E1929"/>
    <hyperlink r:id="rId3857" ref="D1930"/>
    <hyperlink r:id="rId3858" ref="E1930"/>
    <hyperlink r:id="rId3859" ref="D1931"/>
    <hyperlink r:id="rId3860" ref="E1931"/>
    <hyperlink r:id="rId3861" ref="D1932"/>
    <hyperlink r:id="rId3862" ref="E1932"/>
    <hyperlink r:id="rId3863" ref="D1933"/>
    <hyperlink r:id="rId3864" ref="E1933"/>
    <hyperlink r:id="rId3865" ref="D1934"/>
    <hyperlink r:id="rId3866" ref="E1934"/>
    <hyperlink r:id="rId3867" ref="D1935"/>
    <hyperlink r:id="rId3868" ref="E1935"/>
    <hyperlink r:id="rId3869" ref="D1936"/>
    <hyperlink r:id="rId3870" ref="E1936"/>
    <hyperlink r:id="rId3871" ref="D1937"/>
    <hyperlink r:id="rId3872" ref="E1937"/>
    <hyperlink r:id="rId3873" ref="D1938"/>
    <hyperlink r:id="rId3874" ref="E1938"/>
    <hyperlink r:id="rId3875" ref="D1939"/>
    <hyperlink r:id="rId3876" ref="E1939"/>
    <hyperlink r:id="rId3877" ref="D1940"/>
    <hyperlink r:id="rId3878" ref="E1940"/>
    <hyperlink r:id="rId3879" ref="D1941"/>
    <hyperlink r:id="rId3880" ref="E1941"/>
    <hyperlink r:id="rId3881" ref="D1942"/>
    <hyperlink r:id="rId3882" ref="E1942"/>
    <hyperlink r:id="rId3883" ref="D1943"/>
    <hyperlink r:id="rId3884" ref="E1943"/>
    <hyperlink r:id="rId3885" ref="D1944"/>
    <hyperlink r:id="rId3886" ref="E1944"/>
    <hyperlink r:id="rId3887" ref="D1945"/>
    <hyperlink r:id="rId3888" ref="E1945"/>
    <hyperlink r:id="rId3889" ref="D1946"/>
    <hyperlink r:id="rId3890" ref="E1946"/>
    <hyperlink r:id="rId3891" ref="D1947"/>
    <hyperlink r:id="rId3892" ref="E1947"/>
    <hyperlink r:id="rId3893" ref="D1948"/>
    <hyperlink r:id="rId3894" ref="E1948"/>
    <hyperlink r:id="rId3895" ref="D1949"/>
    <hyperlink r:id="rId3896" ref="E1949"/>
    <hyperlink r:id="rId3897" ref="D1950"/>
    <hyperlink r:id="rId3898" ref="E1950"/>
    <hyperlink r:id="rId3899" ref="D1951"/>
    <hyperlink r:id="rId3900" ref="E1951"/>
    <hyperlink r:id="rId3901" ref="D1952"/>
    <hyperlink r:id="rId3902" ref="E1952"/>
    <hyperlink r:id="rId3903" ref="D1953"/>
    <hyperlink r:id="rId3904" ref="E1953"/>
    <hyperlink r:id="rId3905" ref="D1954"/>
    <hyperlink r:id="rId3906" ref="E1954"/>
    <hyperlink r:id="rId3907" ref="D1955"/>
    <hyperlink r:id="rId3908" ref="E1955"/>
    <hyperlink r:id="rId3909" ref="D1956"/>
    <hyperlink r:id="rId3910" ref="E1956"/>
    <hyperlink r:id="rId3911" ref="D1957"/>
    <hyperlink r:id="rId3912" ref="E1957"/>
    <hyperlink r:id="rId3913" ref="D1958"/>
    <hyperlink r:id="rId3914" ref="E1958"/>
    <hyperlink r:id="rId3915" ref="D1959"/>
    <hyperlink r:id="rId3916" ref="E1959"/>
    <hyperlink r:id="rId3917" ref="D1960"/>
    <hyperlink r:id="rId3918" ref="E1960"/>
    <hyperlink r:id="rId3919" ref="D1961"/>
    <hyperlink r:id="rId3920" ref="E1961"/>
    <hyperlink r:id="rId3921" ref="D1962"/>
    <hyperlink r:id="rId3922" ref="E1962"/>
    <hyperlink r:id="rId3923" ref="D1963"/>
    <hyperlink r:id="rId3924" ref="E1963"/>
    <hyperlink r:id="rId3925" ref="D1964"/>
    <hyperlink r:id="rId3926" ref="E1964"/>
    <hyperlink r:id="rId3927" ref="D1965"/>
    <hyperlink r:id="rId3928" ref="E1965"/>
    <hyperlink r:id="rId3929" ref="D1966"/>
    <hyperlink r:id="rId3930" ref="E1966"/>
    <hyperlink r:id="rId3931" ref="D1967"/>
    <hyperlink r:id="rId3932" ref="E1967"/>
    <hyperlink r:id="rId3933" ref="D1968"/>
    <hyperlink r:id="rId3934" ref="E1968"/>
    <hyperlink r:id="rId3935" ref="D1969"/>
    <hyperlink r:id="rId3936" ref="E1969"/>
    <hyperlink r:id="rId3937" ref="D1970"/>
    <hyperlink r:id="rId3938" ref="E1970"/>
    <hyperlink r:id="rId3939" ref="D1971"/>
    <hyperlink r:id="rId3940" ref="E1971"/>
    <hyperlink r:id="rId3941" ref="D1972"/>
    <hyperlink r:id="rId3942" ref="E1972"/>
    <hyperlink r:id="rId3943" ref="D1973"/>
    <hyperlink r:id="rId3944" ref="E1973"/>
    <hyperlink r:id="rId3945" ref="D1974"/>
    <hyperlink r:id="rId3946" ref="E1974"/>
    <hyperlink r:id="rId3947" ref="D1975"/>
    <hyperlink r:id="rId3948" ref="E1975"/>
    <hyperlink r:id="rId3949" ref="D1976"/>
    <hyperlink r:id="rId3950" ref="E1976"/>
    <hyperlink r:id="rId3951" ref="D1977"/>
    <hyperlink r:id="rId3952" ref="E1977"/>
    <hyperlink r:id="rId3953" ref="D1978"/>
    <hyperlink r:id="rId3954" ref="E1978"/>
    <hyperlink r:id="rId3955" ref="D1979"/>
    <hyperlink r:id="rId3956" ref="E1979"/>
    <hyperlink r:id="rId3957" ref="D1980"/>
    <hyperlink r:id="rId3958" ref="E1980"/>
    <hyperlink r:id="rId3959" ref="D1981"/>
    <hyperlink r:id="rId3960" ref="E1981"/>
    <hyperlink r:id="rId3961" ref="D1982"/>
    <hyperlink r:id="rId3962" ref="E1982"/>
    <hyperlink r:id="rId3963" ref="D1983"/>
    <hyperlink r:id="rId3964" ref="E1983"/>
    <hyperlink r:id="rId3965" ref="D1984"/>
    <hyperlink r:id="rId3966" ref="E1984"/>
    <hyperlink r:id="rId3967" ref="D1985"/>
    <hyperlink r:id="rId3968" ref="E1985"/>
    <hyperlink r:id="rId3969" ref="D1986"/>
    <hyperlink r:id="rId3970" ref="E1986"/>
    <hyperlink r:id="rId3971" ref="D1987"/>
    <hyperlink r:id="rId3972" ref="E1987"/>
    <hyperlink r:id="rId3973" ref="D1988"/>
    <hyperlink r:id="rId3974" ref="E1988"/>
    <hyperlink r:id="rId3975" ref="D1989"/>
    <hyperlink r:id="rId3976" ref="E1989"/>
    <hyperlink r:id="rId3977" ref="D1990"/>
    <hyperlink r:id="rId3978" ref="E1990"/>
    <hyperlink r:id="rId3979" ref="D1991"/>
    <hyperlink r:id="rId3980" ref="E1991"/>
    <hyperlink r:id="rId3981" ref="D1992"/>
    <hyperlink r:id="rId3982" ref="E1992"/>
    <hyperlink r:id="rId3983" ref="D1993"/>
    <hyperlink r:id="rId3984" ref="E1993"/>
    <hyperlink r:id="rId3985" ref="D1994"/>
    <hyperlink r:id="rId3986" ref="E1994"/>
    <hyperlink r:id="rId3987" ref="D1995"/>
    <hyperlink r:id="rId3988" ref="E1995"/>
    <hyperlink r:id="rId3989" ref="D1996"/>
    <hyperlink r:id="rId3990" ref="E1996"/>
    <hyperlink r:id="rId3991" ref="D1997"/>
    <hyperlink r:id="rId3992" ref="E1997"/>
    <hyperlink r:id="rId3993" ref="D1998"/>
    <hyperlink r:id="rId3994" ref="E1998"/>
    <hyperlink r:id="rId3995" ref="D1999"/>
    <hyperlink r:id="rId3996" ref="E1999"/>
    <hyperlink r:id="rId3997" ref="D2000"/>
    <hyperlink r:id="rId3998" ref="E2000"/>
    <hyperlink r:id="rId3999" ref="D2001"/>
    <hyperlink r:id="rId4000" ref="E2001"/>
    <hyperlink r:id="rId4001" ref="D2002"/>
    <hyperlink r:id="rId4002" ref="E2002"/>
    <hyperlink r:id="rId4003" ref="D2003"/>
    <hyperlink r:id="rId4004" ref="E2003"/>
    <hyperlink r:id="rId4005" ref="D2004"/>
    <hyperlink r:id="rId4006" ref="E2004"/>
    <hyperlink r:id="rId4007" ref="D2005"/>
    <hyperlink r:id="rId4008" ref="E2005"/>
    <hyperlink r:id="rId4009" ref="D2006"/>
    <hyperlink r:id="rId4010" ref="E2006"/>
    <hyperlink r:id="rId4011" ref="D2007"/>
    <hyperlink r:id="rId4012" ref="E2007"/>
    <hyperlink r:id="rId4013" ref="D2008"/>
    <hyperlink r:id="rId4014" ref="E2008"/>
    <hyperlink r:id="rId4015" ref="D2009"/>
    <hyperlink r:id="rId4016" ref="E2009"/>
    <hyperlink r:id="rId4017" ref="D2010"/>
    <hyperlink r:id="rId4018" ref="E2010"/>
    <hyperlink r:id="rId4019" ref="D2011"/>
    <hyperlink r:id="rId4020" ref="E2011"/>
    <hyperlink r:id="rId4021" ref="D2012"/>
    <hyperlink r:id="rId4022" ref="E2012"/>
    <hyperlink r:id="rId4023" ref="D2013"/>
    <hyperlink r:id="rId4024" ref="E2013"/>
    <hyperlink r:id="rId4025" ref="D2014"/>
    <hyperlink r:id="rId4026" ref="E2014"/>
    <hyperlink r:id="rId4027" ref="D2015"/>
    <hyperlink r:id="rId4028" ref="E2015"/>
    <hyperlink r:id="rId4029" ref="D2016"/>
    <hyperlink r:id="rId4030" ref="E2016"/>
    <hyperlink r:id="rId4031" ref="D2017"/>
    <hyperlink r:id="rId4032" ref="E2017"/>
    <hyperlink r:id="rId4033" ref="D2018"/>
    <hyperlink r:id="rId4034" ref="E2018"/>
    <hyperlink r:id="rId4035" ref="D2019"/>
    <hyperlink r:id="rId4036" ref="E2019"/>
    <hyperlink r:id="rId4037" ref="D2020"/>
    <hyperlink r:id="rId4038" ref="E2020"/>
    <hyperlink r:id="rId4039" ref="D2021"/>
    <hyperlink r:id="rId4040" ref="E2021"/>
    <hyperlink r:id="rId4041" ref="D2022"/>
    <hyperlink r:id="rId4042" ref="E2022"/>
    <hyperlink r:id="rId4043" ref="D2023"/>
    <hyperlink r:id="rId4044" ref="E2023"/>
    <hyperlink r:id="rId4045" ref="D2024"/>
    <hyperlink r:id="rId4046" ref="E2024"/>
    <hyperlink r:id="rId4047" ref="D2025"/>
    <hyperlink r:id="rId4048" ref="E2025"/>
    <hyperlink r:id="rId4049" ref="D2026"/>
    <hyperlink r:id="rId4050" ref="E2026"/>
    <hyperlink r:id="rId4051" ref="D2027"/>
    <hyperlink r:id="rId4052" ref="E2027"/>
    <hyperlink r:id="rId4053" ref="D2028"/>
    <hyperlink r:id="rId4054" ref="E2028"/>
    <hyperlink r:id="rId4055" ref="D2029"/>
    <hyperlink r:id="rId4056" ref="E2029"/>
    <hyperlink r:id="rId4057" ref="D2030"/>
    <hyperlink r:id="rId4058" ref="E2030"/>
    <hyperlink r:id="rId4059" ref="D2031"/>
    <hyperlink r:id="rId4060" ref="E2031"/>
    <hyperlink r:id="rId4061" ref="D2032"/>
    <hyperlink r:id="rId4062" ref="E2032"/>
    <hyperlink r:id="rId4063" ref="D2033"/>
    <hyperlink r:id="rId4064" ref="E2033"/>
    <hyperlink r:id="rId4065" ref="D2034"/>
    <hyperlink r:id="rId4066" ref="E2034"/>
    <hyperlink r:id="rId4067" ref="D2035"/>
    <hyperlink r:id="rId4068" ref="E2035"/>
    <hyperlink r:id="rId4069" ref="D2036"/>
    <hyperlink r:id="rId4070" ref="E2036"/>
    <hyperlink r:id="rId4071" ref="D2037"/>
    <hyperlink r:id="rId4072" ref="E2037"/>
    <hyperlink r:id="rId4073" ref="D2038"/>
    <hyperlink r:id="rId4074" ref="E2038"/>
    <hyperlink r:id="rId4075" ref="D2039"/>
    <hyperlink r:id="rId4076" ref="E2039"/>
    <hyperlink r:id="rId4077" ref="D2040"/>
    <hyperlink r:id="rId4078" ref="E2040"/>
    <hyperlink r:id="rId4079" ref="D2041"/>
    <hyperlink r:id="rId4080" ref="E2041"/>
    <hyperlink r:id="rId4081" ref="D2042"/>
    <hyperlink r:id="rId4082" ref="E2042"/>
    <hyperlink r:id="rId4083" ref="D2043"/>
    <hyperlink r:id="rId4084" ref="E2043"/>
    <hyperlink r:id="rId4085" ref="D2044"/>
    <hyperlink r:id="rId4086" ref="E2044"/>
    <hyperlink r:id="rId4087" ref="D2045"/>
    <hyperlink r:id="rId4088" ref="E2045"/>
    <hyperlink r:id="rId4089" ref="D2046"/>
    <hyperlink r:id="rId4090" ref="E2046"/>
    <hyperlink r:id="rId4091" ref="D2047"/>
    <hyperlink r:id="rId4092" ref="E2047"/>
    <hyperlink r:id="rId4093" ref="D2048"/>
    <hyperlink r:id="rId4094" ref="E2048"/>
    <hyperlink r:id="rId4095" ref="D2049"/>
    <hyperlink r:id="rId4096" ref="E2049"/>
    <hyperlink r:id="rId4097" ref="D2050"/>
    <hyperlink r:id="rId4098" ref="E2050"/>
    <hyperlink r:id="rId4099" ref="D2051"/>
    <hyperlink r:id="rId4100" ref="E2051"/>
    <hyperlink r:id="rId4101" ref="D2052"/>
    <hyperlink r:id="rId4102" ref="E2052"/>
    <hyperlink r:id="rId4103" ref="D2053"/>
    <hyperlink r:id="rId4104" ref="E2053"/>
    <hyperlink r:id="rId4105" ref="D2054"/>
    <hyperlink r:id="rId4106" ref="E2054"/>
    <hyperlink r:id="rId4107" ref="D2055"/>
    <hyperlink r:id="rId4108" ref="E2055"/>
    <hyperlink r:id="rId4109" ref="D2056"/>
    <hyperlink r:id="rId4110" ref="E2056"/>
    <hyperlink r:id="rId4111" ref="D2057"/>
    <hyperlink r:id="rId4112" ref="E2057"/>
    <hyperlink r:id="rId4113" ref="D2058"/>
    <hyperlink r:id="rId4114" ref="E2058"/>
    <hyperlink r:id="rId4115" ref="D2059"/>
    <hyperlink r:id="rId4116" ref="E2059"/>
    <hyperlink r:id="rId4117" ref="D2060"/>
    <hyperlink r:id="rId4118" ref="E2060"/>
    <hyperlink r:id="rId4119" ref="D2061"/>
    <hyperlink r:id="rId4120" ref="E2061"/>
    <hyperlink r:id="rId4121" ref="D2062"/>
    <hyperlink r:id="rId4122" ref="E2062"/>
    <hyperlink r:id="rId4123" ref="D2063"/>
    <hyperlink r:id="rId4124" ref="E2063"/>
    <hyperlink r:id="rId4125" ref="D2064"/>
    <hyperlink r:id="rId4126" ref="E2064"/>
    <hyperlink r:id="rId4127" ref="D2065"/>
    <hyperlink r:id="rId4128" ref="E2065"/>
    <hyperlink r:id="rId4129" ref="D2066"/>
    <hyperlink r:id="rId4130" ref="E2066"/>
    <hyperlink r:id="rId4131" ref="D2067"/>
    <hyperlink r:id="rId4132" ref="E2067"/>
    <hyperlink r:id="rId4133" ref="D2068"/>
    <hyperlink r:id="rId4134" ref="E2068"/>
    <hyperlink r:id="rId4135" ref="D2069"/>
    <hyperlink r:id="rId4136" ref="E2069"/>
    <hyperlink r:id="rId4137" ref="D2070"/>
    <hyperlink r:id="rId4138" ref="E2070"/>
    <hyperlink r:id="rId4139" ref="D2071"/>
    <hyperlink r:id="rId4140" ref="E2071"/>
    <hyperlink r:id="rId4141" ref="D2072"/>
    <hyperlink r:id="rId4142" ref="E2072"/>
    <hyperlink r:id="rId4143" ref="D2073"/>
    <hyperlink r:id="rId4144" ref="E2073"/>
    <hyperlink r:id="rId4145" ref="D2074"/>
    <hyperlink r:id="rId4146" ref="E2074"/>
    <hyperlink r:id="rId4147" ref="D2075"/>
    <hyperlink r:id="rId4148" ref="E2075"/>
    <hyperlink r:id="rId4149" ref="D2076"/>
    <hyperlink r:id="rId4150" ref="E2076"/>
    <hyperlink r:id="rId4151" ref="D2077"/>
    <hyperlink r:id="rId4152" ref="E2077"/>
    <hyperlink r:id="rId4153" ref="D2078"/>
    <hyperlink r:id="rId4154" ref="E2078"/>
    <hyperlink r:id="rId4155" ref="D2079"/>
    <hyperlink r:id="rId4156" ref="E2079"/>
    <hyperlink r:id="rId4157" ref="D2080"/>
    <hyperlink r:id="rId4158" ref="E2080"/>
    <hyperlink r:id="rId4159" ref="D2081"/>
    <hyperlink r:id="rId4160" ref="E2081"/>
    <hyperlink r:id="rId4161" ref="D2082"/>
    <hyperlink r:id="rId4162" ref="E2082"/>
    <hyperlink r:id="rId4163" ref="D2083"/>
    <hyperlink r:id="rId4164" ref="E2083"/>
    <hyperlink r:id="rId4165" ref="D2084"/>
    <hyperlink r:id="rId4166" ref="E2084"/>
    <hyperlink r:id="rId4167" ref="D2085"/>
    <hyperlink r:id="rId4168" ref="E2085"/>
    <hyperlink r:id="rId4169" ref="D2086"/>
    <hyperlink r:id="rId4170" ref="E2086"/>
    <hyperlink r:id="rId4171" ref="D2087"/>
    <hyperlink r:id="rId4172" ref="E2087"/>
    <hyperlink r:id="rId4173" ref="D2088"/>
    <hyperlink r:id="rId4174" ref="E2088"/>
    <hyperlink r:id="rId4175" ref="D2089"/>
    <hyperlink r:id="rId4176" ref="E2089"/>
    <hyperlink r:id="rId4177" ref="D2090"/>
    <hyperlink r:id="rId4178" ref="E2090"/>
    <hyperlink r:id="rId4179" ref="D2091"/>
    <hyperlink r:id="rId4180" ref="E2091"/>
    <hyperlink r:id="rId4181" ref="D2092"/>
    <hyperlink r:id="rId4182" ref="E2092"/>
    <hyperlink r:id="rId4183" ref="D2093"/>
    <hyperlink r:id="rId4184" ref="E2093"/>
    <hyperlink r:id="rId4185" ref="D2094"/>
    <hyperlink r:id="rId4186" ref="E2094"/>
    <hyperlink r:id="rId4187" ref="D2095"/>
    <hyperlink r:id="rId4188" ref="E2095"/>
    <hyperlink r:id="rId4189" ref="D2096"/>
    <hyperlink r:id="rId4190" ref="E2096"/>
    <hyperlink r:id="rId4191" ref="D2097"/>
    <hyperlink r:id="rId4192" ref="E2097"/>
    <hyperlink r:id="rId4193" ref="D2098"/>
    <hyperlink r:id="rId4194" ref="E2098"/>
    <hyperlink r:id="rId4195" ref="D2099"/>
    <hyperlink r:id="rId4196" ref="E2099"/>
    <hyperlink r:id="rId4197" ref="D2100"/>
    <hyperlink r:id="rId4198" ref="E2100"/>
    <hyperlink r:id="rId4199" ref="D2101"/>
    <hyperlink r:id="rId4200" ref="E2101"/>
    <hyperlink r:id="rId4201" ref="D2102"/>
    <hyperlink r:id="rId4202" ref="E2102"/>
    <hyperlink r:id="rId4203" ref="D2103"/>
    <hyperlink r:id="rId4204" ref="E2103"/>
    <hyperlink r:id="rId4205" ref="D2104"/>
    <hyperlink r:id="rId4206" ref="E2104"/>
    <hyperlink r:id="rId4207" ref="D2105"/>
    <hyperlink r:id="rId4208" ref="E2105"/>
    <hyperlink r:id="rId4209" ref="D2106"/>
    <hyperlink r:id="rId4210" ref="E2106"/>
    <hyperlink r:id="rId4211" ref="D2107"/>
    <hyperlink r:id="rId4212" ref="E2107"/>
    <hyperlink r:id="rId4213" ref="D2108"/>
    <hyperlink r:id="rId4214" ref="E2108"/>
    <hyperlink r:id="rId4215" ref="D2109"/>
    <hyperlink r:id="rId4216" ref="E2109"/>
    <hyperlink r:id="rId4217" ref="D2110"/>
    <hyperlink r:id="rId4218" ref="E2110"/>
    <hyperlink r:id="rId4219" ref="D2111"/>
    <hyperlink r:id="rId4220" ref="E2111"/>
    <hyperlink r:id="rId4221" ref="D2112"/>
    <hyperlink r:id="rId4222" ref="E2112"/>
    <hyperlink r:id="rId4223" ref="D2113"/>
    <hyperlink r:id="rId4224" ref="E2113"/>
    <hyperlink r:id="rId4225" ref="D2114"/>
    <hyperlink r:id="rId4226" ref="E2114"/>
    <hyperlink r:id="rId4227" ref="D2115"/>
    <hyperlink r:id="rId4228" ref="E2115"/>
    <hyperlink r:id="rId4229" ref="D2116"/>
    <hyperlink r:id="rId4230" ref="E2116"/>
    <hyperlink r:id="rId4231" ref="D2117"/>
    <hyperlink r:id="rId4232" ref="E2117"/>
    <hyperlink r:id="rId4233" ref="D2118"/>
    <hyperlink r:id="rId4234" ref="E2118"/>
    <hyperlink r:id="rId4235" ref="D2119"/>
    <hyperlink r:id="rId4236" ref="E2119"/>
    <hyperlink r:id="rId4237" ref="D2120"/>
    <hyperlink r:id="rId4238" ref="E2120"/>
    <hyperlink r:id="rId4239" ref="D2121"/>
    <hyperlink r:id="rId4240" ref="E2121"/>
    <hyperlink r:id="rId4241" ref="D2122"/>
    <hyperlink r:id="rId4242" ref="E2122"/>
    <hyperlink r:id="rId4243" ref="D2123"/>
    <hyperlink r:id="rId4244" ref="E2123"/>
    <hyperlink r:id="rId4245" ref="D2124"/>
    <hyperlink r:id="rId4246" ref="E2124"/>
    <hyperlink r:id="rId4247" ref="D2125"/>
    <hyperlink r:id="rId4248" ref="E2125"/>
    <hyperlink r:id="rId4249" ref="D2126"/>
    <hyperlink r:id="rId4250" ref="E2126"/>
    <hyperlink r:id="rId4251" ref="D2127"/>
    <hyperlink r:id="rId4252" ref="E2127"/>
    <hyperlink r:id="rId4253" ref="D2128"/>
    <hyperlink r:id="rId4254" ref="E2128"/>
    <hyperlink r:id="rId4255" ref="D2129"/>
    <hyperlink r:id="rId4256" ref="E2129"/>
    <hyperlink r:id="rId4257" ref="D2130"/>
    <hyperlink r:id="rId4258" ref="E2130"/>
    <hyperlink r:id="rId4259" ref="D2131"/>
    <hyperlink r:id="rId4260" ref="E2131"/>
    <hyperlink r:id="rId4261" ref="D2132"/>
    <hyperlink r:id="rId4262" ref="E2132"/>
    <hyperlink r:id="rId4263" ref="D2133"/>
    <hyperlink r:id="rId4264" ref="E2133"/>
    <hyperlink r:id="rId4265" ref="D2134"/>
    <hyperlink r:id="rId4266" ref="E2134"/>
    <hyperlink r:id="rId4267" ref="D2135"/>
    <hyperlink r:id="rId4268" ref="E2135"/>
    <hyperlink r:id="rId4269" ref="D2136"/>
    <hyperlink r:id="rId4270" ref="E2136"/>
    <hyperlink r:id="rId4271" ref="D2137"/>
    <hyperlink r:id="rId4272" ref="E2137"/>
    <hyperlink r:id="rId4273" ref="D2138"/>
    <hyperlink r:id="rId4274" ref="E2138"/>
    <hyperlink r:id="rId4275" ref="D2139"/>
    <hyperlink r:id="rId4276" ref="E2139"/>
    <hyperlink r:id="rId4277" ref="D2140"/>
    <hyperlink r:id="rId4278" ref="E2140"/>
    <hyperlink r:id="rId4279" ref="D2141"/>
    <hyperlink r:id="rId4280" ref="E2141"/>
    <hyperlink r:id="rId4281" ref="D2142"/>
    <hyperlink r:id="rId4282" ref="E2142"/>
    <hyperlink r:id="rId4283" ref="D2143"/>
    <hyperlink r:id="rId4284" ref="E2143"/>
    <hyperlink r:id="rId4285" ref="D2144"/>
    <hyperlink r:id="rId4286" ref="E2144"/>
    <hyperlink r:id="rId4287" ref="D2145"/>
    <hyperlink r:id="rId4288" ref="E2145"/>
    <hyperlink r:id="rId4289" ref="D2146"/>
    <hyperlink r:id="rId4290" ref="E2146"/>
    <hyperlink r:id="rId4291" ref="D2147"/>
    <hyperlink r:id="rId4292" ref="E2147"/>
    <hyperlink r:id="rId4293" ref="D2148"/>
    <hyperlink r:id="rId4294" ref="E2148"/>
    <hyperlink r:id="rId4295" ref="D2149"/>
    <hyperlink r:id="rId4296" ref="E2149"/>
    <hyperlink r:id="rId4297" ref="D2150"/>
    <hyperlink r:id="rId4298" ref="E2150"/>
    <hyperlink r:id="rId4299" ref="D2151"/>
    <hyperlink r:id="rId4300" ref="E2151"/>
    <hyperlink r:id="rId4301" ref="D2152"/>
    <hyperlink r:id="rId4302" ref="E2152"/>
    <hyperlink r:id="rId4303" ref="D2153"/>
    <hyperlink r:id="rId4304" ref="E2153"/>
    <hyperlink r:id="rId4305" ref="D2154"/>
    <hyperlink r:id="rId4306" ref="E2154"/>
    <hyperlink r:id="rId4307" ref="D2155"/>
    <hyperlink r:id="rId4308" ref="E2155"/>
    <hyperlink r:id="rId4309" ref="D2156"/>
    <hyperlink r:id="rId4310" ref="E2156"/>
    <hyperlink r:id="rId4311" ref="D2157"/>
    <hyperlink r:id="rId4312" ref="E2157"/>
    <hyperlink r:id="rId4313" ref="D2158"/>
    <hyperlink r:id="rId4314" ref="E2158"/>
    <hyperlink r:id="rId4315" ref="D2159"/>
    <hyperlink r:id="rId4316" ref="E2159"/>
    <hyperlink r:id="rId4317" ref="D2160"/>
    <hyperlink r:id="rId4318" ref="E2160"/>
    <hyperlink r:id="rId4319" ref="D2161"/>
    <hyperlink r:id="rId4320" ref="E2161"/>
    <hyperlink r:id="rId4321" ref="D2162"/>
    <hyperlink r:id="rId4322" ref="E2162"/>
    <hyperlink r:id="rId4323" ref="D2163"/>
    <hyperlink r:id="rId4324" ref="E2163"/>
    <hyperlink r:id="rId4325" ref="D2164"/>
    <hyperlink r:id="rId4326" ref="E2164"/>
    <hyperlink r:id="rId4327" ref="D2165"/>
    <hyperlink r:id="rId4328" ref="E2165"/>
    <hyperlink r:id="rId4329" ref="D2166"/>
    <hyperlink r:id="rId4330" ref="E2166"/>
    <hyperlink r:id="rId4331" ref="D2167"/>
    <hyperlink r:id="rId4332" ref="E2167"/>
    <hyperlink r:id="rId4333" ref="D2168"/>
    <hyperlink r:id="rId4334" ref="E2168"/>
    <hyperlink r:id="rId4335" ref="D2169"/>
    <hyperlink r:id="rId4336" ref="E2169"/>
    <hyperlink r:id="rId4337" ref="D2170"/>
    <hyperlink r:id="rId4338" ref="E2170"/>
    <hyperlink r:id="rId4339" ref="D2171"/>
    <hyperlink r:id="rId4340" ref="E2171"/>
    <hyperlink r:id="rId4341" ref="D2172"/>
    <hyperlink r:id="rId4342" ref="E2172"/>
    <hyperlink r:id="rId4343" ref="D2173"/>
    <hyperlink r:id="rId4344" ref="E2173"/>
    <hyperlink r:id="rId4345" ref="D2174"/>
    <hyperlink r:id="rId4346" ref="E2174"/>
    <hyperlink r:id="rId4347" ref="D2175"/>
    <hyperlink r:id="rId4348" ref="E2175"/>
    <hyperlink r:id="rId4349" ref="D2176"/>
    <hyperlink r:id="rId4350" ref="E2176"/>
    <hyperlink r:id="rId4351" ref="D2177"/>
    <hyperlink r:id="rId4352" ref="E2177"/>
    <hyperlink r:id="rId4353" ref="D2178"/>
    <hyperlink r:id="rId4354" ref="E2178"/>
    <hyperlink r:id="rId4355" ref="D2179"/>
    <hyperlink r:id="rId4356" ref="E2179"/>
    <hyperlink r:id="rId4357" ref="D2180"/>
    <hyperlink r:id="rId4358" ref="E2180"/>
    <hyperlink r:id="rId4359" ref="D2181"/>
    <hyperlink r:id="rId4360" ref="E2181"/>
    <hyperlink r:id="rId4361" ref="D2182"/>
    <hyperlink r:id="rId4362" ref="E2182"/>
    <hyperlink r:id="rId4363" ref="D2183"/>
    <hyperlink r:id="rId4364" ref="E2183"/>
    <hyperlink r:id="rId4365" ref="D2184"/>
    <hyperlink r:id="rId4366" ref="E2184"/>
    <hyperlink r:id="rId4367" ref="D2185"/>
    <hyperlink r:id="rId4368" ref="E2185"/>
    <hyperlink r:id="rId4369" ref="D2186"/>
    <hyperlink r:id="rId4370" ref="E2186"/>
    <hyperlink r:id="rId4371" ref="D2187"/>
    <hyperlink r:id="rId4372" ref="E2187"/>
    <hyperlink r:id="rId4373" ref="D2188"/>
    <hyperlink r:id="rId4374" ref="E2188"/>
    <hyperlink r:id="rId4375" ref="D2189"/>
    <hyperlink r:id="rId4376" ref="E2189"/>
    <hyperlink r:id="rId4377" ref="D2190"/>
    <hyperlink r:id="rId4378" ref="E2190"/>
    <hyperlink r:id="rId4379" ref="D2191"/>
    <hyperlink r:id="rId4380" ref="E2191"/>
    <hyperlink r:id="rId4381" ref="D2192"/>
    <hyperlink r:id="rId4382" ref="E2192"/>
    <hyperlink r:id="rId4383" ref="D2193"/>
    <hyperlink r:id="rId4384" ref="E2193"/>
    <hyperlink r:id="rId4385" ref="D2194"/>
    <hyperlink r:id="rId4386" ref="E2194"/>
    <hyperlink r:id="rId4387" ref="D2195"/>
    <hyperlink r:id="rId4388" ref="E2195"/>
    <hyperlink r:id="rId4389" ref="D2196"/>
    <hyperlink r:id="rId4390" ref="E2196"/>
    <hyperlink r:id="rId4391" ref="D2197"/>
    <hyperlink r:id="rId4392" ref="E2197"/>
    <hyperlink r:id="rId4393" ref="D2198"/>
    <hyperlink r:id="rId4394" ref="E2198"/>
    <hyperlink r:id="rId4395" ref="D2199"/>
    <hyperlink r:id="rId4396" ref="E2199"/>
    <hyperlink r:id="rId4397" ref="D2200"/>
    <hyperlink r:id="rId4398" ref="E2200"/>
    <hyperlink r:id="rId4399" ref="D2201"/>
    <hyperlink r:id="rId4400" ref="E2201"/>
    <hyperlink r:id="rId4401" ref="D2202"/>
    <hyperlink r:id="rId4402" ref="E2202"/>
    <hyperlink r:id="rId4403" ref="D2203"/>
    <hyperlink r:id="rId4404" ref="E2203"/>
    <hyperlink r:id="rId4405" ref="D2204"/>
    <hyperlink r:id="rId4406" ref="E2204"/>
    <hyperlink r:id="rId4407" ref="D2205"/>
    <hyperlink r:id="rId4408" ref="E2205"/>
    <hyperlink r:id="rId4409" ref="D2206"/>
    <hyperlink r:id="rId4410" ref="E2206"/>
    <hyperlink r:id="rId4411" ref="D2207"/>
    <hyperlink r:id="rId4412" ref="E2207"/>
    <hyperlink r:id="rId4413" ref="D2208"/>
    <hyperlink r:id="rId4414" ref="E2208"/>
    <hyperlink r:id="rId4415" ref="D2209"/>
    <hyperlink r:id="rId4416" ref="E2209"/>
    <hyperlink r:id="rId4417" ref="D2210"/>
    <hyperlink r:id="rId4418" ref="E2210"/>
    <hyperlink r:id="rId4419" ref="D2211"/>
    <hyperlink r:id="rId4420" ref="E2211"/>
    <hyperlink r:id="rId4421" ref="D2212"/>
    <hyperlink r:id="rId4422" ref="E2212"/>
    <hyperlink r:id="rId4423" ref="D2213"/>
    <hyperlink r:id="rId4424" ref="E2213"/>
    <hyperlink r:id="rId4425" ref="D2214"/>
    <hyperlink r:id="rId4426" ref="E2214"/>
    <hyperlink r:id="rId4427" ref="D2215"/>
    <hyperlink r:id="rId4428" ref="E2215"/>
    <hyperlink r:id="rId4429" ref="D2216"/>
    <hyperlink r:id="rId4430" ref="E2216"/>
    <hyperlink r:id="rId4431" ref="D2217"/>
    <hyperlink r:id="rId4432" ref="E2217"/>
    <hyperlink r:id="rId4433" ref="D2218"/>
    <hyperlink r:id="rId4434" ref="E2218"/>
    <hyperlink r:id="rId4435" ref="D2219"/>
    <hyperlink r:id="rId4436" ref="E2219"/>
    <hyperlink r:id="rId4437" ref="D2220"/>
    <hyperlink r:id="rId4438" ref="E2220"/>
    <hyperlink r:id="rId4439" ref="D2221"/>
    <hyperlink r:id="rId4440" ref="E2221"/>
    <hyperlink r:id="rId4441" ref="D2222"/>
    <hyperlink r:id="rId4442" ref="E2222"/>
    <hyperlink r:id="rId4443" ref="D2223"/>
    <hyperlink r:id="rId4444" ref="E2223"/>
    <hyperlink r:id="rId4445" ref="D2224"/>
    <hyperlink r:id="rId4446" ref="E2224"/>
    <hyperlink r:id="rId4447" ref="D2225"/>
    <hyperlink r:id="rId4448" ref="E2225"/>
    <hyperlink r:id="rId4449" ref="D2226"/>
    <hyperlink r:id="rId4450" ref="E2226"/>
    <hyperlink r:id="rId4451" ref="D2227"/>
    <hyperlink r:id="rId4452" ref="E2227"/>
    <hyperlink r:id="rId4453" ref="D2228"/>
    <hyperlink r:id="rId4454" ref="E2228"/>
    <hyperlink r:id="rId4455" ref="D2229"/>
    <hyperlink r:id="rId4456" ref="E2229"/>
    <hyperlink r:id="rId4457" ref="D2230"/>
    <hyperlink r:id="rId4458" ref="E2230"/>
    <hyperlink r:id="rId4459" ref="D2231"/>
    <hyperlink r:id="rId4460" ref="E2231"/>
    <hyperlink r:id="rId4461" ref="D2232"/>
    <hyperlink r:id="rId4462" ref="E2232"/>
    <hyperlink r:id="rId4463" ref="D2233"/>
    <hyperlink r:id="rId4464" ref="E2233"/>
    <hyperlink r:id="rId4465" ref="D2234"/>
    <hyperlink r:id="rId4466" ref="E2234"/>
    <hyperlink r:id="rId4467" ref="D2235"/>
    <hyperlink r:id="rId4468" ref="E2235"/>
    <hyperlink r:id="rId4469" ref="E2236"/>
    <hyperlink r:id="rId4470" ref="E2237"/>
    <hyperlink r:id="rId4471" ref="E2238"/>
    <hyperlink r:id="rId4472" ref="E2239"/>
    <hyperlink r:id="rId4473" ref="E2240"/>
    <hyperlink r:id="rId4474" ref="E2241"/>
    <hyperlink r:id="rId4475" ref="E2242"/>
    <hyperlink r:id="rId4476" ref="E2243"/>
    <hyperlink r:id="rId4477" ref="E2244"/>
    <hyperlink r:id="rId4478" ref="E2245"/>
    <hyperlink r:id="rId4479" ref="E2246"/>
    <hyperlink r:id="rId4480" ref="E2247"/>
    <hyperlink r:id="rId4481" ref="E2248"/>
    <hyperlink r:id="rId4482" ref="E2249"/>
    <hyperlink r:id="rId4483" ref="E2250"/>
    <hyperlink r:id="rId4484" ref="E2251"/>
    <hyperlink r:id="rId4485" ref="E2252"/>
    <hyperlink r:id="rId4486" ref="E2253"/>
    <hyperlink r:id="rId4487" ref="E2254"/>
    <hyperlink r:id="rId4488" ref="E2255"/>
    <hyperlink r:id="rId4489" ref="E2256"/>
    <hyperlink r:id="rId4490" ref="E2257"/>
    <hyperlink r:id="rId4491" ref="E2258"/>
    <hyperlink r:id="rId4492" ref="E2259"/>
    <hyperlink r:id="rId4493" ref="E2260"/>
    <hyperlink r:id="rId4494" ref="E2261"/>
    <hyperlink r:id="rId4495" ref="E2262"/>
    <hyperlink r:id="rId4496" ref="E2263"/>
    <hyperlink r:id="rId4497" ref="E2264"/>
    <hyperlink r:id="rId4498" ref="E2265"/>
    <hyperlink r:id="rId4499" ref="E2266"/>
    <hyperlink r:id="rId4500" ref="E2267"/>
    <hyperlink r:id="rId4501" ref="E2268"/>
    <hyperlink r:id="rId4502" ref="E2269"/>
    <hyperlink r:id="rId4503" ref="E2270"/>
    <hyperlink r:id="rId4504" ref="E2271"/>
    <hyperlink r:id="rId4505" ref="E2272"/>
    <hyperlink r:id="rId4506" ref="E2273"/>
    <hyperlink r:id="rId4507" ref="E2274"/>
    <hyperlink r:id="rId4508" ref="E2275"/>
    <hyperlink r:id="rId4509" ref="E2276"/>
    <hyperlink r:id="rId4510" ref="E2277"/>
    <hyperlink r:id="rId4511" ref="E2278"/>
    <hyperlink r:id="rId4512" ref="E2279"/>
    <hyperlink r:id="rId4513" ref="E2280"/>
    <hyperlink r:id="rId4514" ref="E2281"/>
    <hyperlink r:id="rId4515" ref="E2282"/>
    <hyperlink r:id="rId4516" ref="E2283"/>
    <hyperlink r:id="rId4517" ref="E2284"/>
    <hyperlink r:id="rId4518" ref="E2285"/>
    <hyperlink r:id="rId4519" ref="E2286"/>
    <hyperlink r:id="rId4520" ref="E2287"/>
    <hyperlink r:id="rId4521" ref="E2288"/>
    <hyperlink r:id="rId4522" ref="E2289"/>
    <hyperlink r:id="rId4523" ref="E2290"/>
    <hyperlink r:id="rId4524" ref="E2291"/>
    <hyperlink r:id="rId4525" ref="E2292"/>
    <hyperlink r:id="rId4526" ref="E2293"/>
    <hyperlink r:id="rId4527" ref="E2294"/>
    <hyperlink r:id="rId4528" ref="E2295"/>
    <hyperlink r:id="rId4529" ref="E2296"/>
    <hyperlink r:id="rId4530" ref="E2297"/>
    <hyperlink r:id="rId4531" ref="E2298"/>
    <hyperlink r:id="rId4532" ref="E2299"/>
    <hyperlink r:id="rId4533" ref="E2300"/>
    <hyperlink r:id="rId4534" ref="E2301"/>
    <hyperlink r:id="rId4535" ref="E2302"/>
    <hyperlink r:id="rId4536" ref="E2303"/>
    <hyperlink r:id="rId4537" ref="E2304"/>
    <hyperlink r:id="rId4538" ref="E2305"/>
    <hyperlink r:id="rId4539" ref="E2306"/>
    <hyperlink r:id="rId4540" ref="E2307"/>
    <hyperlink r:id="rId4541" ref="E2308"/>
    <hyperlink r:id="rId4542" ref="E2309"/>
    <hyperlink r:id="rId4543" ref="E2310"/>
    <hyperlink r:id="rId4544" ref="E2311"/>
    <hyperlink r:id="rId4545" ref="E2312"/>
    <hyperlink r:id="rId4546" ref="E2313"/>
    <hyperlink r:id="rId4547" ref="E2314"/>
    <hyperlink r:id="rId4548" ref="E2315"/>
    <hyperlink r:id="rId4549" ref="E2316"/>
    <hyperlink r:id="rId4550" ref="E2317"/>
    <hyperlink r:id="rId4551" ref="E2318"/>
    <hyperlink r:id="rId4552" ref="E2319"/>
    <hyperlink r:id="rId4553" ref="E2320"/>
    <hyperlink r:id="rId4554" ref="E2321"/>
    <hyperlink r:id="rId4555" ref="E2322"/>
    <hyperlink r:id="rId4556" ref="E2323"/>
    <hyperlink r:id="rId4557" ref="E2324"/>
    <hyperlink r:id="rId4558" ref="E2325"/>
    <hyperlink r:id="rId4559" ref="E2326"/>
    <hyperlink r:id="rId4560" ref="E2327"/>
    <hyperlink r:id="rId4561" ref="E2328"/>
    <hyperlink r:id="rId4562" ref="E2329"/>
    <hyperlink r:id="rId4563" ref="E2330"/>
    <hyperlink r:id="rId4564" ref="E2331"/>
    <hyperlink r:id="rId4565" ref="E2332"/>
    <hyperlink r:id="rId4566" ref="E2333"/>
    <hyperlink r:id="rId4567" ref="E2334"/>
    <hyperlink r:id="rId4568" ref="E2335"/>
    <hyperlink r:id="rId4569" ref="E2336"/>
    <hyperlink r:id="rId4570" ref="E2337"/>
    <hyperlink r:id="rId4571" ref="E2338"/>
    <hyperlink r:id="rId4572" ref="E2339"/>
    <hyperlink r:id="rId4573" ref="E2340"/>
    <hyperlink r:id="rId4574" ref="E2341"/>
    <hyperlink r:id="rId4575" ref="E2342"/>
    <hyperlink r:id="rId4576" ref="E2343"/>
    <hyperlink r:id="rId4577" ref="E2344"/>
    <hyperlink r:id="rId4578" ref="E2345"/>
    <hyperlink r:id="rId4579" ref="E2346"/>
    <hyperlink r:id="rId4580" ref="E2347"/>
    <hyperlink r:id="rId4581" ref="E2348"/>
    <hyperlink r:id="rId4582" ref="E2349"/>
    <hyperlink r:id="rId4583" ref="E2350"/>
    <hyperlink r:id="rId4584" ref="E2351"/>
    <hyperlink r:id="rId4585" ref="E2352"/>
    <hyperlink r:id="rId4586" ref="E2353"/>
    <hyperlink r:id="rId4587" ref="E2354"/>
    <hyperlink r:id="rId4588" ref="E2355"/>
    <hyperlink r:id="rId4589" ref="E2356"/>
    <hyperlink r:id="rId4590" ref="E2357"/>
    <hyperlink r:id="rId4591" ref="E2358"/>
    <hyperlink r:id="rId4592" ref="E2359"/>
    <hyperlink r:id="rId4593" ref="E2360"/>
    <hyperlink r:id="rId4594" ref="E2361"/>
    <hyperlink r:id="rId4595" ref="E2362"/>
    <hyperlink r:id="rId4596" ref="E2363"/>
    <hyperlink r:id="rId4597" ref="E2364"/>
    <hyperlink r:id="rId4598" ref="E2365"/>
    <hyperlink r:id="rId4599" ref="E2366"/>
    <hyperlink r:id="rId4600" ref="E2367"/>
    <hyperlink r:id="rId4601" ref="E2368"/>
    <hyperlink r:id="rId4602" ref="E2369"/>
    <hyperlink r:id="rId4603" ref="E2370"/>
    <hyperlink r:id="rId4604" ref="E2371"/>
    <hyperlink r:id="rId4605" ref="E2372"/>
    <hyperlink r:id="rId4606" ref="E2373"/>
    <hyperlink r:id="rId4607" ref="E2374"/>
    <hyperlink r:id="rId4608" ref="E2375"/>
    <hyperlink r:id="rId4609" ref="E2376"/>
    <hyperlink r:id="rId4610" ref="E2377"/>
    <hyperlink r:id="rId4611" ref="E2378"/>
    <hyperlink r:id="rId4612" ref="E2379"/>
    <hyperlink r:id="rId4613" ref="E2380"/>
    <hyperlink r:id="rId4614" ref="E2381"/>
    <hyperlink r:id="rId4615" ref="E2382"/>
    <hyperlink r:id="rId4616" ref="E2383"/>
    <hyperlink r:id="rId4617" ref="E2384"/>
    <hyperlink r:id="rId4618" ref="E2385"/>
    <hyperlink r:id="rId4619" ref="E2386"/>
    <hyperlink r:id="rId4620" ref="E2387"/>
    <hyperlink r:id="rId4621" ref="E2388"/>
    <hyperlink r:id="rId4622" ref="E2389"/>
    <hyperlink r:id="rId4623" ref="E2390"/>
    <hyperlink r:id="rId4624" ref="E2391"/>
    <hyperlink r:id="rId4625" ref="E2392"/>
    <hyperlink r:id="rId4626" ref="E2393"/>
    <hyperlink r:id="rId4627" ref="E2394"/>
    <hyperlink r:id="rId4628" ref="E2395"/>
    <hyperlink r:id="rId4629" ref="E2396"/>
    <hyperlink r:id="rId4630" ref="E2397"/>
    <hyperlink r:id="rId4631" ref="E2398"/>
    <hyperlink r:id="rId4632" ref="E2399"/>
    <hyperlink r:id="rId4633" ref="E2400"/>
    <hyperlink r:id="rId4634" ref="E2401"/>
    <hyperlink r:id="rId4635" ref="E2402"/>
    <hyperlink r:id="rId4636" ref="E2403"/>
    <hyperlink r:id="rId4637" ref="E2404"/>
    <hyperlink r:id="rId4638" ref="E2405"/>
    <hyperlink r:id="rId4639" ref="E2406"/>
    <hyperlink r:id="rId4640" ref="E2407"/>
    <hyperlink r:id="rId4641" ref="E2408"/>
    <hyperlink r:id="rId4642" ref="E2409"/>
    <hyperlink r:id="rId4643" ref="E2410"/>
    <hyperlink r:id="rId4644" ref="E2411"/>
    <hyperlink r:id="rId4645" ref="E2412"/>
    <hyperlink r:id="rId4646" ref="E2413"/>
    <hyperlink r:id="rId4647" ref="E2414"/>
    <hyperlink r:id="rId4648" ref="E2415"/>
    <hyperlink r:id="rId4649" ref="E2416"/>
    <hyperlink r:id="rId4650" ref="E2417"/>
    <hyperlink r:id="rId4651" ref="E2418"/>
    <hyperlink r:id="rId4652" ref="E2419"/>
    <hyperlink r:id="rId4653" ref="E2420"/>
    <hyperlink r:id="rId4654" ref="E2421"/>
    <hyperlink r:id="rId4655" ref="E2422"/>
    <hyperlink r:id="rId4656" ref="E2423"/>
    <hyperlink r:id="rId4657" ref="E2424"/>
    <hyperlink r:id="rId4658" ref="E2425"/>
    <hyperlink r:id="rId4659" ref="E2426"/>
    <hyperlink r:id="rId4660" ref="E2427"/>
    <hyperlink r:id="rId4661" ref="E2428"/>
    <hyperlink r:id="rId4662" ref="E2429"/>
    <hyperlink r:id="rId4663" ref="E2430"/>
    <hyperlink r:id="rId4664" ref="E2431"/>
    <hyperlink r:id="rId4665" ref="E2432"/>
    <hyperlink r:id="rId4666" ref="E2433"/>
    <hyperlink r:id="rId4667" ref="E2434"/>
    <hyperlink r:id="rId4668" ref="E2435"/>
    <hyperlink r:id="rId4669" ref="E2436"/>
    <hyperlink r:id="rId4670" ref="E2437"/>
    <hyperlink r:id="rId4671" ref="E2438"/>
    <hyperlink r:id="rId4672" ref="E2439"/>
    <hyperlink r:id="rId4673" ref="E2440"/>
    <hyperlink r:id="rId4674" ref="E2441"/>
    <hyperlink r:id="rId4675" ref="E2442"/>
    <hyperlink r:id="rId4676" ref="E2443"/>
    <hyperlink r:id="rId4677" ref="E2444"/>
    <hyperlink r:id="rId4678" ref="E2445"/>
    <hyperlink r:id="rId4679" ref="E2446"/>
    <hyperlink r:id="rId4680" ref="E2447"/>
    <hyperlink r:id="rId4681" ref="E2448"/>
    <hyperlink r:id="rId4682" ref="E2449"/>
    <hyperlink r:id="rId4683" ref="E2450"/>
    <hyperlink r:id="rId4684" ref="E2451"/>
    <hyperlink r:id="rId4685" ref="E2452"/>
    <hyperlink r:id="rId4686" ref="E2453"/>
    <hyperlink r:id="rId4687" ref="E2454"/>
    <hyperlink r:id="rId4688" ref="E2455"/>
    <hyperlink r:id="rId4689" ref="E2456"/>
    <hyperlink r:id="rId4690" ref="E2457"/>
    <hyperlink r:id="rId4691" ref="E2458"/>
    <hyperlink r:id="rId4692" ref="E2459"/>
    <hyperlink r:id="rId4693" ref="E2460"/>
    <hyperlink r:id="rId4694" ref="E2461"/>
    <hyperlink r:id="rId4695" ref="E2462"/>
    <hyperlink r:id="rId4696" ref="E2463"/>
    <hyperlink r:id="rId4697" ref="E2464"/>
    <hyperlink r:id="rId4698" ref="E2465"/>
    <hyperlink r:id="rId4699" ref="E2466"/>
    <hyperlink r:id="rId4700" ref="E2467"/>
    <hyperlink r:id="rId4701" ref="E2468"/>
    <hyperlink r:id="rId4702" ref="E2469"/>
    <hyperlink r:id="rId4703" ref="E2470"/>
    <hyperlink r:id="rId4704" ref="E2471"/>
    <hyperlink r:id="rId4705" ref="E2472"/>
    <hyperlink r:id="rId4706" ref="E2473"/>
    <hyperlink r:id="rId4707" ref="E2474"/>
    <hyperlink r:id="rId4708" ref="E2475"/>
    <hyperlink r:id="rId4709" ref="E2476"/>
    <hyperlink r:id="rId4710" ref="E2477"/>
    <hyperlink r:id="rId4711" ref="E2478"/>
    <hyperlink r:id="rId4712" ref="E2479"/>
    <hyperlink r:id="rId4713" ref="E2480"/>
    <hyperlink r:id="rId4714" ref="E2481"/>
    <hyperlink r:id="rId4715" ref="E2482"/>
    <hyperlink r:id="rId4716" ref="E2483"/>
    <hyperlink r:id="rId4717" ref="E2484"/>
    <hyperlink r:id="rId4718" ref="E2485"/>
    <hyperlink r:id="rId4719" ref="E2486"/>
    <hyperlink r:id="rId4720" ref="E2487"/>
    <hyperlink r:id="rId4721" ref="E2488"/>
    <hyperlink r:id="rId4722" ref="E2489"/>
    <hyperlink r:id="rId4723" ref="E2490"/>
    <hyperlink r:id="rId4724" ref="E2491"/>
    <hyperlink r:id="rId4725" ref="E2492"/>
    <hyperlink r:id="rId4726" ref="E2493"/>
    <hyperlink r:id="rId4727" ref="E2494"/>
    <hyperlink r:id="rId4728" ref="E2495"/>
    <hyperlink r:id="rId4729" ref="E2496"/>
    <hyperlink r:id="rId4730" ref="E2497"/>
    <hyperlink r:id="rId4731" ref="E2498"/>
    <hyperlink r:id="rId4732" ref="E2499"/>
    <hyperlink r:id="rId4733" ref="E2500"/>
    <hyperlink r:id="rId4734" ref="E2501"/>
  </hyperlinks>
  <drawing r:id="rId47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</cols>
  <sheetData>
    <row r="1">
      <c r="A1" s="3" t="s">
        <v>3</v>
      </c>
    </row>
    <row r="2">
      <c r="A2" s="6" t="s">
        <v>12124</v>
      </c>
    </row>
    <row r="3">
      <c r="A3" s="8" t="s">
        <v>12125</v>
      </c>
    </row>
    <row r="4">
      <c r="A4" s="8" t="s">
        <v>12126</v>
      </c>
    </row>
    <row r="5">
      <c r="A5" s="8" t="s">
        <v>12127</v>
      </c>
    </row>
    <row r="6">
      <c r="A6" s="8" t="s">
        <v>12128</v>
      </c>
    </row>
    <row r="7">
      <c r="A7" s="8" t="s">
        <v>12129</v>
      </c>
    </row>
    <row r="8">
      <c r="A8" s="8" t="s">
        <v>12130</v>
      </c>
    </row>
    <row r="9">
      <c r="A9" s="8" t="s">
        <v>12131</v>
      </c>
    </row>
    <row r="10">
      <c r="A10" s="8" t="s">
        <v>12132</v>
      </c>
    </row>
    <row r="11">
      <c r="A11" s="8" t="s">
        <v>12133</v>
      </c>
    </row>
    <row r="12">
      <c r="A12" s="8" t="s">
        <v>12134</v>
      </c>
    </row>
    <row r="13">
      <c r="A13" s="8" t="s">
        <v>12135</v>
      </c>
    </row>
    <row r="14">
      <c r="A14" s="8" t="s">
        <v>12136</v>
      </c>
    </row>
    <row r="15">
      <c r="A15" s="6" t="s">
        <v>12137</v>
      </c>
    </row>
    <row r="16">
      <c r="A16" s="8" t="s">
        <v>12138</v>
      </c>
    </row>
    <row r="17">
      <c r="A17" s="8" t="s">
        <v>12139</v>
      </c>
    </row>
    <row r="18">
      <c r="A18" s="8" t="s">
        <v>12140</v>
      </c>
    </row>
    <row r="19">
      <c r="A19" s="8" t="s">
        <v>12141</v>
      </c>
    </row>
    <row r="20">
      <c r="A20" s="8" t="s">
        <v>12142</v>
      </c>
    </row>
    <row r="21">
      <c r="A21" s="8" t="s">
        <v>12143</v>
      </c>
    </row>
    <row r="22">
      <c r="A22" s="8" t="s">
        <v>12144</v>
      </c>
    </row>
    <row r="23">
      <c r="A23" s="8" t="s">
        <v>12145</v>
      </c>
    </row>
    <row r="24">
      <c r="A24" s="8" t="s">
        <v>12146</v>
      </c>
    </row>
    <row r="25">
      <c r="A25" s="8" t="s">
        <v>12147</v>
      </c>
    </row>
    <row r="26">
      <c r="A26" s="8" t="s">
        <v>12148</v>
      </c>
    </row>
    <row r="27">
      <c r="A27" s="8" t="s">
        <v>12149</v>
      </c>
    </row>
    <row r="28">
      <c r="A28" s="8" t="s">
        <v>12150</v>
      </c>
    </row>
    <row r="29">
      <c r="A29" s="8" t="s">
        <v>12151</v>
      </c>
    </row>
    <row r="30">
      <c r="A30" s="8" t="s">
        <v>12152</v>
      </c>
    </row>
    <row r="31">
      <c r="A31" s="8" t="s">
        <v>12153</v>
      </c>
    </row>
    <row r="32">
      <c r="A32" s="8" t="s">
        <v>12154</v>
      </c>
    </row>
    <row r="33">
      <c r="A33" s="8" t="s">
        <v>12155</v>
      </c>
    </row>
    <row r="34">
      <c r="A34" s="8" t="s">
        <v>12156</v>
      </c>
    </row>
    <row r="35">
      <c r="A35" s="8" t="s">
        <v>12157</v>
      </c>
    </row>
    <row r="36">
      <c r="A36" s="8" t="s">
        <v>12158</v>
      </c>
    </row>
    <row r="37">
      <c r="A37" s="8" t="s">
        <v>12159</v>
      </c>
    </row>
    <row r="38">
      <c r="A38" s="8" t="s">
        <v>12160</v>
      </c>
    </row>
    <row r="39">
      <c r="A39" s="8" t="s">
        <v>12161</v>
      </c>
    </row>
    <row r="40">
      <c r="A40" s="8" t="s">
        <v>12162</v>
      </c>
    </row>
    <row r="41">
      <c r="A41" s="8" t="s">
        <v>12163</v>
      </c>
    </row>
    <row r="42">
      <c r="A42" s="8" t="s">
        <v>12164</v>
      </c>
    </row>
    <row r="43">
      <c r="A43" s="8" t="s">
        <v>12165</v>
      </c>
    </row>
    <row r="44">
      <c r="A44" s="8" t="s">
        <v>12166</v>
      </c>
    </row>
    <row r="45">
      <c r="A45" s="8" t="s">
        <v>12167</v>
      </c>
    </row>
    <row r="46">
      <c r="A46" s="8" t="s">
        <v>12168</v>
      </c>
    </row>
    <row r="47">
      <c r="A47" s="8" t="s">
        <v>12169</v>
      </c>
    </row>
    <row r="48">
      <c r="A48" s="8" t="s">
        <v>12170</v>
      </c>
    </row>
    <row r="49">
      <c r="A49" s="8" t="s">
        <v>12171</v>
      </c>
    </row>
    <row r="50">
      <c r="A50" s="8" t="s">
        <v>12172</v>
      </c>
    </row>
    <row r="51">
      <c r="A51" s="8" t="s">
        <v>12173</v>
      </c>
    </row>
    <row r="52">
      <c r="A52" s="8" t="s">
        <v>12174</v>
      </c>
    </row>
    <row r="53">
      <c r="A53" s="8" t="s">
        <v>12175</v>
      </c>
    </row>
    <row r="54">
      <c r="A54" s="8" t="s">
        <v>12176</v>
      </c>
    </row>
    <row r="55">
      <c r="A55" s="8" t="s">
        <v>12177</v>
      </c>
    </row>
    <row r="56">
      <c r="A56" s="8" t="s">
        <v>12178</v>
      </c>
    </row>
    <row r="57">
      <c r="A57" s="8" t="s">
        <v>12179</v>
      </c>
    </row>
    <row r="58">
      <c r="A58" s="8" t="s">
        <v>12180</v>
      </c>
    </row>
    <row r="59">
      <c r="A59" s="8" t="s">
        <v>12181</v>
      </c>
    </row>
    <row r="60">
      <c r="A60" s="8" t="s">
        <v>12182</v>
      </c>
    </row>
    <row r="61">
      <c r="A61" s="8" t="s">
        <v>12183</v>
      </c>
    </row>
    <row r="62">
      <c r="A62" s="8" t="s">
        <v>12184</v>
      </c>
    </row>
    <row r="63">
      <c r="A63" s="8" t="s">
        <v>12185</v>
      </c>
    </row>
    <row r="64">
      <c r="A64" s="8" t="s">
        <v>12186</v>
      </c>
    </row>
    <row r="65">
      <c r="A65" s="8" t="s">
        <v>12187</v>
      </c>
    </row>
    <row r="66">
      <c r="A66" s="8" t="s">
        <v>12188</v>
      </c>
    </row>
    <row r="67">
      <c r="A67" s="8" t="s">
        <v>12189</v>
      </c>
    </row>
    <row r="68">
      <c r="A68" s="8" t="s">
        <v>12190</v>
      </c>
    </row>
    <row r="69">
      <c r="A69" s="8" t="s">
        <v>12191</v>
      </c>
    </row>
    <row r="70">
      <c r="A70" s="8" t="s">
        <v>12192</v>
      </c>
    </row>
    <row r="71">
      <c r="A71" s="8" t="s">
        <v>12193</v>
      </c>
    </row>
    <row r="72">
      <c r="A72" s="8" t="s">
        <v>12194</v>
      </c>
    </row>
    <row r="73">
      <c r="A73" s="8" t="s">
        <v>12195</v>
      </c>
    </row>
    <row r="74">
      <c r="A74" s="8" t="s">
        <v>12196</v>
      </c>
    </row>
    <row r="75">
      <c r="A75" s="8" t="s">
        <v>12197</v>
      </c>
    </row>
    <row r="76">
      <c r="A76" s="8" t="s">
        <v>12198</v>
      </c>
    </row>
    <row r="77">
      <c r="A77" s="8" t="s">
        <v>12199</v>
      </c>
    </row>
    <row r="78">
      <c r="A78" s="8" t="s">
        <v>12200</v>
      </c>
    </row>
    <row r="79">
      <c r="A79" s="8" t="s">
        <v>12201</v>
      </c>
    </row>
    <row r="80">
      <c r="A80" s="8" t="s">
        <v>12202</v>
      </c>
    </row>
    <row r="81">
      <c r="A81" s="8" t="s">
        <v>12203</v>
      </c>
    </row>
    <row r="82">
      <c r="A82" s="8" t="s">
        <v>12204</v>
      </c>
    </row>
    <row r="83">
      <c r="A83" s="8" t="s">
        <v>12205</v>
      </c>
    </row>
    <row r="84">
      <c r="A84" s="8" t="s">
        <v>12206</v>
      </c>
    </row>
    <row r="85">
      <c r="A85" s="8" t="s">
        <v>12207</v>
      </c>
    </row>
    <row r="86">
      <c r="A86" s="8" t="s">
        <v>12208</v>
      </c>
    </row>
    <row r="87">
      <c r="A87" s="8" t="s">
        <v>12209</v>
      </c>
    </row>
    <row r="88">
      <c r="A88" s="8" t="s">
        <v>12210</v>
      </c>
    </row>
    <row r="89">
      <c r="A89" s="8" t="s">
        <v>12211</v>
      </c>
    </row>
    <row r="90">
      <c r="A90" s="8" t="s">
        <v>12212</v>
      </c>
    </row>
    <row r="91">
      <c r="A91" s="8" t="s">
        <v>12213</v>
      </c>
    </row>
    <row r="92">
      <c r="A92" s="8" t="s">
        <v>12214</v>
      </c>
    </row>
    <row r="93">
      <c r="A93" s="8" t="s">
        <v>12215</v>
      </c>
    </row>
    <row r="94">
      <c r="A94" s="8" t="s">
        <v>12216</v>
      </c>
    </row>
    <row r="95">
      <c r="A95" s="8" t="s">
        <v>12217</v>
      </c>
    </row>
    <row r="96">
      <c r="A96" s="8" t="s">
        <v>12218</v>
      </c>
    </row>
    <row r="97">
      <c r="A97" s="8" t="s">
        <v>12219</v>
      </c>
    </row>
    <row r="98">
      <c r="A98" s="8" t="s">
        <v>12220</v>
      </c>
    </row>
    <row r="99">
      <c r="A99" s="8" t="s">
        <v>12221</v>
      </c>
    </row>
    <row r="100">
      <c r="A100" s="8" t="s">
        <v>12222</v>
      </c>
    </row>
    <row r="101">
      <c r="A101" s="8" t="s">
        <v>12223</v>
      </c>
    </row>
    <row r="102">
      <c r="A102" s="8" t="s">
        <v>12224</v>
      </c>
    </row>
    <row r="103">
      <c r="A103" s="8" t="s">
        <v>12225</v>
      </c>
    </row>
    <row r="104">
      <c r="A104" s="8" t="s">
        <v>12226</v>
      </c>
    </row>
    <row r="105">
      <c r="A105" s="8" t="s">
        <v>12227</v>
      </c>
    </row>
    <row r="106">
      <c r="A106" s="8" t="s">
        <v>12228</v>
      </c>
    </row>
    <row r="107">
      <c r="A107" s="8" t="s">
        <v>12229</v>
      </c>
    </row>
    <row r="108">
      <c r="A108" s="8" t="s">
        <v>12230</v>
      </c>
    </row>
    <row r="109">
      <c r="A109" s="8" t="s">
        <v>12231</v>
      </c>
    </row>
    <row r="110">
      <c r="A110" s="8" t="s">
        <v>12232</v>
      </c>
    </row>
    <row r="111">
      <c r="A111" s="8" t="s">
        <v>12233</v>
      </c>
    </row>
    <row r="112">
      <c r="A112" s="8" t="s">
        <v>12234</v>
      </c>
    </row>
    <row r="113">
      <c r="A113" s="8" t="s">
        <v>12235</v>
      </c>
    </row>
    <row r="114">
      <c r="A114" s="8" t="s">
        <v>12236</v>
      </c>
    </row>
    <row r="115">
      <c r="A115" s="8" t="s">
        <v>12237</v>
      </c>
    </row>
    <row r="116">
      <c r="A116" s="8" t="s">
        <v>12238</v>
      </c>
    </row>
    <row r="117">
      <c r="A117" s="8" t="s">
        <v>12239</v>
      </c>
    </row>
    <row r="118">
      <c r="A118" s="8" t="s">
        <v>12240</v>
      </c>
    </row>
    <row r="119">
      <c r="A119" s="8" t="s">
        <v>12241</v>
      </c>
    </row>
    <row r="120">
      <c r="A120" s="8" t="s">
        <v>12242</v>
      </c>
    </row>
    <row r="121">
      <c r="A121" s="8" t="s">
        <v>12243</v>
      </c>
    </row>
    <row r="122">
      <c r="A122" s="8" t="s">
        <v>12244</v>
      </c>
    </row>
    <row r="123">
      <c r="A123" s="8" t="s">
        <v>12245</v>
      </c>
    </row>
    <row r="124">
      <c r="A124" s="8" t="s">
        <v>12246</v>
      </c>
    </row>
    <row r="125">
      <c r="A125" s="8" t="s">
        <v>12247</v>
      </c>
    </row>
    <row r="126">
      <c r="A126" s="8" t="s">
        <v>12248</v>
      </c>
    </row>
    <row r="127">
      <c r="A127" s="8" t="s">
        <v>12249</v>
      </c>
    </row>
    <row r="128">
      <c r="A128" s="8" t="s">
        <v>12250</v>
      </c>
    </row>
    <row r="129">
      <c r="A129" s="8" t="s">
        <v>12251</v>
      </c>
    </row>
    <row r="130">
      <c r="A130" s="8" t="s">
        <v>12252</v>
      </c>
    </row>
    <row r="131">
      <c r="A131" s="8" t="s">
        <v>12253</v>
      </c>
    </row>
    <row r="132">
      <c r="A132" s="8" t="s">
        <v>12254</v>
      </c>
    </row>
    <row r="133">
      <c r="A133" s="8" t="s">
        <v>12255</v>
      </c>
    </row>
    <row r="134">
      <c r="A134" s="8" t="s">
        <v>12256</v>
      </c>
    </row>
    <row r="135">
      <c r="A135" s="8" t="s">
        <v>12257</v>
      </c>
    </row>
    <row r="136">
      <c r="A136" s="8" t="s">
        <v>12258</v>
      </c>
    </row>
    <row r="137">
      <c r="A137" s="8" t="s">
        <v>12259</v>
      </c>
    </row>
    <row r="138">
      <c r="A138" s="8" t="s">
        <v>12260</v>
      </c>
    </row>
    <row r="139">
      <c r="A139" s="8" t="s">
        <v>12261</v>
      </c>
    </row>
    <row r="140">
      <c r="A140" s="8" t="s">
        <v>12262</v>
      </c>
    </row>
    <row r="141">
      <c r="A141" s="8" t="s">
        <v>12263</v>
      </c>
    </row>
    <row r="142">
      <c r="A142" s="8" t="s">
        <v>12264</v>
      </c>
    </row>
    <row r="143">
      <c r="A143" s="8" t="s">
        <v>12265</v>
      </c>
    </row>
    <row r="144">
      <c r="A144" s="8" t="s">
        <v>12266</v>
      </c>
    </row>
    <row r="145">
      <c r="A145" s="8" t="s">
        <v>12267</v>
      </c>
    </row>
    <row r="146">
      <c r="A146" s="8" t="s">
        <v>12268</v>
      </c>
    </row>
    <row r="147">
      <c r="A147" s="8" t="s">
        <v>12269</v>
      </c>
    </row>
    <row r="148">
      <c r="A148" s="8" t="s">
        <v>12270</v>
      </c>
    </row>
    <row r="149">
      <c r="A149" s="8" t="s">
        <v>12271</v>
      </c>
    </row>
    <row r="150">
      <c r="A150" s="8" t="s">
        <v>12272</v>
      </c>
    </row>
    <row r="151">
      <c r="A151" s="8" t="s">
        <v>12273</v>
      </c>
    </row>
    <row r="152">
      <c r="A152" s="8" t="s">
        <v>12274</v>
      </c>
    </row>
    <row r="153">
      <c r="A153" s="8" t="s">
        <v>12275</v>
      </c>
    </row>
    <row r="154">
      <c r="A154" s="8" t="s">
        <v>12276</v>
      </c>
    </row>
    <row r="155">
      <c r="A155" s="8" t="s">
        <v>12277</v>
      </c>
    </row>
    <row r="156">
      <c r="A156" s="8" t="s">
        <v>12278</v>
      </c>
    </row>
    <row r="157">
      <c r="A157" s="8" t="s">
        <v>12279</v>
      </c>
    </row>
    <row r="158">
      <c r="A158" s="8" t="s">
        <v>12280</v>
      </c>
    </row>
    <row r="159">
      <c r="A159" s="8" t="s">
        <v>12281</v>
      </c>
    </row>
    <row r="160">
      <c r="A160" s="8" t="s">
        <v>12282</v>
      </c>
    </row>
    <row r="161">
      <c r="A161" s="8" t="s">
        <v>12283</v>
      </c>
    </row>
    <row r="162">
      <c r="A162" s="8" t="s">
        <v>12284</v>
      </c>
    </row>
    <row r="163">
      <c r="A163" s="8" t="s">
        <v>12285</v>
      </c>
    </row>
    <row r="164">
      <c r="A164" s="8" t="s">
        <v>12286</v>
      </c>
    </row>
    <row r="165">
      <c r="A165" s="8" t="s">
        <v>12287</v>
      </c>
    </row>
    <row r="166">
      <c r="A166" s="8" t="s">
        <v>12288</v>
      </c>
    </row>
    <row r="167">
      <c r="A167" s="8" t="s">
        <v>12289</v>
      </c>
    </row>
    <row r="168">
      <c r="A168" s="8" t="s">
        <v>12290</v>
      </c>
    </row>
    <row r="169">
      <c r="A169" s="8" t="s">
        <v>12291</v>
      </c>
    </row>
    <row r="170">
      <c r="A170" s="8" t="s">
        <v>12292</v>
      </c>
    </row>
    <row r="171">
      <c r="A171" s="8" t="s">
        <v>12293</v>
      </c>
    </row>
    <row r="172">
      <c r="A172" s="8" t="s">
        <v>12294</v>
      </c>
    </row>
    <row r="173">
      <c r="A173" s="8" t="s">
        <v>12295</v>
      </c>
    </row>
    <row r="174">
      <c r="A174" s="8" t="s">
        <v>12296</v>
      </c>
    </row>
    <row r="175">
      <c r="A175" s="8" t="s">
        <v>12297</v>
      </c>
    </row>
    <row r="176">
      <c r="A176" s="8" t="s">
        <v>12298</v>
      </c>
    </row>
    <row r="177">
      <c r="A177" s="8" t="s">
        <v>12299</v>
      </c>
    </row>
    <row r="178">
      <c r="A178" s="8" t="s">
        <v>12300</v>
      </c>
    </row>
    <row r="179">
      <c r="A179" s="8" t="s">
        <v>12301</v>
      </c>
    </row>
    <row r="180">
      <c r="A180" s="8" t="s">
        <v>12302</v>
      </c>
    </row>
    <row r="181">
      <c r="A181" s="8" t="s">
        <v>12303</v>
      </c>
    </row>
    <row r="182">
      <c r="A182" s="8" t="s">
        <v>12304</v>
      </c>
    </row>
    <row r="183">
      <c r="A183" s="8" t="s">
        <v>12305</v>
      </c>
    </row>
    <row r="184">
      <c r="A184" s="8" t="s">
        <v>12306</v>
      </c>
    </row>
    <row r="185">
      <c r="A185" s="8" t="s">
        <v>12307</v>
      </c>
    </row>
    <row r="186">
      <c r="A186" s="8" t="s">
        <v>12308</v>
      </c>
    </row>
    <row r="187">
      <c r="A187" s="8" t="s">
        <v>12309</v>
      </c>
    </row>
    <row r="188">
      <c r="A188" s="8" t="s">
        <v>12310</v>
      </c>
    </row>
    <row r="189">
      <c r="A189" s="8" t="s">
        <v>12311</v>
      </c>
    </row>
    <row r="190">
      <c r="A190" s="8" t="s">
        <v>12312</v>
      </c>
    </row>
    <row r="191">
      <c r="A191" s="8" t="s">
        <v>12313</v>
      </c>
    </row>
    <row r="192">
      <c r="A192" s="8" t="s">
        <v>12314</v>
      </c>
    </row>
    <row r="193">
      <c r="A193" s="8" t="s">
        <v>12315</v>
      </c>
    </row>
    <row r="194">
      <c r="A194" s="8" t="s">
        <v>12316</v>
      </c>
    </row>
    <row r="195">
      <c r="A195" s="8" t="s">
        <v>12317</v>
      </c>
    </row>
    <row r="196">
      <c r="A196" s="8" t="s">
        <v>12318</v>
      </c>
    </row>
    <row r="197">
      <c r="A197" s="8" t="s">
        <v>12319</v>
      </c>
    </row>
    <row r="198">
      <c r="A198" s="8" t="s">
        <v>12320</v>
      </c>
    </row>
    <row r="199">
      <c r="A199" s="8" t="s">
        <v>12321</v>
      </c>
    </row>
    <row r="200">
      <c r="A200" s="8" t="s">
        <v>12322</v>
      </c>
    </row>
    <row r="201">
      <c r="A201" s="8" t="s">
        <v>12323</v>
      </c>
    </row>
    <row r="202">
      <c r="A202" s="8" t="s">
        <v>12324</v>
      </c>
    </row>
    <row r="203">
      <c r="A203" s="8" t="s">
        <v>12325</v>
      </c>
    </row>
    <row r="204">
      <c r="A204" s="8" t="s">
        <v>12326</v>
      </c>
    </row>
    <row r="205">
      <c r="A205" s="8" t="s">
        <v>12327</v>
      </c>
    </row>
    <row r="206">
      <c r="A206" s="8" t="s">
        <v>12328</v>
      </c>
    </row>
    <row r="207">
      <c r="A207" s="8" t="s">
        <v>12329</v>
      </c>
    </row>
    <row r="208">
      <c r="A208" s="8" t="s">
        <v>12330</v>
      </c>
    </row>
    <row r="209">
      <c r="A209" s="8" t="s">
        <v>12331</v>
      </c>
    </row>
    <row r="210">
      <c r="A210" s="8" t="s">
        <v>12332</v>
      </c>
    </row>
    <row r="211">
      <c r="A211" s="8" t="s">
        <v>12333</v>
      </c>
    </row>
    <row r="212">
      <c r="A212" s="8" t="s">
        <v>12334</v>
      </c>
    </row>
    <row r="213">
      <c r="A213" s="8" t="s">
        <v>12335</v>
      </c>
    </row>
    <row r="214">
      <c r="A214" s="8" t="s">
        <v>12336</v>
      </c>
    </row>
    <row r="215">
      <c r="A215" s="8" t="s">
        <v>12337</v>
      </c>
    </row>
    <row r="216">
      <c r="A216" s="8" t="s">
        <v>12338</v>
      </c>
    </row>
    <row r="217">
      <c r="A217" s="8" t="s">
        <v>12339</v>
      </c>
    </row>
    <row r="218">
      <c r="A218" s="8" t="s">
        <v>12340</v>
      </c>
    </row>
    <row r="219">
      <c r="A219" s="8" t="s">
        <v>12341</v>
      </c>
    </row>
    <row r="220">
      <c r="A220" s="8" t="s">
        <v>12342</v>
      </c>
    </row>
    <row r="221">
      <c r="A221" s="8" t="s">
        <v>12343</v>
      </c>
    </row>
    <row r="222">
      <c r="A222" s="8" t="s">
        <v>12344</v>
      </c>
    </row>
    <row r="223">
      <c r="A223" s="8" t="s">
        <v>12345</v>
      </c>
    </row>
    <row r="224">
      <c r="A224" s="8" t="s">
        <v>12346</v>
      </c>
    </row>
    <row r="225">
      <c r="A225" s="8" t="s">
        <v>12347</v>
      </c>
    </row>
    <row r="226">
      <c r="A226" s="8" t="s">
        <v>12348</v>
      </c>
    </row>
    <row r="227">
      <c r="A227" s="8" t="s">
        <v>12349</v>
      </c>
    </row>
    <row r="228">
      <c r="A228" s="8" t="s">
        <v>12350</v>
      </c>
    </row>
    <row r="229">
      <c r="A229" s="8" t="s">
        <v>12351</v>
      </c>
    </row>
    <row r="230">
      <c r="A230" s="8" t="s">
        <v>12352</v>
      </c>
    </row>
    <row r="231">
      <c r="A231" s="8" t="s">
        <v>12353</v>
      </c>
    </row>
    <row r="232">
      <c r="A232" s="8" t="s">
        <v>12354</v>
      </c>
    </row>
    <row r="233">
      <c r="A233" s="8" t="s">
        <v>12355</v>
      </c>
    </row>
    <row r="234">
      <c r="A234" s="8" t="s">
        <v>12356</v>
      </c>
    </row>
    <row r="235">
      <c r="A235" s="8" t="s">
        <v>12357</v>
      </c>
    </row>
    <row r="236">
      <c r="A236" s="8" t="s">
        <v>12358</v>
      </c>
    </row>
    <row r="237">
      <c r="A237" s="8" t="s">
        <v>12359</v>
      </c>
    </row>
    <row r="238">
      <c r="A238" s="8" t="s">
        <v>12360</v>
      </c>
    </row>
    <row r="239">
      <c r="A239" s="8" t="s">
        <v>12361</v>
      </c>
    </row>
    <row r="240">
      <c r="A240" s="8" t="s">
        <v>12362</v>
      </c>
    </row>
    <row r="241">
      <c r="A241" s="8" t="s">
        <v>12363</v>
      </c>
    </row>
    <row r="242">
      <c r="A242" s="8" t="s">
        <v>12364</v>
      </c>
    </row>
    <row r="243">
      <c r="A243" s="8" t="s">
        <v>12365</v>
      </c>
    </row>
    <row r="244">
      <c r="A244" s="8" t="s">
        <v>12366</v>
      </c>
    </row>
    <row r="245">
      <c r="A245" s="8" t="s">
        <v>12367</v>
      </c>
    </row>
    <row r="246">
      <c r="A246" s="8" t="s">
        <v>12368</v>
      </c>
    </row>
    <row r="247">
      <c r="A247" s="8" t="s">
        <v>12369</v>
      </c>
    </row>
    <row r="248">
      <c r="A248" s="8" t="s">
        <v>12370</v>
      </c>
    </row>
    <row r="249">
      <c r="A249" s="8" t="s">
        <v>12371</v>
      </c>
    </row>
    <row r="250">
      <c r="A250" s="8" t="s">
        <v>12372</v>
      </c>
    </row>
    <row r="251">
      <c r="A251" s="8" t="s">
        <v>12373</v>
      </c>
    </row>
    <row r="252">
      <c r="A252" s="8" t="s">
        <v>12374</v>
      </c>
    </row>
    <row r="253">
      <c r="A253" s="8" t="s">
        <v>12375</v>
      </c>
    </row>
    <row r="254">
      <c r="A254" s="8" t="s">
        <v>12376</v>
      </c>
    </row>
    <row r="255">
      <c r="A255" s="8" t="s">
        <v>12377</v>
      </c>
    </row>
    <row r="256">
      <c r="A256" s="8" t="s">
        <v>12378</v>
      </c>
    </row>
    <row r="257">
      <c r="A257" s="8" t="s">
        <v>12379</v>
      </c>
    </row>
    <row r="258">
      <c r="A258" s="8" t="s">
        <v>12380</v>
      </c>
    </row>
    <row r="259">
      <c r="A259" s="8" t="s">
        <v>12381</v>
      </c>
    </row>
    <row r="260">
      <c r="A260" s="8" t="s">
        <v>12382</v>
      </c>
    </row>
    <row r="261">
      <c r="A261" s="8" t="s">
        <v>12383</v>
      </c>
    </row>
    <row r="262">
      <c r="A262" s="8" t="s">
        <v>12384</v>
      </c>
    </row>
    <row r="263">
      <c r="A263" s="8" t="s">
        <v>12385</v>
      </c>
    </row>
    <row r="264">
      <c r="A264" s="8" t="s">
        <v>12386</v>
      </c>
    </row>
    <row r="265">
      <c r="A265" s="8" t="s">
        <v>12387</v>
      </c>
    </row>
    <row r="266">
      <c r="A266" s="8" t="s">
        <v>12388</v>
      </c>
    </row>
    <row r="267">
      <c r="A267" s="8" t="s">
        <v>12389</v>
      </c>
    </row>
    <row r="268">
      <c r="A268" s="8" t="s">
        <v>12390</v>
      </c>
    </row>
    <row r="269">
      <c r="A269" s="8" t="s">
        <v>12391</v>
      </c>
    </row>
    <row r="270">
      <c r="A270" s="8" t="s">
        <v>12392</v>
      </c>
    </row>
    <row r="271">
      <c r="A271" s="8" t="s">
        <v>12393</v>
      </c>
    </row>
    <row r="272">
      <c r="A272" s="8" t="s">
        <v>12394</v>
      </c>
    </row>
    <row r="273">
      <c r="A273" s="8" t="s">
        <v>12395</v>
      </c>
    </row>
    <row r="274">
      <c r="A274" s="8" t="s">
        <v>12396</v>
      </c>
    </row>
    <row r="275">
      <c r="A275" s="8" t="s">
        <v>12397</v>
      </c>
    </row>
    <row r="276">
      <c r="A276" s="8" t="s">
        <v>12398</v>
      </c>
    </row>
    <row r="277">
      <c r="A277" s="8" t="s">
        <v>12399</v>
      </c>
    </row>
    <row r="278">
      <c r="A278" s="8" t="s">
        <v>12400</v>
      </c>
    </row>
    <row r="279">
      <c r="A279" s="8" t="s">
        <v>12401</v>
      </c>
    </row>
    <row r="280">
      <c r="A280" s="8" t="s">
        <v>12402</v>
      </c>
    </row>
    <row r="281">
      <c r="A281" s="8" t="s">
        <v>12403</v>
      </c>
    </row>
    <row r="282">
      <c r="A282" s="8" t="s">
        <v>12404</v>
      </c>
    </row>
    <row r="283">
      <c r="A283" s="8" t="s">
        <v>12405</v>
      </c>
    </row>
    <row r="284">
      <c r="A284" s="8" t="s">
        <v>12406</v>
      </c>
    </row>
    <row r="285">
      <c r="A285" s="8" t="s">
        <v>12407</v>
      </c>
    </row>
    <row r="286">
      <c r="A286" s="8" t="s">
        <v>12408</v>
      </c>
    </row>
    <row r="287">
      <c r="A287" s="8" t="s">
        <v>12409</v>
      </c>
    </row>
    <row r="288">
      <c r="A288" s="8" t="s">
        <v>12410</v>
      </c>
    </row>
    <row r="289">
      <c r="A289" s="8" t="s">
        <v>12411</v>
      </c>
    </row>
    <row r="290">
      <c r="A290" s="8" t="s">
        <v>12412</v>
      </c>
    </row>
    <row r="291">
      <c r="A291" s="8" t="s">
        <v>12413</v>
      </c>
    </row>
    <row r="292">
      <c r="A292" s="8" t="s">
        <v>12414</v>
      </c>
    </row>
    <row r="293">
      <c r="A293" s="8" t="s">
        <v>12415</v>
      </c>
    </row>
    <row r="294">
      <c r="A294" s="8" t="s">
        <v>12416</v>
      </c>
    </row>
    <row r="295">
      <c r="A295" s="8" t="s">
        <v>12417</v>
      </c>
    </row>
    <row r="296">
      <c r="A296" s="8" t="s">
        <v>12418</v>
      </c>
    </row>
    <row r="297">
      <c r="A297" s="8" t="s">
        <v>12419</v>
      </c>
    </row>
    <row r="298">
      <c r="A298" s="8" t="s">
        <v>12420</v>
      </c>
    </row>
    <row r="299">
      <c r="A299" s="8" t="s">
        <v>12421</v>
      </c>
    </row>
    <row r="300">
      <c r="A300" s="8" t="s">
        <v>12422</v>
      </c>
    </row>
    <row r="301">
      <c r="A301" s="8" t="s">
        <v>12423</v>
      </c>
    </row>
    <row r="302">
      <c r="A302" s="8" t="s">
        <v>12424</v>
      </c>
    </row>
    <row r="303">
      <c r="A303" s="8" t="s">
        <v>12425</v>
      </c>
    </row>
    <row r="304">
      <c r="A304" s="8" t="s">
        <v>12426</v>
      </c>
    </row>
    <row r="305">
      <c r="A305" s="8" t="s">
        <v>12427</v>
      </c>
    </row>
    <row r="306">
      <c r="A306" s="8" t="s">
        <v>12428</v>
      </c>
    </row>
    <row r="307">
      <c r="A307" s="8" t="s">
        <v>12429</v>
      </c>
    </row>
    <row r="308">
      <c r="A308" s="8" t="s">
        <v>12430</v>
      </c>
    </row>
    <row r="309">
      <c r="A309" s="8" t="s">
        <v>12431</v>
      </c>
    </row>
    <row r="310">
      <c r="A310" s="8" t="s">
        <v>12432</v>
      </c>
    </row>
    <row r="311">
      <c r="A311" s="8" t="s">
        <v>12433</v>
      </c>
    </row>
    <row r="312">
      <c r="A312" s="8" t="s">
        <v>12434</v>
      </c>
    </row>
    <row r="313">
      <c r="A313" s="8" t="s">
        <v>12435</v>
      </c>
    </row>
    <row r="314">
      <c r="A314" s="8" t="s">
        <v>12436</v>
      </c>
    </row>
    <row r="315">
      <c r="A315" s="8" t="s">
        <v>12437</v>
      </c>
    </row>
    <row r="316">
      <c r="A316" s="8" t="s">
        <v>12438</v>
      </c>
    </row>
    <row r="317">
      <c r="A317" s="8" t="s">
        <v>12439</v>
      </c>
    </row>
    <row r="318">
      <c r="A318" s="8" t="s">
        <v>12440</v>
      </c>
    </row>
    <row r="319">
      <c r="A319" s="8" t="s">
        <v>12441</v>
      </c>
    </row>
    <row r="320">
      <c r="A320" s="8" t="s">
        <v>12442</v>
      </c>
    </row>
    <row r="321">
      <c r="A321" s="8" t="s">
        <v>12443</v>
      </c>
    </row>
    <row r="322">
      <c r="A322" s="8" t="s">
        <v>12444</v>
      </c>
    </row>
    <row r="323">
      <c r="A323" s="8" t="s">
        <v>12445</v>
      </c>
    </row>
    <row r="324">
      <c r="A324" s="8" t="s">
        <v>12446</v>
      </c>
    </row>
    <row r="325">
      <c r="A325" s="8" t="s">
        <v>12447</v>
      </c>
    </row>
    <row r="326">
      <c r="A326" s="8" t="s">
        <v>12448</v>
      </c>
    </row>
    <row r="327">
      <c r="A327" s="8" t="s">
        <v>12449</v>
      </c>
    </row>
    <row r="328">
      <c r="A328" s="8" t="s">
        <v>12450</v>
      </c>
    </row>
    <row r="329">
      <c r="A329" s="8" t="s">
        <v>12451</v>
      </c>
    </row>
    <row r="330">
      <c r="A330" s="8" t="s">
        <v>12452</v>
      </c>
    </row>
    <row r="331">
      <c r="A331" s="8" t="s">
        <v>12453</v>
      </c>
    </row>
    <row r="332">
      <c r="A332" s="8" t="s">
        <v>12454</v>
      </c>
    </row>
    <row r="333">
      <c r="A333" s="8" t="s">
        <v>12455</v>
      </c>
    </row>
    <row r="334">
      <c r="A334" s="8" t="s">
        <v>12456</v>
      </c>
    </row>
    <row r="335">
      <c r="A335" s="8" t="s">
        <v>12457</v>
      </c>
    </row>
    <row r="336">
      <c r="A336" s="8" t="s">
        <v>12458</v>
      </c>
    </row>
    <row r="337">
      <c r="A337" s="8" t="s">
        <v>12459</v>
      </c>
    </row>
    <row r="338">
      <c r="A338" s="8" t="s">
        <v>12460</v>
      </c>
    </row>
    <row r="339">
      <c r="A339" s="8" t="s">
        <v>12461</v>
      </c>
    </row>
    <row r="340">
      <c r="A340" s="8" t="s">
        <v>12462</v>
      </c>
    </row>
    <row r="341">
      <c r="A341" s="8" t="s">
        <v>12463</v>
      </c>
    </row>
    <row r="342">
      <c r="A342" s="8" t="s">
        <v>12464</v>
      </c>
    </row>
    <row r="343">
      <c r="A343" s="8" t="s">
        <v>12465</v>
      </c>
    </row>
    <row r="344">
      <c r="A344" s="8" t="s">
        <v>12466</v>
      </c>
    </row>
    <row r="345">
      <c r="A345" s="8" t="s">
        <v>12467</v>
      </c>
    </row>
    <row r="346">
      <c r="A346" s="8" t="s">
        <v>12468</v>
      </c>
    </row>
    <row r="347">
      <c r="A347" s="8" t="s">
        <v>12469</v>
      </c>
    </row>
    <row r="348">
      <c r="A348" s="8" t="s">
        <v>12470</v>
      </c>
    </row>
    <row r="349">
      <c r="A349" s="8" t="s">
        <v>12471</v>
      </c>
    </row>
    <row r="350">
      <c r="A350" s="8" t="s">
        <v>12472</v>
      </c>
    </row>
    <row r="351">
      <c r="A351" s="8" t="s">
        <v>12473</v>
      </c>
    </row>
    <row r="352">
      <c r="A352" s="8" t="s">
        <v>12474</v>
      </c>
    </row>
    <row r="353">
      <c r="A353" s="8" t="s">
        <v>12475</v>
      </c>
    </row>
    <row r="354">
      <c r="A354" s="8" t="s">
        <v>12476</v>
      </c>
    </row>
    <row r="355">
      <c r="A355" s="8" t="s">
        <v>12477</v>
      </c>
    </row>
    <row r="356">
      <c r="A356" s="8" t="s">
        <v>12478</v>
      </c>
    </row>
    <row r="357">
      <c r="A357" s="8" t="s">
        <v>12479</v>
      </c>
    </row>
    <row r="358">
      <c r="A358" s="8" t="s">
        <v>12480</v>
      </c>
    </row>
    <row r="359">
      <c r="A359" s="8" t="s">
        <v>12481</v>
      </c>
    </row>
    <row r="360">
      <c r="A360" s="8" t="s">
        <v>12482</v>
      </c>
    </row>
    <row r="361">
      <c r="A361" s="8" t="s">
        <v>12483</v>
      </c>
    </row>
    <row r="362">
      <c r="A362" s="8" t="s">
        <v>12484</v>
      </c>
    </row>
    <row r="363">
      <c r="A363" s="8" t="s">
        <v>12485</v>
      </c>
    </row>
    <row r="364">
      <c r="A364" s="8" t="s">
        <v>12486</v>
      </c>
    </row>
    <row r="365">
      <c r="A365" s="8" t="s">
        <v>12487</v>
      </c>
    </row>
    <row r="366">
      <c r="A366" s="8" t="s">
        <v>12488</v>
      </c>
    </row>
    <row r="367">
      <c r="A367" s="8" t="s">
        <v>12489</v>
      </c>
    </row>
    <row r="368">
      <c r="A368" s="8" t="s">
        <v>12490</v>
      </c>
    </row>
    <row r="369">
      <c r="A369" s="8" t="s">
        <v>12491</v>
      </c>
    </row>
    <row r="370">
      <c r="A370" s="8" t="s">
        <v>12492</v>
      </c>
    </row>
    <row r="371">
      <c r="A371" s="8" t="s">
        <v>12493</v>
      </c>
    </row>
    <row r="372">
      <c r="A372" s="8" t="s">
        <v>12494</v>
      </c>
    </row>
    <row r="373">
      <c r="A373" s="8" t="s">
        <v>12495</v>
      </c>
    </row>
    <row r="374">
      <c r="A374" s="8" t="s">
        <v>12496</v>
      </c>
    </row>
    <row r="375">
      <c r="A375" s="8" t="s">
        <v>12497</v>
      </c>
    </row>
    <row r="376">
      <c r="A376" s="8" t="s">
        <v>12498</v>
      </c>
    </row>
    <row r="377">
      <c r="A377" s="8" t="s">
        <v>12499</v>
      </c>
    </row>
    <row r="378">
      <c r="A378" s="8" t="s">
        <v>12500</v>
      </c>
    </row>
    <row r="379">
      <c r="A379" s="8" t="s">
        <v>12501</v>
      </c>
    </row>
    <row r="380">
      <c r="A380" s="8" t="s">
        <v>12502</v>
      </c>
    </row>
    <row r="381">
      <c r="A381" s="8" t="s">
        <v>12503</v>
      </c>
    </row>
    <row r="382">
      <c r="A382" s="8" t="s">
        <v>12504</v>
      </c>
    </row>
    <row r="383">
      <c r="A383" s="8" t="s">
        <v>12505</v>
      </c>
    </row>
    <row r="384">
      <c r="A384" s="8" t="s">
        <v>12506</v>
      </c>
    </row>
    <row r="385">
      <c r="A385" s="8" t="s">
        <v>12507</v>
      </c>
    </row>
    <row r="386">
      <c r="A386" s="8" t="s">
        <v>12508</v>
      </c>
    </row>
    <row r="387">
      <c r="A387" s="8" t="s">
        <v>12509</v>
      </c>
    </row>
    <row r="388">
      <c r="A388" s="8" t="s">
        <v>12510</v>
      </c>
    </row>
    <row r="389">
      <c r="A389" s="8" t="s">
        <v>12511</v>
      </c>
    </row>
    <row r="390">
      <c r="A390" s="8" t="s">
        <v>12512</v>
      </c>
    </row>
    <row r="391">
      <c r="A391" s="8" t="s">
        <v>12513</v>
      </c>
    </row>
    <row r="392">
      <c r="A392" s="8" t="s">
        <v>12514</v>
      </c>
    </row>
    <row r="393">
      <c r="A393" s="8" t="s">
        <v>12515</v>
      </c>
    </row>
    <row r="394">
      <c r="A394" s="8" t="s">
        <v>12516</v>
      </c>
    </row>
    <row r="395">
      <c r="A395" s="8" t="s">
        <v>12517</v>
      </c>
    </row>
    <row r="396">
      <c r="A396" s="8" t="s">
        <v>12518</v>
      </c>
    </row>
    <row r="397">
      <c r="A397" s="8" t="s">
        <v>12519</v>
      </c>
    </row>
    <row r="398">
      <c r="A398" s="8" t="s">
        <v>12520</v>
      </c>
    </row>
    <row r="399">
      <c r="A399" s="8" t="s">
        <v>12521</v>
      </c>
    </row>
    <row r="400">
      <c r="A400" s="8" t="s">
        <v>12522</v>
      </c>
    </row>
    <row r="401">
      <c r="A401" s="8" t="s">
        <v>12523</v>
      </c>
    </row>
    <row r="402">
      <c r="A402" s="8" t="s">
        <v>12524</v>
      </c>
    </row>
    <row r="403">
      <c r="A403" s="8" t="s">
        <v>12525</v>
      </c>
    </row>
    <row r="404">
      <c r="A404" s="8" t="s">
        <v>12526</v>
      </c>
    </row>
    <row r="405">
      <c r="A405" s="8" t="s">
        <v>12527</v>
      </c>
    </row>
    <row r="406">
      <c r="A406" s="8" t="s">
        <v>12528</v>
      </c>
    </row>
    <row r="407">
      <c r="A407" s="8" t="s">
        <v>12529</v>
      </c>
    </row>
    <row r="408">
      <c r="A408" s="8" t="s">
        <v>12530</v>
      </c>
    </row>
    <row r="409">
      <c r="A409" s="8" t="s">
        <v>12531</v>
      </c>
    </row>
    <row r="410">
      <c r="A410" s="8" t="s">
        <v>12532</v>
      </c>
    </row>
    <row r="411">
      <c r="A411" s="8" t="s">
        <v>12533</v>
      </c>
    </row>
    <row r="412">
      <c r="A412" s="8" t="s">
        <v>12534</v>
      </c>
    </row>
    <row r="413">
      <c r="A413" s="8" t="s">
        <v>12535</v>
      </c>
    </row>
    <row r="414">
      <c r="A414" s="8" t="s">
        <v>12536</v>
      </c>
    </row>
    <row r="415">
      <c r="A415" s="8" t="s">
        <v>12537</v>
      </c>
    </row>
    <row r="416">
      <c r="A416" s="8" t="s">
        <v>12538</v>
      </c>
    </row>
    <row r="417">
      <c r="A417" s="8" t="s">
        <v>12539</v>
      </c>
    </row>
    <row r="418">
      <c r="A418" s="8" t="s">
        <v>12540</v>
      </c>
    </row>
    <row r="419">
      <c r="A419" s="8" t="s">
        <v>12541</v>
      </c>
    </row>
    <row r="420">
      <c r="A420" s="8" t="s">
        <v>12542</v>
      </c>
    </row>
    <row r="421">
      <c r="A421" s="8" t="s">
        <v>12543</v>
      </c>
    </row>
    <row r="422">
      <c r="A422" s="8" t="s">
        <v>12544</v>
      </c>
    </row>
    <row r="423">
      <c r="A423" s="8" t="s">
        <v>12545</v>
      </c>
    </row>
    <row r="424">
      <c r="A424" s="8" t="s">
        <v>12546</v>
      </c>
    </row>
    <row r="425">
      <c r="A425" s="8" t="s">
        <v>12547</v>
      </c>
    </row>
    <row r="426">
      <c r="A426" s="8" t="s">
        <v>12548</v>
      </c>
    </row>
    <row r="427">
      <c r="A427" s="8" t="s">
        <v>12549</v>
      </c>
    </row>
    <row r="428">
      <c r="A428" s="8" t="s">
        <v>12550</v>
      </c>
    </row>
    <row r="429">
      <c r="A429" s="8" t="s">
        <v>12551</v>
      </c>
    </row>
    <row r="430">
      <c r="A430" s="8" t="s">
        <v>12552</v>
      </c>
    </row>
    <row r="431">
      <c r="A431" s="8" t="s">
        <v>12553</v>
      </c>
    </row>
    <row r="432">
      <c r="A432" s="8" t="s">
        <v>12554</v>
      </c>
    </row>
    <row r="433">
      <c r="A433" s="8" t="s">
        <v>12555</v>
      </c>
    </row>
    <row r="434">
      <c r="A434" s="8" t="s">
        <v>12556</v>
      </c>
    </row>
    <row r="435">
      <c r="A435" s="8" t="s">
        <v>12557</v>
      </c>
    </row>
    <row r="436">
      <c r="A436" s="8" t="s">
        <v>12558</v>
      </c>
    </row>
    <row r="437">
      <c r="A437" s="8" t="s">
        <v>12559</v>
      </c>
    </row>
    <row r="438">
      <c r="A438" s="8" t="s">
        <v>12560</v>
      </c>
    </row>
    <row r="439">
      <c r="A439" s="8" t="s">
        <v>12561</v>
      </c>
    </row>
    <row r="440">
      <c r="A440" s="8" t="s">
        <v>12562</v>
      </c>
    </row>
    <row r="441">
      <c r="A441" s="8" t="s">
        <v>12563</v>
      </c>
    </row>
    <row r="442">
      <c r="A442" s="8" t="s">
        <v>12564</v>
      </c>
    </row>
    <row r="443">
      <c r="A443" s="8" t="s">
        <v>12565</v>
      </c>
    </row>
    <row r="444">
      <c r="A444" s="8" t="s">
        <v>12566</v>
      </c>
    </row>
    <row r="445">
      <c r="A445" s="8" t="s">
        <v>12567</v>
      </c>
    </row>
    <row r="446">
      <c r="A446" s="8" t="s">
        <v>12568</v>
      </c>
    </row>
    <row r="447">
      <c r="A447" s="8" t="s">
        <v>12569</v>
      </c>
    </row>
    <row r="448">
      <c r="A448" s="8" t="s">
        <v>12570</v>
      </c>
    </row>
    <row r="449">
      <c r="A449" s="8" t="s">
        <v>12571</v>
      </c>
    </row>
    <row r="450">
      <c r="A450" s="8" t="s">
        <v>12572</v>
      </c>
    </row>
    <row r="451">
      <c r="A451" s="8" t="s">
        <v>12573</v>
      </c>
    </row>
    <row r="452">
      <c r="A452" s="8" t="s">
        <v>12574</v>
      </c>
    </row>
    <row r="453">
      <c r="A453" s="8" t="s">
        <v>12575</v>
      </c>
    </row>
    <row r="454">
      <c r="A454" s="8" t="s">
        <v>12576</v>
      </c>
    </row>
    <row r="455">
      <c r="A455" s="8" t="s">
        <v>12577</v>
      </c>
    </row>
    <row r="456">
      <c r="A456" s="8" t="s">
        <v>12578</v>
      </c>
    </row>
    <row r="457">
      <c r="A457" s="8" t="s">
        <v>12579</v>
      </c>
    </row>
    <row r="458">
      <c r="A458" s="8" t="s">
        <v>12580</v>
      </c>
    </row>
    <row r="459">
      <c r="A459" s="8" t="s">
        <v>12581</v>
      </c>
    </row>
    <row r="460">
      <c r="A460" s="8" t="s">
        <v>12582</v>
      </c>
    </row>
    <row r="461">
      <c r="A461" s="8" t="s">
        <v>12583</v>
      </c>
    </row>
    <row r="462">
      <c r="A462" s="8" t="s">
        <v>12584</v>
      </c>
    </row>
    <row r="463">
      <c r="A463" s="8" t="s">
        <v>12585</v>
      </c>
    </row>
    <row r="464">
      <c r="A464" s="8" t="s">
        <v>12586</v>
      </c>
    </row>
    <row r="465">
      <c r="A465" s="8" t="s">
        <v>12587</v>
      </c>
    </row>
    <row r="466">
      <c r="A466" s="8" t="s">
        <v>12588</v>
      </c>
    </row>
    <row r="467">
      <c r="A467" s="8" t="s">
        <v>12589</v>
      </c>
    </row>
    <row r="468">
      <c r="A468" s="8" t="s">
        <v>12590</v>
      </c>
    </row>
    <row r="469">
      <c r="A469" s="8" t="s">
        <v>12591</v>
      </c>
    </row>
    <row r="470">
      <c r="A470" s="8" t="s">
        <v>12592</v>
      </c>
    </row>
    <row r="471">
      <c r="A471" s="8" t="s">
        <v>12593</v>
      </c>
    </row>
    <row r="472">
      <c r="A472" s="8" t="s">
        <v>12594</v>
      </c>
    </row>
    <row r="473">
      <c r="A473" s="8" t="s">
        <v>12595</v>
      </c>
    </row>
    <row r="474">
      <c r="A474" s="8" t="s">
        <v>12596</v>
      </c>
    </row>
    <row r="475">
      <c r="A475" s="8" t="s">
        <v>12597</v>
      </c>
    </row>
    <row r="476">
      <c r="A476" s="8" t="s">
        <v>12598</v>
      </c>
    </row>
    <row r="477">
      <c r="A477" s="8" t="s">
        <v>12599</v>
      </c>
    </row>
    <row r="478">
      <c r="A478" s="8" t="s">
        <v>12600</v>
      </c>
    </row>
    <row r="479">
      <c r="A479" s="8" t="s">
        <v>12601</v>
      </c>
    </row>
    <row r="480">
      <c r="A480" s="8" t="s">
        <v>12602</v>
      </c>
    </row>
    <row r="481">
      <c r="A481" s="8" t="s">
        <v>12603</v>
      </c>
    </row>
    <row r="482">
      <c r="A482" s="8" t="s">
        <v>12604</v>
      </c>
    </row>
    <row r="483">
      <c r="A483" s="8" t="s">
        <v>12605</v>
      </c>
    </row>
    <row r="484">
      <c r="A484" s="8" t="s">
        <v>12606</v>
      </c>
    </row>
    <row r="485">
      <c r="A485" s="8" t="s">
        <v>12607</v>
      </c>
    </row>
    <row r="486">
      <c r="A486" s="8" t="s">
        <v>12608</v>
      </c>
    </row>
    <row r="487">
      <c r="A487" s="8" t="s">
        <v>12609</v>
      </c>
    </row>
    <row r="488">
      <c r="A488" s="8" t="s">
        <v>12610</v>
      </c>
    </row>
    <row r="489">
      <c r="A489" s="8" t="s">
        <v>12611</v>
      </c>
    </row>
    <row r="490">
      <c r="A490" s="8" t="s">
        <v>12612</v>
      </c>
    </row>
    <row r="491">
      <c r="A491" s="8" t="s">
        <v>12613</v>
      </c>
    </row>
    <row r="492">
      <c r="A492" s="8" t="s">
        <v>12614</v>
      </c>
    </row>
    <row r="493">
      <c r="A493" s="8" t="s">
        <v>12615</v>
      </c>
    </row>
    <row r="494">
      <c r="A494" s="8" t="s">
        <v>12616</v>
      </c>
    </row>
    <row r="495">
      <c r="A495" s="8" t="s">
        <v>12617</v>
      </c>
    </row>
    <row r="496">
      <c r="A496" s="8" t="s">
        <v>12618</v>
      </c>
    </row>
    <row r="497">
      <c r="A497" s="8" t="s">
        <v>12619</v>
      </c>
    </row>
    <row r="498">
      <c r="A498" s="8" t="s">
        <v>12620</v>
      </c>
    </row>
    <row r="499">
      <c r="A499" s="8" t="s">
        <v>12621</v>
      </c>
    </row>
    <row r="500">
      <c r="A500" s="8" t="s">
        <v>12622</v>
      </c>
    </row>
    <row r="501">
      <c r="A501" s="8" t="s">
        <v>12623</v>
      </c>
    </row>
    <row r="502">
      <c r="A502" s="8" t="s">
        <v>12624</v>
      </c>
    </row>
    <row r="503">
      <c r="A503" s="8" t="s">
        <v>12625</v>
      </c>
    </row>
    <row r="504">
      <c r="A504" s="8" t="s">
        <v>12626</v>
      </c>
    </row>
    <row r="505">
      <c r="A505" s="8" t="s">
        <v>12627</v>
      </c>
    </row>
    <row r="506">
      <c r="A506" s="8" t="s">
        <v>12628</v>
      </c>
    </row>
    <row r="507">
      <c r="A507" s="8" t="s">
        <v>12629</v>
      </c>
    </row>
    <row r="508">
      <c r="A508" s="8" t="s">
        <v>12630</v>
      </c>
    </row>
    <row r="509">
      <c r="A509" s="8" t="s">
        <v>12631</v>
      </c>
    </row>
    <row r="510">
      <c r="A510" s="8" t="s">
        <v>12632</v>
      </c>
    </row>
    <row r="511">
      <c r="A511" s="8" t="s">
        <v>12633</v>
      </c>
    </row>
    <row r="512">
      <c r="A512" s="8" t="s">
        <v>12634</v>
      </c>
    </row>
    <row r="513">
      <c r="A513" s="8" t="s">
        <v>12635</v>
      </c>
    </row>
    <row r="514">
      <c r="A514" s="8" t="s">
        <v>12636</v>
      </c>
    </row>
    <row r="515">
      <c r="A515" s="8" t="s">
        <v>12637</v>
      </c>
    </row>
    <row r="516">
      <c r="A516" s="8" t="s">
        <v>12638</v>
      </c>
    </row>
    <row r="517">
      <c r="A517" s="8" t="s">
        <v>12639</v>
      </c>
    </row>
    <row r="518">
      <c r="A518" s="8" t="s">
        <v>12640</v>
      </c>
    </row>
    <row r="519">
      <c r="A519" s="8" t="s">
        <v>12641</v>
      </c>
    </row>
    <row r="520">
      <c r="A520" s="8" t="s">
        <v>12642</v>
      </c>
    </row>
    <row r="521">
      <c r="A521" s="8" t="s">
        <v>12643</v>
      </c>
    </row>
    <row r="522">
      <c r="A522" s="8" t="s">
        <v>12644</v>
      </c>
    </row>
    <row r="523">
      <c r="A523" s="8" t="s">
        <v>12645</v>
      </c>
    </row>
    <row r="524">
      <c r="A524" s="8" t="s">
        <v>12646</v>
      </c>
    </row>
    <row r="525">
      <c r="A525" s="8" t="s">
        <v>12647</v>
      </c>
    </row>
    <row r="526">
      <c r="A526" s="8" t="s">
        <v>12648</v>
      </c>
    </row>
    <row r="527">
      <c r="A527" s="8" t="s">
        <v>12649</v>
      </c>
    </row>
    <row r="528">
      <c r="A528" s="8" t="s">
        <v>12650</v>
      </c>
    </row>
    <row r="529">
      <c r="A529" s="8" t="s">
        <v>12651</v>
      </c>
    </row>
    <row r="530">
      <c r="A530" s="8" t="s">
        <v>12652</v>
      </c>
    </row>
    <row r="531">
      <c r="A531" s="8" t="s">
        <v>12653</v>
      </c>
    </row>
    <row r="532">
      <c r="A532" s="8" t="s">
        <v>12654</v>
      </c>
    </row>
    <row r="533">
      <c r="A533" s="8" t="s">
        <v>12655</v>
      </c>
    </row>
    <row r="534">
      <c r="A534" s="8" t="s">
        <v>12656</v>
      </c>
    </row>
    <row r="535">
      <c r="A535" s="8" t="s">
        <v>12657</v>
      </c>
    </row>
    <row r="536">
      <c r="A536" s="8" t="s">
        <v>12658</v>
      </c>
    </row>
    <row r="537">
      <c r="A537" s="8" t="s">
        <v>12659</v>
      </c>
    </row>
    <row r="538">
      <c r="A538" s="8" t="s">
        <v>12660</v>
      </c>
    </row>
    <row r="539">
      <c r="A539" s="8" t="s">
        <v>12661</v>
      </c>
    </row>
    <row r="540">
      <c r="A540" s="8" t="s">
        <v>12662</v>
      </c>
    </row>
    <row r="541">
      <c r="A541" s="8" t="s">
        <v>12663</v>
      </c>
    </row>
    <row r="542">
      <c r="A542" s="8" t="s">
        <v>12664</v>
      </c>
    </row>
    <row r="543">
      <c r="A543" s="8" t="s">
        <v>12665</v>
      </c>
    </row>
    <row r="544">
      <c r="A544" s="8" t="s">
        <v>12666</v>
      </c>
    </row>
    <row r="545">
      <c r="A545" s="8" t="s">
        <v>12667</v>
      </c>
    </row>
    <row r="546">
      <c r="A546" s="8" t="s">
        <v>12668</v>
      </c>
    </row>
    <row r="547">
      <c r="A547" s="8" t="s">
        <v>12669</v>
      </c>
    </row>
    <row r="548">
      <c r="A548" s="8" t="s">
        <v>12670</v>
      </c>
    </row>
    <row r="549">
      <c r="A549" s="8" t="s">
        <v>12671</v>
      </c>
    </row>
    <row r="550">
      <c r="A550" s="8" t="s">
        <v>12672</v>
      </c>
    </row>
    <row r="551">
      <c r="A551" s="8" t="s">
        <v>12673</v>
      </c>
    </row>
    <row r="552">
      <c r="A552" s="8" t="s">
        <v>12674</v>
      </c>
    </row>
    <row r="553">
      <c r="A553" s="8" t="s">
        <v>12675</v>
      </c>
    </row>
    <row r="554">
      <c r="A554" s="8" t="s">
        <v>12676</v>
      </c>
    </row>
    <row r="555">
      <c r="A555" s="8" t="s">
        <v>12677</v>
      </c>
    </row>
    <row r="556">
      <c r="A556" s="8" t="s">
        <v>12678</v>
      </c>
    </row>
    <row r="557">
      <c r="A557" s="8" t="s">
        <v>12679</v>
      </c>
    </row>
    <row r="558">
      <c r="A558" s="8" t="s">
        <v>12680</v>
      </c>
    </row>
    <row r="559">
      <c r="A559" s="8" t="s">
        <v>12681</v>
      </c>
    </row>
    <row r="560">
      <c r="A560" s="8" t="s">
        <v>12682</v>
      </c>
    </row>
    <row r="561">
      <c r="A561" s="8" t="s">
        <v>12683</v>
      </c>
    </row>
    <row r="562">
      <c r="A562" s="8" t="s">
        <v>12684</v>
      </c>
    </row>
    <row r="563">
      <c r="A563" s="8" t="s">
        <v>12685</v>
      </c>
    </row>
    <row r="564">
      <c r="A564" s="8" t="s">
        <v>12686</v>
      </c>
    </row>
    <row r="565">
      <c r="A565" s="8" t="s">
        <v>12687</v>
      </c>
    </row>
    <row r="566">
      <c r="A566" s="8" t="s">
        <v>12688</v>
      </c>
    </row>
    <row r="567">
      <c r="A567" s="8" t="s">
        <v>12689</v>
      </c>
    </row>
    <row r="568">
      <c r="A568" s="8" t="s">
        <v>12690</v>
      </c>
    </row>
    <row r="569">
      <c r="A569" s="8" t="s">
        <v>12691</v>
      </c>
    </row>
    <row r="570">
      <c r="A570" s="8" t="s">
        <v>12692</v>
      </c>
    </row>
    <row r="571">
      <c r="A571" s="8" t="s">
        <v>12693</v>
      </c>
    </row>
    <row r="572">
      <c r="A572" s="8" t="s">
        <v>12694</v>
      </c>
    </row>
    <row r="573">
      <c r="A573" s="8" t="s">
        <v>12695</v>
      </c>
    </row>
    <row r="574">
      <c r="A574" s="8" t="s">
        <v>12696</v>
      </c>
    </row>
    <row r="575">
      <c r="A575" s="8" t="s">
        <v>12697</v>
      </c>
    </row>
    <row r="576">
      <c r="A576" s="8" t="s">
        <v>12698</v>
      </c>
    </row>
    <row r="577">
      <c r="A577" s="8" t="s">
        <v>12699</v>
      </c>
    </row>
    <row r="578">
      <c r="A578" s="8" t="s">
        <v>12700</v>
      </c>
    </row>
    <row r="579">
      <c r="A579" s="8" t="s">
        <v>12701</v>
      </c>
    </row>
    <row r="580">
      <c r="A580" s="8" t="s">
        <v>12702</v>
      </c>
    </row>
    <row r="581">
      <c r="A581" s="8" t="s">
        <v>12703</v>
      </c>
    </row>
    <row r="582">
      <c r="A582" s="8" t="s">
        <v>12704</v>
      </c>
    </row>
    <row r="583">
      <c r="A583" s="8" t="s">
        <v>12705</v>
      </c>
    </row>
    <row r="584">
      <c r="A584" s="8" t="s">
        <v>12706</v>
      </c>
    </row>
    <row r="585">
      <c r="A585" s="8" t="s">
        <v>12707</v>
      </c>
    </row>
    <row r="586">
      <c r="A586" s="8" t="s">
        <v>12708</v>
      </c>
    </row>
    <row r="587">
      <c r="A587" s="8" t="s">
        <v>12709</v>
      </c>
    </row>
    <row r="588">
      <c r="A588" s="8" t="s">
        <v>12710</v>
      </c>
    </row>
    <row r="589">
      <c r="A589" s="8" t="s">
        <v>12711</v>
      </c>
    </row>
    <row r="590">
      <c r="A590" s="8" t="s">
        <v>12712</v>
      </c>
    </row>
    <row r="591">
      <c r="A591" s="8" t="s">
        <v>12713</v>
      </c>
    </row>
    <row r="592">
      <c r="A592" s="8" t="s">
        <v>12714</v>
      </c>
    </row>
    <row r="593">
      <c r="A593" s="8" t="s">
        <v>12715</v>
      </c>
    </row>
    <row r="594">
      <c r="A594" s="8" t="s">
        <v>12716</v>
      </c>
    </row>
    <row r="595">
      <c r="A595" s="8" t="s">
        <v>12717</v>
      </c>
    </row>
    <row r="596">
      <c r="A596" s="8" t="s">
        <v>12718</v>
      </c>
    </row>
    <row r="597">
      <c r="A597" s="8" t="s">
        <v>12719</v>
      </c>
    </row>
    <row r="598">
      <c r="A598" s="8" t="s">
        <v>12720</v>
      </c>
    </row>
    <row r="599">
      <c r="A599" s="8" t="s">
        <v>12721</v>
      </c>
    </row>
    <row r="600">
      <c r="A600" s="8" t="s">
        <v>12722</v>
      </c>
    </row>
    <row r="601">
      <c r="A601" s="8" t="s">
        <v>12723</v>
      </c>
    </row>
    <row r="602">
      <c r="A602" s="8" t="s">
        <v>12724</v>
      </c>
    </row>
    <row r="603">
      <c r="A603" s="8" t="s">
        <v>12725</v>
      </c>
    </row>
    <row r="604">
      <c r="A604" s="8" t="s">
        <v>12726</v>
      </c>
    </row>
    <row r="605">
      <c r="A605" s="8" t="s">
        <v>12727</v>
      </c>
    </row>
    <row r="606">
      <c r="A606" s="8" t="s">
        <v>12728</v>
      </c>
    </row>
    <row r="607">
      <c r="A607" s="8" t="s">
        <v>12729</v>
      </c>
    </row>
    <row r="608">
      <c r="A608" s="8" t="s">
        <v>12730</v>
      </c>
    </row>
    <row r="609">
      <c r="A609" s="8" t="s">
        <v>12731</v>
      </c>
    </row>
    <row r="610">
      <c r="A610" s="8" t="s">
        <v>12732</v>
      </c>
    </row>
    <row r="611">
      <c r="A611" s="8" t="s">
        <v>12733</v>
      </c>
    </row>
    <row r="612">
      <c r="A612" s="8" t="s">
        <v>12734</v>
      </c>
    </row>
    <row r="613">
      <c r="A613" s="8" t="s">
        <v>12735</v>
      </c>
    </row>
    <row r="614">
      <c r="A614" s="8" t="s">
        <v>12736</v>
      </c>
    </row>
    <row r="615">
      <c r="A615" s="8" t="s">
        <v>12737</v>
      </c>
    </row>
    <row r="616">
      <c r="A616" s="8" t="s">
        <v>12738</v>
      </c>
    </row>
    <row r="617">
      <c r="A617" s="8" t="s">
        <v>12739</v>
      </c>
    </row>
    <row r="618">
      <c r="A618" s="8" t="s">
        <v>12740</v>
      </c>
    </row>
    <row r="619">
      <c r="A619" s="8" t="s">
        <v>12741</v>
      </c>
    </row>
    <row r="620">
      <c r="A620" s="8" t="s">
        <v>12742</v>
      </c>
    </row>
    <row r="621">
      <c r="A621" s="8" t="s">
        <v>12743</v>
      </c>
    </row>
    <row r="622">
      <c r="A622" s="8" t="s">
        <v>12744</v>
      </c>
    </row>
    <row r="623">
      <c r="A623" s="8" t="s">
        <v>12745</v>
      </c>
    </row>
    <row r="624">
      <c r="A624" s="8" t="s">
        <v>12746</v>
      </c>
    </row>
    <row r="625">
      <c r="A625" s="8" t="s">
        <v>12747</v>
      </c>
    </row>
    <row r="626">
      <c r="A626" s="8" t="s">
        <v>12748</v>
      </c>
    </row>
    <row r="627">
      <c r="A627" s="8" t="s">
        <v>12749</v>
      </c>
    </row>
    <row r="628">
      <c r="A628" s="8" t="s">
        <v>12750</v>
      </c>
    </row>
    <row r="629">
      <c r="A629" s="8" t="s">
        <v>12751</v>
      </c>
    </row>
    <row r="630">
      <c r="A630" s="8" t="s">
        <v>12752</v>
      </c>
    </row>
    <row r="631">
      <c r="A631" s="8" t="s">
        <v>12753</v>
      </c>
    </row>
    <row r="632">
      <c r="A632" s="8" t="s">
        <v>12754</v>
      </c>
    </row>
    <row r="633">
      <c r="A633" s="8" t="s">
        <v>12755</v>
      </c>
    </row>
    <row r="634">
      <c r="A634" s="8" t="s">
        <v>12756</v>
      </c>
    </row>
    <row r="635">
      <c r="A635" s="8" t="s">
        <v>12757</v>
      </c>
    </row>
    <row r="636">
      <c r="A636" s="8" t="s">
        <v>12758</v>
      </c>
    </row>
    <row r="637">
      <c r="A637" s="8" t="s">
        <v>12759</v>
      </c>
    </row>
    <row r="638">
      <c r="A638" s="8" t="s">
        <v>12760</v>
      </c>
    </row>
    <row r="639">
      <c r="A639" s="8" t="s">
        <v>12761</v>
      </c>
    </row>
    <row r="640">
      <c r="A640" s="8" t="s">
        <v>12762</v>
      </c>
    </row>
    <row r="641">
      <c r="A641" s="8" t="s">
        <v>12763</v>
      </c>
    </row>
    <row r="642">
      <c r="A642" s="8" t="s">
        <v>12764</v>
      </c>
    </row>
    <row r="643">
      <c r="A643" s="8" t="s">
        <v>12765</v>
      </c>
    </row>
    <row r="644">
      <c r="A644" s="8" t="s">
        <v>12766</v>
      </c>
    </row>
    <row r="645">
      <c r="A645" s="8" t="s">
        <v>12767</v>
      </c>
    </row>
    <row r="646">
      <c r="A646" s="8" t="s">
        <v>12768</v>
      </c>
    </row>
    <row r="647">
      <c r="A647" s="8" t="s">
        <v>12769</v>
      </c>
    </row>
    <row r="648">
      <c r="A648" s="8" t="s">
        <v>12770</v>
      </c>
    </row>
    <row r="649">
      <c r="A649" s="8" t="s">
        <v>12771</v>
      </c>
    </row>
    <row r="650">
      <c r="A650" s="8" t="s">
        <v>12772</v>
      </c>
    </row>
    <row r="651">
      <c r="A651" s="8" t="s">
        <v>12773</v>
      </c>
    </row>
    <row r="652">
      <c r="A652" s="8" t="s">
        <v>12774</v>
      </c>
    </row>
    <row r="653">
      <c r="A653" s="8" t="s">
        <v>12775</v>
      </c>
    </row>
    <row r="654">
      <c r="A654" s="8" t="s">
        <v>12776</v>
      </c>
    </row>
    <row r="655">
      <c r="A655" s="8" t="s">
        <v>12777</v>
      </c>
    </row>
    <row r="656">
      <c r="A656" s="8" t="s">
        <v>12778</v>
      </c>
    </row>
    <row r="657">
      <c r="A657" s="8" t="s">
        <v>12779</v>
      </c>
    </row>
    <row r="658">
      <c r="A658" s="8" t="s">
        <v>12780</v>
      </c>
    </row>
    <row r="659">
      <c r="A659" s="8" t="s">
        <v>12781</v>
      </c>
    </row>
    <row r="660">
      <c r="A660" s="8" t="s">
        <v>12782</v>
      </c>
    </row>
    <row r="661">
      <c r="A661" s="8" t="s">
        <v>12783</v>
      </c>
    </row>
    <row r="662">
      <c r="A662" s="8" t="s">
        <v>12784</v>
      </c>
    </row>
    <row r="663">
      <c r="A663" s="8" t="s">
        <v>12785</v>
      </c>
    </row>
    <row r="664">
      <c r="A664" s="8" t="s">
        <v>12786</v>
      </c>
    </row>
    <row r="665">
      <c r="A665" s="8" t="s">
        <v>12787</v>
      </c>
    </row>
    <row r="666">
      <c r="A666" s="8" t="s">
        <v>12788</v>
      </c>
    </row>
    <row r="667">
      <c r="A667" s="8" t="s">
        <v>12789</v>
      </c>
    </row>
    <row r="668">
      <c r="A668" s="8" t="s">
        <v>12790</v>
      </c>
    </row>
    <row r="669">
      <c r="A669" s="8" t="s">
        <v>12791</v>
      </c>
    </row>
    <row r="670">
      <c r="A670" s="8" t="s">
        <v>12792</v>
      </c>
    </row>
    <row r="671">
      <c r="A671" s="8" t="s">
        <v>12793</v>
      </c>
    </row>
    <row r="672">
      <c r="A672" s="8" t="s">
        <v>12794</v>
      </c>
    </row>
    <row r="673">
      <c r="A673" s="8" t="s">
        <v>12795</v>
      </c>
    </row>
    <row r="674">
      <c r="A674" s="8" t="s">
        <v>12796</v>
      </c>
    </row>
    <row r="675">
      <c r="A675" s="8" t="s">
        <v>12797</v>
      </c>
    </row>
    <row r="676">
      <c r="A676" s="8" t="s">
        <v>12798</v>
      </c>
    </row>
    <row r="677">
      <c r="A677" s="8" t="s">
        <v>12799</v>
      </c>
    </row>
    <row r="678">
      <c r="A678" s="8" t="s">
        <v>12800</v>
      </c>
    </row>
    <row r="679">
      <c r="A679" s="8" t="s">
        <v>12801</v>
      </c>
    </row>
    <row r="680">
      <c r="A680" s="8" t="s">
        <v>12802</v>
      </c>
    </row>
    <row r="681">
      <c r="A681" s="8" t="s">
        <v>12803</v>
      </c>
    </row>
    <row r="682">
      <c r="A682" s="8" t="s">
        <v>12804</v>
      </c>
    </row>
    <row r="683">
      <c r="A683" s="8" t="s">
        <v>12805</v>
      </c>
    </row>
    <row r="684">
      <c r="A684" s="8" t="s">
        <v>12806</v>
      </c>
    </row>
    <row r="685">
      <c r="A685" s="8" t="s">
        <v>12807</v>
      </c>
    </row>
    <row r="686">
      <c r="A686" s="8" t="s">
        <v>12808</v>
      </c>
    </row>
    <row r="687">
      <c r="A687" s="8" t="s">
        <v>12809</v>
      </c>
    </row>
    <row r="688">
      <c r="A688" s="8" t="s">
        <v>12810</v>
      </c>
    </row>
    <row r="689">
      <c r="A689" s="8" t="s">
        <v>12811</v>
      </c>
    </row>
    <row r="690">
      <c r="A690" s="8" t="s">
        <v>12812</v>
      </c>
    </row>
    <row r="691">
      <c r="A691" s="8" t="s">
        <v>12813</v>
      </c>
    </row>
    <row r="692">
      <c r="A692" s="8" t="s">
        <v>12814</v>
      </c>
    </row>
    <row r="693">
      <c r="A693" s="8" t="s">
        <v>12815</v>
      </c>
    </row>
    <row r="694">
      <c r="A694" s="8" t="s">
        <v>12816</v>
      </c>
    </row>
    <row r="695">
      <c r="A695" s="8" t="s">
        <v>12817</v>
      </c>
    </row>
    <row r="696">
      <c r="A696" s="8" t="s">
        <v>12818</v>
      </c>
    </row>
    <row r="697">
      <c r="A697" s="8" t="s">
        <v>12819</v>
      </c>
    </row>
    <row r="698">
      <c r="A698" s="8" t="s">
        <v>12820</v>
      </c>
    </row>
    <row r="699">
      <c r="A699" s="8" t="s">
        <v>12821</v>
      </c>
    </row>
    <row r="700">
      <c r="A700" s="8" t="s">
        <v>12822</v>
      </c>
    </row>
    <row r="701">
      <c r="A701" s="8" t="s">
        <v>12823</v>
      </c>
    </row>
    <row r="702">
      <c r="A702" s="8" t="s">
        <v>12824</v>
      </c>
    </row>
    <row r="703">
      <c r="A703" s="8" t="s">
        <v>12825</v>
      </c>
    </row>
    <row r="704">
      <c r="A704" s="8" t="s">
        <v>12826</v>
      </c>
    </row>
    <row r="705">
      <c r="A705" s="8" t="s">
        <v>12827</v>
      </c>
    </row>
    <row r="706">
      <c r="A706" s="8" t="s">
        <v>12828</v>
      </c>
    </row>
    <row r="707">
      <c r="A707" s="8" t="s">
        <v>12829</v>
      </c>
    </row>
    <row r="708">
      <c r="A708" s="8" t="s">
        <v>12830</v>
      </c>
    </row>
    <row r="709">
      <c r="A709" s="8" t="s">
        <v>12831</v>
      </c>
    </row>
    <row r="710">
      <c r="A710" s="8" t="s">
        <v>12832</v>
      </c>
    </row>
    <row r="711">
      <c r="A711" s="8" t="s">
        <v>12833</v>
      </c>
    </row>
    <row r="712">
      <c r="A712" s="8" t="s">
        <v>12834</v>
      </c>
    </row>
    <row r="713">
      <c r="A713" s="8" t="s">
        <v>12835</v>
      </c>
    </row>
    <row r="714">
      <c r="A714" s="8" t="s">
        <v>12836</v>
      </c>
    </row>
    <row r="715">
      <c r="A715" s="8" t="s">
        <v>12837</v>
      </c>
    </row>
    <row r="716">
      <c r="A716" s="8" t="s">
        <v>12838</v>
      </c>
    </row>
    <row r="717">
      <c r="A717" s="8" t="s">
        <v>12839</v>
      </c>
    </row>
    <row r="718">
      <c r="A718" s="8" t="s">
        <v>12840</v>
      </c>
    </row>
    <row r="719">
      <c r="A719" s="8" t="s">
        <v>12841</v>
      </c>
    </row>
    <row r="720">
      <c r="A720" s="8" t="s">
        <v>12842</v>
      </c>
    </row>
    <row r="721">
      <c r="A721" s="8" t="s">
        <v>12843</v>
      </c>
    </row>
    <row r="722">
      <c r="A722" s="8" t="s">
        <v>12844</v>
      </c>
    </row>
    <row r="723">
      <c r="A723" s="8" t="s">
        <v>12845</v>
      </c>
    </row>
    <row r="724">
      <c r="A724" s="8" t="s">
        <v>12846</v>
      </c>
    </row>
    <row r="725">
      <c r="A725" s="8" t="s">
        <v>12847</v>
      </c>
    </row>
    <row r="726">
      <c r="A726" s="8" t="s">
        <v>12848</v>
      </c>
    </row>
    <row r="727">
      <c r="A727" s="8" t="s">
        <v>12849</v>
      </c>
    </row>
    <row r="728">
      <c r="A728" s="8" t="s">
        <v>12850</v>
      </c>
    </row>
    <row r="729">
      <c r="A729" s="8" t="s">
        <v>12851</v>
      </c>
    </row>
    <row r="730">
      <c r="A730" s="8" t="s">
        <v>12852</v>
      </c>
    </row>
    <row r="731">
      <c r="A731" s="8" t="s">
        <v>12853</v>
      </c>
    </row>
    <row r="732">
      <c r="A732" s="8" t="s">
        <v>12854</v>
      </c>
    </row>
    <row r="733">
      <c r="A733" s="8" t="s">
        <v>12855</v>
      </c>
    </row>
    <row r="734">
      <c r="A734" s="8" t="s">
        <v>12856</v>
      </c>
    </row>
    <row r="735">
      <c r="A735" s="8" t="s">
        <v>12857</v>
      </c>
    </row>
    <row r="736">
      <c r="A736" s="8" t="s">
        <v>12858</v>
      </c>
    </row>
    <row r="737">
      <c r="A737" s="8" t="s">
        <v>12859</v>
      </c>
    </row>
    <row r="738">
      <c r="A738" s="8" t="s">
        <v>12860</v>
      </c>
    </row>
    <row r="739">
      <c r="A739" s="8" t="s">
        <v>12861</v>
      </c>
    </row>
    <row r="740">
      <c r="A740" s="8" t="s">
        <v>12862</v>
      </c>
    </row>
    <row r="741">
      <c r="A741" s="8" t="s">
        <v>12863</v>
      </c>
    </row>
    <row r="742">
      <c r="A742" s="8" t="s">
        <v>12864</v>
      </c>
    </row>
    <row r="743">
      <c r="A743" s="8" t="s">
        <v>12865</v>
      </c>
    </row>
    <row r="744">
      <c r="A744" s="8" t="s">
        <v>12866</v>
      </c>
    </row>
    <row r="745">
      <c r="A745" s="8" t="s">
        <v>12867</v>
      </c>
    </row>
    <row r="746">
      <c r="A746" s="8" t="s">
        <v>12868</v>
      </c>
    </row>
    <row r="747">
      <c r="A747" s="8" t="s">
        <v>12869</v>
      </c>
    </row>
    <row r="748">
      <c r="A748" s="8" t="s">
        <v>12870</v>
      </c>
    </row>
    <row r="749">
      <c r="A749" s="8" t="s">
        <v>12871</v>
      </c>
    </row>
    <row r="750">
      <c r="A750" s="8" t="s">
        <v>12872</v>
      </c>
    </row>
    <row r="751">
      <c r="A751" s="8" t="s">
        <v>12873</v>
      </c>
    </row>
    <row r="752">
      <c r="A752" s="8" t="s">
        <v>12874</v>
      </c>
    </row>
    <row r="753">
      <c r="A753" s="8" t="s">
        <v>12875</v>
      </c>
    </row>
    <row r="754">
      <c r="A754" s="8" t="s">
        <v>12876</v>
      </c>
    </row>
    <row r="755">
      <c r="A755" s="8" t="s">
        <v>12877</v>
      </c>
    </row>
    <row r="756">
      <c r="A756" s="8" t="s">
        <v>12878</v>
      </c>
    </row>
    <row r="757">
      <c r="A757" s="8" t="s">
        <v>12879</v>
      </c>
    </row>
    <row r="758">
      <c r="A758" s="8" t="s">
        <v>12880</v>
      </c>
    </row>
    <row r="759">
      <c r="A759" s="8" t="s">
        <v>12881</v>
      </c>
    </row>
    <row r="760">
      <c r="A760" s="8" t="s">
        <v>12882</v>
      </c>
    </row>
    <row r="761">
      <c r="A761" s="8" t="s">
        <v>12883</v>
      </c>
    </row>
    <row r="762">
      <c r="A762" s="8" t="s">
        <v>12884</v>
      </c>
    </row>
    <row r="763">
      <c r="A763" s="8" t="s">
        <v>12885</v>
      </c>
    </row>
    <row r="764">
      <c r="A764" s="8" t="s">
        <v>12886</v>
      </c>
    </row>
    <row r="765">
      <c r="A765" s="8" t="s">
        <v>12887</v>
      </c>
    </row>
    <row r="766">
      <c r="A766" s="8" t="s">
        <v>12888</v>
      </c>
    </row>
    <row r="767">
      <c r="A767" s="8" t="s">
        <v>12889</v>
      </c>
    </row>
    <row r="768">
      <c r="A768" s="8" t="s">
        <v>12890</v>
      </c>
    </row>
    <row r="769">
      <c r="A769" s="8" t="s">
        <v>12891</v>
      </c>
    </row>
    <row r="770">
      <c r="A770" s="8" t="s">
        <v>12892</v>
      </c>
    </row>
    <row r="771">
      <c r="A771" s="8" t="s">
        <v>12893</v>
      </c>
    </row>
    <row r="772">
      <c r="A772" s="8" t="s">
        <v>12894</v>
      </c>
    </row>
    <row r="773">
      <c r="A773" s="8" t="s">
        <v>12895</v>
      </c>
    </row>
    <row r="774">
      <c r="A774" s="8" t="s">
        <v>12896</v>
      </c>
    </row>
    <row r="775">
      <c r="A775" s="8" t="s">
        <v>12897</v>
      </c>
    </row>
    <row r="776">
      <c r="A776" s="8" t="s">
        <v>12898</v>
      </c>
    </row>
    <row r="777">
      <c r="A777" s="8" t="s">
        <v>12899</v>
      </c>
    </row>
    <row r="778">
      <c r="A778" s="8" t="s">
        <v>12900</v>
      </c>
    </row>
    <row r="779">
      <c r="A779" s="8" t="s">
        <v>12901</v>
      </c>
    </row>
    <row r="780">
      <c r="A780" s="8" t="s">
        <v>12902</v>
      </c>
    </row>
    <row r="781">
      <c r="A781" s="8" t="s">
        <v>12903</v>
      </c>
    </row>
    <row r="782">
      <c r="A782" s="8" t="s">
        <v>12904</v>
      </c>
    </row>
    <row r="783">
      <c r="A783" s="8" t="s">
        <v>12905</v>
      </c>
    </row>
    <row r="784">
      <c r="A784" s="8" t="s">
        <v>12906</v>
      </c>
    </row>
    <row r="785">
      <c r="A785" s="8" t="s">
        <v>12907</v>
      </c>
    </row>
    <row r="786">
      <c r="A786" s="8" t="s">
        <v>12908</v>
      </c>
    </row>
    <row r="787">
      <c r="A787" s="8" t="s">
        <v>12909</v>
      </c>
    </row>
    <row r="788">
      <c r="A788" s="8" t="s">
        <v>12910</v>
      </c>
    </row>
    <row r="789">
      <c r="A789" s="8" t="s">
        <v>12911</v>
      </c>
    </row>
    <row r="790">
      <c r="A790" s="8" t="s">
        <v>12912</v>
      </c>
    </row>
    <row r="791">
      <c r="A791" s="8" t="s">
        <v>12913</v>
      </c>
    </row>
    <row r="792">
      <c r="A792" s="8" t="s">
        <v>12914</v>
      </c>
    </row>
    <row r="793">
      <c r="A793" s="8" t="s">
        <v>12915</v>
      </c>
    </row>
    <row r="794">
      <c r="A794" s="8" t="s">
        <v>12916</v>
      </c>
    </row>
    <row r="795">
      <c r="A795" s="8" t="s">
        <v>12917</v>
      </c>
    </row>
    <row r="796">
      <c r="A796" s="8" t="s">
        <v>12918</v>
      </c>
    </row>
    <row r="797">
      <c r="A797" s="8" t="s">
        <v>12919</v>
      </c>
    </row>
    <row r="798">
      <c r="A798" s="8" t="s">
        <v>12920</v>
      </c>
    </row>
    <row r="799">
      <c r="A799" s="8" t="s">
        <v>12921</v>
      </c>
    </row>
    <row r="800">
      <c r="A800" s="8" t="s">
        <v>12922</v>
      </c>
    </row>
    <row r="801">
      <c r="A801" s="8" t="s">
        <v>12923</v>
      </c>
    </row>
    <row r="802">
      <c r="A802" s="8" t="s">
        <v>12924</v>
      </c>
    </row>
    <row r="803">
      <c r="A803" s="8" t="s">
        <v>12925</v>
      </c>
    </row>
    <row r="804">
      <c r="A804" s="8" t="s">
        <v>12926</v>
      </c>
    </row>
    <row r="805">
      <c r="A805" s="8" t="s">
        <v>12927</v>
      </c>
    </row>
    <row r="806">
      <c r="A806" s="8" t="s">
        <v>12928</v>
      </c>
    </row>
    <row r="807">
      <c r="A807" s="8" t="s">
        <v>12929</v>
      </c>
    </row>
    <row r="808">
      <c r="A808" s="8" t="s">
        <v>12930</v>
      </c>
    </row>
    <row r="809">
      <c r="A809" s="8" t="s">
        <v>12931</v>
      </c>
    </row>
    <row r="810">
      <c r="A810" s="8" t="s">
        <v>12932</v>
      </c>
    </row>
    <row r="811">
      <c r="A811" s="8" t="s">
        <v>12933</v>
      </c>
    </row>
    <row r="812">
      <c r="A812" s="8" t="s">
        <v>12934</v>
      </c>
    </row>
    <row r="813">
      <c r="A813" s="8" t="s">
        <v>12935</v>
      </c>
    </row>
    <row r="814">
      <c r="A814" s="8" t="s">
        <v>12936</v>
      </c>
    </row>
    <row r="815">
      <c r="A815" s="8" t="s">
        <v>12937</v>
      </c>
    </row>
    <row r="816">
      <c r="A816" s="8" t="s">
        <v>12938</v>
      </c>
    </row>
    <row r="817">
      <c r="A817" s="8" t="s">
        <v>12939</v>
      </c>
    </row>
    <row r="818">
      <c r="A818" s="8" t="s">
        <v>12940</v>
      </c>
    </row>
    <row r="819">
      <c r="A819" s="8" t="s">
        <v>12941</v>
      </c>
    </row>
    <row r="820">
      <c r="A820" s="8" t="s">
        <v>12942</v>
      </c>
    </row>
    <row r="821">
      <c r="A821" s="8" t="s">
        <v>12943</v>
      </c>
    </row>
    <row r="822">
      <c r="A822" s="8" t="s">
        <v>12944</v>
      </c>
    </row>
    <row r="823">
      <c r="A823" s="8" t="s">
        <v>12945</v>
      </c>
    </row>
    <row r="824">
      <c r="A824" s="8" t="s">
        <v>12946</v>
      </c>
    </row>
    <row r="825">
      <c r="A825" s="8" t="s">
        <v>12947</v>
      </c>
    </row>
    <row r="826">
      <c r="A826" s="8" t="s">
        <v>12948</v>
      </c>
    </row>
    <row r="827">
      <c r="A827" s="8" t="s">
        <v>12949</v>
      </c>
    </row>
    <row r="828">
      <c r="A828" s="8" t="s">
        <v>12950</v>
      </c>
    </row>
    <row r="829">
      <c r="A829" s="8" t="s">
        <v>12951</v>
      </c>
    </row>
    <row r="830">
      <c r="A830" s="8" t="s">
        <v>12952</v>
      </c>
    </row>
    <row r="831">
      <c r="A831" s="8" t="s">
        <v>12953</v>
      </c>
    </row>
    <row r="832">
      <c r="A832" s="8" t="s">
        <v>12954</v>
      </c>
    </row>
    <row r="833">
      <c r="A833" s="8" t="s">
        <v>12955</v>
      </c>
    </row>
    <row r="834">
      <c r="A834" s="8" t="s">
        <v>12956</v>
      </c>
    </row>
    <row r="835">
      <c r="A835" s="8" t="s">
        <v>12957</v>
      </c>
    </row>
    <row r="836">
      <c r="A836" s="8" t="s">
        <v>12958</v>
      </c>
    </row>
    <row r="837">
      <c r="A837" s="8" t="s">
        <v>12959</v>
      </c>
    </row>
    <row r="838">
      <c r="A838" s="8" t="s">
        <v>12960</v>
      </c>
    </row>
    <row r="839">
      <c r="A839" s="8" t="s">
        <v>12961</v>
      </c>
    </row>
    <row r="840">
      <c r="A840" s="8" t="s">
        <v>12962</v>
      </c>
    </row>
    <row r="841">
      <c r="A841" s="8" t="s">
        <v>12963</v>
      </c>
    </row>
    <row r="842">
      <c r="A842" s="8" t="s">
        <v>12964</v>
      </c>
    </row>
    <row r="843">
      <c r="A843" s="8" t="s">
        <v>12965</v>
      </c>
    </row>
    <row r="844">
      <c r="A844" s="8" t="s">
        <v>12966</v>
      </c>
    </row>
    <row r="845">
      <c r="A845" s="8" t="s">
        <v>12967</v>
      </c>
    </row>
    <row r="846">
      <c r="A846" s="8" t="s">
        <v>12968</v>
      </c>
    </row>
    <row r="847">
      <c r="A847" s="8" t="s">
        <v>12969</v>
      </c>
    </row>
    <row r="848">
      <c r="A848" s="8" t="s">
        <v>12970</v>
      </c>
    </row>
    <row r="849">
      <c r="A849" s="8" t="s">
        <v>12971</v>
      </c>
    </row>
    <row r="850">
      <c r="A850" s="8" t="s">
        <v>12972</v>
      </c>
    </row>
    <row r="851">
      <c r="A851" s="8" t="s">
        <v>12973</v>
      </c>
    </row>
    <row r="852">
      <c r="A852" s="8" t="s">
        <v>12974</v>
      </c>
    </row>
    <row r="853">
      <c r="A853" s="8" t="s">
        <v>12975</v>
      </c>
    </row>
    <row r="854">
      <c r="A854" s="8" t="s">
        <v>12976</v>
      </c>
    </row>
    <row r="855">
      <c r="A855" s="8" t="s">
        <v>12977</v>
      </c>
    </row>
    <row r="856">
      <c r="A856" s="8" t="s">
        <v>12978</v>
      </c>
    </row>
    <row r="857">
      <c r="A857" s="8" t="s">
        <v>12979</v>
      </c>
    </row>
    <row r="858">
      <c r="A858" s="8" t="s">
        <v>12980</v>
      </c>
    </row>
    <row r="859">
      <c r="A859" s="8" t="s">
        <v>12981</v>
      </c>
    </row>
    <row r="860">
      <c r="A860" s="8" t="s">
        <v>12982</v>
      </c>
    </row>
    <row r="861">
      <c r="A861" s="8" t="s">
        <v>12983</v>
      </c>
    </row>
    <row r="862">
      <c r="A862" s="8" t="s">
        <v>12984</v>
      </c>
    </row>
    <row r="863">
      <c r="A863" s="8" t="s">
        <v>12985</v>
      </c>
    </row>
    <row r="864">
      <c r="A864" s="8" t="s">
        <v>12986</v>
      </c>
    </row>
    <row r="865">
      <c r="A865" s="8" t="s">
        <v>12987</v>
      </c>
    </row>
    <row r="866">
      <c r="A866" s="8" t="s">
        <v>12988</v>
      </c>
    </row>
    <row r="867">
      <c r="A867" s="8" t="s">
        <v>12989</v>
      </c>
    </row>
    <row r="868">
      <c r="A868" s="8" t="s">
        <v>12990</v>
      </c>
    </row>
    <row r="869">
      <c r="A869" s="8" t="s">
        <v>12991</v>
      </c>
    </row>
    <row r="870">
      <c r="A870" s="8" t="s">
        <v>12992</v>
      </c>
    </row>
    <row r="871">
      <c r="A871" s="8" t="s">
        <v>12993</v>
      </c>
    </row>
    <row r="872">
      <c r="A872" s="8" t="s">
        <v>12994</v>
      </c>
    </row>
    <row r="873">
      <c r="A873" s="8" t="s">
        <v>12995</v>
      </c>
    </row>
    <row r="874">
      <c r="A874" s="8" t="s">
        <v>12996</v>
      </c>
    </row>
    <row r="875">
      <c r="A875" s="8" t="s">
        <v>12997</v>
      </c>
    </row>
    <row r="876">
      <c r="A876" s="8" t="s">
        <v>12998</v>
      </c>
    </row>
    <row r="877">
      <c r="A877" s="8" t="s">
        <v>12999</v>
      </c>
    </row>
    <row r="878">
      <c r="A878" s="8" t="s">
        <v>13000</v>
      </c>
    </row>
    <row r="879">
      <c r="A879" s="8" t="s">
        <v>13001</v>
      </c>
    </row>
    <row r="880">
      <c r="A880" s="8" t="s">
        <v>13002</v>
      </c>
    </row>
    <row r="881">
      <c r="A881" s="8" t="s">
        <v>13003</v>
      </c>
    </row>
    <row r="882">
      <c r="A882" s="8" t="s">
        <v>13004</v>
      </c>
    </row>
    <row r="883">
      <c r="A883" s="8" t="s">
        <v>13005</v>
      </c>
    </row>
    <row r="884">
      <c r="A884" s="8" t="s">
        <v>13006</v>
      </c>
    </row>
    <row r="885">
      <c r="A885" s="8" t="s">
        <v>13007</v>
      </c>
    </row>
    <row r="886">
      <c r="A886" s="8" t="s">
        <v>13008</v>
      </c>
    </row>
    <row r="887">
      <c r="A887" s="8" t="s">
        <v>13009</v>
      </c>
    </row>
    <row r="888">
      <c r="A888" s="8" t="s">
        <v>13010</v>
      </c>
    </row>
    <row r="889">
      <c r="A889" s="8" t="s">
        <v>13011</v>
      </c>
    </row>
    <row r="890">
      <c r="A890" s="8" t="s">
        <v>13012</v>
      </c>
    </row>
    <row r="891">
      <c r="A891" s="8" t="s">
        <v>13013</v>
      </c>
    </row>
    <row r="892">
      <c r="A892" s="8" t="s">
        <v>13014</v>
      </c>
    </row>
    <row r="893">
      <c r="A893" s="8" t="s">
        <v>13015</v>
      </c>
    </row>
    <row r="894">
      <c r="A894" s="8" t="s">
        <v>13016</v>
      </c>
    </row>
    <row r="895">
      <c r="A895" s="8" t="s">
        <v>13017</v>
      </c>
    </row>
    <row r="896">
      <c r="A896" s="8" t="s">
        <v>13018</v>
      </c>
    </row>
    <row r="897">
      <c r="A897" s="8" t="s">
        <v>13019</v>
      </c>
    </row>
    <row r="898">
      <c r="A898" s="8" t="s">
        <v>13020</v>
      </c>
    </row>
    <row r="899">
      <c r="A899" s="8" t="s">
        <v>13021</v>
      </c>
    </row>
    <row r="900">
      <c r="A900" s="8" t="s">
        <v>13022</v>
      </c>
    </row>
    <row r="901">
      <c r="A901" s="8" t="s">
        <v>13023</v>
      </c>
    </row>
    <row r="902">
      <c r="A902" s="8" t="s">
        <v>13024</v>
      </c>
    </row>
    <row r="903">
      <c r="A903" s="8" t="s">
        <v>13025</v>
      </c>
    </row>
    <row r="904">
      <c r="A904" s="8" t="s">
        <v>13026</v>
      </c>
    </row>
    <row r="905">
      <c r="A905" s="8" t="s">
        <v>13027</v>
      </c>
    </row>
    <row r="906">
      <c r="A906" s="8" t="s">
        <v>13028</v>
      </c>
    </row>
    <row r="907">
      <c r="A907" s="8" t="s">
        <v>13029</v>
      </c>
    </row>
    <row r="908">
      <c r="A908" s="8" t="s">
        <v>13030</v>
      </c>
    </row>
    <row r="909">
      <c r="A909" s="8" t="s">
        <v>13031</v>
      </c>
    </row>
    <row r="910">
      <c r="A910" s="8" t="s">
        <v>13032</v>
      </c>
    </row>
    <row r="911">
      <c r="A911" s="8" t="s">
        <v>13033</v>
      </c>
    </row>
    <row r="912">
      <c r="A912" s="8" t="s">
        <v>13034</v>
      </c>
    </row>
    <row r="913">
      <c r="A913" s="8" t="s">
        <v>13035</v>
      </c>
    </row>
    <row r="914">
      <c r="A914" s="8" t="s">
        <v>13036</v>
      </c>
    </row>
    <row r="915">
      <c r="A915" s="8" t="s">
        <v>13037</v>
      </c>
    </row>
    <row r="916">
      <c r="A916" s="8" t="s">
        <v>13038</v>
      </c>
    </row>
    <row r="917">
      <c r="A917" s="8" t="s">
        <v>13039</v>
      </c>
    </row>
    <row r="918">
      <c r="A918" s="8" t="s">
        <v>13040</v>
      </c>
    </row>
    <row r="919">
      <c r="A919" s="8" t="s">
        <v>13041</v>
      </c>
    </row>
    <row r="920">
      <c r="A920" s="8" t="s">
        <v>13042</v>
      </c>
    </row>
    <row r="921">
      <c r="A921" s="8" t="s">
        <v>13043</v>
      </c>
    </row>
    <row r="922">
      <c r="A922" s="8" t="s">
        <v>13044</v>
      </c>
    </row>
    <row r="923">
      <c r="A923" s="8" t="s">
        <v>13045</v>
      </c>
    </row>
    <row r="924">
      <c r="A924" s="8" t="s">
        <v>13046</v>
      </c>
    </row>
    <row r="925">
      <c r="A925" s="8" t="s">
        <v>13047</v>
      </c>
    </row>
    <row r="926">
      <c r="A926" s="8" t="s">
        <v>13048</v>
      </c>
    </row>
    <row r="927">
      <c r="A927" s="8" t="s">
        <v>13049</v>
      </c>
    </row>
    <row r="928">
      <c r="A928" s="8" t="s">
        <v>13050</v>
      </c>
    </row>
    <row r="929">
      <c r="A929" s="8" t="s">
        <v>13051</v>
      </c>
    </row>
    <row r="930">
      <c r="A930" s="8" t="s">
        <v>13052</v>
      </c>
    </row>
    <row r="931">
      <c r="A931" s="8" t="s">
        <v>13053</v>
      </c>
    </row>
    <row r="932">
      <c r="A932" s="8" t="s">
        <v>13054</v>
      </c>
    </row>
    <row r="933">
      <c r="A933" s="8" t="s">
        <v>13055</v>
      </c>
    </row>
    <row r="934">
      <c r="A934" s="8" t="s">
        <v>13056</v>
      </c>
    </row>
    <row r="935">
      <c r="A935" s="8" t="s">
        <v>13057</v>
      </c>
    </row>
    <row r="936">
      <c r="A936" s="8" t="s">
        <v>13058</v>
      </c>
    </row>
    <row r="937">
      <c r="A937" s="8" t="s">
        <v>13059</v>
      </c>
    </row>
    <row r="938">
      <c r="A938" s="8" t="s">
        <v>13060</v>
      </c>
    </row>
    <row r="939">
      <c r="A939" s="8" t="s">
        <v>13061</v>
      </c>
    </row>
    <row r="940">
      <c r="A940" s="8" t="s">
        <v>13062</v>
      </c>
    </row>
    <row r="941">
      <c r="A941" s="8" t="s">
        <v>13063</v>
      </c>
    </row>
    <row r="942">
      <c r="A942" s="8" t="s">
        <v>13064</v>
      </c>
    </row>
    <row r="943">
      <c r="A943" s="8" t="s">
        <v>13065</v>
      </c>
    </row>
    <row r="944">
      <c r="A944" s="8" t="s">
        <v>13066</v>
      </c>
    </row>
    <row r="945">
      <c r="A945" s="8" t="s">
        <v>13067</v>
      </c>
    </row>
    <row r="946">
      <c r="A946" s="8" t="s">
        <v>13068</v>
      </c>
    </row>
    <row r="947">
      <c r="A947" s="8" t="s">
        <v>13069</v>
      </c>
    </row>
    <row r="948">
      <c r="A948" s="8" t="s">
        <v>13070</v>
      </c>
    </row>
    <row r="949">
      <c r="A949" s="8" t="s">
        <v>13071</v>
      </c>
    </row>
    <row r="950">
      <c r="A950" s="8" t="s">
        <v>13072</v>
      </c>
    </row>
    <row r="951">
      <c r="A951" s="8" t="s">
        <v>13073</v>
      </c>
    </row>
    <row r="952">
      <c r="A952" s="8" t="s">
        <v>13074</v>
      </c>
    </row>
    <row r="953">
      <c r="A953" s="8" t="s">
        <v>13075</v>
      </c>
    </row>
    <row r="954">
      <c r="A954" s="8" t="s">
        <v>13076</v>
      </c>
    </row>
    <row r="955">
      <c r="A955" s="8" t="s">
        <v>13077</v>
      </c>
    </row>
    <row r="956">
      <c r="A956" s="8" t="s">
        <v>13078</v>
      </c>
    </row>
    <row r="957">
      <c r="A957" s="8" t="s">
        <v>13079</v>
      </c>
    </row>
    <row r="958">
      <c r="A958" s="8" t="s">
        <v>13080</v>
      </c>
    </row>
    <row r="959">
      <c r="A959" s="8" t="s">
        <v>13081</v>
      </c>
    </row>
    <row r="960">
      <c r="A960" s="8" t="s">
        <v>13082</v>
      </c>
    </row>
    <row r="961">
      <c r="A961" s="8" t="s">
        <v>13083</v>
      </c>
    </row>
    <row r="962">
      <c r="A962" s="8" t="s">
        <v>13084</v>
      </c>
    </row>
    <row r="963">
      <c r="A963" s="8" t="s">
        <v>13085</v>
      </c>
    </row>
    <row r="964">
      <c r="A964" s="8" t="s">
        <v>13086</v>
      </c>
    </row>
    <row r="965">
      <c r="A965" s="8" t="s">
        <v>13087</v>
      </c>
    </row>
    <row r="966">
      <c r="A966" s="8" t="s">
        <v>13088</v>
      </c>
    </row>
    <row r="967">
      <c r="A967" s="8" t="s">
        <v>13089</v>
      </c>
    </row>
    <row r="968">
      <c r="A968" s="8" t="s">
        <v>13090</v>
      </c>
    </row>
    <row r="969">
      <c r="A969" s="8" t="s">
        <v>13091</v>
      </c>
    </row>
    <row r="970">
      <c r="A970" s="8" t="s">
        <v>13092</v>
      </c>
    </row>
    <row r="971">
      <c r="A971" s="8" t="s">
        <v>13093</v>
      </c>
    </row>
    <row r="972">
      <c r="A972" s="8" t="s">
        <v>13094</v>
      </c>
    </row>
    <row r="973">
      <c r="A973" s="8" t="s">
        <v>13095</v>
      </c>
    </row>
    <row r="974">
      <c r="A974" s="8" t="s">
        <v>13096</v>
      </c>
    </row>
    <row r="975">
      <c r="A975" s="8" t="s">
        <v>13097</v>
      </c>
    </row>
    <row r="976">
      <c r="A976" s="8" t="s">
        <v>13098</v>
      </c>
    </row>
    <row r="977">
      <c r="A977" s="8" t="s">
        <v>13099</v>
      </c>
    </row>
    <row r="978">
      <c r="A978" s="8" t="s">
        <v>13100</v>
      </c>
    </row>
    <row r="979">
      <c r="A979" s="8" t="s">
        <v>13101</v>
      </c>
    </row>
    <row r="980">
      <c r="A980" s="8" t="s">
        <v>13102</v>
      </c>
    </row>
    <row r="981">
      <c r="A981" s="8" t="s">
        <v>13103</v>
      </c>
    </row>
    <row r="982">
      <c r="A982" s="8" t="s">
        <v>13104</v>
      </c>
    </row>
    <row r="983">
      <c r="A983" s="8" t="s">
        <v>13105</v>
      </c>
    </row>
    <row r="984">
      <c r="A984" s="8" t="s">
        <v>13106</v>
      </c>
    </row>
    <row r="985">
      <c r="A985" s="8" t="s">
        <v>13107</v>
      </c>
    </row>
    <row r="986">
      <c r="A986" s="8" t="s">
        <v>13108</v>
      </c>
    </row>
    <row r="987">
      <c r="A987" s="8" t="s">
        <v>13109</v>
      </c>
    </row>
    <row r="988">
      <c r="A988" s="8" t="s">
        <v>13110</v>
      </c>
    </row>
    <row r="989">
      <c r="A989" s="8" t="s">
        <v>13111</v>
      </c>
    </row>
    <row r="990">
      <c r="A990" s="8" t="s">
        <v>13112</v>
      </c>
    </row>
    <row r="991">
      <c r="A991" s="8" t="s">
        <v>13113</v>
      </c>
    </row>
    <row r="992">
      <c r="A992" s="8" t="s">
        <v>13114</v>
      </c>
    </row>
    <row r="993">
      <c r="A993" s="8" t="s">
        <v>13115</v>
      </c>
    </row>
    <row r="994">
      <c r="A994" s="8" t="s">
        <v>13116</v>
      </c>
    </row>
    <row r="995">
      <c r="A995" s="8" t="s">
        <v>13117</v>
      </c>
    </row>
    <row r="996">
      <c r="A996" s="8" t="s">
        <v>13118</v>
      </c>
    </row>
    <row r="997">
      <c r="A997" s="8" t="s">
        <v>13119</v>
      </c>
    </row>
    <row r="998">
      <c r="A998" s="8" t="s">
        <v>13120</v>
      </c>
    </row>
    <row r="999">
      <c r="A999" s="8" t="s">
        <v>13121</v>
      </c>
    </row>
    <row r="1000">
      <c r="A1000" s="8" t="s">
        <v>13122</v>
      </c>
    </row>
    <row r="1001">
      <c r="A1001" s="8" t="s">
        <v>13123</v>
      </c>
    </row>
    <row r="1002">
      <c r="A1002" s="8" t="s">
        <v>13124</v>
      </c>
    </row>
    <row r="1003">
      <c r="A1003" s="8" t="s">
        <v>13125</v>
      </c>
    </row>
    <row r="1004">
      <c r="A1004" s="8" t="s">
        <v>13126</v>
      </c>
    </row>
    <row r="1005">
      <c r="A1005" s="8" t="s">
        <v>13127</v>
      </c>
    </row>
    <row r="1006">
      <c r="A1006" s="8" t="s">
        <v>13128</v>
      </c>
    </row>
    <row r="1007">
      <c r="A1007" s="8" t="s">
        <v>13129</v>
      </c>
    </row>
    <row r="1008">
      <c r="A1008" s="8" t="s">
        <v>13130</v>
      </c>
    </row>
    <row r="1009">
      <c r="A1009" s="8" t="s">
        <v>13131</v>
      </c>
    </row>
    <row r="1010">
      <c r="A1010" s="8" t="s">
        <v>13132</v>
      </c>
    </row>
    <row r="1011">
      <c r="A1011" s="8" t="s">
        <v>13133</v>
      </c>
    </row>
    <row r="1012">
      <c r="A1012" s="8" t="s">
        <v>13134</v>
      </c>
    </row>
    <row r="1013">
      <c r="A1013" s="8" t="s">
        <v>13135</v>
      </c>
    </row>
    <row r="1014">
      <c r="A1014" s="8" t="s">
        <v>13136</v>
      </c>
    </row>
    <row r="1015">
      <c r="A1015" s="8" t="s">
        <v>13137</v>
      </c>
    </row>
    <row r="1016">
      <c r="A1016" s="8" t="s">
        <v>13138</v>
      </c>
    </row>
    <row r="1017">
      <c r="A1017" s="8" t="s">
        <v>13139</v>
      </c>
    </row>
    <row r="1018">
      <c r="A1018" s="8" t="s">
        <v>13140</v>
      </c>
    </row>
    <row r="1019">
      <c r="A1019" s="8" t="s">
        <v>13141</v>
      </c>
    </row>
    <row r="1020">
      <c r="A1020" s="8" t="s">
        <v>13142</v>
      </c>
    </row>
    <row r="1021">
      <c r="A1021" s="8" t="s">
        <v>13143</v>
      </c>
    </row>
    <row r="1022">
      <c r="A1022" s="8" t="s">
        <v>13144</v>
      </c>
    </row>
    <row r="1023">
      <c r="A1023" s="8" t="s">
        <v>13145</v>
      </c>
    </row>
    <row r="1024">
      <c r="A1024" s="8" t="s">
        <v>13146</v>
      </c>
    </row>
    <row r="1025">
      <c r="A1025" s="8" t="s">
        <v>13147</v>
      </c>
    </row>
    <row r="1026">
      <c r="A1026" s="8" t="s">
        <v>13148</v>
      </c>
    </row>
    <row r="1027">
      <c r="A1027" s="8" t="s">
        <v>13149</v>
      </c>
    </row>
    <row r="1028">
      <c r="A1028" s="8" t="s">
        <v>13150</v>
      </c>
    </row>
    <row r="1029">
      <c r="A1029" s="8" t="s">
        <v>13151</v>
      </c>
    </row>
    <row r="1030">
      <c r="A1030" s="8" t="s">
        <v>13152</v>
      </c>
    </row>
    <row r="1031">
      <c r="A1031" s="8" t="s">
        <v>13153</v>
      </c>
    </row>
    <row r="1032">
      <c r="A1032" s="8" t="s">
        <v>13154</v>
      </c>
    </row>
    <row r="1033">
      <c r="A1033" s="8" t="s">
        <v>13155</v>
      </c>
    </row>
    <row r="1034">
      <c r="A1034" s="8" t="s">
        <v>13156</v>
      </c>
    </row>
    <row r="1035">
      <c r="A1035" s="8" t="s">
        <v>13157</v>
      </c>
    </row>
    <row r="1036">
      <c r="A1036" s="8" t="s">
        <v>13158</v>
      </c>
    </row>
    <row r="1037">
      <c r="A1037" s="8" t="s">
        <v>13159</v>
      </c>
    </row>
    <row r="1038">
      <c r="A1038" s="8" t="s">
        <v>13160</v>
      </c>
    </row>
    <row r="1039">
      <c r="A1039" s="8" t="s">
        <v>13161</v>
      </c>
    </row>
    <row r="1040">
      <c r="A1040" s="8" t="s">
        <v>13162</v>
      </c>
    </row>
    <row r="1041">
      <c r="A1041" s="8" t="s">
        <v>13163</v>
      </c>
    </row>
    <row r="1042">
      <c r="A1042" s="8" t="s">
        <v>13164</v>
      </c>
    </row>
    <row r="1043">
      <c r="A1043" s="8" t="s">
        <v>13165</v>
      </c>
    </row>
    <row r="1044">
      <c r="A1044" s="8" t="s">
        <v>13166</v>
      </c>
    </row>
    <row r="1045">
      <c r="A1045" s="8" t="s">
        <v>13167</v>
      </c>
    </row>
    <row r="1046">
      <c r="A1046" s="8" t="s">
        <v>13168</v>
      </c>
    </row>
    <row r="1047">
      <c r="A1047" s="8" t="s">
        <v>13169</v>
      </c>
    </row>
    <row r="1048">
      <c r="A1048" s="8" t="s">
        <v>13170</v>
      </c>
    </row>
    <row r="1049">
      <c r="A1049" s="8" t="s">
        <v>13171</v>
      </c>
    </row>
    <row r="1050">
      <c r="A1050" s="8" t="s">
        <v>13172</v>
      </c>
    </row>
    <row r="1051">
      <c r="A1051" s="8" t="s">
        <v>13173</v>
      </c>
    </row>
    <row r="1052">
      <c r="A1052" s="8" t="s">
        <v>13174</v>
      </c>
    </row>
    <row r="1053">
      <c r="A1053" s="8" t="s">
        <v>13175</v>
      </c>
    </row>
    <row r="1054">
      <c r="A1054" s="8" t="s">
        <v>13176</v>
      </c>
    </row>
    <row r="1055">
      <c r="A1055" s="8" t="s">
        <v>13177</v>
      </c>
    </row>
    <row r="1056">
      <c r="A1056" s="8" t="s">
        <v>13178</v>
      </c>
    </row>
    <row r="1057">
      <c r="A1057" s="8" t="s">
        <v>13179</v>
      </c>
    </row>
    <row r="1058">
      <c r="A1058" s="8" t="s">
        <v>13180</v>
      </c>
    </row>
    <row r="1059">
      <c r="A1059" s="8" t="s">
        <v>13181</v>
      </c>
    </row>
    <row r="1060">
      <c r="A1060" s="8" t="s">
        <v>13182</v>
      </c>
    </row>
    <row r="1061">
      <c r="A1061" s="8" t="s">
        <v>13183</v>
      </c>
    </row>
    <row r="1062">
      <c r="A1062" s="8" t="s">
        <v>13184</v>
      </c>
    </row>
    <row r="1063">
      <c r="A1063" s="8" t="s">
        <v>13185</v>
      </c>
    </row>
    <row r="1064">
      <c r="A1064" s="8" t="s">
        <v>13186</v>
      </c>
    </row>
    <row r="1065">
      <c r="A1065" s="8" t="s">
        <v>13187</v>
      </c>
    </row>
    <row r="1066">
      <c r="A1066" s="8" t="s">
        <v>13188</v>
      </c>
    </row>
    <row r="1067">
      <c r="A1067" s="8" t="s">
        <v>13189</v>
      </c>
    </row>
    <row r="1068">
      <c r="A1068" s="8" t="s">
        <v>13190</v>
      </c>
    </row>
    <row r="1069">
      <c r="A1069" s="8" t="s">
        <v>13191</v>
      </c>
    </row>
    <row r="1070">
      <c r="A1070" s="8" t="s">
        <v>13192</v>
      </c>
    </row>
    <row r="1071">
      <c r="A1071" s="8" t="s">
        <v>13193</v>
      </c>
    </row>
    <row r="1072">
      <c r="A1072" s="8" t="s">
        <v>13194</v>
      </c>
    </row>
    <row r="1073">
      <c r="A1073" s="8" t="s">
        <v>13195</v>
      </c>
    </row>
    <row r="1074">
      <c r="A1074" s="8" t="s">
        <v>13196</v>
      </c>
    </row>
    <row r="1075">
      <c r="A1075" s="8" t="s">
        <v>13197</v>
      </c>
    </row>
    <row r="1076">
      <c r="A1076" s="8" t="s">
        <v>13198</v>
      </c>
    </row>
    <row r="1077">
      <c r="A1077" s="8" t="s">
        <v>13199</v>
      </c>
    </row>
    <row r="1078">
      <c r="A1078" s="8" t="s">
        <v>13200</v>
      </c>
    </row>
    <row r="1079">
      <c r="A1079" s="8" t="s">
        <v>13201</v>
      </c>
    </row>
    <row r="1080">
      <c r="A1080" s="8" t="s">
        <v>13202</v>
      </c>
    </row>
    <row r="1081">
      <c r="A1081" s="8" t="s">
        <v>13203</v>
      </c>
    </row>
    <row r="1082">
      <c r="A1082" s="8" t="s">
        <v>13204</v>
      </c>
    </row>
    <row r="1083">
      <c r="A1083" s="8" t="s">
        <v>13205</v>
      </c>
    </row>
    <row r="1084">
      <c r="A1084" s="8" t="s">
        <v>13206</v>
      </c>
    </row>
    <row r="1085">
      <c r="A1085" s="8" t="s">
        <v>13207</v>
      </c>
    </row>
    <row r="1086">
      <c r="A1086" s="8" t="s">
        <v>13208</v>
      </c>
    </row>
    <row r="1087">
      <c r="A1087" s="8" t="s">
        <v>13209</v>
      </c>
    </row>
    <row r="1088">
      <c r="A1088" s="8" t="s">
        <v>13210</v>
      </c>
    </row>
    <row r="1089">
      <c r="A1089" s="8" t="s">
        <v>13211</v>
      </c>
    </row>
    <row r="1090">
      <c r="A1090" s="8" t="s">
        <v>13212</v>
      </c>
    </row>
    <row r="1091">
      <c r="A1091" s="8" t="s">
        <v>13213</v>
      </c>
    </row>
    <row r="1092">
      <c r="A1092" s="8" t="s">
        <v>13214</v>
      </c>
    </row>
    <row r="1093">
      <c r="A1093" s="8" t="s">
        <v>13215</v>
      </c>
    </row>
    <row r="1094">
      <c r="A1094" s="8" t="s">
        <v>13216</v>
      </c>
    </row>
    <row r="1095">
      <c r="A1095" s="8" t="s">
        <v>13217</v>
      </c>
    </row>
    <row r="1096">
      <c r="A1096" s="8" t="s">
        <v>13218</v>
      </c>
    </row>
    <row r="1097">
      <c r="A1097" s="8" t="s">
        <v>13219</v>
      </c>
    </row>
    <row r="1098">
      <c r="A1098" s="8" t="s">
        <v>13220</v>
      </c>
    </row>
    <row r="1099">
      <c r="A1099" s="8" t="s">
        <v>13221</v>
      </c>
    </row>
    <row r="1100">
      <c r="A1100" s="8" t="s">
        <v>13222</v>
      </c>
    </row>
    <row r="1101">
      <c r="A1101" s="8" t="s">
        <v>13223</v>
      </c>
    </row>
    <row r="1102">
      <c r="A1102" s="8" t="s">
        <v>13224</v>
      </c>
    </row>
    <row r="1103">
      <c r="A1103" s="8" t="s">
        <v>13225</v>
      </c>
    </row>
    <row r="1104">
      <c r="A1104" s="8" t="s">
        <v>13226</v>
      </c>
    </row>
    <row r="1105">
      <c r="A1105" s="8" t="s">
        <v>13227</v>
      </c>
    </row>
    <row r="1106">
      <c r="A1106" s="8" t="s">
        <v>13228</v>
      </c>
    </row>
    <row r="1107">
      <c r="A1107" s="8" t="s">
        <v>13229</v>
      </c>
    </row>
    <row r="1108">
      <c r="A1108" s="8" t="s">
        <v>13230</v>
      </c>
    </row>
    <row r="1109">
      <c r="A1109" s="8" t="s">
        <v>13231</v>
      </c>
    </row>
    <row r="1110">
      <c r="A1110" s="8" t="s">
        <v>13232</v>
      </c>
    </row>
    <row r="1111">
      <c r="A1111" s="8" t="s">
        <v>13233</v>
      </c>
    </row>
    <row r="1112">
      <c r="A1112" s="8" t="s">
        <v>13234</v>
      </c>
    </row>
    <row r="1113">
      <c r="A1113" s="8" t="s">
        <v>13235</v>
      </c>
    </row>
    <row r="1114">
      <c r="A1114" s="8" t="s">
        <v>13236</v>
      </c>
    </row>
    <row r="1115">
      <c r="A1115" s="8" t="s">
        <v>13237</v>
      </c>
    </row>
    <row r="1116">
      <c r="A1116" s="8" t="s">
        <v>13238</v>
      </c>
    </row>
    <row r="1117">
      <c r="A1117" s="8" t="s">
        <v>13239</v>
      </c>
    </row>
    <row r="1118">
      <c r="A1118" s="8" t="s">
        <v>13240</v>
      </c>
    </row>
    <row r="1119">
      <c r="A1119" s="8" t="s">
        <v>13241</v>
      </c>
    </row>
    <row r="1120">
      <c r="A1120" s="8" t="s">
        <v>13242</v>
      </c>
    </row>
    <row r="1121">
      <c r="A1121" s="8" t="s">
        <v>13243</v>
      </c>
    </row>
    <row r="1122">
      <c r="A1122" s="8" t="s">
        <v>13244</v>
      </c>
    </row>
    <row r="1123">
      <c r="A1123" s="8" t="s">
        <v>13245</v>
      </c>
    </row>
    <row r="1124">
      <c r="A1124" s="8" t="s">
        <v>13246</v>
      </c>
    </row>
    <row r="1125">
      <c r="A1125" s="8" t="s">
        <v>13247</v>
      </c>
    </row>
    <row r="1126">
      <c r="A1126" s="8" t="s">
        <v>13248</v>
      </c>
    </row>
    <row r="1127">
      <c r="A1127" s="8" t="s">
        <v>13249</v>
      </c>
    </row>
    <row r="1128">
      <c r="A1128" s="8" t="s">
        <v>13250</v>
      </c>
    </row>
    <row r="1129">
      <c r="A1129" s="8" t="s">
        <v>13251</v>
      </c>
    </row>
    <row r="1130">
      <c r="A1130" s="8" t="s">
        <v>13252</v>
      </c>
    </row>
    <row r="1131">
      <c r="A1131" s="8" t="s">
        <v>13253</v>
      </c>
    </row>
    <row r="1132">
      <c r="A1132" s="8" t="s">
        <v>13254</v>
      </c>
    </row>
    <row r="1133">
      <c r="A1133" s="8" t="s">
        <v>13255</v>
      </c>
    </row>
    <row r="1134">
      <c r="A1134" s="8" t="s">
        <v>13256</v>
      </c>
    </row>
    <row r="1135">
      <c r="A1135" s="8" t="s">
        <v>13257</v>
      </c>
    </row>
    <row r="1136">
      <c r="A1136" s="8" t="s">
        <v>13258</v>
      </c>
    </row>
    <row r="1137">
      <c r="A1137" s="8" t="s">
        <v>13259</v>
      </c>
    </row>
    <row r="1138">
      <c r="A1138" s="8" t="s">
        <v>13260</v>
      </c>
    </row>
    <row r="1139">
      <c r="A1139" s="8" t="s">
        <v>13261</v>
      </c>
    </row>
    <row r="1140">
      <c r="A1140" s="8" t="s">
        <v>13262</v>
      </c>
    </row>
    <row r="1141">
      <c r="A1141" s="8" t="s">
        <v>13263</v>
      </c>
    </row>
    <row r="1142">
      <c r="A1142" s="8" t="s">
        <v>13264</v>
      </c>
    </row>
    <row r="1143">
      <c r="A1143" s="8" t="s">
        <v>13265</v>
      </c>
    </row>
    <row r="1144">
      <c r="A1144" s="8" t="s">
        <v>13266</v>
      </c>
    </row>
    <row r="1145">
      <c r="A1145" s="8" t="s">
        <v>13267</v>
      </c>
    </row>
    <row r="1146">
      <c r="A1146" s="8" t="s">
        <v>13268</v>
      </c>
    </row>
    <row r="1147">
      <c r="A1147" s="8" t="s">
        <v>13269</v>
      </c>
    </row>
    <row r="1148">
      <c r="A1148" s="8" t="s">
        <v>13270</v>
      </c>
    </row>
    <row r="1149">
      <c r="A1149" s="8" t="s">
        <v>13271</v>
      </c>
    </row>
    <row r="1150">
      <c r="A1150" s="8" t="s">
        <v>13272</v>
      </c>
    </row>
    <row r="1151">
      <c r="A1151" s="8" t="s">
        <v>13273</v>
      </c>
    </row>
    <row r="1152">
      <c r="A1152" s="8" t="s">
        <v>13274</v>
      </c>
    </row>
    <row r="1153">
      <c r="A1153" s="8" t="s">
        <v>13275</v>
      </c>
    </row>
    <row r="1154">
      <c r="A1154" s="8" t="s">
        <v>13276</v>
      </c>
    </row>
    <row r="1155">
      <c r="A1155" s="8" t="s">
        <v>13277</v>
      </c>
    </row>
    <row r="1156">
      <c r="A1156" s="8" t="s">
        <v>13278</v>
      </c>
    </row>
    <row r="1157">
      <c r="A1157" s="8" t="s">
        <v>13279</v>
      </c>
    </row>
    <row r="1158">
      <c r="A1158" s="8" t="s">
        <v>13280</v>
      </c>
    </row>
    <row r="1159">
      <c r="A1159" s="8" t="s">
        <v>13281</v>
      </c>
    </row>
    <row r="1160">
      <c r="A1160" s="8" t="s">
        <v>13282</v>
      </c>
    </row>
    <row r="1161">
      <c r="A1161" s="8" t="s">
        <v>13283</v>
      </c>
    </row>
    <row r="1162">
      <c r="A1162" s="8" t="s">
        <v>13284</v>
      </c>
    </row>
    <row r="1163">
      <c r="A1163" s="8" t="s">
        <v>13285</v>
      </c>
    </row>
    <row r="1164">
      <c r="A1164" s="8" t="s">
        <v>13286</v>
      </c>
    </row>
    <row r="1165">
      <c r="A1165" s="8" t="s">
        <v>13287</v>
      </c>
    </row>
    <row r="1166">
      <c r="A1166" s="8" t="s">
        <v>13288</v>
      </c>
    </row>
    <row r="1167">
      <c r="A1167" s="8" t="s">
        <v>13289</v>
      </c>
    </row>
    <row r="1168">
      <c r="A1168" s="8" t="s">
        <v>13290</v>
      </c>
    </row>
    <row r="1169">
      <c r="A1169" s="8" t="s">
        <v>13291</v>
      </c>
    </row>
    <row r="1170">
      <c r="A1170" s="8" t="s">
        <v>13292</v>
      </c>
    </row>
    <row r="1171">
      <c r="A1171" s="8" t="s">
        <v>13293</v>
      </c>
    </row>
    <row r="1172">
      <c r="A1172" s="8" t="s">
        <v>13294</v>
      </c>
    </row>
    <row r="1173">
      <c r="A1173" s="8" t="s">
        <v>13295</v>
      </c>
    </row>
    <row r="1174">
      <c r="A1174" s="8" t="s">
        <v>13296</v>
      </c>
    </row>
    <row r="1175">
      <c r="A1175" s="8" t="s">
        <v>13297</v>
      </c>
    </row>
    <row r="1176">
      <c r="A1176" s="8" t="s">
        <v>13298</v>
      </c>
    </row>
    <row r="1177">
      <c r="A1177" s="8" t="s">
        <v>13299</v>
      </c>
    </row>
    <row r="1178">
      <c r="A1178" s="8" t="s">
        <v>13300</v>
      </c>
    </row>
    <row r="1179">
      <c r="A1179" s="8" t="s">
        <v>13301</v>
      </c>
    </row>
    <row r="1180">
      <c r="A1180" s="8" t="s">
        <v>13302</v>
      </c>
    </row>
    <row r="1181">
      <c r="A1181" s="8" t="s">
        <v>13303</v>
      </c>
    </row>
    <row r="1182">
      <c r="A1182" s="8" t="s">
        <v>13304</v>
      </c>
    </row>
    <row r="1183">
      <c r="A1183" s="8" t="s">
        <v>13305</v>
      </c>
    </row>
    <row r="1184">
      <c r="A1184" s="8" t="s">
        <v>13306</v>
      </c>
    </row>
    <row r="1185">
      <c r="A1185" s="8" t="s">
        <v>13307</v>
      </c>
    </row>
    <row r="1186">
      <c r="A1186" s="8" t="s">
        <v>13308</v>
      </c>
    </row>
    <row r="1187">
      <c r="A1187" s="8" t="s">
        <v>13309</v>
      </c>
    </row>
    <row r="1188">
      <c r="A1188" s="8" t="s">
        <v>13310</v>
      </c>
    </row>
    <row r="1189">
      <c r="A1189" s="8" t="s">
        <v>13311</v>
      </c>
    </row>
    <row r="1190">
      <c r="A1190" s="8" t="s">
        <v>13312</v>
      </c>
    </row>
    <row r="1191">
      <c r="A1191" s="8" t="s">
        <v>13313</v>
      </c>
    </row>
    <row r="1192">
      <c r="A1192" s="8" t="s">
        <v>13314</v>
      </c>
    </row>
    <row r="1193">
      <c r="A1193" s="8" t="s">
        <v>13315</v>
      </c>
    </row>
    <row r="1194">
      <c r="A1194" s="8" t="s">
        <v>13316</v>
      </c>
    </row>
    <row r="1195">
      <c r="A1195" s="8" t="s">
        <v>13317</v>
      </c>
    </row>
    <row r="1196">
      <c r="A1196" s="8" t="s">
        <v>13318</v>
      </c>
    </row>
    <row r="1197">
      <c r="A1197" s="8" t="s">
        <v>13319</v>
      </c>
    </row>
    <row r="1198">
      <c r="A1198" s="8" t="s">
        <v>13320</v>
      </c>
    </row>
    <row r="1199">
      <c r="A1199" s="8" t="s">
        <v>13321</v>
      </c>
    </row>
    <row r="1200">
      <c r="A1200" s="8" t="s">
        <v>13322</v>
      </c>
    </row>
    <row r="1201">
      <c r="A1201" s="8" t="s">
        <v>13323</v>
      </c>
    </row>
    <row r="1202">
      <c r="A1202" s="8" t="s">
        <v>13324</v>
      </c>
    </row>
    <row r="1203">
      <c r="A1203" s="8" t="s">
        <v>13325</v>
      </c>
    </row>
    <row r="1204">
      <c r="A1204" s="8" t="s">
        <v>13326</v>
      </c>
    </row>
    <row r="1205">
      <c r="A1205" s="8" t="s">
        <v>13327</v>
      </c>
    </row>
    <row r="1206">
      <c r="A1206" s="8" t="s">
        <v>13328</v>
      </c>
    </row>
    <row r="1207">
      <c r="A1207" s="8" t="s">
        <v>13329</v>
      </c>
    </row>
    <row r="1208">
      <c r="A1208" s="8" t="s">
        <v>13330</v>
      </c>
    </row>
    <row r="1209">
      <c r="A1209" s="8" t="s">
        <v>13331</v>
      </c>
    </row>
    <row r="1210">
      <c r="A1210" s="8" t="s">
        <v>13332</v>
      </c>
    </row>
    <row r="1211">
      <c r="A1211" s="8" t="s">
        <v>13333</v>
      </c>
    </row>
    <row r="1212">
      <c r="A1212" s="8" t="s">
        <v>13334</v>
      </c>
    </row>
    <row r="1213">
      <c r="A1213" s="8" t="s">
        <v>13335</v>
      </c>
    </row>
    <row r="1214">
      <c r="A1214" s="8" t="s">
        <v>13336</v>
      </c>
    </row>
    <row r="1215">
      <c r="A1215" s="8" t="s">
        <v>13337</v>
      </c>
    </row>
    <row r="1216">
      <c r="A1216" s="8" t="s">
        <v>13338</v>
      </c>
    </row>
    <row r="1217">
      <c r="A1217" s="8" t="s">
        <v>13339</v>
      </c>
    </row>
    <row r="1218">
      <c r="A1218" s="8" t="s">
        <v>13340</v>
      </c>
    </row>
    <row r="1219">
      <c r="A1219" s="8" t="s">
        <v>13341</v>
      </c>
    </row>
    <row r="1220">
      <c r="A1220" s="8" t="s">
        <v>13342</v>
      </c>
    </row>
    <row r="1221">
      <c r="A1221" s="8" t="s">
        <v>13343</v>
      </c>
    </row>
    <row r="1222">
      <c r="A1222" s="8" t="s">
        <v>13344</v>
      </c>
    </row>
    <row r="1223">
      <c r="A1223" s="8" t="s">
        <v>13345</v>
      </c>
    </row>
    <row r="1224">
      <c r="A1224" s="8" t="s">
        <v>13346</v>
      </c>
    </row>
    <row r="1225">
      <c r="A1225" s="8" t="s">
        <v>13347</v>
      </c>
    </row>
    <row r="1226">
      <c r="A1226" s="8" t="s">
        <v>13348</v>
      </c>
    </row>
    <row r="1227">
      <c r="A1227" s="8" t="s">
        <v>13349</v>
      </c>
    </row>
    <row r="1228">
      <c r="A1228" s="8" t="s">
        <v>13350</v>
      </c>
    </row>
    <row r="1229">
      <c r="A1229" s="8" t="s">
        <v>13351</v>
      </c>
    </row>
    <row r="1230">
      <c r="A1230" s="8" t="s">
        <v>13352</v>
      </c>
    </row>
    <row r="1231">
      <c r="A1231" s="8" t="s">
        <v>13353</v>
      </c>
    </row>
    <row r="1232">
      <c r="A1232" s="8" t="s">
        <v>13354</v>
      </c>
    </row>
    <row r="1233">
      <c r="A1233" s="8" t="s">
        <v>13355</v>
      </c>
    </row>
    <row r="1234">
      <c r="A1234" s="8" t="s">
        <v>13356</v>
      </c>
    </row>
    <row r="1235">
      <c r="A1235" s="8" t="s">
        <v>13357</v>
      </c>
    </row>
    <row r="1236">
      <c r="A1236" s="8" t="s">
        <v>13358</v>
      </c>
    </row>
    <row r="1237">
      <c r="A1237" s="8" t="s">
        <v>13359</v>
      </c>
    </row>
    <row r="1238">
      <c r="A1238" s="8" t="s">
        <v>13360</v>
      </c>
    </row>
    <row r="1239">
      <c r="A1239" s="8" t="s">
        <v>13361</v>
      </c>
    </row>
    <row r="1240">
      <c r="A1240" s="8" t="s">
        <v>13362</v>
      </c>
    </row>
    <row r="1241">
      <c r="A1241" s="8" t="s">
        <v>13363</v>
      </c>
    </row>
    <row r="1242">
      <c r="A1242" s="8" t="s">
        <v>13364</v>
      </c>
    </row>
    <row r="1243">
      <c r="A1243" s="8" t="s">
        <v>13365</v>
      </c>
    </row>
    <row r="1244">
      <c r="A1244" s="8" t="s">
        <v>13366</v>
      </c>
    </row>
    <row r="1245">
      <c r="A1245" s="8" t="s">
        <v>13367</v>
      </c>
    </row>
    <row r="1246">
      <c r="A1246" s="8" t="s">
        <v>13368</v>
      </c>
    </row>
    <row r="1247">
      <c r="A1247" s="8" t="s">
        <v>13369</v>
      </c>
    </row>
    <row r="1248">
      <c r="A1248" s="8" t="s">
        <v>13370</v>
      </c>
    </row>
    <row r="1249">
      <c r="A1249" s="8" t="s">
        <v>13371</v>
      </c>
    </row>
    <row r="1250">
      <c r="A1250" s="8" t="s">
        <v>13372</v>
      </c>
    </row>
    <row r="1251">
      <c r="A1251" s="8" t="s">
        <v>13373</v>
      </c>
    </row>
    <row r="1252">
      <c r="A1252" s="8" t="s">
        <v>13374</v>
      </c>
    </row>
    <row r="1253">
      <c r="A1253" s="8" t="s">
        <v>13375</v>
      </c>
    </row>
    <row r="1254">
      <c r="A1254" s="8" t="s">
        <v>13376</v>
      </c>
    </row>
    <row r="1255">
      <c r="A1255" s="8" t="s">
        <v>13377</v>
      </c>
    </row>
    <row r="1256">
      <c r="A1256" s="8" t="s">
        <v>13378</v>
      </c>
    </row>
    <row r="1257">
      <c r="A1257" s="8" t="s">
        <v>13379</v>
      </c>
    </row>
    <row r="1258">
      <c r="A1258" s="8" t="s">
        <v>13380</v>
      </c>
    </row>
    <row r="1259">
      <c r="A1259" s="8" t="s">
        <v>13381</v>
      </c>
    </row>
    <row r="1260">
      <c r="A1260" s="8" t="s">
        <v>13382</v>
      </c>
    </row>
    <row r="1261">
      <c r="A1261" s="8" t="s">
        <v>13383</v>
      </c>
    </row>
    <row r="1262">
      <c r="A1262" s="8" t="s">
        <v>13384</v>
      </c>
    </row>
    <row r="1263">
      <c r="A1263" s="8" t="s">
        <v>13385</v>
      </c>
    </row>
    <row r="1264">
      <c r="A1264" s="8" t="s">
        <v>13386</v>
      </c>
    </row>
    <row r="1265">
      <c r="A1265" s="8" t="s">
        <v>13387</v>
      </c>
    </row>
    <row r="1266">
      <c r="A1266" s="8" t="s">
        <v>13388</v>
      </c>
    </row>
    <row r="1267">
      <c r="A1267" s="8" t="s">
        <v>13389</v>
      </c>
    </row>
    <row r="1268">
      <c r="A1268" s="8" t="s">
        <v>13390</v>
      </c>
    </row>
    <row r="1269">
      <c r="A1269" s="8" t="s">
        <v>13391</v>
      </c>
    </row>
    <row r="1270">
      <c r="A1270" s="8" t="s">
        <v>13392</v>
      </c>
    </row>
    <row r="1271">
      <c r="A1271" s="8" t="s">
        <v>13393</v>
      </c>
    </row>
    <row r="1272">
      <c r="A1272" s="8" t="s">
        <v>13394</v>
      </c>
    </row>
    <row r="1273">
      <c r="A1273" s="8" t="s">
        <v>13395</v>
      </c>
    </row>
    <row r="1274">
      <c r="A1274" s="8" t="s">
        <v>13396</v>
      </c>
    </row>
    <row r="1275">
      <c r="A1275" s="8" t="s">
        <v>13397</v>
      </c>
    </row>
    <row r="1276">
      <c r="A1276" s="8" t="s">
        <v>13398</v>
      </c>
    </row>
    <row r="1277">
      <c r="A1277" s="8" t="s">
        <v>13399</v>
      </c>
    </row>
    <row r="1278">
      <c r="A1278" s="8" t="s">
        <v>13400</v>
      </c>
    </row>
    <row r="1279">
      <c r="A1279" s="8" t="s">
        <v>13401</v>
      </c>
    </row>
    <row r="1280">
      <c r="A1280" s="8" t="s">
        <v>13402</v>
      </c>
    </row>
    <row r="1281">
      <c r="A1281" s="8" t="s">
        <v>13403</v>
      </c>
    </row>
    <row r="1282">
      <c r="A1282" s="8" t="s">
        <v>13404</v>
      </c>
    </row>
    <row r="1283">
      <c r="A1283" s="8" t="s">
        <v>13405</v>
      </c>
    </row>
    <row r="1284">
      <c r="A1284" s="8" t="s">
        <v>13406</v>
      </c>
    </row>
    <row r="1285">
      <c r="A1285" s="8" t="s">
        <v>13407</v>
      </c>
    </row>
    <row r="1286">
      <c r="A1286" s="8" t="s">
        <v>13408</v>
      </c>
    </row>
    <row r="1287">
      <c r="A1287" s="8" t="s">
        <v>13409</v>
      </c>
    </row>
    <row r="1288">
      <c r="A1288" s="8" t="s">
        <v>13410</v>
      </c>
    </row>
    <row r="1289">
      <c r="A1289" s="8" t="s">
        <v>13411</v>
      </c>
    </row>
    <row r="1290">
      <c r="A1290" s="8" t="s">
        <v>13412</v>
      </c>
    </row>
    <row r="1291">
      <c r="A1291" s="8" t="s">
        <v>13413</v>
      </c>
    </row>
    <row r="1292">
      <c r="A1292" s="8" t="s">
        <v>13414</v>
      </c>
    </row>
    <row r="1293">
      <c r="A1293" s="8" t="s">
        <v>13415</v>
      </c>
    </row>
    <row r="1294">
      <c r="A1294" s="8" t="s">
        <v>13416</v>
      </c>
    </row>
    <row r="1295">
      <c r="A1295" s="8" t="s">
        <v>13417</v>
      </c>
    </row>
    <row r="1296">
      <c r="A1296" s="8" t="s">
        <v>13418</v>
      </c>
    </row>
    <row r="1297">
      <c r="A1297" s="8" t="s">
        <v>13419</v>
      </c>
    </row>
    <row r="1298">
      <c r="A1298" s="8" t="s">
        <v>13420</v>
      </c>
    </row>
    <row r="1299">
      <c r="A1299" s="8" t="s">
        <v>13421</v>
      </c>
    </row>
    <row r="1300">
      <c r="A1300" s="8" t="s">
        <v>13422</v>
      </c>
    </row>
    <row r="1301">
      <c r="A1301" s="8" t="s">
        <v>13423</v>
      </c>
    </row>
    <row r="1302">
      <c r="A1302" s="8" t="s">
        <v>13424</v>
      </c>
    </row>
    <row r="1303">
      <c r="A1303" s="8" t="s">
        <v>13425</v>
      </c>
    </row>
    <row r="1304">
      <c r="A1304" s="8" t="s">
        <v>13426</v>
      </c>
    </row>
    <row r="1305">
      <c r="A1305" s="8" t="s">
        <v>13427</v>
      </c>
    </row>
    <row r="1306">
      <c r="A1306" s="8" t="s">
        <v>13428</v>
      </c>
    </row>
    <row r="1307">
      <c r="A1307" s="8" t="s">
        <v>13429</v>
      </c>
    </row>
    <row r="1308">
      <c r="A1308" s="8" t="s">
        <v>13430</v>
      </c>
    </row>
    <row r="1309">
      <c r="A1309" s="8" t="s">
        <v>13431</v>
      </c>
    </row>
    <row r="1310">
      <c r="A1310" s="8" t="s">
        <v>13432</v>
      </c>
    </row>
    <row r="1311">
      <c r="A1311" s="8" t="s">
        <v>13433</v>
      </c>
    </row>
    <row r="1312">
      <c r="A1312" s="8" t="s">
        <v>13434</v>
      </c>
    </row>
    <row r="1313">
      <c r="A1313" s="8" t="s">
        <v>13435</v>
      </c>
    </row>
    <row r="1314">
      <c r="A1314" s="8" t="s">
        <v>13436</v>
      </c>
    </row>
    <row r="1315">
      <c r="A1315" s="8" t="s">
        <v>13437</v>
      </c>
    </row>
    <row r="1316">
      <c r="A1316" s="8" t="s">
        <v>13438</v>
      </c>
    </row>
    <row r="1317">
      <c r="A1317" s="8" t="s">
        <v>13439</v>
      </c>
    </row>
    <row r="1318">
      <c r="A1318" s="8" t="s">
        <v>13440</v>
      </c>
    </row>
    <row r="1319">
      <c r="A1319" s="8" t="s">
        <v>13441</v>
      </c>
    </row>
    <row r="1320">
      <c r="A1320" s="8" t="s">
        <v>13442</v>
      </c>
    </row>
    <row r="1321">
      <c r="A1321" s="8" t="s">
        <v>13443</v>
      </c>
    </row>
    <row r="1322">
      <c r="A1322" s="8" t="s">
        <v>13444</v>
      </c>
    </row>
    <row r="1323">
      <c r="A1323" s="8" t="s">
        <v>13445</v>
      </c>
    </row>
    <row r="1324">
      <c r="A1324" s="8" t="s">
        <v>13446</v>
      </c>
    </row>
    <row r="1325">
      <c r="A1325" s="8" t="s">
        <v>13447</v>
      </c>
    </row>
    <row r="1326">
      <c r="A1326" s="8" t="s">
        <v>13448</v>
      </c>
    </row>
    <row r="1327">
      <c r="A1327" s="8" t="s">
        <v>13449</v>
      </c>
    </row>
    <row r="1328">
      <c r="A1328" s="8" t="s">
        <v>13450</v>
      </c>
    </row>
    <row r="1329">
      <c r="A1329" s="8" t="s">
        <v>13451</v>
      </c>
    </row>
    <row r="1330">
      <c r="A1330" s="8" t="s">
        <v>13452</v>
      </c>
    </row>
    <row r="1331">
      <c r="A1331" s="8" t="s">
        <v>13453</v>
      </c>
    </row>
    <row r="1332">
      <c r="A1332" s="8" t="s">
        <v>13454</v>
      </c>
    </row>
    <row r="1333">
      <c r="A1333" s="8" t="s">
        <v>13455</v>
      </c>
    </row>
    <row r="1334">
      <c r="A1334" s="8" t="s">
        <v>13456</v>
      </c>
    </row>
    <row r="1335">
      <c r="A1335" s="8" t="s">
        <v>13457</v>
      </c>
    </row>
    <row r="1336">
      <c r="A1336" s="8" t="s">
        <v>13458</v>
      </c>
    </row>
    <row r="1337">
      <c r="A1337" s="8" t="s">
        <v>13459</v>
      </c>
    </row>
    <row r="1338">
      <c r="A1338" s="8" t="s">
        <v>13460</v>
      </c>
    </row>
    <row r="1339">
      <c r="A1339" s="8" t="s">
        <v>13461</v>
      </c>
    </row>
    <row r="1340">
      <c r="A1340" s="8" t="s">
        <v>13462</v>
      </c>
    </row>
    <row r="1341">
      <c r="A1341" s="8" t="s">
        <v>13463</v>
      </c>
    </row>
    <row r="1342">
      <c r="A1342" s="8" t="s">
        <v>13464</v>
      </c>
    </row>
    <row r="1343">
      <c r="A1343" s="8" t="s">
        <v>13465</v>
      </c>
    </row>
    <row r="1344">
      <c r="A1344" s="8" t="s">
        <v>13466</v>
      </c>
    </row>
    <row r="1345">
      <c r="A1345" s="8" t="s">
        <v>13467</v>
      </c>
    </row>
    <row r="1346">
      <c r="A1346" s="8" t="s">
        <v>13468</v>
      </c>
    </row>
    <row r="1347">
      <c r="A1347" s="8" t="s">
        <v>13469</v>
      </c>
    </row>
    <row r="1348">
      <c r="A1348" s="8" t="s">
        <v>13470</v>
      </c>
    </row>
    <row r="1349">
      <c r="A1349" s="8" t="s">
        <v>13471</v>
      </c>
    </row>
    <row r="1350">
      <c r="A1350" s="8" t="s">
        <v>13472</v>
      </c>
    </row>
    <row r="1351">
      <c r="A1351" s="8" t="s">
        <v>13473</v>
      </c>
    </row>
    <row r="1352">
      <c r="A1352" s="8" t="s">
        <v>13474</v>
      </c>
    </row>
    <row r="1353">
      <c r="A1353" s="8" t="s">
        <v>13475</v>
      </c>
    </row>
    <row r="1354">
      <c r="A1354" s="8" t="s">
        <v>13476</v>
      </c>
    </row>
    <row r="1355">
      <c r="A1355" s="8" t="s">
        <v>13477</v>
      </c>
    </row>
    <row r="1356">
      <c r="A1356" s="8" t="s">
        <v>13478</v>
      </c>
    </row>
    <row r="1357">
      <c r="A1357" s="8" t="s">
        <v>13479</v>
      </c>
    </row>
    <row r="1358">
      <c r="A1358" s="8" t="s">
        <v>13480</v>
      </c>
    </row>
    <row r="1359">
      <c r="A1359" s="8" t="s">
        <v>13481</v>
      </c>
    </row>
    <row r="1360">
      <c r="A1360" s="8" t="s">
        <v>13482</v>
      </c>
    </row>
    <row r="1361">
      <c r="A1361" s="8" t="s">
        <v>13483</v>
      </c>
    </row>
    <row r="1362">
      <c r="A1362" s="8" t="s">
        <v>13484</v>
      </c>
    </row>
    <row r="1363">
      <c r="A1363" s="8" t="s">
        <v>13485</v>
      </c>
    </row>
    <row r="1364">
      <c r="A1364" s="8" t="s">
        <v>13486</v>
      </c>
    </row>
    <row r="1365">
      <c r="A1365" s="8" t="s">
        <v>13487</v>
      </c>
    </row>
    <row r="1366">
      <c r="A1366" s="8" t="s">
        <v>13488</v>
      </c>
    </row>
    <row r="1367">
      <c r="A1367" s="8" t="s">
        <v>13489</v>
      </c>
    </row>
    <row r="1368">
      <c r="A1368" s="8" t="s">
        <v>13490</v>
      </c>
    </row>
    <row r="1369">
      <c r="A1369" s="8" t="s">
        <v>13491</v>
      </c>
    </row>
    <row r="1370">
      <c r="A1370" s="8" t="s">
        <v>13492</v>
      </c>
    </row>
    <row r="1371">
      <c r="A1371" s="8" t="s">
        <v>13493</v>
      </c>
    </row>
    <row r="1372">
      <c r="A1372" s="8" t="s">
        <v>13494</v>
      </c>
    </row>
    <row r="1373">
      <c r="A1373" s="8" t="s">
        <v>13495</v>
      </c>
    </row>
    <row r="1374">
      <c r="A1374" s="8" t="s">
        <v>13496</v>
      </c>
    </row>
    <row r="1375">
      <c r="A1375" s="8" t="s">
        <v>13497</v>
      </c>
    </row>
    <row r="1376">
      <c r="A1376" s="8" t="s">
        <v>13498</v>
      </c>
    </row>
    <row r="1377">
      <c r="A1377" s="8" t="s">
        <v>13499</v>
      </c>
    </row>
    <row r="1378">
      <c r="A1378" s="8" t="s">
        <v>13500</v>
      </c>
    </row>
    <row r="1379">
      <c r="A1379" s="8" t="s">
        <v>13501</v>
      </c>
    </row>
    <row r="1380">
      <c r="A1380" s="8" t="s">
        <v>13502</v>
      </c>
    </row>
    <row r="1381">
      <c r="A1381" s="8" t="s">
        <v>13503</v>
      </c>
    </row>
    <row r="1382">
      <c r="A1382" s="8" t="s">
        <v>13504</v>
      </c>
    </row>
    <row r="1383">
      <c r="A1383" s="8" t="s">
        <v>13505</v>
      </c>
    </row>
    <row r="1384">
      <c r="A1384" s="8" t="s">
        <v>13506</v>
      </c>
    </row>
    <row r="1385">
      <c r="A1385" s="8" t="s">
        <v>13507</v>
      </c>
    </row>
    <row r="1386">
      <c r="A1386" s="8" t="s">
        <v>13508</v>
      </c>
    </row>
    <row r="1387">
      <c r="A1387" s="8" t="s">
        <v>13509</v>
      </c>
    </row>
    <row r="1388">
      <c r="A1388" s="8" t="s">
        <v>13510</v>
      </c>
    </row>
    <row r="1389">
      <c r="A1389" s="8" t="s">
        <v>13511</v>
      </c>
    </row>
    <row r="1390">
      <c r="A1390" s="8" t="s">
        <v>13512</v>
      </c>
    </row>
    <row r="1391">
      <c r="A1391" s="8" t="s">
        <v>13513</v>
      </c>
    </row>
    <row r="1392">
      <c r="A1392" s="8" t="s">
        <v>13514</v>
      </c>
    </row>
    <row r="1393">
      <c r="A1393" s="8" t="s">
        <v>13515</v>
      </c>
    </row>
    <row r="1394">
      <c r="A1394" s="8" t="s">
        <v>13516</v>
      </c>
    </row>
    <row r="1395">
      <c r="A1395" s="8" t="s">
        <v>13517</v>
      </c>
    </row>
    <row r="1396">
      <c r="A1396" s="8" t="s">
        <v>13518</v>
      </c>
    </row>
    <row r="1397">
      <c r="A1397" s="8" t="s">
        <v>13519</v>
      </c>
    </row>
    <row r="1398">
      <c r="A1398" s="8" t="s">
        <v>13520</v>
      </c>
    </row>
    <row r="1399">
      <c r="A1399" s="8" t="s">
        <v>13521</v>
      </c>
    </row>
    <row r="1400">
      <c r="A1400" s="8" t="s">
        <v>13522</v>
      </c>
    </row>
    <row r="1401">
      <c r="A1401" s="8" t="s">
        <v>13523</v>
      </c>
    </row>
    <row r="1402">
      <c r="A1402" s="8" t="s">
        <v>13524</v>
      </c>
    </row>
    <row r="1403">
      <c r="A1403" s="8" t="s">
        <v>13525</v>
      </c>
    </row>
    <row r="1404">
      <c r="A1404" s="8" t="s">
        <v>13526</v>
      </c>
    </row>
    <row r="1405">
      <c r="A1405" s="8" t="s">
        <v>13527</v>
      </c>
    </row>
    <row r="1406">
      <c r="A1406" s="8" t="s">
        <v>13528</v>
      </c>
    </row>
    <row r="1407">
      <c r="A1407" s="8" t="s">
        <v>13529</v>
      </c>
    </row>
    <row r="1408">
      <c r="A1408" s="8" t="s">
        <v>13530</v>
      </c>
    </row>
    <row r="1409">
      <c r="A1409" s="8" t="s">
        <v>13531</v>
      </c>
    </row>
    <row r="1410">
      <c r="A1410" s="8" t="s">
        <v>13532</v>
      </c>
    </row>
    <row r="1411">
      <c r="A1411" s="8" t="s">
        <v>13533</v>
      </c>
    </row>
    <row r="1412">
      <c r="A1412" s="8" t="s">
        <v>13534</v>
      </c>
    </row>
    <row r="1413">
      <c r="A1413" s="8" t="s">
        <v>13535</v>
      </c>
    </row>
    <row r="1414">
      <c r="A1414" s="8" t="s">
        <v>13536</v>
      </c>
    </row>
    <row r="1415">
      <c r="A1415" s="8" t="s">
        <v>13537</v>
      </c>
    </row>
    <row r="1416">
      <c r="A1416" s="8" t="s">
        <v>13538</v>
      </c>
    </row>
    <row r="1417">
      <c r="A1417" s="8" t="s">
        <v>13539</v>
      </c>
    </row>
    <row r="1418">
      <c r="A1418" s="8" t="s">
        <v>13540</v>
      </c>
    </row>
    <row r="1419">
      <c r="A1419" s="8" t="s">
        <v>13541</v>
      </c>
    </row>
    <row r="1420">
      <c r="A1420" s="8" t="s">
        <v>13542</v>
      </c>
    </row>
    <row r="1421">
      <c r="A1421" s="8" t="s">
        <v>13543</v>
      </c>
    </row>
    <row r="1422">
      <c r="A1422" s="8" t="s">
        <v>13544</v>
      </c>
    </row>
    <row r="1423">
      <c r="A1423" s="8" t="s">
        <v>13545</v>
      </c>
    </row>
    <row r="1424">
      <c r="A1424" s="8" t="s">
        <v>13546</v>
      </c>
    </row>
    <row r="1425">
      <c r="A1425" s="8" t="s">
        <v>13547</v>
      </c>
    </row>
    <row r="1426">
      <c r="A1426" s="8" t="s">
        <v>13548</v>
      </c>
    </row>
    <row r="1427">
      <c r="A1427" s="8" t="s">
        <v>13549</v>
      </c>
    </row>
    <row r="1428">
      <c r="A1428" s="8" t="s">
        <v>13550</v>
      </c>
    </row>
    <row r="1429">
      <c r="A1429" s="8" t="s">
        <v>13551</v>
      </c>
    </row>
    <row r="1430">
      <c r="A1430" s="8" t="s">
        <v>13552</v>
      </c>
    </row>
    <row r="1431">
      <c r="A1431" s="8" t="s">
        <v>13553</v>
      </c>
    </row>
    <row r="1432">
      <c r="A1432" s="8" t="s">
        <v>13554</v>
      </c>
    </row>
    <row r="1433">
      <c r="A1433" s="8" t="s">
        <v>13555</v>
      </c>
    </row>
    <row r="1434">
      <c r="A1434" s="8" t="s">
        <v>13556</v>
      </c>
    </row>
    <row r="1435">
      <c r="A1435" s="8" t="s">
        <v>13557</v>
      </c>
    </row>
    <row r="1436">
      <c r="A1436" s="8" t="s">
        <v>13558</v>
      </c>
    </row>
    <row r="1437">
      <c r="A1437" s="8" t="s">
        <v>13559</v>
      </c>
    </row>
    <row r="1438">
      <c r="A1438" s="8" t="s">
        <v>13560</v>
      </c>
    </row>
    <row r="1439">
      <c r="A1439" s="8" t="s">
        <v>13561</v>
      </c>
    </row>
    <row r="1440">
      <c r="A1440" s="8" t="s">
        <v>13562</v>
      </c>
    </row>
    <row r="1441">
      <c r="A1441" s="8" t="s">
        <v>13563</v>
      </c>
    </row>
    <row r="1442">
      <c r="A1442" s="8" t="s">
        <v>13564</v>
      </c>
    </row>
    <row r="1443">
      <c r="A1443" s="8" t="s">
        <v>13565</v>
      </c>
    </row>
    <row r="1444">
      <c r="A1444" s="8" t="s">
        <v>13566</v>
      </c>
    </row>
    <row r="1445">
      <c r="A1445" s="8" t="s">
        <v>13567</v>
      </c>
    </row>
    <row r="1446">
      <c r="A1446" s="8" t="s">
        <v>13568</v>
      </c>
    </row>
    <row r="1447">
      <c r="A1447" s="8" t="s">
        <v>13569</v>
      </c>
    </row>
    <row r="1448">
      <c r="A1448" s="8" t="s">
        <v>13570</v>
      </c>
    </row>
    <row r="1449">
      <c r="A1449" s="8" t="s">
        <v>13571</v>
      </c>
    </row>
    <row r="1450">
      <c r="A1450" s="8" t="s">
        <v>13572</v>
      </c>
    </row>
    <row r="1451">
      <c r="A1451" s="8" t="s">
        <v>13573</v>
      </c>
    </row>
    <row r="1452">
      <c r="A1452" s="8" t="s">
        <v>13574</v>
      </c>
    </row>
    <row r="1453">
      <c r="A1453" s="8" t="s">
        <v>13575</v>
      </c>
    </row>
    <row r="1454">
      <c r="A1454" s="8" t="s">
        <v>13576</v>
      </c>
    </row>
    <row r="1455">
      <c r="A1455" s="8" t="s">
        <v>13577</v>
      </c>
    </row>
    <row r="1456">
      <c r="A1456" s="8" t="s">
        <v>13578</v>
      </c>
    </row>
    <row r="1457">
      <c r="A1457" s="8" t="s">
        <v>13579</v>
      </c>
    </row>
    <row r="1458">
      <c r="A1458" s="8" t="s">
        <v>13580</v>
      </c>
    </row>
    <row r="1459">
      <c r="A1459" s="8" t="s">
        <v>13581</v>
      </c>
    </row>
    <row r="1460">
      <c r="A1460" s="8" t="s">
        <v>13582</v>
      </c>
    </row>
    <row r="1461">
      <c r="A1461" s="8" t="s">
        <v>13583</v>
      </c>
    </row>
    <row r="1462">
      <c r="A1462" s="8" t="s">
        <v>13584</v>
      </c>
    </row>
    <row r="1463">
      <c r="A1463" s="8" t="s">
        <v>13585</v>
      </c>
    </row>
    <row r="1464">
      <c r="A1464" s="8" t="s">
        <v>13586</v>
      </c>
    </row>
    <row r="1465">
      <c r="A1465" s="8" t="s">
        <v>13587</v>
      </c>
    </row>
    <row r="1466">
      <c r="A1466" s="8" t="s">
        <v>13588</v>
      </c>
    </row>
    <row r="1467">
      <c r="A1467" s="8" t="s">
        <v>13589</v>
      </c>
    </row>
    <row r="1468">
      <c r="A1468" s="8" t="s">
        <v>13590</v>
      </c>
    </row>
    <row r="1469">
      <c r="A1469" s="8" t="s">
        <v>13591</v>
      </c>
    </row>
    <row r="1470">
      <c r="A1470" s="8" t="s">
        <v>13592</v>
      </c>
    </row>
    <row r="1471">
      <c r="A1471" s="8" t="s">
        <v>13593</v>
      </c>
    </row>
    <row r="1472">
      <c r="A1472" s="8" t="s">
        <v>13594</v>
      </c>
    </row>
    <row r="1473">
      <c r="A1473" s="8" t="s">
        <v>13595</v>
      </c>
    </row>
    <row r="1474">
      <c r="A1474" s="8" t="s">
        <v>13596</v>
      </c>
    </row>
    <row r="1475">
      <c r="A1475" s="8" t="s">
        <v>13597</v>
      </c>
    </row>
    <row r="1476">
      <c r="A1476" s="8" t="s">
        <v>13598</v>
      </c>
    </row>
    <row r="1477">
      <c r="A1477" s="8" t="s">
        <v>13599</v>
      </c>
    </row>
    <row r="1478">
      <c r="A1478" s="8" t="s">
        <v>13600</v>
      </c>
    </row>
    <row r="1479">
      <c r="A1479" s="8" t="s">
        <v>13601</v>
      </c>
    </row>
    <row r="1480">
      <c r="A1480" s="8" t="s">
        <v>13602</v>
      </c>
    </row>
    <row r="1481">
      <c r="A1481" s="8" t="s">
        <v>13603</v>
      </c>
    </row>
    <row r="1482">
      <c r="A1482" s="8" t="s">
        <v>13604</v>
      </c>
    </row>
    <row r="1483">
      <c r="A1483" s="8" t="s">
        <v>13605</v>
      </c>
    </row>
    <row r="1484">
      <c r="A1484" s="8" t="s">
        <v>13606</v>
      </c>
    </row>
    <row r="1485">
      <c r="A1485" s="8" t="s">
        <v>13607</v>
      </c>
    </row>
    <row r="1486">
      <c r="A1486" s="8" t="s">
        <v>13608</v>
      </c>
    </row>
    <row r="1487">
      <c r="A1487" s="8" t="s">
        <v>13609</v>
      </c>
    </row>
    <row r="1488">
      <c r="A1488" s="8" t="s">
        <v>13610</v>
      </c>
    </row>
    <row r="1489">
      <c r="A1489" s="8" t="s">
        <v>13611</v>
      </c>
    </row>
    <row r="1490">
      <c r="A1490" s="8" t="s">
        <v>13612</v>
      </c>
    </row>
    <row r="1491">
      <c r="A1491" s="8" t="s">
        <v>13613</v>
      </c>
    </row>
    <row r="1492">
      <c r="A1492" s="8" t="s">
        <v>13614</v>
      </c>
    </row>
    <row r="1493">
      <c r="A1493" s="8" t="s">
        <v>13615</v>
      </c>
    </row>
    <row r="1494">
      <c r="A1494" s="8" t="s">
        <v>13616</v>
      </c>
    </row>
    <row r="1495">
      <c r="A1495" s="8" t="s">
        <v>13617</v>
      </c>
    </row>
    <row r="1496">
      <c r="A1496" s="8" t="s">
        <v>13618</v>
      </c>
    </row>
    <row r="1497">
      <c r="A1497" s="8" t="s">
        <v>13619</v>
      </c>
    </row>
    <row r="1498">
      <c r="A1498" s="8" t="s">
        <v>13620</v>
      </c>
    </row>
    <row r="1499">
      <c r="A1499" s="8" t="s">
        <v>13621</v>
      </c>
    </row>
    <row r="1500">
      <c r="A1500" s="8" t="s">
        <v>13622</v>
      </c>
    </row>
    <row r="1501">
      <c r="A1501" s="8" t="s">
        <v>13623</v>
      </c>
    </row>
    <row r="1502">
      <c r="A1502" s="8" t="s">
        <v>13624</v>
      </c>
    </row>
    <row r="1503">
      <c r="A1503" s="8" t="s">
        <v>13625</v>
      </c>
    </row>
    <row r="1504">
      <c r="A1504" s="8" t="s">
        <v>13626</v>
      </c>
    </row>
    <row r="1505">
      <c r="A1505" s="8" t="s">
        <v>13627</v>
      </c>
    </row>
    <row r="1506">
      <c r="A1506" s="8" t="s">
        <v>13628</v>
      </c>
    </row>
    <row r="1507">
      <c r="A1507" s="8" t="s">
        <v>13629</v>
      </c>
    </row>
    <row r="1508">
      <c r="A1508" s="8" t="s">
        <v>13630</v>
      </c>
    </row>
    <row r="1509">
      <c r="A1509" s="8" t="s">
        <v>13631</v>
      </c>
    </row>
    <row r="1510">
      <c r="A1510" s="8" t="s">
        <v>13632</v>
      </c>
    </row>
    <row r="1511">
      <c r="A1511" s="8" t="s">
        <v>13633</v>
      </c>
    </row>
    <row r="1512">
      <c r="A1512" s="8" t="s">
        <v>13634</v>
      </c>
    </row>
    <row r="1513">
      <c r="A1513" s="8" t="s">
        <v>13635</v>
      </c>
    </row>
    <row r="1514">
      <c r="A1514" s="8" t="s">
        <v>13636</v>
      </c>
    </row>
    <row r="1515">
      <c r="A1515" s="8" t="s">
        <v>13637</v>
      </c>
    </row>
    <row r="1516">
      <c r="A1516" s="8" t="s">
        <v>13638</v>
      </c>
    </row>
    <row r="1517">
      <c r="A1517" s="8" t="s">
        <v>13639</v>
      </c>
    </row>
    <row r="1518">
      <c r="A1518" s="8" t="s">
        <v>13640</v>
      </c>
    </row>
    <row r="1519">
      <c r="A1519" s="8" t="s">
        <v>13641</v>
      </c>
    </row>
    <row r="1520">
      <c r="A1520" s="8" t="s">
        <v>13642</v>
      </c>
    </row>
    <row r="1521">
      <c r="A1521" s="8" t="s">
        <v>13643</v>
      </c>
    </row>
    <row r="1522">
      <c r="A1522" s="8" t="s">
        <v>13644</v>
      </c>
    </row>
    <row r="1523">
      <c r="A1523" s="8" t="s">
        <v>13645</v>
      </c>
    </row>
    <row r="1524">
      <c r="A1524" s="8" t="s">
        <v>13646</v>
      </c>
    </row>
    <row r="1525">
      <c r="A1525" s="8" t="s">
        <v>13647</v>
      </c>
    </row>
    <row r="1526">
      <c r="A1526" s="8" t="s">
        <v>13648</v>
      </c>
    </row>
    <row r="1527">
      <c r="A1527" s="8" t="s">
        <v>13649</v>
      </c>
    </row>
    <row r="1528">
      <c r="A1528" s="8" t="s">
        <v>13650</v>
      </c>
    </row>
    <row r="1529">
      <c r="A1529" s="8" t="s">
        <v>13651</v>
      </c>
    </row>
    <row r="1530">
      <c r="A1530" s="8" t="s">
        <v>13652</v>
      </c>
    </row>
    <row r="1531">
      <c r="A1531" s="8" t="s">
        <v>13653</v>
      </c>
    </row>
    <row r="1532">
      <c r="A1532" s="8" t="s">
        <v>13654</v>
      </c>
    </row>
    <row r="1533">
      <c r="A1533" s="8" t="s">
        <v>13655</v>
      </c>
    </row>
    <row r="1534">
      <c r="A1534" s="8" t="s">
        <v>13656</v>
      </c>
    </row>
    <row r="1535">
      <c r="A1535" s="8" t="s">
        <v>13657</v>
      </c>
    </row>
    <row r="1536">
      <c r="A1536" s="8" t="s">
        <v>13658</v>
      </c>
    </row>
    <row r="1537">
      <c r="A1537" s="8" t="s">
        <v>13659</v>
      </c>
    </row>
    <row r="1538">
      <c r="A1538" s="8" t="s">
        <v>13660</v>
      </c>
    </row>
    <row r="1539">
      <c r="A1539" s="8" t="s">
        <v>13661</v>
      </c>
    </row>
    <row r="1540">
      <c r="A1540" s="8" t="s">
        <v>13662</v>
      </c>
    </row>
    <row r="1541">
      <c r="A1541" s="8" t="s">
        <v>13663</v>
      </c>
    </row>
    <row r="1542">
      <c r="A1542" s="8" t="s">
        <v>13664</v>
      </c>
    </row>
    <row r="1543">
      <c r="A1543" s="8" t="s">
        <v>13665</v>
      </c>
    </row>
    <row r="1544">
      <c r="A1544" s="8" t="s">
        <v>13666</v>
      </c>
    </row>
    <row r="1545">
      <c r="A1545" s="8" t="s">
        <v>13667</v>
      </c>
    </row>
    <row r="1546">
      <c r="A1546" s="8" t="s">
        <v>13668</v>
      </c>
    </row>
    <row r="1547">
      <c r="A1547" s="8" t="s">
        <v>13669</v>
      </c>
    </row>
    <row r="1548">
      <c r="A1548" s="8" t="s">
        <v>13670</v>
      </c>
    </row>
    <row r="1549">
      <c r="A1549" s="8" t="s">
        <v>13671</v>
      </c>
    </row>
    <row r="1550">
      <c r="A1550" s="8" t="s">
        <v>13672</v>
      </c>
    </row>
    <row r="1551">
      <c r="A1551" s="8" t="s">
        <v>13673</v>
      </c>
    </row>
    <row r="1552">
      <c r="A1552" s="8" t="s">
        <v>13674</v>
      </c>
    </row>
    <row r="1553">
      <c r="A1553" s="8" t="s">
        <v>13675</v>
      </c>
    </row>
    <row r="1554">
      <c r="A1554" s="8" t="s">
        <v>13676</v>
      </c>
    </row>
    <row r="1555">
      <c r="A1555" s="8" t="s">
        <v>13677</v>
      </c>
    </row>
    <row r="1556">
      <c r="A1556" s="8" t="s">
        <v>13678</v>
      </c>
    </row>
    <row r="1557">
      <c r="A1557" s="8" t="s">
        <v>13679</v>
      </c>
    </row>
    <row r="1558">
      <c r="A1558" s="8" t="s">
        <v>13680</v>
      </c>
    </row>
    <row r="1559">
      <c r="A1559" s="8" t="s">
        <v>13681</v>
      </c>
    </row>
    <row r="1560">
      <c r="A1560" s="8" t="s">
        <v>13682</v>
      </c>
    </row>
    <row r="1561">
      <c r="A1561" s="8" t="s">
        <v>13683</v>
      </c>
    </row>
    <row r="1562">
      <c r="A1562" s="8" t="s">
        <v>13684</v>
      </c>
    </row>
    <row r="1563">
      <c r="A1563" s="8" t="s">
        <v>13685</v>
      </c>
    </row>
    <row r="1564">
      <c r="A1564" s="8" t="s">
        <v>13686</v>
      </c>
    </row>
    <row r="1565">
      <c r="A1565" s="8" t="s">
        <v>13687</v>
      </c>
    </row>
    <row r="1566">
      <c r="A1566" s="8" t="s">
        <v>13688</v>
      </c>
    </row>
    <row r="1567">
      <c r="A1567" s="8" t="s">
        <v>13689</v>
      </c>
    </row>
    <row r="1568">
      <c r="A1568" s="8" t="s">
        <v>13690</v>
      </c>
    </row>
    <row r="1569">
      <c r="A1569" s="8" t="s">
        <v>13691</v>
      </c>
    </row>
    <row r="1570">
      <c r="A1570" s="8" t="s">
        <v>13692</v>
      </c>
    </row>
    <row r="1571">
      <c r="A1571" s="8" t="s">
        <v>13693</v>
      </c>
    </row>
    <row r="1572">
      <c r="A1572" s="8" t="s">
        <v>13694</v>
      </c>
    </row>
    <row r="1573">
      <c r="A1573" s="8" t="s">
        <v>13695</v>
      </c>
    </row>
    <row r="1574">
      <c r="A1574" s="8" t="s">
        <v>13696</v>
      </c>
    </row>
    <row r="1575">
      <c r="A1575" s="8" t="s">
        <v>13697</v>
      </c>
    </row>
    <row r="1576">
      <c r="A1576" s="8" t="s">
        <v>13698</v>
      </c>
    </row>
    <row r="1577">
      <c r="A1577" s="8" t="s">
        <v>13699</v>
      </c>
    </row>
    <row r="1578">
      <c r="A1578" s="8" t="s">
        <v>13700</v>
      </c>
    </row>
    <row r="1579">
      <c r="A1579" s="8" t="s">
        <v>13701</v>
      </c>
    </row>
    <row r="1580">
      <c r="A1580" s="8" t="s">
        <v>13702</v>
      </c>
    </row>
    <row r="1581">
      <c r="A1581" s="8" t="s">
        <v>13703</v>
      </c>
    </row>
    <row r="1582">
      <c r="A1582" s="8" t="s">
        <v>13704</v>
      </c>
    </row>
    <row r="1583">
      <c r="A1583" s="8" t="s">
        <v>13705</v>
      </c>
    </row>
    <row r="1584">
      <c r="A1584" s="8" t="s">
        <v>13706</v>
      </c>
    </row>
    <row r="1585">
      <c r="A1585" s="8" t="s">
        <v>13707</v>
      </c>
    </row>
    <row r="1586">
      <c r="A1586" s="8" t="s">
        <v>13708</v>
      </c>
    </row>
    <row r="1587">
      <c r="A1587" s="8" t="s">
        <v>13709</v>
      </c>
    </row>
    <row r="1588">
      <c r="A1588" s="8" t="s">
        <v>13710</v>
      </c>
    </row>
    <row r="1589">
      <c r="A1589" s="8" t="s">
        <v>13711</v>
      </c>
    </row>
    <row r="1590">
      <c r="A1590" s="8" t="s">
        <v>13712</v>
      </c>
    </row>
    <row r="1591">
      <c r="A1591" s="8" t="s">
        <v>13713</v>
      </c>
    </row>
    <row r="1592">
      <c r="A1592" s="8" t="s">
        <v>13714</v>
      </c>
    </row>
    <row r="1593">
      <c r="A1593" s="8" t="s">
        <v>13715</v>
      </c>
    </row>
    <row r="1594">
      <c r="A1594" s="8" t="s">
        <v>13716</v>
      </c>
    </row>
    <row r="1595">
      <c r="A1595" s="8" t="s">
        <v>13717</v>
      </c>
    </row>
    <row r="1596">
      <c r="A1596" s="8" t="s">
        <v>13718</v>
      </c>
    </row>
    <row r="1597">
      <c r="A1597" s="8" t="s">
        <v>13719</v>
      </c>
    </row>
    <row r="1598">
      <c r="A1598" s="8" t="s">
        <v>13720</v>
      </c>
    </row>
    <row r="1599">
      <c r="A1599" s="8" t="s">
        <v>13721</v>
      </c>
    </row>
    <row r="1600">
      <c r="A1600" s="8" t="s">
        <v>13722</v>
      </c>
    </row>
    <row r="1601">
      <c r="A1601" s="8" t="s">
        <v>13723</v>
      </c>
    </row>
    <row r="1602">
      <c r="A1602" s="8" t="s">
        <v>13724</v>
      </c>
    </row>
    <row r="1603">
      <c r="A1603" s="8" t="s">
        <v>13725</v>
      </c>
    </row>
    <row r="1604">
      <c r="A1604" s="8" t="s">
        <v>13726</v>
      </c>
    </row>
    <row r="1605">
      <c r="A1605" s="8" t="s">
        <v>13727</v>
      </c>
    </row>
    <row r="1606">
      <c r="A1606" s="8" t="s">
        <v>13728</v>
      </c>
    </row>
    <row r="1607">
      <c r="A1607" s="8" t="s">
        <v>13729</v>
      </c>
    </row>
    <row r="1608">
      <c r="A1608" s="8" t="s">
        <v>13730</v>
      </c>
    </row>
    <row r="1609">
      <c r="A1609" s="8" t="s">
        <v>13731</v>
      </c>
    </row>
    <row r="1610">
      <c r="A1610" s="8" t="s">
        <v>13732</v>
      </c>
    </row>
    <row r="1611">
      <c r="A1611" s="8" t="s">
        <v>13733</v>
      </c>
    </row>
    <row r="1612">
      <c r="A1612" s="8" t="s">
        <v>13734</v>
      </c>
    </row>
    <row r="1613">
      <c r="A1613" s="8" t="s">
        <v>13735</v>
      </c>
    </row>
    <row r="1614">
      <c r="A1614" s="8" t="s">
        <v>13736</v>
      </c>
    </row>
    <row r="1615">
      <c r="A1615" s="8" t="s">
        <v>13737</v>
      </c>
    </row>
    <row r="1616">
      <c r="A1616" s="8" t="s">
        <v>13738</v>
      </c>
    </row>
    <row r="1617">
      <c r="A1617" s="8" t="s">
        <v>13739</v>
      </c>
    </row>
    <row r="1618">
      <c r="A1618" s="8" t="s">
        <v>13740</v>
      </c>
    </row>
    <row r="1619">
      <c r="A1619" s="8" t="s">
        <v>13741</v>
      </c>
    </row>
    <row r="1620">
      <c r="A1620" s="8" t="s">
        <v>13742</v>
      </c>
    </row>
    <row r="1621">
      <c r="A1621" s="8" t="s">
        <v>13743</v>
      </c>
    </row>
    <row r="1622">
      <c r="A1622" s="8" t="s">
        <v>13744</v>
      </c>
    </row>
    <row r="1623">
      <c r="A1623" s="8" t="s">
        <v>13745</v>
      </c>
    </row>
    <row r="1624">
      <c r="A1624" s="8" t="s">
        <v>13746</v>
      </c>
    </row>
    <row r="1625">
      <c r="A1625" s="8" t="s">
        <v>13747</v>
      </c>
    </row>
    <row r="1626">
      <c r="A1626" s="8" t="s">
        <v>13748</v>
      </c>
    </row>
    <row r="1627">
      <c r="A1627" s="8" t="s">
        <v>13749</v>
      </c>
    </row>
    <row r="1628">
      <c r="A1628" s="8" t="s">
        <v>13750</v>
      </c>
    </row>
    <row r="1629">
      <c r="A1629" s="8" t="s">
        <v>13751</v>
      </c>
    </row>
    <row r="1630">
      <c r="A1630" s="8" t="s">
        <v>13752</v>
      </c>
    </row>
    <row r="1631">
      <c r="A1631" s="8" t="s">
        <v>13753</v>
      </c>
    </row>
    <row r="1632">
      <c r="A1632" s="8" t="s">
        <v>13754</v>
      </c>
    </row>
    <row r="1633">
      <c r="A1633" s="8" t="s">
        <v>13755</v>
      </c>
    </row>
    <row r="1634">
      <c r="A1634" s="8" t="s">
        <v>13756</v>
      </c>
    </row>
    <row r="1635">
      <c r="A1635" s="8" t="s">
        <v>13757</v>
      </c>
    </row>
    <row r="1636">
      <c r="A1636" s="8" t="s">
        <v>13758</v>
      </c>
    </row>
    <row r="1637">
      <c r="A1637" s="8" t="s">
        <v>13759</v>
      </c>
    </row>
    <row r="1638">
      <c r="A1638" s="8" t="s">
        <v>13760</v>
      </c>
    </row>
    <row r="1639">
      <c r="A1639" s="8" t="s">
        <v>13761</v>
      </c>
    </row>
    <row r="1640">
      <c r="A1640" s="8" t="s">
        <v>13762</v>
      </c>
    </row>
    <row r="1641">
      <c r="A1641" s="8" t="s">
        <v>13763</v>
      </c>
    </row>
    <row r="1642">
      <c r="A1642" s="8" t="s">
        <v>13764</v>
      </c>
    </row>
    <row r="1643">
      <c r="A1643" s="8" t="s">
        <v>13765</v>
      </c>
    </row>
    <row r="1644">
      <c r="A1644" s="8" t="s">
        <v>13766</v>
      </c>
    </row>
    <row r="1645">
      <c r="A1645" s="8" t="s">
        <v>13767</v>
      </c>
    </row>
    <row r="1646">
      <c r="A1646" s="8" t="s">
        <v>13768</v>
      </c>
    </row>
    <row r="1647">
      <c r="A1647" s="8" t="s">
        <v>13769</v>
      </c>
    </row>
    <row r="1648">
      <c r="A1648" s="8" t="s">
        <v>13770</v>
      </c>
    </row>
    <row r="1649">
      <c r="A1649" s="8" t="s">
        <v>13771</v>
      </c>
    </row>
    <row r="1650">
      <c r="A1650" s="8" t="s">
        <v>13772</v>
      </c>
    </row>
    <row r="1651">
      <c r="A1651" s="8" t="s">
        <v>13773</v>
      </c>
    </row>
    <row r="1652">
      <c r="A1652" s="8" t="s">
        <v>13774</v>
      </c>
    </row>
    <row r="1653">
      <c r="A1653" s="8" t="s">
        <v>13775</v>
      </c>
    </row>
    <row r="1654">
      <c r="A1654" s="8" t="s">
        <v>13776</v>
      </c>
    </row>
    <row r="1655">
      <c r="A1655" s="8" t="s">
        <v>13777</v>
      </c>
    </row>
    <row r="1656">
      <c r="A1656" s="8" t="s">
        <v>13778</v>
      </c>
    </row>
    <row r="1657">
      <c r="A1657" s="8" t="s">
        <v>13779</v>
      </c>
    </row>
    <row r="1658">
      <c r="A1658" s="8" t="s">
        <v>13780</v>
      </c>
    </row>
    <row r="1659">
      <c r="A1659" s="8" t="s">
        <v>13781</v>
      </c>
    </row>
    <row r="1660">
      <c r="A1660" s="8" t="s">
        <v>13782</v>
      </c>
    </row>
    <row r="1661">
      <c r="A1661" s="8" t="s">
        <v>13783</v>
      </c>
    </row>
    <row r="1662">
      <c r="A1662" s="8" t="s">
        <v>13784</v>
      </c>
    </row>
    <row r="1663">
      <c r="A1663" s="8" t="s">
        <v>13785</v>
      </c>
    </row>
    <row r="1664">
      <c r="A1664" s="8" t="s">
        <v>13786</v>
      </c>
    </row>
    <row r="1665">
      <c r="A1665" s="8" t="s">
        <v>13787</v>
      </c>
    </row>
    <row r="1666">
      <c r="A1666" s="8" t="s">
        <v>13788</v>
      </c>
    </row>
    <row r="1667">
      <c r="A1667" s="8" t="s">
        <v>13789</v>
      </c>
    </row>
    <row r="1668">
      <c r="A1668" s="8" t="s">
        <v>13790</v>
      </c>
    </row>
    <row r="1669">
      <c r="A1669" s="8" t="s">
        <v>13791</v>
      </c>
    </row>
    <row r="1670">
      <c r="A1670" s="8" t="s">
        <v>13792</v>
      </c>
    </row>
    <row r="1671">
      <c r="A1671" s="8" t="s">
        <v>13793</v>
      </c>
    </row>
    <row r="1672">
      <c r="A1672" s="8" t="s">
        <v>13794</v>
      </c>
    </row>
    <row r="1673">
      <c r="A1673" s="8" t="s">
        <v>13795</v>
      </c>
    </row>
    <row r="1674">
      <c r="A1674" s="8" t="s">
        <v>13796</v>
      </c>
    </row>
    <row r="1675">
      <c r="A1675" s="8" t="s">
        <v>13797</v>
      </c>
    </row>
    <row r="1676">
      <c r="A1676" s="8" t="s">
        <v>13798</v>
      </c>
    </row>
    <row r="1677">
      <c r="A1677" s="8" t="s">
        <v>13799</v>
      </c>
    </row>
    <row r="1678">
      <c r="A1678" s="8" t="s">
        <v>13800</v>
      </c>
    </row>
    <row r="1679">
      <c r="A1679" s="8" t="s">
        <v>13801</v>
      </c>
    </row>
    <row r="1680">
      <c r="A1680" s="8" t="s">
        <v>13802</v>
      </c>
    </row>
    <row r="1681">
      <c r="A1681" s="8" t="s">
        <v>13803</v>
      </c>
    </row>
    <row r="1682">
      <c r="A1682" s="8" t="s">
        <v>13804</v>
      </c>
    </row>
    <row r="1683">
      <c r="A1683" s="8" t="s">
        <v>13805</v>
      </c>
    </row>
    <row r="1684">
      <c r="A1684" s="8" t="s">
        <v>13806</v>
      </c>
    </row>
    <row r="1685">
      <c r="A1685" s="8" t="s">
        <v>13807</v>
      </c>
    </row>
    <row r="1686">
      <c r="A1686" s="8" t="s">
        <v>13808</v>
      </c>
    </row>
    <row r="1687">
      <c r="A1687" s="8" t="s">
        <v>13809</v>
      </c>
    </row>
    <row r="1688">
      <c r="A1688" s="8" t="s">
        <v>13810</v>
      </c>
    </row>
    <row r="1689">
      <c r="A1689" s="8" t="s">
        <v>13811</v>
      </c>
    </row>
    <row r="1690">
      <c r="A1690" s="8" t="s">
        <v>13812</v>
      </c>
    </row>
    <row r="1691">
      <c r="A1691" s="8" t="s">
        <v>13813</v>
      </c>
    </row>
    <row r="1692">
      <c r="A1692" s="8" t="s">
        <v>13814</v>
      </c>
    </row>
    <row r="1693">
      <c r="A1693" s="8" t="s">
        <v>13815</v>
      </c>
    </row>
    <row r="1694">
      <c r="A1694" s="8" t="s">
        <v>13816</v>
      </c>
    </row>
    <row r="1695">
      <c r="A1695" s="8" t="s">
        <v>13817</v>
      </c>
    </row>
    <row r="1696">
      <c r="A1696" s="8" t="s">
        <v>13818</v>
      </c>
    </row>
    <row r="1697">
      <c r="A1697" s="8" t="s">
        <v>13819</v>
      </c>
    </row>
    <row r="1698">
      <c r="A1698" s="8" t="s">
        <v>13820</v>
      </c>
    </row>
    <row r="1699">
      <c r="A1699" s="8" t="s">
        <v>13821</v>
      </c>
    </row>
    <row r="1700">
      <c r="A1700" s="8" t="s">
        <v>13822</v>
      </c>
    </row>
    <row r="1701">
      <c r="A1701" s="8" t="s">
        <v>13823</v>
      </c>
    </row>
    <row r="1702">
      <c r="A1702" s="8" t="s">
        <v>13824</v>
      </c>
    </row>
    <row r="1703">
      <c r="A1703" s="8" t="s">
        <v>13825</v>
      </c>
    </row>
    <row r="1704">
      <c r="A1704" s="8" t="s">
        <v>13826</v>
      </c>
    </row>
    <row r="1705">
      <c r="A1705" s="8" t="s">
        <v>13827</v>
      </c>
    </row>
    <row r="1706">
      <c r="A1706" s="8" t="s">
        <v>13828</v>
      </c>
    </row>
    <row r="1707">
      <c r="A1707" s="8" t="s">
        <v>13829</v>
      </c>
    </row>
    <row r="1708">
      <c r="A1708" s="8" t="s">
        <v>13830</v>
      </c>
    </row>
    <row r="1709">
      <c r="A1709" s="8" t="s">
        <v>13831</v>
      </c>
    </row>
    <row r="1710">
      <c r="A1710" s="8" t="s">
        <v>13832</v>
      </c>
    </row>
    <row r="1711">
      <c r="A1711" s="8" t="s">
        <v>13833</v>
      </c>
    </row>
    <row r="1712">
      <c r="A1712" s="8" t="s">
        <v>13834</v>
      </c>
    </row>
    <row r="1713">
      <c r="A1713" s="8" t="s">
        <v>13835</v>
      </c>
    </row>
    <row r="1714">
      <c r="A1714" s="8" t="s">
        <v>13836</v>
      </c>
    </row>
    <row r="1715">
      <c r="A1715" s="8" t="s">
        <v>13837</v>
      </c>
    </row>
    <row r="1716">
      <c r="A1716" s="8" t="s">
        <v>13838</v>
      </c>
    </row>
    <row r="1717">
      <c r="A1717" s="8" t="s">
        <v>13839</v>
      </c>
    </row>
    <row r="1718">
      <c r="A1718" s="8" t="s">
        <v>13840</v>
      </c>
    </row>
    <row r="1719">
      <c r="A1719" s="8" t="s">
        <v>13841</v>
      </c>
    </row>
    <row r="1720">
      <c r="A1720" s="8" t="s">
        <v>13842</v>
      </c>
    </row>
    <row r="1721">
      <c r="A1721" s="8" t="s">
        <v>13843</v>
      </c>
    </row>
    <row r="1722">
      <c r="A1722" s="8" t="s">
        <v>13844</v>
      </c>
    </row>
    <row r="1723">
      <c r="A1723" s="8" t="s">
        <v>13845</v>
      </c>
    </row>
    <row r="1724">
      <c r="A1724" s="8" t="s">
        <v>13846</v>
      </c>
    </row>
    <row r="1725">
      <c r="A1725" s="8" t="s">
        <v>13847</v>
      </c>
    </row>
    <row r="1726">
      <c r="A1726" s="8" t="s">
        <v>13848</v>
      </c>
    </row>
    <row r="1727">
      <c r="A1727" s="8" t="s">
        <v>13849</v>
      </c>
    </row>
    <row r="1728">
      <c r="A1728" s="8" t="s">
        <v>13850</v>
      </c>
    </row>
    <row r="1729">
      <c r="A1729" s="8" t="s">
        <v>13851</v>
      </c>
    </row>
    <row r="1730">
      <c r="A1730" s="8" t="s">
        <v>13852</v>
      </c>
    </row>
    <row r="1731">
      <c r="A1731" s="8" t="s">
        <v>13853</v>
      </c>
    </row>
    <row r="1732">
      <c r="A1732" s="8" t="s">
        <v>13854</v>
      </c>
    </row>
    <row r="1733">
      <c r="A1733" s="8" t="s">
        <v>13855</v>
      </c>
    </row>
    <row r="1734">
      <c r="A1734" s="8" t="s">
        <v>13856</v>
      </c>
    </row>
    <row r="1735">
      <c r="A1735" s="8" t="s">
        <v>13857</v>
      </c>
    </row>
    <row r="1736">
      <c r="A1736" s="8" t="s">
        <v>13858</v>
      </c>
    </row>
    <row r="1737">
      <c r="A1737" s="8" t="s">
        <v>13859</v>
      </c>
    </row>
    <row r="1738">
      <c r="A1738" s="8" t="s">
        <v>13860</v>
      </c>
    </row>
    <row r="1739">
      <c r="A1739" s="8" t="s">
        <v>13861</v>
      </c>
    </row>
    <row r="1740">
      <c r="A1740" s="8" t="s">
        <v>13862</v>
      </c>
    </row>
    <row r="1741">
      <c r="A1741" s="8" t="s">
        <v>13863</v>
      </c>
    </row>
    <row r="1742">
      <c r="A1742" s="8" t="s">
        <v>13864</v>
      </c>
    </row>
    <row r="1743">
      <c r="A1743" s="8" t="s">
        <v>13865</v>
      </c>
    </row>
    <row r="1744">
      <c r="A1744" s="8" t="s">
        <v>13866</v>
      </c>
    </row>
    <row r="1745">
      <c r="A1745" s="8" t="s">
        <v>13867</v>
      </c>
    </row>
    <row r="1746">
      <c r="A1746" s="8" t="s">
        <v>13868</v>
      </c>
    </row>
    <row r="1747">
      <c r="A1747" s="8" t="s">
        <v>13869</v>
      </c>
    </row>
    <row r="1748">
      <c r="A1748" s="8" t="s">
        <v>13870</v>
      </c>
    </row>
    <row r="1749">
      <c r="A1749" s="8" t="s">
        <v>13871</v>
      </c>
    </row>
    <row r="1750">
      <c r="A1750" s="8" t="s">
        <v>13872</v>
      </c>
    </row>
    <row r="1751">
      <c r="A1751" s="8" t="s">
        <v>13873</v>
      </c>
    </row>
    <row r="1752">
      <c r="A1752" s="8" t="s">
        <v>13874</v>
      </c>
    </row>
    <row r="1753">
      <c r="A1753" s="8" t="s">
        <v>13875</v>
      </c>
    </row>
    <row r="1754">
      <c r="A1754" s="8" t="s">
        <v>13876</v>
      </c>
    </row>
    <row r="1755">
      <c r="A1755" s="8" t="s">
        <v>13877</v>
      </c>
    </row>
    <row r="1756">
      <c r="A1756" s="8" t="s">
        <v>13878</v>
      </c>
    </row>
    <row r="1757">
      <c r="A1757" s="8" t="s">
        <v>13879</v>
      </c>
    </row>
    <row r="1758">
      <c r="A1758" s="8" t="s">
        <v>13880</v>
      </c>
    </row>
    <row r="1759">
      <c r="A1759" s="8" t="s">
        <v>13881</v>
      </c>
    </row>
    <row r="1760">
      <c r="A1760" s="8" t="s">
        <v>13882</v>
      </c>
    </row>
    <row r="1761">
      <c r="A1761" s="8" t="s">
        <v>13883</v>
      </c>
    </row>
    <row r="1762">
      <c r="A1762" s="8" t="s">
        <v>13884</v>
      </c>
    </row>
    <row r="1763">
      <c r="A1763" s="8" t="s">
        <v>13885</v>
      </c>
    </row>
    <row r="1764">
      <c r="A1764" s="8" t="s">
        <v>13886</v>
      </c>
    </row>
    <row r="1765">
      <c r="A1765" s="8" t="s">
        <v>13887</v>
      </c>
    </row>
    <row r="1766">
      <c r="A1766" s="8" t="s">
        <v>13888</v>
      </c>
    </row>
    <row r="1767">
      <c r="A1767" s="8" t="s">
        <v>13889</v>
      </c>
    </row>
    <row r="1768">
      <c r="A1768" s="8" t="s">
        <v>13890</v>
      </c>
    </row>
    <row r="1769">
      <c r="A1769" s="8" t="s">
        <v>13891</v>
      </c>
    </row>
    <row r="1770">
      <c r="A1770" s="8" t="s">
        <v>13892</v>
      </c>
    </row>
    <row r="1771">
      <c r="A1771" s="8" t="s">
        <v>13893</v>
      </c>
    </row>
    <row r="1772">
      <c r="A1772" s="8" t="s">
        <v>13894</v>
      </c>
    </row>
    <row r="1773">
      <c r="A1773" s="8" t="s">
        <v>13895</v>
      </c>
    </row>
    <row r="1774">
      <c r="A1774" s="8" t="s">
        <v>13896</v>
      </c>
    </row>
    <row r="1775">
      <c r="A1775" s="8" t="s">
        <v>13897</v>
      </c>
    </row>
    <row r="1776">
      <c r="A1776" s="8" t="s">
        <v>13898</v>
      </c>
    </row>
    <row r="1777">
      <c r="A1777" s="8" t="s">
        <v>13899</v>
      </c>
    </row>
    <row r="1778">
      <c r="A1778" s="8" t="s">
        <v>13900</v>
      </c>
    </row>
    <row r="1779">
      <c r="A1779" s="8" t="s">
        <v>13901</v>
      </c>
    </row>
    <row r="1780">
      <c r="A1780" s="8" t="s">
        <v>13902</v>
      </c>
    </row>
    <row r="1781">
      <c r="A1781" s="8" t="s">
        <v>13903</v>
      </c>
    </row>
    <row r="1782">
      <c r="A1782" s="8" t="s">
        <v>13904</v>
      </c>
    </row>
    <row r="1783">
      <c r="A1783" s="8" t="s">
        <v>13905</v>
      </c>
    </row>
    <row r="1784">
      <c r="A1784" s="8" t="s">
        <v>13906</v>
      </c>
    </row>
    <row r="1785">
      <c r="A1785" s="8" t="s">
        <v>13907</v>
      </c>
    </row>
    <row r="1786">
      <c r="A1786" s="8" t="s">
        <v>13908</v>
      </c>
    </row>
    <row r="1787">
      <c r="A1787" s="8" t="s">
        <v>13909</v>
      </c>
    </row>
    <row r="1788">
      <c r="A1788" s="8" t="s">
        <v>13910</v>
      </c>
    </row>
    <row r="1789">
      <c r="A1789" s="8" t="s">
        <v>13911</v>
      </c>
    </row>
    <row r="1790">
      <c r="A1790" s="8" t="s">
        <v>13912</v>
      </c>
    </row>
    <row r="1791">
      <c r="A1791" s="8" t="s">
        <v>13913</v>
      </c>
    </row>
    <row r="1792">
      <c r="A1792" s="8" t="s">
        <v>13914</v>
      </c>
    </row>
    <row r="1793">
      <c r="A1793" s="8" t="s">
        <v>13915</v>
      </c>
    </row>
    <row r="1794">
      <c r="A1794" s="8" t="s">
        <v>13916</v>
      </c>
    </row>
    <row r="1795">
      <c r="A1795" s="8" t="s">
        <v>13917</v>
      </c>
    </row>
    <row r="1796">
      <c r="A1796" s="8" t="s">
        <v>13918</v>
      </c>
    </row>
    <row r="1797">
      <c r="A1797" s="8" t="s">
        <v>13919</v>
      </c>
    </row>
    <row r="1798">
      <c r="A1798" s="8" t="s">
        <v>13920</v>
      </c>
    </row>
    <row r="1799">
      <c r="A1799" s="8" t="s">
        <v>13921</v>
      </c>
    </row>
    <row r="1800">
      <c r="A1800" s="8" t="s">
        <v>13922</v>
      </c>
    </row>
    <row r="1801">
      <c r="A1801" s="8" t="s">
        <v>13923</v>
      </c>
    </row>
    <row r="1802">
      <c r="A1802" s="8" t="s">
        <v>13924</v>
      </c>
    </row>
    <row r="1803">
      <c r="A1803" s="8" t="s">
        <v>13925</v>
      </c>
    </row>
    <row r="1804">
      <c r="A1804" s="8" t="s">
        <v>13926</v>
      </c>
    </row>
    <row r="1805">
      <c r="A1805" s="8" t="s">
        <v>13927</v>
      </c>
    </row>
    <row r="1806">
      <c r="A1806" s="8" t="s">
        <v>13928</v>
      </c>
    </row>
    <row r="1807">
      <c r="A1807" s="8" t="s">
        <v>13929</v>
      </c>
    </row>
    <row r="1808">
      <c r="A1808" s="8" t="s">
        <v>13930</v>
      </c>
    </row>
    <row r="1809">
      <c r="A1809" s="8" t="s">
        <v>13931</v>
      </c>
    </row>
    <row r="1810">
      <c r="A1810" s="8" t="s">
        <v>13932</v>
      </c>
    </row>
    <row r="1811">
      <c r="A1811" s="8" t="s">
        <v>13933</v>
      </c>
    </row>
    <row r="1812">
      <c r="A1812" s="8" t="s">
        <v>13934</v>
      </c>
    </row>
    <row r="1813">
      <c r="A1813" s="8" t="s">
        <v>13935</v>
      </c>
    </row>
    <row r="1814">
      <c r="A1814" s="8" t="s">
        <v>13936</v>
      </c>
    </row>
    <row r="1815">
      <c r="A1815" s="8" t="s">
        <v>13937</v>
      </c>
    </row>
    <row r="1816">
      <c r="A1816" s="8" t="s">
        <v>13938</v>
      </c>
    </row>
    <row r="1817">
      <c r="A1817" s="8" t="s">
        <v>13939</v>
      </c>
    </row>
    <row r="1818">
      <c r="A1818" s="8" t="s">
        <v>13940</v>
      </c>
    </row>
    <row r="1819">
      <c r="A1819" s="8" t="s">
        <v>13941</v>
      </c>
    </row>
    <row r="1820">
      <c r="A1820" s="8" t="s">
        <v>13942</v>
      </c>
    </row>
    <row r="1821">
      <c r="A1821" s="8" t="s">
        <v>13943</v>
      </c>
    </row>
    <row r="1822">
      <c r="A1822" s="8" t="s">
        <v>13944</v>
      </c>
    </row>
    <row r="1823">
      <c r="A1823" s="8" t="s">
        <v>13945</v>
      </c>
    </row>
    <row r="1824">
      <c r="A1824" s="8" t="s">
        <v>13946</v>
      </c>
    </row>
    <row r="1825">
      <c r="A1825" s="8" t="s">
        <v>13947</v>
      </c>
    </row>
    <row r="1826">
      <c r="A1826" s="8" t="s">
        <v>13948</v>
      </c>
    </row>
    <row r="1827">
      <c r="A1827" s="8" t="s">
        <v>13949</v>
      </c>
    </row>
    <row r="1828">
      <c r="A1828" s="8" t="s">
        <v>13950</v>
      </c>
    </row>
    <row r="1829">
      <c r="A1829" s="8" t="s">
        <v>13951</v>
      </c>
    </row>
    <row r="1830">
      <c r="A1830" s="8" t="s">
        <v>13952</v>
      </c>
    </row>
    <row r="1831">
      <c r="A1831" s="8" t="s">
        <v>13953</v>
      </c>
    </row>
    <row r="1832">
      <c r="A1832" s="8" t="s">
        <v>13954</v>
      </c>
    </row>
    <row r="1833">
      <c r="A1833" s="8" t="s">
        <v>13955</v>
      </c>
    </row>
    <row r="1834">
      <c r="A1834" s="8" t="s">
        <v>13956</v>
      </c>
    </row>
    <row r="1835">
      <c r="A1835" s="8" t="s">
        <v>13957</v>
      </c>
    </row>
    <row r="1836">
      <c r="A1836" s="8" t="s">
        <v>13958</v>
      </c>
    </row>
    <row r="1837">
      <c r="A1837" s="8" t="s">
        <v>13959</v>
      </c>
    </row>
    <row r="1838">
      <c r="A1838" s="8" t="s">
        <v>13960</v>
      </c>
    </row>
    <row r="1839">
      <c r="A1839" s="8" t="s">
        <v>13961</v>
      </c>
    </row>
    <row r="1840">
      <c r="A1840" s="8" t="s">
        <v>13962</v>
      </c>
    </row>
    <row r="1841">
      <c r="A1841" s="8" t="s">
        <v>13963</v>
      </c>
    </row>
    <row r="1842">
      <c r="A1842" s="8" t="s">
        <v>13964</v>
      </c>
    </row>
    <row r="1843">
      <c r="A1843" s="8" t="s">
        <v>13965</v>
      </c>
    </row>
    <row r="1844">
      <c r="A1844" s="8" t="s">
        <v>13966</v>
      </c>
    </row>
    <row r="1845">
      <c r="A1845" s="8" t="s">
        <v>13967</v>
      </c>
    </row>
    <row r="1846">
      <c r="A1846" s="8" t="s">
        <v>13968</v>
      </c>
    </row>
    <row r="1847">
      <c r="A1847" s="8" t="s">
        <v>13969</v>
      </c>
    </row>
    <row r="1848">
      <c r="A1848" s="8" t="s">
        <v>13970</v>
      </c>
    </row>
    <row r="1849">
      <c r="A1849" s="8" t="s">
        <v>13971</v>
      </c>
    </row>
    <row r="1850">
      <c r="A1850" s="8" t="s">
        <v>13972</v>
      </c>
    </row>
    <row r="1851">
      <c r="A1851" s="8" t="s">
        <v>13973</v>
      </c>
    </row>
    <row r="1852">
      <c r="A1852" s="8" t="s">
        <v>13974</v>
      </c>
    </row>
    <row r="1853">
      <c r="A1853" s="8" t="s">
        <v>13975</v>
      </c>
    </row>
    <row r="1854">
      <c r="A1854" s="8" t="s">
        <v>13976</v>
      </c>
    </row>
    <row r="1855">
      <c r="A1855" s="8" t="s">
        <v>13977</v>
      </c>
    </row>
    <row r="1856">
      <c r="A1856" s="8" t="s">
        <v>13978</v>
      </c>
    </row>
    <row r="1857">
      <c r="A1857" s="8" t="s">
        <v>13979</v>
      </c>
    </row>
    <row r="1858">
      <c r="A1858" s="8" t="s">
        <v>13980</v>
      </c>
    </row>
    <row r="1859">
      <c r="A1859" s="8" t="s">
        <v>13981</v>
      </c>
    </row>
    <row r="1860">
      <c r="A1860" s="8" t="s">
        <v>13982</v>
      </c>
    </row>
    <row r="1861">
      <c r="A1861" s="8" t="s">
        <v>13983</v>
      </c>
    </row>
    <row r="1862">
      <c r="A1862" s="8" t="s">
        <v>13984</v>
      </c>
    </row>
    <row r="1863">
      <c r="A1863" s="8" t="s">
        <v>13985</v>
      </c>
    </row>
    <row r="1864">
      <c r="A1864" s="8" t="s">
        <v>13986</v>
      </c>
    </row>
    <row r="1865">
      <c r="A1865" s="8" t="s">
        <v>13987</v>
      </c>
    </row>
    <row r="1866">
      <c r="A1866" s="8" t="s">
        <v>13988</v>
      </c>
    </row>
    <row r="1867">
      <c r="A1867" s="8" t="s">
        <v>13989</v>
      </c>
    </row>
    <row r="1868">
      <c r="A1868" s="8" t="s">
        <v>13990</v>
      </c>
    </row>
    <row r="1869">
      <c r="A1869" s="8" t="s">
        <v>13991</v>
      </c>
    </row>
    <row r="1870">
      <c r="A1870" s="8" t="s">
        <v>13992</v>
      </c>
    </row>
    <row r="1871">
      <c r="A1871" s="8" t="s">
        <v>13993</v>
      </c>
    </row>
    <row r="1872">
      <c r="A1872" s="8" t="s">
        <v>13994</v>
      </c>
    </row>
    <row r="1873">
      <c r="A1873" s="8" t="s">
        <v>13995</v>
      </c>
    </row>
    <row r="1874">
      <c r="A1874" s="8" t="s">
        <v>13996</v>
      </c>
    </row>
    <row r="1875">
      <c r="A1875" s="8" t="s">
        <v>13997</v>
      </c>
    </row>
    <row r="1876">
      <c r="A1876" s="8" t="s">
        <v>13998</v>
      </c>
    </row>
    <row r="1877">
      <c r="A1877" s="8" t="s">
        <v>13999</v>
      </c>
    </row>
    <row r="1878">
      <c r="A1878" s="8" t="s">
        <v>14000</v>
      </c>
    </row>
    <row r="1879">
      <c r="A1879" s="8" t="s">
        <v>14001</v>
      </c>
    </row>
    <row r="1880">
      <c r="A1880" s="8" t="s">
        <v>14002</v>
      </c>
    </row>
    <row r="1881">
      <c r="A1881" s="8" t="s">
        <v>14003</v>
      </c>
    </row>
    <row r="1882">
      <c r="A1882" s="8" t="s">
        <v>14004</v>
      </c>
    </row>
    <row r="1883">
      <c r="A1883" s="8" t="s">
        <v>14005</v>
      </c>
    </row>
    <row r="1884">
      <c r="A1884" s="8" t="s">
        <v>14006</v>
      </c>
    </row>
    <row r="1885">
      <c r="A1885" s="8" t="s">
        <v>14007</v>
      </c>
    </row>
    <row r="1886">
      <c r="A1886" s="8" t="s">
        <v>14008</v>
      </c>
    </row>
    <row r="1887">
      <c r="A1887" s="8" t="s">
        <v>14009</v>
      </c>
    </row>
    <row r="1888">
      <c r="A1888" s="8" t="s">
        <v>14010</v>
      </c>
    </row>
    <row r="1889">
      <c r="A1889" s="8" t="s">
        <v>14011</v>
      </c>
    </row>
    <row r="1890">
      <c r="A1890" s="8" t="s">
        <v>14012</v>
      </c>
    </row>
    <row r="1891">
      <c r="A1891" s="8" t="s">
        <v>14013</v>
      </c>
    </row>
    <row r="1892">
      <c r="A1892" s="8" t="s">
        <v>14014</v>
      </c>
    </row>
    <row r="1893">
      <c r="A1893" s="8" t="s">
        <v>14015</v>
      </c>
    </row>
    <row r="1894">
      <c r="A1894" s="8" t="s">
        <v>14016</v>
      </c>
    </row>
    <row r="1895">
      <c r="A1895" s="8" t="s">
        <v>14017</v>
      </c>
    </row>
    <row r="1896">
      <c r="A1896" s="8" t="s">
        <v>14018</v>
      </c>
    </row>
    <row r="1897">
      <c r="A1897" s="8" t="s">
        <v>14019</v>
      </c>
    </row>
    <row r="1898">
      <c r="A1898" s="8" t="s">
        <v>14020</v>
      </c>
    </row>
    <row r="1899">
      <c r="A1899" s="8" t="s">
        <v>14021</v>
      </c>
    </row>
    <row r="1900">
      <c r="A1900" s="8" t="s">
        <v>14022</v>
      </c>
    </row>
    <row r="1901">
      <c r="A1901" s="8" t="s">
        <v>14023</v>
      </c>
    </row>
    <row r="1902">
      <c r="A1902" s="8" t="s">
        <v>14024</v>
      </c>
    </row>
    <row r="1903">
      <c r="A1903" s="8" t="s">
        <v>14025</v>
      </c>
    </row>
    <row r="1904">
      <c r="A1904" s="8" t="s">
        <v>14026</v>
      </c>
    </row>
    <row r="1905">
      <c r="A1905" s="8" t="s">
        <v>14027</v>
      </c>
    </row>
    <row r="1906">
      <c r="A1906" s="8" t="s">
        <v>14028</v>
      </c>
    </row>
    <row r="1907">
      <c r="A1907" s="8" t="s">
        <v>14029</v>
      </c>
    </row>
    <row r="1908">
      <c r="A1908" s="8" t="s">
        <v>14030</v>
      </c>
    </row>
    <row r="1909">
      <c r="A1909" s="8" t="s">
        <v>14031</v>
      </c>
    </row>
    <row r="1910">
      <c r="A1910" s="8" t="s">
        <v>14032</v>
      </c>
    </row>
    <row r="1911">
      <c r="A1911" s="8" t="s">
        <v>14033</v>
      </c>
    </row>
    <row r="1912">
      <c r="A1912" s="8" t="s">
        <v>14034</v>
      </c>
    </row>
    <row r="1913">
      <c r="A1913" s="8" t="s">
        <v>14035</v>
      </c>
    </row>
    <row r="1914">
      <c r="A1914" s="8" t="s">
        <v>14036</v>
      </c>
    </row>
    <row r="1915">
      <c r="A1915" s="8" t="s">
        <v>14037</v>
      </c>
    </row>
    <row r="1916">
      <c r="A1916" s="8" t="s">
        <v>14038</v>
      </c>
    </row>
    <row r="1917">
      <c r="A1917" s="8" t="s">
        <v>14039</v>
      </c>
    </row>
    <row r="1918">
      <c r="A1918" s="8" t="s">
        <v>14040</v>
      </c>
    </row>
    <row r="1919">
      <c r="A1919" s="8" t="s">
        <v>14041</v>
      </c>
    </row>
    <row r="1920">
      <c r="A1920" s="8" t="s">
        <v>14042</v>
      </c>
    </row>
    <row r="1921">
      <c r="A1921" s="8" t="s">
        <v>14043</v>
      </c>
    </row>
    <row r="1922">
      <c r="A1922" s="8" t="s">
        <v>14044</v>
      </c>
    </row>
    <row r="1923">
      <c r="A1923" s="8" t="s">
        <v>14045</v>
      </c>
    </row>
    <row r="1924">
      <c r="A1924" s="8" t="s">
        <v>14046</v>
      </c>
    </row>
    <row r="1925">
      <c r="A1925" s="8" t="s">
        <v>14047</v>
      </c>
    </row>
    <row r="1926">
      <c r="A1926" s="8" t="s">
        <v>14048</v>
      </c>
    </row>
    <row r="1927">
      <c r="A1927" s="8" t="s">
        <v>14049</v>
      </c>
    </row>
    <row r="1928">
      <c r="A1928" s="8" t="s">
        <v>14050</v>
      </c>
    </row>
    <row r="1929">
      <c r="A1929" s="8" t="s">
        <v>14051</v>
      </c>
    </row>
    <row r="1930">
      <c r="A1930" s="8" t="s">
        <v>14052</v>
      </c>
    </row>
    <row r="1931">
      <c r="A1931" s="8" t="s">
        <v>14053</v>
      </c>
    </row>
    <row r="1932">
      <c r="A1932" s="8" t="s">
        <v>14054</v>
      </c>
    </row>
    <row r="1933">
      <c r="A1933" s="8" t="s">
        <v>14055</v>
      </c>
    </row>
    <row r="1934">
      <c r="A1934" s="8" t="s">
        <v>14056</v>
      </c>
    </row>
    <row r="1935">
      <c r="A1935" s="8" t="s">
        <v>14057</v>
      </c>
    </row>
    <row r="1936">
      <c r="A1936" s="8" t="s">
        <v>14058</v>
      </c>
    </row>
    <row r="1937">
      <c r="A1937" s="8" t="s">
        <v>14059</v>
      </c>
    </row>
    <row r="1938">
      <c r="A1938" s="8" t="s">
        <v>14060</v>
      </c>
    </row>
    <row r="1939">
      <c r="A1939" s="8" t="s">
        <v>14061</v>
      </c>
    </row>
    <row r="1940">
      <c r="A1940" s="8" t="s">
        <v>14062</v>
      </c>
    </row>
    <row r="1941">
      <c r="A1941" s="8" t="s">
        <v>14063</v>
      </c>
    </row>
    <row r="1942">
      <c r="A1942" s="8" t="s">
        <v>14064</v>
      </c>
    </row>
    <row r="1943">
      <c r="A1943" s="8" t="s">
        <v>14065</v>
      </c>
    </row>
    <row r="1944">
      <c r="A1944" s="8" t="s">
        <v>14066</v>
      </c>
    </row>
    <row r="1945">
      <c r="A1945" s="8" t="s">
        <v>14067</v>
      </c>
    </row>
    <row r="1946">
      <c r="A1946" s="8" t="s">
        <v>14068</v>
      </c>
    </row>
    <row r="1947">
      <c r="A1947" s="8" t="s">
        <v>14069</v>
      </c>
    </row>
    <row r="1948">
      <c r="A1948" s="8" t="s">
        <v>14070</v>
      </c>
    </row>
    <row r="1949">
      <c r="A1949" s="8" t="s">
        <v>14071</v>
      </c>
    </row>
    <row r="1950">
      <c r="A1950" s="8" t="s">
        <v>14072</v>
      </c>
    </row>
    <row r="1951">
      <c r="A1951" s="8" t="s">
        <v>14073</v>
      </c>
    </row>
    <row r="1952">
      <c r="A1952" s="8" t="s">
        <v>14074</v>
      </c>
    </row>
    <row r="1953">
      <c r="A1953" s="8" t="s">
        <v>14075</v>
      </c>
    </row>
    <row r="1954">
      <c r="A1954" s="8" t="s">
        <v>14076</v>
      </c>
    </row>
    <row r="1955">
      <c r="A1955" s="8" t="s">
        <v>14077</v>
      </c>
    </row>
    <row r="1956">
      <c r="A1956" s="8" t="s">
        <v>14078</v>
      </c>
    </row>
    <row r="1957">
      <c r="A1957" s="8" t="s">
        <v>14079</v>
      </c>
    </row>
    <row r="1958">
      <c r="A1958" s="8" t="s">
        <v>14080</v>
      </c>
    </row>
    <row r="1959">
      <c r="A1959" s="8" t="s">
        <v>14081</v>
      </c>
    </row>
    <row r="1960">
      <c r="A1960" s="8" t="s">
        <v>14082</v>
      </c>
    </row>
    <row r="1961">
      <c r="A1961" s="8" t="s">
        <v>14083</v>
      </c>
    </row>
    <row r="1962">
      <c r="A1962" s="8" t="s">
        <v>14084</v>
      </c>
    </row>
    <row r="1963">
      <c r="A1963" s="8" t="s">
        <v>14085</v>
      </c>
    </row>
    <row r="1964">
      <c r="A1964" s="8" t="s">
        <v>14086</v>
      </c>
    </row>
    <row r="1965">
      <c r="A1965" s="8" t="s">
        <v>14087</v>
      </c>
    </row>
    <row r="1966">
      <c r="A1966" s="8" t="s">
        <v>14088</v>
      </c>
    </row>
    <row r="1967">
      <c r="A1967" s="8" t="s">
        <v>14089</v>
      </c>
    </row>
    <row r="1968">
      <c r="A1968" s="8" t="s">
        <v>14090</v>
      </c>
    </row>
    <row r="1969">
      <c r="A1969" s="8" t="s">
        <v>14091</v>
      </c>
    </row>
    <row r="1970">
      <c r="A1970" s="8" t="s">
        <v>14092</v>
      </c>
    </row>
    <row r="1971">
      <c r="A1971" s="8" t="s">
        <v>14093</v>
      </c>
    </row>
    <row r="1972">
      <c r="A1972" s="8" t="s">
        <v>14094</v>
      </c>
    </row>
    <row r="1973">
      <c r="A1973" s="8" t="s">
        <v>14095</v>
      </c>
    </row>
    <row r="1974">
      <c r="A1974" s="8" t="s">
        <v>14096</v>
      </c>
    </row>
    <row r="1975">
      <c r="A1975" s="8" t="s">
        <v>14097</v>
      </c>
    </row>
    <row r="1976">
      <c r="A1976" s="8" t="s">
        <v>14098</v>
      </c>
    </row>
    <row r="1977">
      <c r="A1977" s="8" t="s">
        <v>14099</v>
      </c>
    </row>
    <row r="1978">
      <c r="A1978" s="8" t="s">
        <v>14100</v>
      </c>
    </row>
    <row r="1979">
      <c r="A1979" s="8" t="s">
        <v>14101</v>
      </c>
    </row>
    <row r="1980">
      <c r="A1980" s="8" t="s">
        <v>14102</v>
      </c>
    </row>
    <row r="1981">
      <c r="A1981" s="8" t="s">
        <v>14103</v>
      </c>
    </row>
    <row r="1982">
      <c r="A1982" s="8" t="s">
        <v>14104</v>
      </c>
    </row>
    <row r="1983">
      <c r="A1983" s="8" t="s">
        <v>14105</v>
      </c>
    </row>
    <row r="1984">
      <c r="A1984" s="8" t="s">
        <v>14106</v>
      </c>
    </row>
    <row r="1985">
      <c r="A1985" s="8" t="s">
        <v>14107</v>
      </c>
    </row>
    <row r="1986">
      <c r="A1986" s="8" t="s">
        <v>14108</v>
      </c>
    </row>
    <row r="1987">
      <c r="A1987" s="8" t="s">
        <v>14109</v>
      </c>
    </row>
    <row r="1988">
      <c r="A1988" s="8" t="s">
        <v>14110</v>
      </c>
    </row>
    <row r="1989">
      <c r="A1989" s="8" t="s">
        <v>14111</v>
      </c>
    </row>
    <row r="1990">
      <c r="A1990" s="8" t="s">
        <v>14112</v>
      </c>
    </row>
    <row r="1991">
      <c r="A1991" s="8" t="s">
        <v>14113</v>
      </c>
    </row>
    <row r="1992">
      <c r="A1992" s="8" t="s">
        <v>14114</v>
      </c>
    </row>
    <row r="1993">
      <c r="A1993" s="8" t="s">
        <v>14115</v>
      </c>
    </row>
    <row r="1994">
      <c r="A1994" s="8" t="s">
        <v>14116</v>
      </c>
    </row>
    <row r="1995">
      <c r="A1995" s="8" t="s">
        <v>14117</v>
      </c>
    </row>
    <row r="1996">
      <c r="A1996" s="8" t="s">
        <v>14118</v>
      </c>
    </row>
    <row r="1997">
      <c r="A1997" s="8" t="s">
        <v>14119</v>
      </c>
    </row>
    <row r="1998">
      <c r="A1998" s="8" t="s">
        <v>14120</v>
      </c>
    </row>
    <row r="1999">
      <c r="A1999" s="8" t="s">
        <v>14121</v>
      </c>
    </row>
    <row r="2000">
      <c r="A2000" s="8" t="s">
        <v>14122</v>
      </c>
    </row>
    <row r="2001">
      <c r="A2001" s="8" t="s">
        <v>14123</v>
      </c>
    </row>
    <row r="2002">
      <c r="A2002" s="8" t="s">
        <v>14124</v>
      </c>
    </row>
    <row r="2003">
      <c r="A2003" s="8" t="s">
        <v>14125</v>
      </c>
    </row>
    <row r="2004">
      <c r="A2004" s="8" t="s">
        <v>14126</v>
      </c>
    </row>
    <row r="2005">
      <c r="A2005" s="8" t="s">
        <v>14127</v>
      </c>
    </row>
    <row r="2006">
      <c r="A2006" s="8" t="s">
        <v>14128</v>
      </c>
    </row>
    <row r="2007">
      <c r="A2007" s="8" t="s">
        <v>14129</v>
      </c>
    </row>
    <row r="2008">
      <c r="A2008" s="8" t="s">
        <v>14130</v>
      </c>
    </row>
    <row r="2009">
      <c r="A2009" s="8" t="s">
        <v>14131</v>
      </c>
    </row>
    <row r="2010">
      <c r="A2010" s="8" t="s">
        <v>14132</v>
      </c>
    </row>
    <row r="2011">
      <c r="A2011" s="8" t="s">
        <v>14133</v>
      </c>
    </row>
    <row r="2012">
      <c r="A2012" s="8" t="s">
        <v>14134</v>
      </c>
    </row>
    <row r="2013">
      <c r="A2013" s="8" t="s">
        <v>14135</v>
      </c>
    </row>
    <row r="2014">
      <c r="A2014" s="8" t="s">
        <v>14136</v>
      </c>
    </row>
    <row r="2015">
      <c r="A2015" s="8" t="s">
        <v>14137</v>
      </c>
    </row>
    <row r="2016">
      <c r="A2016" s="8" t="s">
        <v>14138</v>
      </c>
    </row>
    <row r="2017">
      <c r="A2017" s="8" t="s">
        <v>14139</v>
      </c>
    </row>
    <row r="2018">
      <c r="A2018" s="8" t="s">
        <v>14140</v>
      </c>
    </row>
    <row r="2019">
      <c r="A2019" s="8" t="s">
        <v>14141</v>
      </c>
    </row>
    <row r="2020">
      <c r="A2020" s="8" t="s">
        <v>14142</v>
      </c>
    </row>
    <row r="2021">
      <c r="A2021" s="8" t="s">
        <v>14143</v>
      </c>
    </row>
    <row r="2022">
      <c r="A2022" s="8" t="s">
        <v>14144</v>
      </c>
    </row>
    <row r="2023">
      <c r="A2023" s="8" t="s">
        <v>14145</v>
      </c>
    </row>
    <row r="2024">
      <c r="A2024" s="8" t="s">
        <v>14146</v>
      </c>
    </row>
    <row r="2025">
      <c r="A2025" s="8" t="s">
        <v>14147</v>
      </c>
    </row>
    <row r="2026">
      <c r="A2026" s="8" t="s">
        <v>14148</v>
      </c>
    </row>
    <row r="2027">
      <c r="A2027" s="8" t="s">
        <v>14149</v>
      </c>
    </row>
    <row r="2028">
      <c r="A2028" s="8" t="s">
        <v>14150</v>
      </c>
    </row>
    <row r="2029">
      <c r="A2029" s="8" t="s">
        <v>14151</v>
      </c>
    </row>
    <row r="2030">
      <c r="A2030" s="8" t="s">
        <v>14152</v>
      </c>
    </row>
    <row r="2031">
      <c r="A2031" s="8" t="s">
        <v>14153</v>
      </c>
    </row>
    <row r="2032">
      <c r="A2032" s="8" t="s">
        <v>14154</v>
      </c>
    </row>
    <row r="2033">
      <c r="A2033" s="8" t="s">
        <v>14155</v>
      </c>
    </row>
    <row r="2034">
      <c r="A2034" s="8" t="s">
        <v>14156</v>
      </c>
    </row>
    <row r="2035">
      <c r="A2035" s="8" t="s">
        <v>14157</v>
      </c>
    </row>
    <row r="2036">
      <c r="A2036" s="8" t="s">
        <v>14158</v>
      </c>
    </row>
    <row r="2037">
      <c r="A2037" s="8" t="s">
        <v>14159</v>
      </c>
    </row>
    <row r="2038">
      <c r="A2038" s="8" t="s">
        <v>14160</v>
      </c>
    </row>
    <row r="2039">
      <c r="A2039" s="8" t="s">
        <v>14161</v>
      </c>
    </row>
    <row r="2040">
      <c r="A2040" s="8" t="s">
        <v>14162</v>
      </c>
    </row>
    <row r="2041">
      <c r="A2041" s="8" t="s">
        <v>14163</v>
      </c>
    </row>
    <row r="2042">
      <c r="A2042" s="8" t="s">
        <v>14164</v>
      </c>
    </row>
    <row r="2043">
      <c r="A2043" s="8" t="s">
        <v>14165</v>
      </c>
    </row>
    <row r="2044">
      <c r="A2044" s="8" t="s">
        <v>14166</v>
      </c>
    </row>
    <row r="2045">
      <c r="A2045" s="8" t="s">
        <v>14167</v>
      </c>
    </row>
    <row r="2046">
      <c r="A2046" s="8" t="s">
        <v>14168</v>
      </c>
    </row>
    <row r="2047">
      <c r="A2047" s="8" t="s">
        <v>14169</v>
      </c>
    </row>
    <row r="2048">
      <c r="A2048" s="8" t="s">
        <v>14170</v>
      </c>
    </row>
    <row r="2049">
      <c r="A2049" s="8" t="s">
        <v>14171</v>
      </c>
    </row>
    <row r="2050">
      <c r="A2050" s="8" t="s">
        <v>14172</v>
      </c>
    </row>
    <row r="2051">
      <c r="A2051" s="8" t="s">
        <v>14173</v>
      </c>
    </row>
    <row r="2052">
      <c r="A2052" s="8" t="s">
        <v>14174</v>
      </c>
    </row>
    <row r="2053">
      <c r="A2053" s="8" t="s">
        <v>14175</v>
      </c>
    </row>
    <row r="2054">
      <c r="A2054" s="8" t="s">
        <v>14176</v>
      </c>
    </row>
    <row r="2055">
      <c r="A2055" s="8" t="s">
        <v>14177</v>
      </c>
    </row>
    <row r="2056">
      <c r="A2056" s="8" t="s">
        <v>14178</v>
      </c>
    </row>
    <row r="2057">
      <c r="A2057" s="8" t="s">
        <v>14179</v>
      </c>
    </row>
    <row r="2058">
      <c r="A2058" s="8" t="s">
        <v>14180</v>
      </c>
    </row>
    <row r="2059">
      <c r="A2059" s="8" t="s">
        <v>14181</v>
      </c>
    </row>
    <row r="2060">
      <c r="A2060" s="8" t="s">
        <v>14182</v>
      </c>
    </row>
    <row r="2061">
      <c r="A2061" s="8" t="s">
        <v>14183</v>
      </c>
    </row>
    <row r="2062">
      <c r="A2062" s="8" t="s">
        <v>14184</v>
      </c>
    </row>
    <row r="2063">
      <c r="A2063" s="8" t="s">
        <v>14185</v>
      </c>
    </row>
    <row r="2064">
      <c r="A2064" s="8" t="s">
        <v>14186</v>
      </c>
    </row>
    <row r="2065">
      <c r="A2065" s="8" t="s">
        <v>14187</v>
      </c>
    </row>
    <row r="2066">
      <c r="A2066" s="8" t="s">
        <v>14188</v>
      </c>
    </row>
    <row r="2067">
      <c r="A2067" s="8" t="s">
        <v>14189</v>
      </c>
    </row>
    <row r="2068">
      <c r="A2068" s="8" t="s">
        <v>14190</v>
      </c>
    </row>
    <row r="2069">
      <c r="A2069" s="8" t="s">
        <v>14191</v>
      </c>
    </row>
    <row r="2070">
      <c r="A2070" s="8" t="s">
        <v>14192</v>
      </c>
    </row>
    <row r="2071">
      <c r="A2071" s="8" t="s">
        <v>14193</v>
      </c>
    </row>
    <row r="2072">
      <c r="A2072" s="8" t="s">
        <v>14194</v>
      </c>
    </row>
    <row r="2073">
      <c r="A2073" s="8" t="s">
        <v>14195</v>
      </c>
    </row>
    <row r="2074">
      <c r="A2074" s="8" t="s">
        <v>14196</v>
      </c>
    </row>
    <row r="2075">
      <c r="A2075" s="8" t="s">
        <v>14197</v>
      </c>
    </row>
    <row r="2076">
      <c r="A2076" s="8" t="s">
        <v>14198</v>
      </c>
    </row>
    <row r="2077">
      <c r="A2077" s="8" t="s">
        <v>14199</v>
      </c>
    </row>
    <row r="2078">
      <c r="A2078" s="8" t="s">
        <v>14200</v>
      </c>
    </row>
    <row r="2079">
      <c r="A2079" s="8" t="s">
        <v>14201</v>
      </c>
    </row>
    <row r="2080">
      <c r="A2080" s="8" t="s">
        <v>14202</v>
      </c>
    </row>
    <row r="2081">
      <c r="A2081" s="8" t="s">
        <v>14203</v>
      </c>
    </row>
    <row r="2082">
      <c r="A2082" s="8" t="s">
        <v>14204</v>
      </c>
    </row>
    <row r="2083">
      <c r="A2083" s="8" t="s">
        <v>14205</v>
      </c>
    </row>
    <row r="2084">
      <c r="A2084" s="8" t="s">
        <v>14206</v>
      </c>
    </row>
    <row r="2085">
      <c r="A2085" s="8" t="s">
        <v>14207</v>
      </c>
    </row>
    <row r="2086">
      <c r="A2086" s="8" t="s">
        <v>14208</v>
      </c>
    </row>
    <row r="2087">
      <c r="A2087" s="8" t="s">
        <v>14209</v>
      </c>
    </row>
    <row r="2088">
      <c r="A2088" s="8" t="s">
        <v>14210</v>
      </c>
    </row>
    <row r="2089">
      <c r="A2089" s="8" t="s">
        <v>14211</v>
      </c>
    </row>
    <row r="2090">
      <c r="A2090" s="8" t="s">
        <v>14212</v>
      </c>
    </row>
    <row r="2091">
      <c r="A2091" s="8" t="s">
        <v>14213</v>
      </c>
    </row>
    <row r="2092">
      <c r="A2092" s="8" t="s">
        <v>14214</v>
      </c>
    </row>
    <row r="2093">
      <c r="A2093" s="8" t="s">
        <v>14215</v>
      </c>
    </row>
    <row r="2094">
      <c r="A2094" s="8" t="s">
        <v>14216</v>
      </c>
    </row>
    <row r="2095">
      <c r="A2095" s="8" t="s">
        <v>14217</v>
      </c>
    </row>
    <row r="2096">
      <c r="A2096" s="8" t="s">
        <v>14218</v>
      </c>
    </row>
    <row r="2097">
      <c r="A2097" s="8" t="s">
        <v>14219</v>
      </c>
    </row>
    <row r="2098">
      <c r="A2098" s="8" t="s">
        <v>14220</v>
      </c>
    </row>
    <row r="2099">
      <c r="A2099" s="8" t="s">
        <v>14221</v>
      </c>
    </row>
    <row r="2100">
      <c r="A2100" s="8" t="s">
        <v>14222</v>
      </c>
    </row>
    <row r="2101">
      <c r="A2101" s="8" t="s">
        <v>14223</v>
      </c>
    </row>
    <row r="2102">
      <c r="A2102" s="8" t="s">
        <v>14224</v>
      </c>
    </row>
    <row r="2103">
      <c r="A2103" s="8" t="s">
        <v>14225</v>
      </c>
    </row>
    <row r="2104">
      <c r="A2104" s="8" t="s">
        <v>14226</v>
      </c>
    </row>
    <row r="2105">
      <c r="A2105" s="8" t="s">
        <v>14227</v>
      </c>
    </row>
    <row r="2106">
      <c r="A2106" s="8" t="s">
        <v>14228</v>
      </c>
    </row>
    <row r="2107">
      <c r="A2107" s="8" t="s">
        <v>14229</v>
      </c>
    </row>
    <row r="2108">
      <c r="A2108" s="8" t="s">
        <v>14230</v>
      </c>
    </row>
    <row r="2109">
      <c r="A2109" s="8" t="s">
        <v>14231</v>
      </c>
    </row>
    <row r="2110">
      <c r="A2110" s="8" t="s">
        <v>14232</v>
      </c>
    </row>
    <row r="2111">
      <c r="A2111" s="8" t="s">
        <v>14233</v>
      </c>
    </row>
    <row r="2112">
      <c r="A2112" s="8" t="s">
        <v>14234</v>
      </c>
    </row>
    <row r="2113">
      <c r="A2113" s="8" t="s">
        <v>14235</v>
      </c>
    </row>
    <row r="2114">
      <c r="A2114" s="8" t="s">
        <v>14236</v>
      </c>
    </row>
    <row r="2115">
      <c r="A2115" s="8" t="s">
        <v>14237</v>
      </c>
    </row>
    <row r="2116">
      <c r="A2116" s="8" t="s">
        <v>14238</v>
      </c>
    </row>
    <row r="2117">
      <c r="A2117" s="8" t="s">
        <v>14239</v>
      </c>
    </row>
    <row r="2118">
      <c r="A2118" s="8" t="s">
        <v>14240</v>
      </c>
    </row>
    <row r="2119">
      <c r="A2119" s="8" t="s">
        <v>14241</v>
      </c>
    </row>
    <row r="2120">
      <c r="A2120" s="8" t="s">
        <v>14242</v>
      </c>
    </row>
    <row r="2121">
      <c r="A2121" s="8" t="s">
        <v>14243</v>
      </c>
    </row>
    <row r="2122">
      <c r="A2122" s="8" t="s">
        <v>14244</v>
      </c>
    </row>
    <row r="2123">
      <c r="A2123" s="8" t="s">
        <v>14245</v>
      </c>
    </row>
    <row r="2124">
      <c r="A2124" s="8" t="s">
        <v>14246</v>
      </c>
    </row>
    <row r="2125">
      <c r="A2125" s="8" t="s">
        <v>14247</v>
      </c>
    </row>
    <row r="2126">
      <c r="A2126" s="8" t="s">
        <v>14248</v>
      </c>
    </row>
    <row r="2127">
      <c r="A2127" s="8" t="s">
        <v>14249</v>
      </c>
    </row>
    <row r="2128">
      <c r="A2128" s="8" t="s">
        <v>14250</v>
      </c>
    </row>
    <row r="2129">
      <c r="A2129" s="8" t="s">
        <v>14251</v>
      </c>
    </row>
    <row r="2130">
      <c r="A2130" s="8" t="s">
        <v>14252</v>
      </c>
    </row>
    <row r="2131">
      <c r="A2131" s="8" t="s">
        <v>14253</v>
      </c>
    </row>
    <row r="2132">
      <c r="A2132" s="8" t="s">
        <v>14254</v>
      </c>
    </row>
    <row r="2133">
      <c r="A2133" s="8" t="s">
        <v>14255</v>
      </c>
    </row>
    <row r="2134">
      <c r="A2134" s="8" t="s">
        <v>14256</v>
      </c>
    </row>
    <row r="2135">
      <c r="A2135" s="8" t="s">
        <v>14257</v>
      </c>
    </row>
    <row r="2136">
      <c r="A2136" s="8" t="s">
        <v>14258</v>
      </c>
    </row>
    <row r="2137">
      <c r="A2137" s="8" t="s">
        <v>14259</v>
      </c>
    </row>
    <row r="2138">
      <c r="A2138" s="8" t="s">
        <v>14260</v>
      </c>
    </row>
    <row r="2139">
      <c r="A2139" s="8" t="s">
        <v>14261</v>
      </c>
    </row>
    <row r="2140">
      <c r="A2140" s="8" t="s">
        <v>14262</v>
      </c>
    </row>
    <row r="2141">
      <c r="A2141" s="8" t="s">
        <v>14263</v>
      </c>
    </row>
    <row r="2142">
      <c r="A2142" s="8" t="s">
        <v>14264</v>
      </c>
    </row>
    <row r="2143">
      <c r="A2143" s="8" t="s">
        <v>14265</v>
      </c>
    </row>
    <row r="2144">
      <c r="A2144" s="8" t="s">
        <v>14266</v>
      </c>
    </row>
    <row r="2145">
      <c r="A2145" s="8" t="s">
        <v>14267</v>
      </c>
    </row>
    <row r="2146">
      <c r="A2146" s="8" t="s">
        <v>14268</v>
      </c>
    </row>
    <row r="2147">
      <c r="A2147" s="8" t="s">
        <v>14269</v>
      </c>
    </row>
    <row r="2148">
      <c r="A2148" s="8" t="s">
        <v>14270</v>
      </c>
    </row>
    <row r="2149">
      <c r="A2149" s="8" t="s">
        <v>14271</v>
      </c>
    </row>
    <row r="2150">
      <c r="A2150" s="8" t="s">
        <v>14272</v>
      </c>
    </row>
    <row r="2151">
      <c r="A2151" s="8" t="s">
        <v>14273</v>
      </c>
    </row>
    <row r="2152">
      <c r="A2152" s="8" t="s">
        <v>14274</v>
      </c>
    </row>
    <row r="2153">
      <c r="A2153" s="8" t="s">
        <v>14275</v>
      </c>
    </row>
    <row r="2154">
      <c r="A2154" s="8" t="s">
        <v>14276</v>
      </c>
    </row>
    <row r="2155">
      <c r="A2155" s="8" t="s">
        <v>14277</v>
      </c>
    </row>
    <row r="2156">
      <c r="A2156" s="8" t="s">
        <v>14278</v>
      </c>
    </row>
    <row r="2157">
      <c r="A2157" s="8" t="s">
        <v>14279</v>
      </c>
    </row>
    <row r="2158">
      <c r="A2158" s="8" t="s">
        <v>14280</v>
      </c>
    </row>
    <row r="2159">
      <c r="A2159" s="8" t="s">
        <v>14281</v>
      </c>
    </row>
    <row r="2160">
      <c r="A2160" s="8" t="s">
        <v>14282</v>
      </c>
    </row>
    <row r="2161">
      <c r="A2161" s="8" t="s">
        <v>14283</v>
      </c>
    </row>
    <row r="2162">
      <c r="A2162" s="8" t="s">
        <v>14284</v>
      </c>
    </row>
    <row r="2163">
      <c r="A2163" s="8" t="s">
        <v>14285</v>
      </c>
    </row>
    <row r="2164">
      <c r="A2164" s="8" t="s">
        <v>14286</v>
      </c>
    </row>
    <row r="2165">
      <c r="A2165" s="8" t="s">
        <v>14287</v>
      </c>
    </row>
    <row r="2166">
      <c r="A2166" s="8" t="s">
        <v>14288</v>
      </c>
    </row>
    <row r="2167">
      <c r="A2167" s="8" t="s">
        <v>14289</v>
      </c>
    </row>
    <row r="2168">
      <c r="A2168" s="8" t="s">
        <v>14290</v>
      </c>
    </row>
    <row r="2169">
      <c r="A2169" s="8" t="s">
        <v>14291</v>
      </c>
    </row>
    <row r="2170">
      <c r="A2170" s="8" t="s">
        <v>14292</v>
      </c>
    </row>
    <row r="2171">
      <c r="A2171" s="8" t="s">
        <v>14293</v>
      </c>
    </row>
    <row r="2172">
      <c r="A2172" s="8" t="s">
        <v>14294</v>
      </c>
    </row>
    <row r="2173">
      <c r="A2173" s="8" t="s">
        <v>14295</v>
      </c>
    </row>
    <row r="2174">
      <c r="A2174" s="8" t="s">
        <v>14296</v>
      </c>
    </row>
    <row r="2175">
      <c r="A2175" s="8" t="s">
        <v>14297</v>
      </c>
    </row>
    <row r="2176">
      <c r="A2176" s="8" t="s">
        <v>14298</v>
      </c>
    </row>
    <row r="2177">
      <c r="A2177" s="8" t="s">
        <v>14299</v>
      </c>
    </row>
    <row r="2178">
      <c r="A2178" s="8" t="s">
        <v>14300</v>
      </c>
    </row>
    <row r="2179">
      <c r="A2179" s="8" t="s">
        <v>14301</v>
      </c>
    </row>
    <row r="2180">
      <c r="A2180" s="8" t="s">
        <v>14302</v>
      </c>
    </row>
    <row r="2181">
      <c r="A2181" s="8" t="s">
        <v>14303</v>
      </c>
    </row>
    <row r="2182">
      <c r="A2182" s="8" t="s">
        <v>14304</v>
      </c>
    </row>
    <row r="2183">
      <c r="A2183" s="8" t="s">
        <v>14305</v>
      </c>
    </row>
    <row r="2184">
      <c r="A2184" s="8" t="s">
        <v>14306</v>
      </c>
    </row>
    <row r="2185">
      <c r="A2185" s="8" t="s">
        <v>14307</v>
      </c>
    </row>
    <row r="2186">
      <c r="A2186" s="8" t="s">
        <v>14308</v>
      </c>
    </row>
    <row r="2187">
      <c r="A2187" s="8" t="s">
        <v>14309</v>
      </c>
    </row>
    <row r="2188">
      <c r="A2188" s="8" t="s">
        <v>14310</v>
      </c>
    </row>
    <row r="2189">
      <c r="A2189" s="8" t="s">
        <v>14311</v>
      </c>
    </row>
    <row r="2190">
      <c r="A2190" s="8" t="s">
        <v>14312</v>
      </c>
    </row>
    <row r="2191">
      <c r="A2191" s="8" t="s">
        <v>14313</v>
      </c>
    </row>
    <row r="2192">
      <c r="A2192" s="8" t="s">
        <v>14314</v>
      </c>
    </row>
    <row r="2193">
      <c r="A2193" s="8" t="s">
        <v>14315</v>
      </c>
    </row>
    <row r="2194">
      <c r="A2194" s="8" t="s">
        <v>14316</v>
      </c>
    </row>
    <row r="2195">
      <c r="A2195" s="8" t="s">
        <v>14317</v>
      </c>
    </row>
    <row r="2196">
      <c r="A2196" s="8" t="s">
        <v>14318</v>
      </c>
    </row>
    <row r="2197">
      <c r="A2197" s="8" t="s">
        <v>14319</v>
      </c>
    </row>
    <row r="2198">
      <c r="A2198" s="8" t="s">
        <v>14320</v>
      </c>
    </row>
    <row r="2199">
      <c r="A2199" s="8" t="s">
        <v>14321</v>
      </c>
    </row>
    <row r="2200">
      <c r="A2200" s="8" t="s">
        <v>14322</v>
      </c>
    </row>
    <row r="2201">
      <c r="A2201" s="8" t="s">
        <v>14323</v>
      </c>
    </row>
    <row r="2202">
      <c r="A2202" s="8" t="s">
        <v>14324</v>
      </c>
    </row>
    <row r="2203">
      <c r="A2203" s="8" t="s">
        <v>14325</v>
      </c>
    </row>
    <row r="2204">
      <c r="A2204" s="8" t="s">
        <v>14326</v>
      </c>
    </row>
    <row r="2205">
      <c r="A2205" s="8" t="s">
        <v>14327</v>
      </c>
    </row>
    <row r="2206">
      <c r="A2206" s="8" t="s">
        <v>14328</v>
      </c>
    </row>
    <row r="2207">
      <c r="A2207" s="8" t="s">
        <v>14329</v>
      </c>
    </row>
    <row r="2208">
      <c r="A2208" s="8" t="s">
        <v>14330</v>
      </c>
    </row>
    <row r="2209">
      <c r="A2209" s="8" t="s">
        <v>14331</v>
      </c>
    </row>
    <row r="2210">
      <c r="A2210" s="8" t="s">
        <v>14332</v>
      </c>
    </row>
    <row r="2211">
      <c r="A2211" s="8" t="s">
        <v>14333</v>
      </c>
    </row>
    <row r="2212">
      <c r="A2212" s="8" t="s">
        <v>14334</v>
      </c>
    </row>
    <row r="2213">
      <c r="A2213" s="8" t="s">
        <v>14335</v>
      </c>
    </row>
    <row r="2214">
      <c r="A2214" s="8" t="s">
        <v>14336</v>
      </c>
    </row>
    <row r="2215">
      <c r="A2215" s="8" t="s">
        <v>14337</v>
      </c>
    </row>
    <row r="2216">
      <c r="A2216" s="8" t="s">
        <v>14338</v>
      </c>
    </row>
    <row r="2217">
      <c r="A2217" s="8" t="s">
        <v>14339</v>
      </c>
    </row>
    <row r="2218">
      <c r="A2218" s="8" t="s">
        <v>14340</v>
      </c>
    </row>
    <row r="2219">
      <c r="A2219" s="8" t="s">
        <v>14341</v>
      </c>
    </row>
    <row r="2220">
      <c r="A2220" s="8" t="s">
        <v>14342</v>
      </c>
    </row>
    <row r="2221">
      <c r="A2221" s="8" t="s">
        <v>14343</v>
      </c>
    </row>
    <row r="2222">
      <c r="A2222" s="8" t="s">
        <v>14344</v>
      </c>
    </row>
    <row r="2223">
      <c r="A2223" s="8" t="s">
        <v>14345</v>
      </c>
    </row>
    <row r="2224">
      <c r="A2224" s="8" t="s">
        <v>14346</v>
      </c>
    </row>
    <row r="2225">
      <c r="A2225" s="8" t="s">
        <v>14347</v>
      </c>
    </row>
    <row r="2226">
      <c r="A2226" s="8" t="s">
        <v>14348</v>
      </c>
    </row>
    <row r="2227">
      <c r="A2227" s="8" t="s">
        <v>14349</v>
      </c>
    </row>
    <row r="2228">
      <c r="A2228" s="8" t="s">
        <v>14350</v>
      </c>
    </row>
    <row r="2229">
      <c r="A2229" s="8" t="s">
        <v>14351</v>
      </c>
    </row>
    <row r="2230">
      <c r="A2230" s="8" t="s">
        <v>14352</v>
      </c>
    </row>
    <row r="2231">
      <c r="A2231" s="8" t="s">
        <v>14353</v>
      </c>
    </row>
    <row r="2232">
      <c r="A2232" s="8" t="s">
        <v>14354</v>
      </c>
    </row>
    <row r="2233">
      <c r="A2233" s="8" t="s">
        <v>14355</v>
      </c>
    </row>
    <row r="2234">
      <c r="A2234" s="8" t="s">
        <v>14356</v>
      </c>
    </row>
    <row r="2235">
      <c r="A2235" s="8" t="s">
        <v>14357</v>
      </c>
    </row>
    <row r="2236">
      <c r="A2236" s="5" t="s">
        <v>14358</v>
      </c>
    </row>
    <row r="2237">
      <c r="A2237" s="5" t="s">
        <v>14359</v>
      </c>
    </row>
    <row r="2238">
      <c r="A2238" s="5" t="s">
        <v>14360</v>
      </c>
    </row>
    <row r="2239">
      <c r="A2239" s="5" t="s">
        <v>14361</v>
      </c>
    </row>
    <row r="2240">
      <c r="A2240" s="5" t="s">
        <v>14362</v>
      </c>
    </row>
    <row r="2241">
      <c r="A2241" s="5" t="s">
        <v>14363</v>
      </c>
    </row>
    <row r="2242">
      <c r="A2242" s="5" t="s">
        <v>14364</v>
      </c>
    </row>
    <row r="2243">
      <c r="A2243" s="5" t="s">
        <v>14365</v>
      </c>
    </row>
    <row r="2244">
      <c r="A2244" s="5" t="s">
        <v>14366</v>
      </c>
    </row>
    <row r="2245">
      <c r="A2245" s="5" t="s">
        <v>14367</v>
      </c>
    </row>
    <row r="2246">
      <c r="A2246" s="5" t="s">
        <v>14368</v>
      </c>
    </row>
    <row r="2247">
      <c r="A2247" s="5" t="s">
        <v>14369</v>
      </c>
    </row>
    <row r="2248">
      <c r="A2248" s="5" t="s">
        <v>14370</v>
      </c>
    </row>
    <row r="2249">
      <c r="A2249" s="5" t="s">
        <v>14371</v>
      </c>
    </row>
    <row r="2250">
      <c r="A2250" s="5" t="s">
        <v>14372</v>
      </c>
    </row>
    <row r="2251">
      <c r="A2251" s="5" t="s">
        <v>14373</v>
      </c>
    </row>
    <row r="2252">
      <c r="A2252" s="5" t="s">
        <v>14374</v>
      </c>
    </row>
    <row r="2253">
      <c r="A2253" s="5" t="s">
        <v>14375</v>
      </c>
    </row>
    <row r="2254">
      <c r="A2254" s="5" t="s">
        <v>14376</v>
      </c>
    </row>
    <row r="2255">
      <c r="A2255" s="5" t="s">
        <v>14377</v>
      </c>
    </row>
    <row r="2256">
      <c r="A2256" s="5" t="s">
        <v>14378</v>
      </c>
    </row>
    <row r="2257">
      <c r="A2257" s="5" t="s">
        <v>14379</v>
      </c>
    </row>
    <row r="2258">
      <c r="A2258" s="5" t="s">
        <v>14380</v>
      </c>
    </row>
    <row r="2259">
      <c r="A2259" s="5" t="s">
        <v>14381</v>
      </c>
    </row>
    <row r="2260">
      <c r="A2260" s="5" t="s">
        <v>14382</v>
      </c>
    </row>
    <row r="2261">
      <c r="A2261" s="5" t="s">
        <v>14383</v>
      </c>
    </row>
    <row r="2262">
      <c r="A2262" s="5" t="s">
        <v>14384</v>
      </c>
    </row>
    <row r="2263">
      <c r="A2263" s="5" t="s">
        <v>14385</v>
      </c>
    </row>
    <row r="2264">
      <c r="A2264" s="5" t="s">
        <v>14386</v>
      </c>
    </row>
    <row r="2265">
      <c r="A2265" s="5" t="s">
        <v>14387</v>
      </c>
    </row>
    <row r="2266">
      <c r="A2266" s="5" t="s">
        <v>14388</v>
      </c>
    </row>
    <row r="2267">
      <c r="A2267" s="5" t="s">
        <v>14389</v>
      </c>
    </row>
    <row r="2268">
      <c r="A2268" s="5" t="s">
        <v>14390</v>
      </c>
    </row>
    <row r="2269">
      <c r="A2269" s="5" t="s">
        <v>14391</v>
      </c>
    </row>
    <row r="2270">
      <c r="A2270" s="5" t="s">
        <v>14392</v>
      </c>
    </row>
    <row r="2271">
      <c r="A2271" s="5" t="s">
        <v>14393</v>
      </c>
    </row>
    <row r="2272">
      <c r="A2272" s="5" t="s">
        <v>14394</v>
      </c>
    </row>
    <row r="2273">
      <c r="A2273" s="5" t="s">
        <v>14395</v>
      </c>
    </row>
    <row r="2274">
      <c r="A2274" s="5" t="s">
        <v>14396</v>
      </c>
    </row>
    <row r="2275">
      <c r="A2275" s="5" t="s">
        <v>14397</v>
      </c>
    </row>
    <row r="2276">
      <c r="A2276" s="5" t="s">
        <v>14398</v>
      </c>
    </row>
    <row r="2277">
      <c r="A2277" s="5" t="s">
        <v>14399</v>
      </c>
    </row>
    <row r="2278">
      <c r="A2278" s="5" t="s">
        <v>14400</v>
      </c>
    </row>
    <row r="2279">
      <c r="A2279" s="5" t="s">
        <v>14401</v>
      </c>
    </row>
    <row r="2280">
      <c r="A2280" s="5" t="s">
        <v>14402</v>
      </c>
    </row>
    <row r="2281">
      <c r="A2281" s="5" t="s">
        <v>14403</v>
      </c>
    </row>
    <row r="2282">
      <c r="A2282" s="5" t="s">
        <v>14404</v>
      </c>
    </row>
    <row r="2283">
      <c r="A2283" s="5" t="s">
        <v>14405</v>
      </c>
    </row>
    <row r="2284">
      <c r="A2284" s="5" t="s">
        <v>14406</v>
      </c>
    </row>
    <row r="2285">
      <c r="A2285" s="5" t="s">
        <v>14407</v>
      </c>
    </row>
    <row r="2286">
      <c r="A2286" s="5" t="s">
        <v>14408</v>
      </c>
    </row>
    <row r="2287">
      <c r="A2287" s="5" t="s">
        <v>14409</v>
      </c>
    </row>
    <row r="2288">
      <c r="A2288" s="5" t="s">
        <v>14410</v>
      </c>
    </row>
    <row r="2289">
      <c r="A2289" s="5" t="s">
        <v>14411</v>
      </c>
    </row>
    <row r="2290">
      <c r="A2290" s="5" t="s">
        <v>14412</v>
      </c>
    </row>
    <row r="2291">
      <c r="A2291" s="5" t="s">
        <v>14413</v>
      </c>
    </row>
    <row r="2292">
      <c r="A2292" s="5" t="s">
        <v>14414</v>
      </c>
    </row>
    <row r="2293">
      <c r="A2293" s="5" t="s">
        <v>14415</v>
      </c>
    </row>
    <row r="2294">
      <c r="A2294" s="5" t="s">
        <v>14416</v>
      </c>
    </row>
    <row r="2295">
      <c r="A2295" s="5" t="s">
        <v>14417</v>
      </c>
    </row>
    <row r="2296">
      <c r="A2296" s="5" t="s">
        <v>14418</v>
      </c>
    </row>
    <row r="2297">
      <c r="A2297" s="5" t="s">
        <v>14419</v>
      </c>
    </row>
    <row r="2298">
      <c r="A2298" s="5" t="s">
        <v>14420</v>
      </c>
    </row>
    <row r="2299">
      <c r="A2299" s="5" t="s">
        <v>14421</v>
      </c>
    </row>
    <row r="2300">
      <c r="A2300" s="5" t="s">
        <v>14422</v>
      </c>
    </row>
    <row r="2301">
      <c r="A2301" s="5" t="s">
        <v>14423</v>
      </c>
    </row>
    <row r="2302">
      <c r="A2302" s="5" t="s">
        <v>14424</v>
      </c>
    </row>
    <row r="2303">
      <c r="A2303" s="5" t="s">
        <v>14425</v>
      </c>
    </row>
    <row r="2304">
      <c r="A2304" s="5" t="s">
        <v>14426</v>
      </c>
    </row>
    <row r="2305">
      <c r="A2305" s="5" t="s">
        <v>14427</v>
      </c>
    </row>
    <row r="2306">
      <c r="A2306" s="5" t="s">
        <v>14428</v>
      </c>
    </row>
    <row r="2307">
      <c r="A2307" s="5" t="s">
        <v>14429</v>
      </c>
    </row>
    <row r="2308">
      <c r="A2308" s="5" t="s">
        <v>14430</v>
      </c>
    </row>
    <row r="2309">
      <c r="A2309" s="5" t="s">
        <v>14431</v>
      </c>
    </row>
    <row r="2310">
      <c r="A2310" s="5" t="s">
        <v>14432</v>
      </c>
    </row>
    <row r="2311">
      <c r="A2311" s="5" t="s">
        <v>14433</v>
      </c>
    </row>
    <row r="2312">
      <c r="A2312" s="5" t="s">
        <v>14434</v>
      </c>
    </row>
    <row r="2313">
      <c r="A2313" s="5" t="s">
        <v>14435</v>
      </c>
    </row>
    <row r="2314">
      <c r="A2314" s="5" t="s">
        <v>14436</v>
      </c>
    </row>
    <row r="2315">
      <c r="A2315" s="5" t="s">
        <v>14437</v>
      </c>
    </row>
    <row r="2316">
      <c r="A2316" s="5" t="s">
        <v>14438</v>
      </c>
    </row>
    <row r="2317">
      <c r="A2317" s="5" t="s">
        <v>14439</v>
      </c>
    </row>
    <row r="2318">
      <c r="A2318" s="5" t="s">
        <v>14440</v>
      </c>
    </row>
    <row r="2319">
      <c r="A2319" s="5" t="s">
        <v>14441</v>
      </c>
    </row>
    <row r="2320">
      <c r="A2320" s="5" t="s">
        <v>14442</v>
      </c>
    </row>
    <row r="2321">
      <c r="A2321" s="5" t="s">
        <v>14443</v>
      </c>
    </row>
    <row r="2322">
      <c r="A2322" s="5" t="s">
        <v>14444</v>
      </c>
    </row>
    <row r="2323">
      <c r="A2323" s="5" t="s">
        <v>14445</v>
      </c>
    </row>
    <row r="2324">
      <c r="A2324" s="5" t="s">
        <v>14446</v>
      </c>
    </row>
    <row r="2325">
      <c r="A2325" s="5" t="s">
        <v>14447</v>
      </c>
    </row>
    <row r="2326">
      <c r="A2326" s="5" t="s">
        <v>14448</v>
      </c>
    </row>
    <row r="2327">
      <c r="A2327" s="5" t="s">
        <v>14449</v>
      </c>
    </row>
    <row r="2328">
      <c r="A2328" s="5" t="s">
        <v>14450</v>
      </c>
    </row>
    <row r="2329">
      <c r="A2329" s="5" t="s">
        <v>14451</v>
      </c>
    </row>
    <row r="2330">
      <c r="A2330" s="5" t="s">
        <v>14452</v>
      </c>
    </row>
    <row r="2331">
      <c r="A2331" s="5" t="s">
        <v>14453</v>
      </c>
    </row>
    <row r="2332">
      <c r="A2332" s="5" t="s">
        <v>14454</v>
      </c>
    </row>
    <row r="2333">
      <c r="A2333" s="5" t="s">
        <v>14455</v>
      </c>
    </row>
    <row r="2334">
      <c r="A2334" s="5" t="s">
        <v>14456</v>
      </c>
    </row>
    <row r="2335">
      <c r="A2335" s="5" t="s">
        <v>14457</v>
      </c>
    </row>
    <row r="2336">
      <c r="A2336" s="5" t="s">
        <v>14458</v>
      </c>
    </row>
    <row r="2337">
      <c r="A2337" s="5" t="s">
        <v>14459</v>
      </c>
    </row>
    <row r="2338">
      <c r="A2338" s="5" t="s">
        <v>14460</v>
      </c>
    </row>
    <row r="2339">
      <c r="A2339" s="5" t="s">
        <v>14461</v>
      </c>
    </row>
    <row r="2340">
      <c r="A2340" s="5" t="s">
        <v>14462</v>
      </c>
    </row>
    <row r="2341">
      <c r="A2341" s="5" t="s">
        <v>14463</v>
      </c>
    </row>
    <row r="2342">
      <c r="A2342" s="5" t="s">
        <v>14464</v>
      </c>
    </row>
    <row r="2343">
      <c r="A2343" s="5" t="s">
        <v>14465</v>
      </c>
    </row>
    <row r="2344">
      <c r="A2344" s="5" t="s">
        <v>14466</v>
      </c>
    </row>
    <row r="2345">
      <c r="A2345" s="5" t="s">
        <v>14467</v>
      </c>
    </row>
    <row r="2346">
      <c r="A2346" s="5" t="s">
        <v>14468</v>
      </c>
    </row>
    <row r="2347">
      <c r="A2347" s="5" t="s">
        <v>14469</v>
      </c>
    </row>
    <row r="2348">
      <c r="A2348" s="5" t="s">
        <v>14470</v>
      </c>
    </row>
    <row r="2349">
      <c r="A2349" s="5" t="s">
        <v>14471</v>
      </c>
    </row>
    <row r="2350">
      <c r="A2350" s="5" t="s">
        <v>14472</v>
      </c>
    </row>
    <row r="2351">
      <c r="A2351" s="5" t="s">
        <v>14473</v>
      </c>
    </row>
    <row r="2352">
      <c r="A2352" s="5" t="s">
        <v>14474</v>
      </c>
    </row>
    <row r="2353">
      <c r="A2353" s="5" t="s">
        <v>14475</v>
      </c>
    </row>
    <row r="2354">
      <c r="A2354" s="5" t="s">
        <v>14476</v>
      </c>
    </row>
    <row r="2355">
      <c r="A2355" s="5" t="s">
        <v>14477</v>
      </c>
    </row>
    <row r="2356">
      <c r="A2356" s="5" t="s">
        <v>14478</v>
      </c>
    </row>
    <row r="2357">
      <c r="A2357" s="5" t="s">
        <v>14479</v>
      </c>
    </row>
    <row r="2358">
      <c r="A2358" s="5" t="s">
        <v>14480</v>
      </c>
    </row>
    <row r="2359">
      <c r="A2359" s="5" t="s">
        <v>14481</v>
      </c>
    </row>
    <row r="2360">
      <c r="A2360" s="5" t="s">
        <v>14482</v>
      </c>
    </row>
    <row r="2361">
      <c r="A2361" s="5" t="s">
        <v>14483</v>
      </c>
    </row>
    <row r="2362">
      <c r="A2362" s="5" t="s">
        <v>14484</v>
      </c>
    </row>
    <row r="2363">
      <c r="A2363" s="5" t="s">
        <v>14485</v>
      </c>
    </row>
    <row r="2364">
      <c r="A2364" s="5" t="s">
        <v>14486</v>
      </c>
    </row>
    <row r="2365">
      <c r="A2365" s="5" t="s">
        <v>14487</v>
      </c>
    </row>
    <row r="2366">
      <c r="A2366" s="5" t="s">
        <v>14488</v>
      </c>
    </row>
    <row r="2367">
      <c r="A2367" s="5" t="s">
        <v>14489</v>
      </c>
    </row>
    <row r="2368">
      <c r="A2368" s="5" t="s">
        <v>14490</v>
      </c>
    </row>
    <row r="2369">
      <c r="A2369" s="5" t="s">
        <v>14491</v>
      </c>
    </row>
    <row r="2370">
      <c r="A2370" s="5" t="s">
        <v>14492</v>
      </c>
    </row>
    <row r="2371">
      <c r="A2371" s="5" t="s">
        <v>14493</v>
      </c>
    </row>
    <row r="2372">
      <c r="A2372" s="5" t="s">
        <v>14494</v>
      </c>
    </row>
    <row r="2373">
      <c r="A2373" s="5" t="s">
        <v>14495</v>
      </c>
    </row>
    <row r="2374">
      <c r="A2374" s="5" t="s">
        <v>14496</v>
      </c>
    </row>
    <row r="2375">
      <c r="A2375" s="5" t="s">
        <v>14497</v>
      </c>
    </row>
    <row r="2376">
      <c r="A2376" s="5" t="s">
        <v>14498</v>
      </c>
    </row>
    <row r="2377">
      <c r="A2377" s="5" t="s">
        <v>14499</v>
      </c>
    </row>
    <row r="2378">
      <c r="A2378" s="5" t="s">
        <v>14500</v>
      </c>
    </row>
    <row r="2379">
      <c r="A2379" s="5" t="s">
        <v>14501</v>
      </c>
    </row>
    <row r="2380">
      <c r="A2380" s="5" t="s">
        <v>14502</v>
      </c>
    </row>
    <row r="2381">
      <c r="A2381" s="5" t="s">
        <v>14503</v>
      </c>
    </row>
    <row r="2382">
      <c r="A2382" s="5" t="s">
        <v>14504</v>
      </c>
    </row>
    <row r="2383">
      <c r="A2383" s="5" t="s">
        <v>14505</v>
      </c>
    </row>
    <row r="2384">
      <c r="A2384" s="5" t="s">
        <v>14506</v>
      </c>
    </row>
    <row r="2385">
      <c r="A2385" s="5" t="s">
        <v>14507</v>
      </c>
    </row>
    <row r="2386">
      <c r="A2386" s="5" t="s">
        <v>14508</v>
      </c>
    </row>
    <row r="2387">
      <c r="A2387" s="5" t="s">
        <v>14509</v>
      </c>
    </row>
    <row r="2388">
      <c r="A2388" s="5" t="s">
        <v>14510</v>
      </c>
    </row>
    <row r="2389">
      <c r="A2389" s="5" t="s">
        <v>14511</v>
      </c>
    </row>
    <row r="2390">
      <c r="A2390" s="5" t="s">
        <v>14512</v>
      </c>
    </row>
    <row r="2391">
      <c r="A2391" s="5" t="s">
        <v>14513</v>
      </c>
    </row>
    <row r="2392">
      <c r="A2392" s="5" t="s">
        <v>14514</v>
      </c>
    </row>
    <row r="2393">
      <c r="A2393" s="5" t="s">
        <v>14515</v>
      </c>
    </row>
    <row r="2394">
      <c r="A2394" s="5" t="s">
        <v>14516</v>
      </c>
    </row>
    <row r="2395">
      <c r="A2395" s="5" t="s">
        <v>14517</v>
      </c>
    </row>
    <row r="2396">
      <c r="A2396" s="5" t="s">
        <v>14518</v>
      </c>
    </row>
    <row r="2397">
      <c r="A2397" s="5" t="s">
        <v>14519</v>
      </c>
    </row>
    <row r="2398">
      <c r="A2398" s="5" t="s">
        <v>14520</v>
      </c>
    </row>
    <row r="2399">
      <c r="A2399" s="5" t="s">
        <v>14521</v>
      </c>
    </row>
    <row r="2400">
      <c r="A2400" s="5" t="s">
        <v>14522</v>
      </c>
    </row>
    <row r="2401">
      <c r="A2401" s="5" t="s">
        <v>14523</v>
      </c>
    </row>
    <row r="2402">
      <c r="A2402" s="5" t="s">
        <v>14524</v>
      </c>
    </row>
    <row r="2403">
      <c r="A2403" s="5" t="s">
        <v>14525</v>
      </c>
    </row>
    <row r="2404">
      <c r="A2404" s="5" t="s">
        <v>14526</v>
      </c>
    </row>
    <row r="2405">
      <c r="A2405" s="5" t="s">
        <v>14527</v>
      </c>
    </row>
    <row r="2406">
      <c r="A2406" s="5" t="s">
        <v>14528</v>
      </c>
    </row>
    <row r="2407">
      <c r="A2407" s="5" t="s">
        <v>14529</v>
      </c>
    </row>
    <row r="2408">
      <c r="A2408" s="5" t="s">
        <v>14530</v>
      </c>
    </row>
    <row r="2409">
      <c r="A2409" s="5" t="s">
        <v>14531</v>
      </c>
    </row>
    <row r="2410">
      <c r="A2410" s="5" t="s">
        <v>14532</v>
      </c>
    </row>
    <row r="2411">
      <c r="A2411" s="5" t="s">
        <v>14533</v>
      </c>
    </row>
    <row r="2412">
      <c r="A2412" s="5" t="s">
        <v>14534</v>
      </c>
    </row>
    <row r="2413">
      <c r="A2413" s="5" t="s">
        <v>14535</v>
      </c>
    </row>
    <row r="2414">
      <c r="A2414" s="5" t="s">
        <v>14536</v>
      </c>
    </row>
    <row r="2415">
      <c r="A2415" s="5" t="s">
        <v>14537</v>
      </c>
    </row>
    <row r="2416">
      <c r="A2416" s="5" t="s">
        <v>14538</v>
      </c>
    </row>
    <row r="2417">
      <c r="A2417" s="5" t="s">
        <v>14539</v>
      </c>
    </row>
    <row r="2418">
      <c r="A2418" s="5" t="s">
        <v>14540</v>
      </c>
    </row>
    <row r="2419">
      <c r="A2419" s="5" t="s">
        <v>14541</v>
      </c>
    </row>
    <row r="2420">
      <c r="A2420" s="5" t="s">
        <v>14542</v>
      </c>
    </row>
    <row r="2421">
      <c r="A2421" s="5" t="s">
        <v>14543</v>
      </c>
    </row>
    <row r="2422">
      <c r="A2422" s="5" t="s">
        <v>14544</v>
      </c>
    </row>
    <row r="2423">
      <c r="A2423" s="5" t="s">
        <v>14545</v>
      </c>
    </row>
    <row r="2424">
      <c r="A2424" s="5" t="s">
        <v>14546</v>
      </c>
    </row>
    <row r="2425">
      <c r="A2425" s="5" t="s">
        <v>14547</v>
      </c>
    </row>
    <row r="2426">
      <c r="A2426" s="5" t="s">
        <v>14548</v>
      </c>
    </row>
    <row r="2427">
      <c r="A2427" s="5" t="s">
        <v>14549</v>
      </c>
    </row>
    <row r="2428">
      <c r="A2428" s="5" t="s">
        <v>14550</v>
      </c>
    </row>
    <row r="2429">
      <c r="A2429" s="5" t="s">
        <v>14551</v>
      </c>
    </row>
    <row r="2430">
      <c r="A2430" s="5" t="s">
        <v>14552</v>
      </c>
    </row>
    <row r="2431">
      <c r="A2431" s="5" t="s">
        <v>14553</v>
      </c>
    </row>
    <row r="2432">
      <c r="A2432" s="5" t="s">
        <v>14554</v>
      </c>
    </row>
    <row r="2433">
      <c r="A2433" s="5" t="s">
        <v>14555</v>
      </c>
    </row>
    <row r="2434">
      <c r="A2434" s="5" t="s">
        <v>14556</v>
      </c>
    </row>
    <row r="2435">
      <c r="A2435" s="5" t="s">
        <v>14557</v>
      </c>
    </row>
    <row r="2436">
      <c r="A2436" s="5" t="s">
        <v>14558</v>
      </c>
    </row>
    <row r="2437">
      <c r="A2437" s="5" t="s">
        <v>14559</v>
      </c>
    </row>
    <row r="2438">
      <c r="A2438" s="5" t="s">
        <v>14560</v>
      </c>
    </row>
    <row r="2439">
      <c r="A2439" s="5" t="s">
        <v>14561</v>
      </c>
    </row>
    <row r="2440">
      <c r="A2440" s="5" t="s">
        <v>14562</v>
      </c>
    </row>
    <row r="2441">
      <c r="A2441" s="5" t="s">
        <v>14563</v>
      </c>
    </row>
    <row r="2442">
      <c r="A2442" s="5" t="s">
        <v>14564</v>
      </c>
    </row>
    <row r="2443">
      <c r="A2443" s="5" t="s">
        <v>14565</v>
      </c>
    </row>
    <row r="2444">
      <c r="A2444" s="5" t="s">
        <v>14566</v>
      </c>
    </row>
    <row r="2445">
      <c r="A2445" s="5" t="s">
        <v>14567</v>
      </c>
    </row>
    <row r="2446">
      <c r="A2446" s="5" t="s">
        <v>14568</v>
      </c>
    </row>
    <row r="2447">
      <c r="A2447" s="5" t="s">
        <v>14569</v>
      </c>
    </row>
    <row r="2448">
      <c r="A2448" s="5" t="s">
        <v>14570</v>
      </c>
    </row>
    <row r="2449">
      <c r="A2449" s="5" t="s">
        <v>14571</v>
      </c>
    </row>
    <row r="2450">
      <c r="A2450" s="5" t="s">
        <v>14572</v>
      </c>
    </row>
    <row r="2451">
      <c r="A2451" s="5" t="s">
        <v>14573</v>
      </c>
    </row>
    <row r="2452">
      <c r="A2452" s="5" t="s">
        <v>14574</v>
      </c>
    </row>
    <row r="2453">
      <c r="A2453" s="5" t="s">
        <v>14575</v>
      </c>
    </row>
    <row r="2454">
      <c r="A2454" s="5" t="s">
        <v>14576</v>
      </c>
    </row>
    <row r="2455">
      <c r="A2455" s="5" t="s">
        <v>14577</v>
      </c>
    </row>
    <row r="2456">
      <c r="A2456" s="5" t="s">
        <v>14578</v>
      </c>
    </row>
    <row r="2457">
      <c r="A2457" s="5" t="s">
        <v>14579</v>
      </c>
    </row>
    <row r="2458">
      <c r="A2458" s="5" t="s">
        <v>14580</v>
      </c>
    </row>
    <row r="2459">
      <c r="A2459" s="5" t="s">
        <v>14581</v>
      </c>
    </row>
    <row r="2460">
      <c r="A2460" s="5" t="s">
        <v>14582</v>
      </c>
    </row>
    <row r="2461">
      <c r="A2461" s="5" t="s">
        <v>14583</v>
      </c>
    </row>
    <row r="2462">
      <c r="A2462" s="5" t="s">
        <v>14584</v>
      </c>
    </row>
    <row r="2463">
      <c r="A2463" s="5" t="s">
        <v>14585</v>
      </c>
    </row>
    <row r="2464">
      <c r="A2464" s="5" t="s">
        <v>14586</v>
      </c>
    </row>
    <row r="2465">
      <c r="A2465" s="5" t="s">
        <v>14587</v>
      </c>
    </row>
    <row r="2466">
      <c r="A2466" s="5" t="s">
        <v>14588</v>
      </c>
    </row>
    <row r="2467">
      <c r="A2467" s="5" t="s">
        <v>14589</v>
      </c>
    </row>
    <row r="2468">
      <c r="A2468" s="5" t="s">
        <v>14590</v>
      </c>
    </row>
    <row r="2469">
      <c r="A2469" s="5" t="s">
        <v>14591</v>
      </c>
    </row>
    <row r="2470">
      <c r="A2470" s="5" t="s">
        <v>14592</v>
      </c>
    </row>
    <row r="2471">
      <c r="A2471" s="5" t="s">
        <v>14593</v>
      </c>
    </row>
    <row r="2472">
      <c r="A2472" s="5" t="s">
        <v>14594</v>
      </c>
    </row>
    <row r="2473">
      <c r="A2473" s="5" t="s">
        <v>14595</v>
      </c>
    </row>
    <row r="2474">
      <c r="A2474" s="5" t="s">
        <v>14596</v>
      </c>
    </row>
    <row r="2475">
      <c r="A2475" s="5" t="s">
        <v>14597</v>
      </c>
    </row>
    <row r="2476">
      <c r="A2476" s="5" t="s">
        <v>14598</v>
      </c>
    </row>
    <row r="2477">
      <c r="A2477" s="5" t="s">
        <v>14599</v>
      </c>
    </row>
    <row r="2478">
      <c r="A2478" s="5" t="s">
        <v>14600</v>
      </c>
    </row>
    <row r="2479">
      <c r="A2479" s="5" t="s">
        <v>14601</v>
      </c>
    </row>
    <row r="2480">
      <c r="A2480" s="5" t="s">
        <v>14602</v>
      </c>
    </row>
    <row r="2481">
      <c r="A2481" s="5" t="s">
        <v>14603</v>
      </c>
    </row>
    <row r="2482">
      <c r="A2482" s="5" t="s">
        <v>14604</v>
      </c>
    </row>
    <row r="2483">
      <c r="A2483" s="5" t="s">
        <v>14605</v>
      </c>
    </row>
    <row r="2484">
      <c r="A2484" s="5" t="s">
        <v>14606</v>
      </c>
    </row>
    <row r="2485">
      <c r="A2485" s="5" t="s">
        <v>14607</v>
      </c>
    </row>
    <row r="2486">
      <c r="A2486" s="5" t="s">
        <v>14608</v>
      </c>
    </row>
    <row r="2487">
      <c r="A2487" s="5" t="s">
        <v>14609</v>
      </c>
    </row>
    <row r="2488">
      <c r="A2488" s="5" t="s">
        <v>14610</v>
      </c>
    </row>
    <row r="2489">
      <c r="A2489" s="5" t="s">
        <v>14611</v>
      </c>
    </row>
    <row r="2490">
      <c r="A2490" s="5" t="s">
        <v>14612</v>
      </c>
    </row>
    <row r="2491">
      <c r="A2491" s="5" t="s">
        <v>14613</v>
      </c>
    </row>
    <row r="2492">
      <c r="A2492" s="5" t="s">
        <v>14614</v>
      </c>
    </row>
    <row r="2493">
      <c r="A2493" s="5" t="s">
        <v>14615</v>
      </c>
    </row>
    <row r="2494">
      <c r="A2494" s="5" t="s">
        <v>14616</v>
      </c>
    </row>
    <row r="2495">
      <c r="A2495" s="5" t="s">
        <v>14617</v>
      </c>
    </row>
    <row r="2496">
      <c r="A2496" s="5" t="s">
        <v>14618</v>
      </c>
    </row>
    <row r="2497">
      <c r="A2497" s="5" t="s">
        <v>14619</v>
      </c>
    </row>
    <row r="2498">
      <c r="A2498" s="5" t="s">
        <v>14620</v>
      </c>
    </row>
    <row r="2499">
      <c r="A2499" s="5" t="s">
        <v>14621</v>
      </c>
    </row>
    <row r="2500">
      <c r="A2500" s="5" t="s">
        <v>14622</v>
      </c>
    </row>
    <row r="2501">
      <c r="A2501" s="5" t="s">
        <v>14623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</hyperlinks>
  <drawing r:id="rId22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38"/>
    <col customWidth="1" min="4" max="4" width="61.5"/>
  </cols>
  <sheetData>
    <row r="1">
      <c r="A1" s="1" t="s">
        <v>1</v>
      </c>
      <c r="B1" s="1" t="s">
        <v>0</v>
      </c>
      <c r="C1" s="4"/>
    </row>
    <row r="2">
      <c r="A2" s="1" t="s">
        <v>7</v>
      </c>
      <c r="B2" s="1" t="s">
        <v>6</v>
      </c>
      <c r="C2" s="1" t="s">
        <v>12124</v>
      </c>
      <c r="D2" s="9" t="s">
        <v>10</v>
      </c>
    </row>
    <row r="3">
      <c r="A3" s="1" t="s">
        <v>12</v>
      </c>
      <c r="B3" s="1" t="s">
        <v>11</v>
      </c>
      <c r="C3" s="1" t="s">
        <v>12125</v>
      </c>
      <c r="D3" s="7" t="s">
        <v>10</v>
      </c>
    </row>
    <row r="4">
      <c r="A4" s="1" t="s">
        <v>17</v>
      </c>
      <c r="B4" s="1" t="s">
        <v>16</v>
      </c>
      <c r="C4" s="1" t="s">
        <v>12126</v>
      </c>
      <c r="D4" s="7" t="s">
        <v>10</v>
      </c>
    </row>
    <row r="5">
      <c r="A5" s="1" t="s">
        <v>22</v>
      </c>
      <c r="B5" s="1" t="s">
        <v>21</v>
      </c>
      <c r="C5" s="1" t="s">
        <v>12127</v>
      </c>
      <c r="D5" s="7" t="s">
        <v>10</v>
      </c>
    </row>
    <row r="6">
      <c r="A6" s="1" t="s">
        <v>27</v>
      </c>
      <c r="B6" s="1" t="s">
        <v>26</v>
      </c>
      <c r="C6" s="1" t="s">
        <v>12128</v>
      </c>
      <c r="D6" s="7" t="s">
        <v>10</v>
      </c>
    </row>
    <row r="7">
      <c r="A7" s="1" t="s">
        <v>32</v>
      </c>
      <c r="B7" s="1" t="s">
        <v>31</v>
      </c>
      <c r="C7" s="1" t="s">
        <v>12129</v>
      </c>
      <c r="D7" s="7" t="s">
        <v>10</v>
      </c>
    </row>
    <row r="8">
      <c r="A8" s="1" t="s">
        <v>37</v>
      </c>
      <c r="B8" s="1" t="s">
        <v>36</v>
      </c>
      <c r="C8" s="1" t="s">
        <v>12130</v>
      </c>
      <c r="D8" s="7" t="s">
        <v>10</v>
      </c>
    </row>
    <row r="9">
      <c r="A9" s="1" t="s">
        <v>42</v>
      </c>
      <c r="B9" s="1" t="s">
        <v>41</v>
      </c>
      <c r="C9" s="1" t="s">
        <v>12131</v>
      </c>
      <c r="D9" s="7" t="s">
        <v>10</v>
      </c>
    </row>
    <row r="10">
      <c r="A10" s="1" t="s">
        <v>47</v>
      </c>
      <c r="B10" s="1" t="s">
        <v>46</v>
      </c>
      <c r="C10" s="1" t="s">
        <v>12132</v>
      </c>
      <c r="D10" s="7" t="s">
        <v>10</v>
      </c>
    </row>
    <row r="11">
      <c r="A11" s="1" t="s">
        <v>52</v>
      </c>
      <c r="B11" s="1" t="s">
        <v>51</v>
      </c>
      <c r="C11" s="1" t="s">
        <v>12133</v>
      </c>
      <c r="D11" s="7" t="s">
        <v>10</v>
      </c>
    </row>
    <row r="12">
      <c r="A12" s="1" t="s">
        <v>57</v>
      </c>
      <c r="B12" s="1" t="s">
        <v>56</v>
      </c>
      <c r="C12" s="1" t="s">
        <v>12134</v>
      </c>
      <c r="D12" s="7" t="s">
        <v>10</v>
      </c>
    </row>
    <row r="13">
      <c r="A13" s="1" t="s">
        <v>62</v>
      </c>
      <c r="B13" s="1" t="s">
        <v>61</v>
      </c>
      <c r="C13" s="1" t="s">
        <v>12135</v>
      </c>
      <c r="D13" s="7" t="s">
        <v>10</v>
      </c>
    </row>
    <row r="14">
      <c r="A14" s="1" t="s">
        <v>67</v>
      </c>
      <c r="B14" s="1" t="s">
        <v>66</v>
      </c>
      <c r="C14" s="1" t="s">
        <v>12136</v>
      </c>
      <c r="D14" s="7" t="s">
        <v>10</v>
      </c>
    </row>
    <row r="15">
      <c r="A15" s="1" t="s">
        <v>72</v>
      </c>
      <c r="B15" s="1" t="s">
        <v>71</v>
      </c>
      <c r="C15" s="1" t="s">
        <v>12137</v>
      </c>
      <c r="D15" s="7" t="s">
        <v>10</v>
      </c>
    </row>
    <row r="16">
      <c r="A16" s="1" t="s">
        <v>77</v>
      </c>
      <c r="B16" s="1" t="s">
        <v>76</v>
      </c>
      <c r="C16" s="1" t="s">
        <v>12138</v>
      </c>
      <c r="D16" s="7" t="s">
        <v>10</v>
      </c>
    </row>
    <row r="17">
      <c r="A17" s="1" t="s">
        <v>82</v>
      </c>
      <c r="B17" s="1" t="s">
        <v>81</v>
      </c>
      <c r="C17" s="1" t="s">
        <v>12139</v>
      </c>
      <c r="D17" s="7" t="s">
        <v>10</v>
      </c>
    </row>
    <row r="18">
      <c r="A18" s="1" t="s">
        <v>87</v>
      </c>
      <c r="B18" s="1" t="s">
        <v>86</v>
      </c>
      <c r="C18" s="1" t="s">
        <v>12140</v>
      </c>
      <c r="D18" s="7" t="s">
        <v>10</v>
      </c>
    </row>
    <row r="19">
      <c r="A19" s="1" t="s">
        <v>92</v>
      </c>
      <c r="B19" s="1" t="s">
        <v>91</v>
      </c>
      <c r="C19" s="1" t="s">
        <v>12141</v>
      </c>
      <c r="D19" s="7" t="s">
        <v>10</v>
      </c>
    </row>
    <row r="20">
      <c r="A20" s="1" t="s">
        <v>97</v>
      </c>
      <c r="B20" s="1" t="s">
        <v>96</v>
      </c>
      <c r="C20" s="1" t="s">
        <v>12142</v>
      </c>
      <c r="D20" s="7" t="s">
        <v>10</v>
      </c>
    </row>
    <row r="21">
      <c r="A21" s="1" t="s">
        <v>102</v>
      </c>
      <c r="B21" s="1" t="s">
        <v>101</v>
      </c>
      <c r="C21" s="1" t="s">
        <v>12143</v>
      </c>
      <c r="D21" s="7" t="s">
        <v>10</v>
      </c>
    </row>
    <row r="22">
      <c r="A22" s="1" t="s">
        <v>107</v>
      </c>
      <c r="B22" s="1" t="s">
        <v>106</v>
      </c>
      <c r="C22" s="1" t="s">
        <v>12144</v>
      </c>
      <c r="D22" s="7" t="s">
        <v>10</v>
      </c>
    </row>
    <row r="23">
      <c r="A23" s="1" t="s">
        <v>112</v>
      </c>
      <c r="B23" s="1" t="s">
        <v>111</v>
      </c>
      <c r="C23" s="1" t="s">
        <v>12145</v>
      </c>
      <c r="D23" s="7" t="s">
        <v>10</v>
      </c>
    </row>
    <row r="24">
      <c r="A24" s="1" t="s">
        <v>117</v>
      </c>
      <c r="B24" s="1" t="s">
        <v>116</v>
      </c>
      <c r="C24" s="1" t="s">
        <v>12146</v>
      </c>
      <c r="D24" s="7" t="s">
        <v>10</v>
      </c>
    </row>
    <row r="25">
      <c r="A25" s="1" t="s">
        <v>122</v>
      </c>
      <c r="B25" s="1" t="s">
        <v>121</v>
      </c>
      <c r="C25" s="1" t="s">
        <v>12147</v>
      </c>
      <c r="D25" s="7" t="s">
        <v>10</v>
      </c>
    </row>
    <row r="26">
      <c r="A26" s="1" t="s">
        <v>127</v>
      </c>
      <c r="B26" s="1" t="s">
        <v>126</v>
      </c>
      <c r="C26" s="1" t="s">
        <v>12148</v>
      </c>
      <c r="D26" s="7" t="s">
        <v>10</v>
      </c>
    </row>
    <row r="27">
      <c r="A27" s="1" t="s">
        <v>132</v>
      </c>
      <c r="B27" s="1" t="s">
        <v>131</v>
      </c>
      <c r="C27" s="1" t="s">
        <v>12149</v>
      </c>
      <c r="D27" s="7" t="s">
        <v>10</v>
      </c>
    </row>
    <row r="28">
      <c r="A28" s="1" t="s">
        <v>137</v>
      </c>
      <c r="B28" s="1" t="s">
        <v>136</v>
      </c>
      <c r="C28" s="1" t="s">
        <v>12150</v>
      </c>
      <c r="D28" s="7" t="s">
        <v>10</v>
      </c>
    </row>
    <row r="29">
      <c r="A29" s="1" t="s">
        <v>142</v>
      </c>
      <c r="B29" s="1" t="s">
        <v>141</v>
      </c>
      <c r="C29" s="1" t="s">
        <v>12151</v>
      </c>
      <c r="D29" s="7" t="s">
        <v>10</v>
      </c>
    </row>
    <row r="30">
      <c r="A30" s="1" t="s">
        <v>147</v>
      </c>
      <c r="B30" s="1" t="s">
        <v>146</v>
      </c>
      <c r="C30" s="1" t="s">
        <v>12152</v>
      </c>
      <c r="D30" s="7" t="s">
        <v>10</v>
      </c>
    </row>
    <row r="31">
      <c r="A31" s="1" t="s">
        <v>152</v>
      </c>
      <c r="B31" s="1" t="s">
        <v>151</v>
      </c>
      <c r="C31" s="1" t="s">
        <v>12153</v>
      </c>
      <c r="D31" s="7" t="s">
        <v>10</v>
      </c>
    </row>
    <row r="32">
      <c r="A32" s="1" t="s">
        <v>157</v>
      </c>
      <c r="B32" s="1" t="s">
        <v>156</v>
      </c>
      <c r="C32" s="1" t="s">
        <v>12154</v>
      </c>
      <c r="D32" s="7" t="s">
        <v>10</v>
      </c>
    </row>
    <row r="33">
      <c r="A33" s="1" t="s">
        <v>162</v>
      </c>
      <c r="B33" s="1" t="s">
        <v>161</v>
      </c>
      <c r="C33" s="1" t="s">
        <v>12155</v>
      </c>
      <c r="D33" s="7" t="s">
        <v>10</v>
      </c>
    </row>
    <row r="34">
      <c r="A34" s="1" t="s">
        <v>167</v>
      </c>
      <c r="B34" s="1" t="s">
        <v>166</v>
      </c>
      <c r="C34" s="1" t="s">
        <v>12156</v>
      </c>
      <c r="D34" s="7" t="s">
        <v>10</v>
      </c>
    </row>
    <row r="35">
      <c r="A35" s="1" t="s">
        <v>172</v>
      </c>
      <c r="B35" s="1" t="s">
        <v>171</v>
      </c>
      <c r="C35" s="1" t="s">
        <v>12157</v>
      </c>
      <c r="D35" s="7" t="s">
        <v>10</v>
      </c>
    </row>
    <row r="36">
      <c r="A36" s="1" t="s">
        <v>177</v>
      </c>
      <c r="B36" s="1" t="s">
        <v>176</v>
      </c>
      <c r="C36" s="1" t="s">
        <v>12158</v>
      </c>
      <c r="D36" s="7" t="s">
        <v>10</v>
      </c>
    </row>
    <row r="37">
      <c r="A37" s="1" t="s">
        <v>182</v>
      </c>
      <c r="B37" s="1" t="s">
        <v>181</v>
      </c>
      <c r="C37" s="1" t="s">
        <v>12159</v>
      </c>
      <c r="D37" s="7" t="s">
        <v>10</v>
      </c>
    </row>
    <row r="38">
      <c r="A38" s="1" t="s">
        <v>187</v>
      </c>
      <c r="B38" s="1" t="s">
        <v>186</v>
      </c>
      <c r="C38" s="1" t="s">
        <v>12160</v>
      </c>
      <c r="D38" s="7" t="s">
        <v>10</v>
      </c>
    </row>
    <row r="39">
      <c r="A39" s="1" t="s">
        <v>192</v>
      </c>
      <c r="B39" s="1" t="s">
        <v>191</v>
      </c>
      <c r="C39" s="1" t="s">
        <v>12161</v>
      </c>
      <c r="D39" s="7" t="s">
        <v>10</v>
      </c>
    </row>
    <row r="40">
      <c r="A40" s="1" t="s">
        <v>197</v>
      </c>
      <c r="B40" s="1" t="s">
        <v>196</v>
      </c>
      <c r="C40" s="1" t="s">
        <v>12162</v>
      </c>
      <c r="D40" s="7" t="s">
        <v>10</v>
      </c>
    </row>
    <row r="41">
      <c r="A41" s="1" t="s">
        <v>202</v>
      </c>
      <c r="B41" s="1" t="s">
        <v>201</v>
      </c>
      <c r="C41" s="1" t="s">
        <v>12163</v>
      </c>
      <c r="D41" s="7" t="s">
        <v>10</v>
      </c>
    </row>
    <row r="42">
      <c r="A42" s="1" t="s">
        <v>207</v>
      </c>
      <c r="B42" s="1" t="s">
        <v>206</v>
      </c>
      <c r="C42" s="1" t="s">
        <v>12164</v>
      </c>
      <c r="D42" s="7" t="s">
        <v>10</v>
      </c>
    </row>
    <row r="43">
      <c r="A43" s="1" t="s">
        <v>212</v>
      </c>
      <c r="B43" s="1" t="s">
        <v>211</v>
      </c>
      <c r="C43" s="1" t="s">
        <v>12165</v>
      </c>
      <c r="D43" s="7" t="s">
        <v>10</v>
      </c>
    </row>
    <row r="44">
      <c r="A44" s="1" t="s">
        <v>217</v>
      </c>
      <c r="B44" s="1" t="s">
        <v>216</v>
      </c>
      <c r="C44" s="1" t="s">
        <v>12166</v>
      </c>
      <c r="D44" s="7" t="s">
        <v>10</v>
      </c>
    </row>
    <row r="45">
      <c r="A45" s="1" t="s">
        <v>222</v>
      </c>
      <c r="B45" s="1" t="s">
        <v>221</v>
      </c>
      <c r="C45" s="1" t="s">
        <v>12167</v>
      </c>
      <c r="D45" s="7" t="s">
        <v>10</v>
      </c>
    </row>
    <row r="46">
      <c r="A46" s="1" t="s">
        <v>227</v>
      </c>
      <c r="B46" s="1" t="s">
        <v>226</v>
      </c>
      <c r="C46" s="1" t="s">
        <v>12168</v>
      </c>
      <c r="D46" s="7" t="s">
        <v>10</v>
      </c>
    </row>
    <row r="47">
      <c r="A47" s="1" t="s">
        <v>232</v>
      </c>
      <c r="B47" s="1" t="s">
        <v>231</v>
      </c>
      <c r="C47" s="1" t="s">
        <v>12169</v>
      </c>
      <c r="D47" s="7" t="s">
        <v>10</v>
      </c>
    </row>
    <row r="48">
      <c r="A48" s="1" t="s">
        <v>237</v>
      </c>
      <c r="B48" s="1" t="s">
        <v>236</v>
      </c>
      <c r="C48" s="1" t="s">
        <v>12170</v>
      </c>
      <c r="D48" s="7" t="s">
        <v>10</v>
      </c>
    </row>
    <row r="49">
      <c r="A49" s="1" t="s">
        <v>242</v>
      </c>
      <c r="B49" s="1" t="s">
        <v>241</v>
      </c>
      <c r="C49" s="1" t="s">
        <v>12171</v>
      </c>
      <c r="D49" s="7" t="s">
        <v>10</v>
      </c>
    </row>
    <row r="50">
      <c r="A50" s="1" t="s">
        <v>247</v>
      </c>
      <c r="B50" s="1" t="s">
        <v>246</v>
      </c>
      <c r="C50" s="1" t="s">
        <v>12172</v>
      </c>
      <c r="D50" s="7" t="s">
        <v>10</v>
      </c>
    </row>
    <row r="51">
      <c r="A51" s="1" t="s">
        <v>252</v>
      </c>
      <c r="B51" s="1" t="s">
        <v>251</v>
      </c>
      <c r="C51" s="1" t="s">
        <v>12173</v>
      </c>
      <c r="D51" s="7" t="s">
        <v>10</v>
      </c>
    </row>
    <row r="52">
      <c r="A52" s="1" t="s">
        <v>257</v>
      </c>
      <c r="B52" s="1" t="s">
        <v>256</v>
      </c>
      <c r="C52" s="1" t="s">
        <v>12174</v>
      </c>
      <c r="D52" s="7" t="s">
        <v>10</v>
      </c>
    </row>
    <row r="53">
      <c r="A53" s="1" t="s">
        <v>262</v>
      </c>
      <c r="B53" s="1" t="s">
        <v>261</v>
      </c>
      <c r="C53" s="1" t="s">
        <v>12175</v>
      </c>
      <c r="D53" s="7" t="s">
        <v>10</v>
      </c>
    </row>
    <row r="54">
      <c r="A54" s="1" t="s">
        <v>267</v>
      </c>
      <c r="B54" s="1" t="s">
        <v>266</v>
      </c>
      <c r="C54" s="1" t="s">
        <v>12176</v>
      </c>
      <c r="D54" s="7" t="s">
        <v>10</v>
      </c>
    </row>
    <row r="55">
      <c r="A55" s="1" t="s">
        <v>272</v>
      </c>
      <c r="B55" s="1" t="s">
        <v>271</v>
      </c>
      <c r="C55" s="1" t="s">
        <v>12177</v>
      </c>
      <c r="D55" s="7" t="s">
        <v>10</v>
      </c>
    </row>
    <row r="56">
      <c r="A56" s="1" t="s">
        <v>277</v>
      </c>
      <c r="B56" s="1" t="s">
        <v>276</v>
      </c>
      <c r="C56" s="1" t="s">
        <v>12178</v>
      </c>
      <c r="D56" s="7" t="s">
        <v>10</v>
      </c>
    </row>
    <row r="57">
      <c r="A57" s="1" t="s">
        <v>282</v>
      </c>
      <c r="B57" s="1" t="s">
        <v>281</v>
      </c>
      <c r="C57" s="1" t="s">
        <v>12179</v>
      </c>
      <c r="D57" s="7" t="s">
        <v>10</v>
      </c>
    </row>
    <row r="58">
      <c r="A58" s="1" t="s">
        <v>287</v>
      </c>
      <c r="B58" s="1" t="s">
        <v>286</v>
      </c>
      <c r="C58" s="1" t="s">
        <v>12180</v>
      </c>
      <c r="D58" s="7" t="s">
        <v>10</v>
      </c>
    </row>
    <row r="59">
      <c r="A59" s="1" t="s">
        <v>292</v>
      </c>
      <c r="B59" s="1" t="s">
        <v>291</v>
      </c>
      <c r="C59" s="1" t="s">
        <v>12181</v>
      </c>
      <c r="D59" s="7" t="s">
        <v>10</v>
      </c>
    </row>
    <row r="60">
      <c r="A60" s="1" t="s">
        <v>297</v>
      </c>
      <c r="B60" s="1" t="s">
        <v>296</v>
      </c>
      <c r="C60" s="1" t="s">
        <v>12182</v>
      </c>
      <c r="D60" s="7" t="s">
        <v>10</v>
      </c>
    </row>
    <row r="61">
      <c r="A61" s="1" t="s">
        <v>302</v>
      </c>
      <c r="B61" s="1" t="s">
        <v>301</v>
      </c>
      <c r="C61" s="1" t="s">
        <v>12183</v>
      </c>
      <c r="D61" s="7" t="s">
        <v>10</v>
      </c>
    </row>
    <row r="62">
      <c r="A62" s="1" t="s">
        <v>307</v>
      </c>
      <c r="B62" s="1" t="s">
        <v>306</v>
      </c>
      <c r="C62" s="1" t="s">
        <v>12184</v>
      </c>
      <c r="D62" s="7" t="s">
        <v>10</v>
      </c>
    </row>
    <row r="63">
      <c r="A63" s="1" t="s">
        <v>312</v>
      </c>
      <c r="B63" s="1" t="s">
        <v>311</v>
      </c>
      <c r="C63" s="1" t="s">
        <v>12185</v>
      </c>
      <c r="D63" s="7" t="s">
        <v>10</v>
      </c>
    </row>
    <row r="64">
      <c r="A64" s="1" t="s">
        <v>317</v>
      </c>
      <c r="B64" s="1" t="s">
        <v>316</v>
      </c>
      <c r="C64" s="1" t="s">
        <v>12186</v>
      </c>
      <c r="D64" s="7" t="s">
        <v>10</v>
      </c>
    </row>
    <row r="65">
      <c r="A65" s="1" t="s">
        <v>322</v>
      </c>
      <c r="B65" s="1" t="s">
        <v>321</v>
      </c>
      <c r="C65" s="1" t="s">
        <v>12187</v>
      </c>
      <c r="D65" s="7" t="s">
        <v>10</v>
      </c>
    </row>
    <row r="66">
      <c r="A66" s="1" t="s">
        <v>327</v>
      </c>
      <c r="B66" s="1" t="s">
        <v>326</v>
      </c>
      <c r="C66" s="1" t="s">
        <v>12188</v>
      </c>
      <c r="D66" s="7" t="s">
        <v>10</v>
      </c>
    </row>
    <row r="67">
      <c r="A67" s="1" t="s">
        <v>332</v>
      </c>
      <c r="B67" s="1" t="s">
        <v>331</v>
      </c>
      <c r="C67" s="1" t="s">
        <v>12189</v>
      </c>
      <c r="D67" s="7" t="s">
        <v>10</v>
      </c>
    </row>
    <row r="68">
      <c r="A68" s="1" t="s">
        <v>337</v>
      </c>
      <c r="B68" s="1" t="s">
        <v>336</v>
      </c>
      <c r="C68" s="1" t="s">
        <v>12190</v>
      </c>
      <c r="D68" s="7" t="s">
        <v>10</v>
      </c>
    </row>
    <row r="69">
      <c r="A69" s="1" t="s">
        <v>342</v>
      </c>
      <c r="B69" s="1" t="s">
        <v>341</v>
      </c>
      <c r="C69" s="1" t="s">
        <v>12191</v>
      </c>
      <c r="D69" s="7" t="s">
        <v>10</v>
      </c>
    </row>
    <row r="70">
      <c r="A70" s="1" t="s">
        <v>347</v>
      </c>
      <c r="B70" s="1" t="s">
        <v>346</v>
      </c>
      <c r="C70" s="1" t="s">
        <v>12192</v>
      </c>
      <c r="D70" s="7" t="s">
        <v>10</v>
      </c>
    </row>
    <row r="71">
      <c r="A71" s="1" t="s">
        <v>352</v>
      </c>
      <c r="B71" s="1" t="s">
        <v>351</v>
      </c>
      <c r="C71" s="1" t="s">
        <v>12193</v>
      </c>
      <c r="D71" s="7" t="s">
        <v>10</v>
      </c>
    </row>
    <row r="72">
      <c r="A72" s="1" t="s">
        <v>357</v>
      </c>
      <c r="B72" s="1" t="s">
        <v>356</v>
      </c>
      <c r="C72" s="1" t="s">
        <v>12194</v>
      </c>
      <c r="D72" s="7" t="s">
        <v>10</v>
      </c>
    </row>
    <row r="73">
      <c r="A73" s="1" t="s">
        <v>362</v>
      </c>
      <c r="B73" s="1" t="s">
        <v>361</v>
      </c>
      <c r="C73" s="1" t="s">
        <v>12195</v>
      </c>
      <c r="D73" s="7" t="s">
        <v>10</v>
      </c>
    </row>
    <row r="74">
      <c r="A74" s="1" t="s">
        <v>367</v>
      </c>
      <c r="B74" s="1" t="s">
        <v>366</v>
      </c>
      <c r="C74" s="1" t="s">
        <v>12196</v>
      </c>
      <c r="D74" s="7" t="s">
        <v>10</v>
      </c>
    </row>
    <row r="75">
      <c r="A75" s="1" t="s">
        <v>372</v>
      </c>
      <c r="B75" s="1" t="s">
        <v>371</v>
      </c>
      <c r="C75" s="1" t="s">
        <v>12197</v>
      </c>
      <c r="D75" s="7" t="s">
        <v>10</v>
      </c>
    </row>
    <row r="76">
      <c r="A76" s="1" t="s">
        <v>377</v>
      </c>
      <c r="B76" s="1" t="s">
        <v>376</v>
      </c>
      <c r="C76" s="1" t="s">
        <v>12198</v>
      </c>
      <c r="D76" s="7" t="s">
        <v>10</v>
      </c>
    </row>
    <row r="77">
      <c r="A77" s="1" t="s">
        <v>382</v>
      </c>
      <c r="B77" s="1" t="s">
        <v>381</v>
      </c>
      <c r="C77" s="1" t="s">
        <v>12199</v>
      </c>
      <c r="D77" s="7" t="s">
        <v>10</v>
      </c>
    </row>
    <row r="78">
      <c r="A78" s="1" t="s">
        <v>387</v>
      </c>
      <c r="B78" s="1" t="s">
        <v>386</v>
      </c>
      <c r="C78" s="1" t="s">
        <v>12200</v>
      </c>
      <c r="D78" s="7" t="s">
        <v>10</v>
      </c>
    </row>
    <row r="79">
      <c r="A79" s="1" t="s">
        <v>392</v>
      </c>
      <c r="B79" s="1" t="s">
        <v>391</v>
      </c>
      <c r="C79" s="1" t="s">
        <v>12201</v>
      </c>
      <c r="D79" s="7" t="s">
        <v>10</v>
      </c>
    </row>
    <row r="80">
      <c r="A80" s="1" t="s">
        <v>397</v>
      </c>
      <c r="B80" s="1" t="s">
        <v>396</v>
      </c>
      <c r="C80" s="1" t="s">
        <v>12202</v>
      </c>
      <c r="D80" s="7" t="s">
        <v>10</v>
      </c>
    </row>
    <row r="81">
      <c r="A81" s="1" t="s">
        <v>402</v>
      </c>
      <c r="B81" s="1" t="s">
        <v>401</v>
      </c>
      <c r="C81" s="1" t="s">
        <v>12203</v>
      </c>
      <c r="D81" s="7" t="s">
        <v>10</v>
      </c>
    </row>
    <row r="82">
      <c r="A82" s="1" t="s">
        <v>407</v>
      </c>
      <c r="B82" s="1" t="s">
        <v>406</v>
      </c>
      <c r="C82" s="1" t="s">
        <v>12204</v>
      </c>
      <c r="D82" s="7" t="s">
        <v>10</v>
      </c>
    </row>
    <row r="83">
      <c r="A83" s="1" t="s">
        <v>412</v>
      </c>
      <c r="B83" s="1" t="s">
        <v>411</v>
      </c>
      <c r="C83" s="1" t="s">
        <v>12205</v>
      </c>
      <c r="D83" s="7" t="s">
        <v>10</v>
      </c>
    </row>
    <row r="84">
      <c r="A84" s="1" t="s">
        <v>417</v>
      </c>
      <c r="B84" s="1" t="s">
        <v>416</v>
      </c>
      <c r="C84" s="1" t="s">
        <v>12206</v>
      </c>
      <c r="D84" s="7" t="s">
        <v>10</v>
      </c>
    </row>
    <row r="85">
      <c r="A85" s="1" t="s">
        <v>422</v>
      </c>
      <c r="B85" s="1" t="s">
        <v>421</v>
      </c>
      <c r="C85" s="1" t="s">
        <v>12207</v>
      </c>
      <c r="D85" s="7" t="s">
        <v>10</v>
      </c>
    </row>
    <row r="86">
      <c r="A86" s="1" t="s">
        <v>427</v>
      </c>
      <c r="B86" s="1" t="s">
        <v>426</v>
      </c>
      <c r="C86" s="1" t="s">
        <v>12208</v>
      </c>
      <c r="D86" s="7" t="s">
        <v>10</v>
      </c>
    </row>
    <row r="87">
      <c r="A87" s="1" t="s">
        <v>432</v>
      </c>
      <c r="B87" s="1" t="s">
        <v>431</v>
      </c>
      <c r="C87" s="1" t="s">
        <v>12209</v>
      </c>
      <c r="D87" s="7" t="s">
        <v>10</v>
      </c>
    </row>
    <row r="88">
      <c r="A88" s="1" t="s">
        <v>437</v>
      </c>
      <c r="B88" s="1" t="s">
        <v>436</v>
      </c>
      <c r="C88" s="1" t="s">
        <v>12210</v>
      </c>
      <c r="D88" s="7" t="s">
        <v>10</v>
      </c>
    </row>
    <row r="89">
      <c r="A89" s="1" t="s">
        <v>442</v>
      </c>
      <c r="B89" s="1" t="s">
        <v>441</v>
      </c>
      <c r="C89" s="1" t="s">
        <v>12211</v>
      </c>
      <c r="D89" s="7" t="s">
        <v>10</v>
      </c>
    </row>
    <row r="90">
      <c r="A90" s="1" t="s">
        <v>447</v>
      </c>
      <c r="B90" s="1" t="s">
        <v>446</v>
      </c>
      <c r="C90" s="1" t="s">
        <v>12212</v>
      </c>
      <c r="D90" s="7" t="s">
        <v>10</v>
      </c>
    </row>
    <row r="91">
      <c r="A91" s="1" t="s">
        <v>452</v>
      </c>
      <c r="B91" s="1" t="s">
        <v>451</v>
      </c>
      <c r="C91" s="1" t="s">
        <v>12213</v>
      </c>
      <c r="D91" s="7" t="s">
        <v>10</v>
      </c>
    </row>
    <row r="92">
      <c r="A92" s="1" t="s">
        <v>457</v>
      </c>
      <c r="B92" s="1" t="s">
        <v>456</v>
      </c>
      <c r="C92" s="1" t="s">
        <v>12214</v>
      </c>
      <c r="D92" s="7" t="s">
        <v>10</v>
      </c>
    </row>
    <row r="93">
      <c r="A93" s="1" t="s">
        <v>462</v>
      </c>
      <c r="B93" s="1" t="s">
        <v>461</v>
      </c>
      <c r="C93" s="1" t="s">
        <v>12215</v>
      </c>
      <c r="D93" s="7" t="s">
        <v>10</v>
      </c>
    </row>
    <row r="94">
      <c r="A94" s="1" t="s">
        <v>467</v>
      </c>
      <c r="B94" s="1" t="s">
        <v>466</v>
      </c>
      <c r="C94" s="1" t="s">
        <v>12216</v>
      </c>
      <c r="D94" s="7" t="s">
        <v>10</v>
      </c>
    </row>
    <row r="95">
      <c r="A95" s="1" t="s">
        <v>472</v>
      </c>
      <c r="B95" s="1" t="s">
        <v>471</v>
      </c>
      <c r="C95" s="1" t="s">
        <v>12217</v>
      </c>
      <c r="D95" s="7" t="s">
        <v>10</v>
      </c>
    </row>
    <row r="96">
      <c r="A96" s="1" t="s">
        <v>477</v>
      </c>
      <c r="B96" s="1" t="s">
        <v>476</v>
      </c>
      <c r="C96" s="1" t="s">
        <v>12218</v>
      </c>
      <c r="D96" s="7" t="s">
        <v>10</v>
      </c>
    </row>
    <row r="97">
      <c r="A97" s="1" t="s">
        <v>482</v>
      </c>
      <c r="B97" s="1" t="s">
        <v>481</v>
      </c>
      <c r="C97" s="1" t="s">
        <v>12219</v>
      </c>
      <c r="D97" s="7" t="s">
        <v>10</v>
      </c>
    </row>
    <row r="98">
      <c r="A98" s="1" t="s">
        <v>487</v>
      </c>
      <c r="B98" s="1" t="s">
        <v>486</v>
      </c>
      <c r="C98" s="1" t="s">
        <v>12220</v>
      </c>
      <c r="D98" s="7" t="s">
        <v>10</v>
      </c>
    </row>
    <row r="99">
      <c r="A99" s="1" t="s">
        <v>492</v>
      </c>
      <c r="B99" s="1" t="s">
        <v>491</v>
      </c>
      <c r="C99" s="1" t="s">
        <v>12221</v>
      </c>
      <c r="D99" s="7" t="s">
        <v>10</v>
      </c>
    </row>
    <row r="100">
      <c r="A100" s="1" t="s">
        <v>497</v>
      </c>
      <c r="B100" s="1" t="s">
        <v>496</v>
      </c>
      <c r="C100" s="1" t="s">
        <v>12222</v>
      </c>
      <c r="D100" s="7" t="s">
        <v>10</v>
      </c>
    </row>
    <row r="101">
      <c r="A101" s="1" t="s">
        <v>502</v>
      </c>
      <c r="B101" s="1" t="s">
        <v>501</v>
      </c>
      <c r="C101" s="1" t="s">
        <v>12223</v>
      </c>
      <c r="D101" s="7" t="s">
        <v>10</v>
      </c>
    </row>
    <row r="102">
      <c r="A102" s="1" t="s">
        <v>507</v>
      </c>
      <c r="B102" s="1" t="s">
        <v>506</v>
      </c>
      <c r="C102" s="1" t="s">
        <v>12224</v>
      </c>
      <c r="D102" s="7" t="s">
        <v>10</v>
      </c>
    </row>
    <row r="103">
      <c r="A103" s="1" t="s">
        <v>512</v>
      </c>
      <c r="B103" s="1" t="s">
        <v>511</v>
      </c>
      <c r="C103" s="1" t="s">
        <v>12225</v>
      </c>
      <c r="D103" s="7" t="s">
        <v>10</v>
      </c>
    </row>
    <row r="104">
      <c r="A104" s="1" t="s">
        <v>517</v>
      </c>
      <c r="B104" s="1" t="s">
        <v>516</v>
      </c>
      <c r="C104" s="1" t="s">
        <v>12226</v>
      </c>
      <c r="D104" s="7" t="s">
        <v>10</v>
      </c>
    </row>
    <row r="105">
      <c r="A105" s="1" t="s">
        <v>522</v>
      </c>
      <c r="B105" s="1" t="s">
        <v>521</v>
      </c>
      <c r="C105" s="1" t="s">
        <v>12227</v>
      </c>
      <c r="D105" s="7" t="s">
        <v>10</v>
      </c>
    </row>
    <row r="106">
      <c r="A106" s="1" t="s">
        <v>527</v>
      </c>
      <c r="B106" s="1" t="s">
        <v>526</v>
      </c>
      <c r="C106" s="1" t="s">
        <v>12228</v>
      </c>
      <c r="D106" s="7" t="s">
        <v>10</v>
      </c>
    </row>
    <row r="107">
      <c r="A107" s="1" t="s">
        <v>532</v>
      </c>
      <c r="B107" s="1" t="s">
        <v>531</v>
      </c>
      <c r="C107" s="1" t="s">
        <v>12229</v>
      </c>
      <c r="D107" s="7" t="s">
        <v>10</v>
      </c>
    </row>
    <row r="108">
      <c r="A108" s="1" t="s">
        <v>537</v>
      </c>
      <c r="B108" s="1" t="s">
        <v>536</v>
      </c>
      <c r="C108" s="1" t="s">
        <v>12230</v>
      </c>
      <c r="D108" s="7" t="s">
        <v>10</v>
      </c>
    </row>
    <row r="109">
      <c r="A109" s="1" t="s">
        <v>542</v>
      </c>
      <c r="B109" s="1" t="s">
        <v>541</v>
      </c>
      <c r="C109" s="1" t="s">
        <v>12231</v>
      </c>
      <c r="D109" s="7" t="s">
        <v>10</v>
      </c>
    </row>
    <row r="110">
      <c r="A110" s="1" t="s">
        <v>547</v>
      </c>
      <c r="B110" s="1" t="s">
        <v>546</v>
      </c>
      <c r="C110" s="1" t="s">
        <v>12232</v>
      </c>
      <c r="D110" s="7" t="s">
        <v>10</v>
      </c>
    </row>
    <row r="111">
      <c r="A111" s="1" t="s">
        <v>552</v>
      </c>
      <c r="B111" s="1" t="s">
        <v>551</v>
      </c>
      <c r="C111" s="1" t="s">
        <v>12233</v>
      </c>
      <c r="D111" s="7" t="s">
        <v>10</v>
      </c>
    </row>
    <row r="112">
      <c r="A112" s="1" t="s">
        <v>557</v>
      </c>
      <c r="B112" s="1" t="s">
        <v>556</v>
      </c>
      <c r="C112" s="1" t="s">
        <v>12234</v>
      </c>
      <c r="D112" s="7" t="s">
        <v>10</v>
      </c>
    </row>
    <row r="113">
      <c r="A113" s="1" t="s">
        <v>562</v>
      </c>
      <c r="B113" s="1" t="s">
        <v>561</v>
      </c>
      <c r="C113" s="1" t="s">
        <v>12235</v>
      </c>
      <c r="D113" s="7" t="s">
        <v>10</v>
      </c>
    </row>
    <row r="114">
      <c r="A114" s="1" t="s">
        <v>567</v>
      </c>
      <c r="B114" s="1" t="s">
        <v>566</v>
      </c>
      <c r="C114" s="1" t="s">
        <v>12236</v>
      </c>
      <c r="D114" s="7" t="s">
        <v>10</v>
      </c>
    </row>
    <row r="115">
      <c r="A115" s="1" t="s">
        <v>572</v>
      </c>
      <c r="B115" s="1" t="s">
        <v>571</v>
      </c>
      <c r="C115" s="1" t="s">
        <v>12237</v>
      </c>
      <c r="D115" s="7" t="s">
        <v>10</v>
      </c>
    </row>
    <row r="116">
      <c r="A116" s="1" t="s">
        <v>577</v>
      </c>
      <c r="B116" s="1" t="s">
        <v>576</v>
      </c>
      <c r="C116" s="1" t="s">
        <v>12238</v>
      </c>
      <c r="D116" s="7" t="s">
        <v>10</v>
      </c>
    </row>
    <row r="117">
      <c r="A117" s="1" t="s">
        <v>582</v>
      </c>
      <c r="B117" s="1" t="s">
        <v>581</v>
      </c>
      <c r="C117" s="1" t="s">
        <v>12239</v>
      </c>
      <c r="D117" s="7" t="s">
        <v>10</v>
      </c>
    </row>
    <row r="118">
      <c r="A118" s="1" t="s">
        <v>587</v>
      </c>
      <c r="B118" s="1" t="s">
        <v>586</v>
      </c>
      <c r="C118" s="1" t="s">
        <v>12240</v>
      </c>
      <c r="D118" s="7" t="s">
        <v>10</v>
      </c>
    </row>
    <row r="119">
      <c r="A119" s="1" t="s">
        <v>592</v>
      </c>
      <c r="B119" s="1" t="s">
        <v>591</v>
      </c>
      <c r="C119" s="1" t="s">
        <v>12241</v>
      </c>
      <c r="D119" s="7" t="s">
        <v>10</v>
      </c>
    </row>
    <row r="120">
      <c r="A120" s="1" t="s">
        <v>597</v>
      </c>
      <c r="B120" s="1" t="s">
        <v>596</v>
      </c>
      <c r="C120" s="1" t="s">
        <v>12242</v>
      </c>
      <c r="D120" s="7" t="s">
        <v>10</v>
      </c>
    </row>
    <row r="121">
      <c r="A121" s="1" t="s">
        <v>602</v>
      </c>
      <c r="B121" s="1" t="s">
        <v>601</v>
      </c>
      <c r="C121" s="1" t="s">
        <v>12243</v>
      </c>
      <c r="D121" s="7" t="s">
        <v>10</v>
      </c>
    </row>
    <row r="122">
      <c r="A122" s="1" t="s">
        <v>607</v>
      </c>
      <c r="B122" s="1" t="s">
        <v>606</v>
      </c>
      <c r="C122" s="1" t="s">
        <v>12244</v>
      </c>
      <c r="D122" s="7" t="s">
        <v>10</v>
      </c>
    </row>
    <row r="123">
      <c r="A123" s="1" t="s">
        <v>612</v>
      </c>
      <c r="B123" s="1" t="s">
        <v>611</v>
      </c>
      <c r="C123" s="1" t="s">
        <v>12245</v>
      </c>
      <c r="D123" s="7" t="s">
        <v>10</v>
      </c>
    </row>
    <row r="124">
      <c r="A124" s="1" t="s">
        <v>617</v>
      </c>
      <c r="B124" s="1" t="s">
        <v>616</v>
      </c>
      <c r="C124" s="1" t="s">
        <v>12246</v>
      </c>
      <c r="D124" s="7" t="s">
        <v>10</v>
      </c>
    </row>
    <row r="125">
      <c r="A125" s="1" t="s">
        <v>622</v>
      </c>
      <c r="B125" s="1" t="s">
        <v>621</v>
      </c>
      <c r="C125" s="1" t="s">
        <v>12247</v>
      </c>
      <c r="D125" s="7" t="s">
        <v>10</v>
      </c>
    </row>
    <row r="126">
      <c r="A126" s="1" t="s">
        <v>627</v>
      </c>
      <c r="B126" s="1" t="s">
        <v>626</v>
      </c>
      <c r="C126" s="1" t="s">
        <v>12248</v>
      </c>
      <c r="D126" s="7" t="s">
        <v>10</v>
      </c>
    </row>
    <row r="127">
      <c r="A127" s="1" t="s">
        <v>632</v>
      </c>
      <c r="B127" s="1" t="s">
        <v>631</v>
      </c>
      <c r="C127" s="1" t="s">
        <v>12249</v>
      </c>
      <c r="D127" s="7" t="s">
        <v>10</v>
      </c>
    </row>
    <row r="128">
      <c r="A128" s="1" t="s">
        <v>637</v>
      </c>
      <c r="B128" s="1" t="s">
        <v>636</v>
      </c>
      <c r="C128" s="1" t="s">
        <v>12250</v>
      </c>
      <c r="D128" s="7" t="s">
        <v>10</v>
      </c>
    </row>
    <row r="129">
      <c r="A129" s="1" t="s">
        <v>642</v>
      </c>
      <c r="B129" s="1" t="s">
        <v>641</v>
      </c>
      <c r="C129" s="1" t="s">
        <v>12251</v>
      </c>
      <c r="D129" s="7" t="s">
        <v>10</v>
      </c>
    </row>
    <row r="130">
      <c r="A130" s="1" t="s">
        <v>647</v>
      </c>
      <c r="B130" s="1" t="s">
        <v>646</v>
      </c>
      <c r="C130" s="1" t="s">
        <v>12252</v>
      </c>
      <c r="D130" s="7" t="s">
        <v>10</v>
      </c>
    </row>
    <row r="131">
      <c r="A131" s="1" t="s">
        <v>652</v>
      </c>
      <c r="B131" s="1" t="s">
        <v>651</v>
      </c>
      <c r="C131" s="1" t="s">
        <v>12253</v>
      </c>
      <c r="D131" s="7" t="s">
        <v>10</v>
      </c>
    </row>
    <row r="132">
      <c r="A132" s="1" t="s">
        <v>657</v>
      </c>
      <c r="B132" s="1" t="s">
        <v>656</v>
      </c>
      <c r="C132" s="1" t="s">
        <v>12254</v>
      </c>
      <c r="D132" s="7" t="s">
        <v>10</v>
      </c>
    </row>
    <row r="133">
      <c r="A133" s="1" t="s">
        <v>662</v>
      </c>
      <c r="B133" s="1" t="s">
        <v>661</v>
      </c>
      <c r="C133" s="1" t="s">
        <v>12255</v>
      </c>
      <c r="D133" s="7" t="s">
        <v>10</v>
      </c>
    </row>
    <row r="134">
      <c r="A134" s="1" t="s">
        <v>667</v>
      </c>
      <c r="B134" s="1" t="s">
        <v>666</v>
      </c>
      <c r="C134" s="1" t="s">
        <v>12256</v>
      </c>
      <c r="D134" s="7" t="s">
        <v>10</v>
      </c>
    </row>
    <row r="135">
      <c r="A135" s="1" t="s">
        <v>672</v>
      </c>
      <c r="B135" s="1" t="s">
        <v>671</v>
      </c>
      <c r="C135" s="1" t="s">
        <v>12257</v>
      </c>
      <c r="D135" s="7" t="s">
        <v>10</v>
      </c>
    </row>
    <row r="136">
      <c r="A136" s="1" t="s">
        <v>677</v>
      </c>
      <c r="B136" s="1" t="s">
        <v>676</v>
      </c>
      <c r="C136" s="1" t="s">
        <v>12258</v>
      </c>
      <c r="D136" s="7" t="s">
        <v>10</v>
      </c>
    </row>
    <row r="137">
      <c r="A137" s="1" t="s">
        <v>682</v>
      </c>
      <c r="B137" s="1" t="s">
        <v>681</v>
      </c>
      <c r="C137" s="1" t="s">
        <v>12259</v>
      </c>
      <c r="D137" s="7" t="s">
        <v>10</v>
      </c>
    </row>
    <row r="138">
      <c r="A138" s="1" t="s">
        <v>687</v>
      </c>
      <c r="B138" s="1" t="s">
        <v>686</v>
      </c>
      <c r="C138" s="1" t="s">
        <v>12260</v>
      </c>
      <c r="D138" s="7" t="s">
        <v>10</v>
      </c>
    </row>
    <row r="139">
      <c r="A139" s="1" t="s">
        <v>692</v>
      </c>
      <c r="B139" s="1" t="s">
        <v>691</v>
      </c>
      <c r="C139" s="1" t="s">
        <v>12261</v>
      </c>
      <c r="D139" s="7" t="s">
        <v>10</v>
      </c>
    </row>
    <row r="140">
      <c r="A140" s="1" t="s">
        <v>697</v>
      </c>
      <c r="B140" s="1" t="s">
        <v>696</v>
      </c>
      <c r="C140" s="1" t="s">
        <v>12262</v>
      </c>
      <c r="D140" s="7" t="s">
        <v>10</v>
      </c>
    </row>
    <row r="141">
      <c r="A141" s="1" t="s">
        <v>702</v>
      </c>
      <c r="B141" s="1" t="s">
        <v>701</v>
      </c>
      <c r="C141" s="1" t="s">
        <v>12263</v>
      </c>
      <c r="D141" s="7" t="s">
        <v>10</v>
      </c>
    </row>
    <row r="142">
      <c r="A142" s="1" t="s">
        <v>707</v>
      </c>
      <c r="B142" s="1" t="s">
        <v>706</v>
      </c>
      <c r="C142" s="1" t="s">
        <v>12264</v>
      </c>
      <c r="D142" s="7" t="s">
        <v>10</v>
      </c>
    </row>
    <row r="143">
      <c r="A143" s="1" t="s">
        <v>712</v>
      </c>
      <c r="B143" s="1" t="s">
        <v>711</v>
      </c>
      <c r="C143" s="1" t="s">
        <v>12265</v>
      </c>
      <c r="D143" s="7" t="s">
        <v>10</v>
      </c>
    </row>
    <row r="144">
      <c r="A144" s="1" t="s">
        <v>717</v>
      </c>
      <c r="B144" s="1" t="s">
        <v>716</v>
      </c>
      <c r="C144" s="1" t="s">
        <v>12266</v>
      </c>
      <c r="D144" s="7" t="s">
        <v>10</v>
      </c>
    </row>
    <row r="145">
      <c r="A145" s="1" t="s">
        <v>722</v>
      </c>
      <c r="B145" s="1" t="s">
        <v>721</v>
      </c>
      <c r="C145" s="1" t="s">
        <v>12267</v>
      </c>
      <c r="D145" s="7" t="s">
        <v>10</v>
      </c>
    </row>
    <row r="146">
      <c r="A146" s="1" t="s">
        <v>727</v>
      </c>
      <c r="B146" s="1" t="s">
        <v>726</v>
      </c>
      <c r="C146" s="1" t="s">
        <v>12268</v>
      </c>
      <c r="D146" s="7" t="s">
        <v>10</v>
      </c>
    </row>
    <row r="147">
      <c r="A147" s="1" t="s">
        <v>732</v>
      </c>
      <c r="B147" s="1" t="s">
        <v>731</v>
      </c>
      <c r="C147" s="1" t="s">
        <v>12269</v>
      </c>
      <c r="D147" s="7" t="s">
        <v>10</v>
      </c>
    </row>
    <row r="148">
      <c r="A148" s="1" t="s">
        <v>737</v>
      </c>
      <c r="B148" s="1" t="s">
        <v>736</v>
      </c>
      <c r="C148" s="1" t="s">
        <v>12270</v>
      </c>
      <c r="D148" s="7" t="s">
        <v>10</v>
      </c>
    </row>
    <row r="149">
      <c r="A149" s="1" t="s">
        <v>742</v>
      </c>
      <c r="B149" s="1" t="s">
        <v>741</v>
      </c>
      <c r="C149" s="1" t="s">
        <v>12271</v>
      </c>
      <c r="D149" s="7" t="s">
        <v>10</v>
      </c>
    </row>
    <row r="150">
      <c r="A150" s="1" t="s">
        <v>747</v>
      </c>
      <c r="B150" s="1" t="s">
        <v>746</v>
      </c>
      <c r="C150" s="1" t="s">
        <v>12272</v>
      </c>
      <c r="D150" s="7" t="s">
        <v>10</v>
      </c>
    </row>
    <row r="151">
      <c r="A151" s="1" t="s">
        <v>752</v>
      </c>
      <c r="B151" s="1" t="s">
        <v>751</v>
      </c>
      <c r="C151" s="1" t="s">
        <v>12273</v>
      </c>
      <c r="D151" s="7" t="s">
        <v>10</v>
      </c>
    </row>
    <row r="152">
      <c r="A152" s="1" t="s">
        <v>756</v>
      </c>
      <c r="B152" s="1" t="s">
        <v>756</v>
      </c>
      <c r="C152" s="1" t="s">
        <v>12274</v>
      </c>
      <c r="D152" s="7" t="s">
        <v>10</v>
      </c>
    </row>
    <row r="153">
      <c r="A153" s="1" t="s">
        <v>761</v>
      </c>
      <c r="B153" s="1" t="s">
        <v>760</v>
      </c>
      <c r="C153" s="1" t="s">
        <v>12275</v>
      </c>
      <c r="D153" s="7" t="s">
        <v>10</v>
      </c>
    </row>
    <row r="154">
      <c r="A154" s="1" t="s">
        <v>766</v>
      </c>
      <c r="B154" s="1" t="s">
        <v>765</v>
      </c>
      <c r="C154" s="1" t="s">
        <v>12276</v>
      </c>
      <c r="D154" s="7" t="s">
        <v>10</v>
      </c>
    </row>
    <row r="155">
      <c r="A155" s="1" t="s">
        <v>771</v>
      </c>
      <c r="B155" s="1" t="s">
        <v>770</v>
      </c>
      <c r="C155" s="1" t="s">
        <v>12277</v>
      </c>
      <c r="D155" s="7" t="s">
        <v>10</v>
      </c>
    </row>
    <row r="156">
      <c r="A156" s="1" t="s">
        <v>776</v>
      </c>
      <c r="B156" s="1" t="s">
        <v>775</v>
      </c>
      <c r="C156" s="1" t="s">
        <v>12278</v>
      </c>
      <c r="D156" s="7" t="s">
        <v>10</v>
      </c>
    </row>
    <row r="157">
      <c r="A157" s="1" t="s">
        <v>781</v>
      </c>
      <c r="B157" s="1" t="s">
        <v>780</v>
      </c>
      <c r="C157" s="1" t="s">
        <v>12279</v>
      </c>
      <c r="D157" s="7" t="s">
        <v>10</v>
      </c>
    </row>
    <row r="158">
      <c r="A158" s="1" t="s">
        <v>786</v>
      </c>
      <c r="B158" s="1" t="s">
        <v>785</v>
      </c>
      <c r="C158" s="1" t="s">
        <v>12280</v>
      </c>
      <c r="D158" s="7" t="s">
        <v>10</v>
      </c>
    </row>
    <row r="159">
      <c r="A159" s="1" t="s">
        <v>791</v>
      </c>
      <c r="B159" s="1" t="s">
        <v>790</v>
      </c>
      <c r="C159" s="1" t="s">
        <v>12281</v>
      </c>
      <c r="D159" s="7" t="s">
        <v>10</v>
      </c>
    </row>
    <row r="160">
      <c r="A160" s="1" t="s">
        <v>796</v>
      </c>
      <c r="B160" s="1" t="s">
        <v>795</v>
      </c>
      <c r="C160" s="1" t="s">
        <v>12282</v>
      </c>
      <c r="D160" s="7" t="s">
        <v>10</v>
      </c>
    </row>
    <row r="161">
      <c r="A161" s="1" t="s">
        <v>801</v>
      </c>
      <c r="B161" s="1" t="s">
        <v>800</v>
      </c>
      <c r="C161" s="1" t="s">
        <v>12283</v>
      </c>
      <c r="D161" s="7" t="s">
        <v>10</v>
      </c>
    </row>
    <row r="162">
      <c r="A162" s="1" t="s">
        <v>806</v>
      </c>
      <c r="B162" s="1" t="s">
        <v>805</v>
      </c>
      <c r="C162" s="1" t="s">
        <v>12284</v>
      </c>
      <c r="D162" s="7" t="s">
        <v>10</v>
      </c>
    </row>
    <row r="163">
      <c r="A163" s="1" t="s">
        <v>811</v>
      </c>
      <c r="B163" s="1" t="s">
        <v>810</v>
      </c>
      <c r="C163" s="1" t="s">
        <v>12285</v>
      </c>
      <c r="D163" s="7" t="s">
        <v>10</v>
      </c>
    </row>
    <row r="164">
      <c r="A164" s="1" t="s">
        <v>816</v>
      </c>
      <c r="B164" s="1" t="s">
        <v>815</v>
      </c>
      <c r="C164" s="1" t="s">
        <v>12286</v>
      </c>
      <c r="D164" s="7" t="s">
        <v>10</v>
      </c>
    </row>
    <row r="165">
      <c r="A165" s="1" t="s">
        <v>821</v>
      </c>
      <c r="B165" s="1" t="s">
        <v>820</v>
      </c>
      <c r="C165" s="1" t="s">
        <v>12287</v>
      </c>
      <c r="D165" s="7" t="s">
        <v>10</v>
      </c>
    </row>
    <row r="166">
      <c r="A166" s="1" t="s">
        <v>826</v>
      </c>
      <c r="B166" s="1" t="s">
        <v>825</v>
      </c>
      <c r="C166" s="1" t="s">
        <v>12288</v>
      </c>
      <c r="D166" s="7" t="s">
        <v>10</v>
      </c>
    </row>
    <row r="167">
      <c r="A167" s="1" t="s">
        <v>831</v>
      </c>
      <c r="B167" s="1" t="s">
        <v>830</v>
      </c>
      <c r="C167" s="1" t="s">
        <v>12289</v>
      </c>
      <c r="D167" s="7" t="s">
        <v>10</v>
      </c>
    </row>
    <row r="168">
      <c r="A168" s="1" t="s">
        <v>836</v>
      </c>
      <c r="B168" s="1" t="s">
        <v>835</v>
      </c>
      <c r="C168" s="1" t="s">
        <v>12290</v>
      </c>
      <c r="D168" s="7" t="s">
        <v>10</v>
      </c>
    </row>
    <row r="169">
      <c r="A169" s="1" t="s">
        <v>841</v>
      </c>
      <c r="B169" s="1" t="s">
        <v>840</v>
      </c>
      <c r="C169" s="1" t="s">
        <v>12291</v>
      </c>
      <c r="D169" s="7" t="s">
        <v>10</v>
      </c>
    </row>
    <row r="170">
      <c r="A170" s="1" t="s">
        <v>846</v>
      </c>
      <c r="B170" s="1" t="s">
        <v>845</v>
      </c>
      <c r="C170" s="1" t="s">
        <v>12292</v>
      </c>
      <c r="D170" s="7" t="s">
        <v>10</v>
      </c>
    </row>
    <row r="171">
      <c r="A171" s="1" t="s">
        <v>851</v>
      </c>
      <c r="B171" s="1" t="s">
        <v>850</v>
      </c>
      <c r="C171" s="1" t="s">
        <v>12293</v>
      </c>
      <c r="D171" s="7" t="s">
        <v>10</v>
      </c>
    </row>
    <row r="172">
      <c r="A172" s="1" t="s">
        <v>856</v>
      </c>
      <c r="B172" s="1" t="s">
        <v>855</v>
      </c>
      <c r="C172" s="1" t="s">
        <v>12294</v>
      </c>
      <c r="D172" s="7" t="s">
        <v>10</v>
      </c>
    </row>
    <row r="173">
      <c r="A173" s="1" t="s">
        <v>861</v>
      </c>
      <c r="B173" s="1" t="s">
        <v>860</v>
      </c>
      <c r="C173" s="1" t="s">
        <v>12295</v>
      </c>
      <c r="D173" s="7" t="s">
        <v>10</v>
      </c>
    </row>
    <row r="174">
      <c r="A174" s="1" t="s">
        <v>866</v>
      </c>
      <c r="B174" s="1" t="s">
        <v>865</v>
      </c>
      <c r="C174" s="1" t="s">
        <v>12296</v>
      </c>
      <c r="D174" s="7" t="s">
        <v>10</v>
      </c>
    </row>
    <row r="175">
      <c r="A175" s="1" t="s">
        <v>871</v>
      </c>
      <c r="B175" s="1" t="s">
        <v>870</v>
      </c>
      <c r="C175" s="1" t="s">
        <v>12297</v>
      </c>
      <c r="D175" s="7" t="s">
        <v>10</v>
      </c>
    </row>
    <row r="176">
      <c r="A176" s="1" t="s">
        <v>876</v>
      </c>
      <c r="B176" s="1" t="s">
        <v>875</v>
      </c>
      <c r="C176" s="1" t="s">
        <v>12298</v>
      </c>
      <c r="D176" s="7" t="s">
        <v>10</v>
      </c>
    </row>
    <row r="177">
      <c r="A177" s="1" t="s">
        <v>881</v>
      </c>
      <c r="B177" s="1" t="s">
        <v>880</v>
      </c>
      <c r="C177" s="1" t="s">
        <v>12299</v>
      </c>
      <c r="D177" s="7" t="s">
        <v>10</v>
      </c>
    </row>
    <row r="178">
      <c r="A178" s="1" t="s">
        <v>886</v>
      </c>
      <c r="B178" s="1" t="s">
        <v>885</v>
      </c>
      <c r="C178" s="1" t="s">
        <v>12300</v>
      </c>
      <c r="D178" s="7" t="s">
        <v>10</v>
      </c>
    </row>
    <row r="179">
      <c r="A179" s="1" t="s">
        <v>891</v>
      </c>
      <c r="B179" s="1" t="s">
        <v>890</v>
      </c>
      <c r="C179" s="1" t="s">
        <v>12301</v>
      </c>
      <c r="D179" s="7" t="s">
        <v>10</v>
      </c>
    </row>
    <row r="180">
      <c r="A180" s="1" t="s">
        <v>896</v>
      </c>
      <c r="B180" s="1" t="s">
        <v>895</v>
      </c>
      <c r="C180" s="1" t="s">
        <v>12302</v>
      </c>
      <c r="D180" s="7" t="s">
        <v>10</v>
      </c>
    </row>
    <row r="181">
      <c r="A181" s="1" t="s">
        <v>901</v>
      </c>
      <c r="B181" s="1" t="s">
        <v>900</v>
      </c>
      <c r="C181" s="1" t="s">
        <v>12303</v>
      </c>
      <c r="D181" s="7" t="s">
        <v>10</v>
      </c>
    </row>
    <row r="182">
      <c r="A182" s="1" t="s">
        <v>906</v>
      </c>
      <c r="B182" s="1" t="s">
        <v>905</v>
      </c>
      <c r="C182" s="1" t="s">
        <v>12304</v>
      </c>
      <c r="D182" s="7" t="s">
        <v>10</v>
      </c>
    </row>
    <row r="183">
      <c r="A183" s="1" t="s">
        <v>911</v>
      </c>
      <c r="B183" s="1" t="s">
        <v>910</v>
      </c>
      <c r="C183" s="1" t="s">
        <v>12305</v>
      </c>
      <c r="D183" s="7" t="s">
        <v>10</v>
      </c>
    </row>
    <row r="184">
      <c r="A184" s="1" t="s">
        <v>916</v>
      </c>
      <c r="B184" s="1" t="s">
        <v>915</v>
      </c>
      <c r="C184" s="1" t="s">
        <v>12306</v>
      </c>
      <c r="D184" s="7" t="s">
        <v>10</v>
      </c>
    </row>
    <row r="185">
      <c r="A185" s="1" t="s">
        <v>921</v>
      </c>
      <c r="B185" s="1" t="s">
        <v>920</v>
      </c>
      <c r="C185" s="1" t="s">
        <v>12307</v>
      </c>
      <c r="D185" s="7" t="s">
        <v>10</v>
      </c>
    </row>
    <row r="186">
      <c r="A186" s="1" t="s">
        <v>926</v>
      </c>
      <c r="B186" s="1" t="s">
        <v>925</v>
      </c>
      <c r="C186" s="1" t="s">
        <v>12308</v>
      </c>
      <c r="D186" s="7" t="s">
        <v>10</v>
      </c>
    </row>
    <row r="187">
      <c r="A187" s="1" t="s">
        <v>931</v>
      </c>
      <c r="B187" s="1" t="s">
        <v>930</v>
      </c>
      <c r="C187" s="1" t="s">
        <v>12309</v>
      </c>
      <c r="D187" s="7" t="s">
        <v>10</v>
      </c>
    </row>
    <row r="188">
      <c r="A188" s="1" t="s">
        <v>936</v>
      </c>
      <c r="B188" s="1" t="s">
        <v>935</v>
      </c>
      <c r="C188" s="1" t="s">
        <v>12310</v>
      </c>
      <c r="D188" s="7" t="s">
        <v>10</v>
      </c>
    </row>
    <row r="189">
      <c r="A189" s="1" t="s">
        <v>941</v>
      </c>
      <c r="B189" s="1" t="s">
        <v>940</v>
      </c>
      <c r="C189" s="1" t="s">
        <v>12311</v>
      </c>
      <c r="D189" s="7" t="s">
        <v>10</v>
      </c>
    </row>
    <row r="190">
      <c r="A190" s="1" t="s">
        <v>946</v>
      </c>
      <c r="B190" s="1" t="s">
        <v>945</v>
      </c>
      <c r="C190" s="1" t="s">
        <v>12312</v>
      </c>
      <c r="D190" s="7" t="s">
        <v>10</v>
      </c>
    </row>
    <row r="191">
      <c r="A191" s="1" t="s">
        <v>951</v>
      </c>
      <c r="B191" s="1" t="s">
        <v>950</v>
      </c>
      <c r="C191" s="1" t="s">
        <v>12313</v>
      </c>
      <c r="D191" s="7" t="s">
        <v>10</v>
      </c>
    </row>
    <row r="192">
      <c r="A192" s="1" t="s">
        <v>956</v>
      </c>
      <c r="B192" s="1" t="s">
        <v>955</v>
      </c>
      <c r="C192" s="1" t="s">
        <v>12314</v>
      </c>
      <c r="D192" s="7" t="s">
        <v>10</v>
      </c>
    </row>
    <row r="193">
      <c r="A193" s="1" t="s">
        <v>961</v>
      </c>
      <c r="B193" s="1" t="s">
        <v>960</v>
      </c>
      <c r="C193" s="1" t="s">
        <v>12315</v>
      </c>
      <c r="D193" s="7" t="s">
        <v>10</v>
      </c>
    </row>
    <row r="194">
      <c r="A194" s="1" t="s">
        <v>966</v>
      </c>
      <c r="B194" s="1" t="s">
        <v>965</v>
      </c>
      <c r="C194" s="1" t="s">
        <v>12316</v>
      </c>
      <c r="D194" s="7" t="s">
        <v>10</v>
      </c>
    </row>
    <row r="195">
      <c r="A195" s="1" t="s">
        <v>971</v>
      </c>
      <c r="B195" s="1" t="s">
        <v>970</v>
      </c>
      <c r="C195" s="1" t="s">
        <v>12317</v>
      </c>
      <c r="D195" s="7" t="s">
        <v>10</v>
      </c>
    </row>
    <row r="196">
      <c r="A196" s="1" t="s">
        <v>976</v>
      </c>
      <c r="B196" s="1" t="s">
        <v>975</v>
      </c>
      <c r="C196" s="1" t="s">
        <v>12318</v>
      </c>
      <c r="D196" s="7" t="s">
        <v>10</v>
      </c>
    </row>
    <row r="197">
      <c r="A197" s="1" t="s">
        <v>981</v>
      </c>
      <c r="B197" s="1" t="s">
        <v>980</v>
      </c>
      <c r="C197" s="1" t="s">
        <v>12319</v>
      </c>
      <c r="D197" s="7" t="s">
        <v>10</v>
      </c>
    </row>
    <row r="198">
      <c r="A198" s="1" t="s">
        <v>986</v>
      </c>
      <c r="B198" s="1" t="s">
        <v>985</v>
      </c>
      <c r="C198" s="1" t="s">
        <v>12320</v>
      </c>
      <c r="D198" s="7" t="s">
        <v>10</v>
      </c>
    </row>
    <row r="199">
      <c r="A199" s="1" t="s">
        <v>991</v>
      </c>
      <c r="B199" s="1" t="s">
        <v>990</v>
      </c>
      <c r="C199" s="1" t="s">
        <v>12321</v>
      </c>
      <c r="D199" s="7" t="s">
        <v>10</v>
      </c>
    </row>
    <row r="200">
      <c r="A200" s="1" t="s">
        <v>996</v>
      </c>
      <c r="B200" s="1" t="s">
        <v>995</v>
      </c>
      <c r="C200" s="1" t="s">
        <v>12322</v>
      </c>
      <c r="D200" s="7" t="s">
        <v>10</v>
      </c>
    </row>
    <row r="201">
      <c r="A201" s="1" t="s">
        <v>1001</v>
      </c>
      <c r="B201" s="1" t="s">
        <v>1000</v>
      </c>
      <c r="C201" s="1" t="s">
        <v>12323</v>
      </c>
      <c r="D201" s="7" t="s">
        <v>10</v>
      </c>
    </row>
    <row r="202">
      <c r="A202" s="1" t="s">
        <v>1006</v>
      </c>
      <c r="B202" s="1" t="s">
        <v>1005</v>
      </c>
      <c r="C202" s="1" t="s">
        <v>12324</v>
      </c>
      <c r="D202" s="7" t="s">
        <v>10</v>
      </c>
    </row>
    <row r="203">
      <c r="A203" s="1" t="s">
        <v>1011</v>
      </c>
      <c r="B203" s="1" t="s">
        <v>1010</v>
      </c>
      <c r="C203" s="1" t="s">
        <v>12325</v>
      </c>
      <c r="D203" s="7" t="s">
        <v>10</v>
      </c>
    </row>
    <row r="204">
      <c r="A204" s="1" t="s">
        <v>1016</v>
      </c>
      <c r="B204" s="1" t="s">
        <v>1015</v>
      </c>
      <c r="C204" s="1" t="s">
        <v>12326</v>
      </c>
      <c r="D204" s="7" t="s">
        <v>10</v>
      </c>
    </row>
    <row r="205">
      <c r="A205" s="1" t="s">
        <v>1021</v>
      </c>
      <c r="B205" s="1" t="s">
        <v>1020</v>
      </c>
      <c r="C205" s="1" t="s">
        <v>12327</v>
      </c>
      <c r="D205" s="7" t="s">
        <v>10</v>
      </c>
    </row>
    <row r="206">
      <c r="A206" s="1" t="s">
        <v>1026</v>
      </c>
      <c r="B206" s="1" t="s">
        <v>1025</v>
      </c>
      <c r="C206" s="1" t="s">
        <v>12328</v>
      </c>
      <c r="D206" s="7" t="s">
        <v>10</v>
      </c>
    </row>
    <row r="207">
      <c r="A207" s="1" t="s">
        <v>1031</v>
      </c>
      <c r="B207" s="1" t="s">
        <v>1030</v>
      </c>
      <c r="C207" s="1" t="s">
        <v>12329</v>
      </c>
      <c r="D207" s="7" t="s">
        <v>10</v>
      </c>
    </row>
    <row r="208">
      <c r="A208" s="1" t="s">
        <v>1036</v>
      </c>
      <c r="B208" s="1" t="s">
        <v>1035</v>
      </c>
      <c r="C208" s="1" t="s">
        <v>12330</v>
      </c>
      <c r="D208" s="7" t="s">
        <v>10</v>
      </c>
    </row>
    <row r="209">
      <c r="A209" s="1" t="s">
        <v>1041</v>
      </c>
      <c r="B209" s="1" t="s">
        <v>1040</v>
      </c>
      <c r="C209" s="1" t="s">
        <v>12331</v>
      </c>
      <c r="D209" s="7" t="s">
        <v>10</v>
      </c>
    </row>
    <row r="210">
      <c r="A210" s="1" t="s">
        <v>1046</v>
      </c>
      <c r="B210" s="1" t="s">
        <v>1045</v>
      </c>
      <c r="C210" s="1" t="s">
        <v>12332</v>
      </c>
      <c r="D210" s="7" t="s">
        <v>10</v>
      </c>
    </row>
    <row r="211">
      <c r="A211" s="1" t="s">
        <v>1051</v>
      </c>
      <c r="B211" s="1" t="s">
        <v>1050</v>
      </c>
      <c r="C211" s="1" t="s">
        <v>12333</v>
      </c>
      <c r="D211" s="7" t="s">
        <v>10</v>
      </c>
    </row>
    <row r="212">
      <c r="A212" s="1" t="s">
        <v>1056</v>
      </c>
      <c r="B212" s="1" t="s">
        <v>1055</v>
      </c>
      <c r="C212" s="1" t="s">
        <v>12334</v>
      </c>
      <c r="D212" s="7" t="s">
        <v>10</v>
      </c>
    </row>
    <row r="213">
      <c r="A213" s="1" t="s">
        <v>1061</v>
      </c>
      <c r="B213" s="1" t="s">
        <v>1060</v>
      </c>
      <c r="C213" s="1" t="s">
        <v>12335</v>
      </c>
      <c r="D213" s="7" t="s">
        <v>10</v>
      </c>
    </row>
    <row r="214">
      <c r="A214" s="1" t="s">
        <v>1066</v>
      </c>
      <c r="B214" s="1" t="s">
        <v>1065</v>
      </c>
      <c r="C214" s="1" t="s">
        <v>12336</v>
      </c>
      <c r="D214" s="7" t="s">
        <v>10</v>
      </c>
    </row>
    <row r="215">
      <c r="A215" s="1" t="s">
        <v>1071</v>
      </c>
      <c r="B215" s="1" t="s">
        <v>1070</v>
      </c>
      <c r="C215" s="1" t="s">
        <v>12337</v>
      </c>
      <c r="D215" s="7" t="s">
        <v>10</v>
      </c>
    </row>
    <row r="216">
      <c r="A216" s="1" t="s">
        <v>1076</v>
      </c>
      <c r="B216" s="1" t="s">
        <v>1075</v>
      </c>
      <c r="C216" s="1" t="s">
        <v>12338</v>
      </c>
      <c r="D216" s="7" t="s">
        <v>10</v>
      </c>
    </row>
    <row r="217">
      <c r="A217" s="1" t="s">
        <v>1081</v>
      </c>
      <c r="B217" s="1" t="s">
        <v>1080</v>
      </c>
      <c r="C217" s="1" t="s">
        <v>12339</v>
      </c>
      <c r="D217" s="7" t="s">
        <v>10</v>
      </c>
    </row>
    <row r="218">
      <c r="A218" s="1" t="s">
        <v>1086</v>
      </c>
      <c r="B218" s="1" t="s">
        <v>1085</v>
      </c>
      <c r="C218" s="1" t="s">
        <v>12340</v>
      </c>
      <c r="D218" s="7" t="s">
        <v>10</v>
      </c>
    </row>
    <row r="219">
      <c r="A219" s="1" t="s">
        <v>1091</v>
      </c>
      <c r="B219" s="1" t="s">
        <v>1090</v>
      </c>
      <c r="C219" s="1" t="s">
        <v>12341</v>
      </c>
      <c r="D219" s="7" t="s">
        <v>10</v>
      </c>
    </row>
    <row r="220">
      <c r="A220" s="1" t="s">
        <v>1096</v>
      </c>
      <c r="B220" s="1" t="s">
        <v>1095</v>
      </c>
      <c r="C220" s="1" t="s">
        <v>12342</v>
      </c>
      <c r="D220" s="7" t="s">
        <v>10</v>
      </c>
    </row>
    <row r="221">
      <c r="A221" s="1" t="s">
        <v>1101</v>
      </c>
      <c r="B221" s="1" t="s">
        <v>1100</v>
      </c>
      <c r="C221" s="1" t="s">
        <v>12343</v>
      </c>
      <c r="D221" s="7" t="s">
        <v>10</v>
      </c>
    </row>
    <row r="222">
      <c r="A222" s="1" t="s">
        <v>1106</v>
      </c>
      <c r="B222" s="1" t="s">
        <v>1105</v>
      </c>
      <c r="C222" s="1" t="s">
        <v>12344</v>
      </c>
      <c r="D222" s="7" t="s">
        <v>10</v>
      </c>
    </row>
    <row r="223">
      <c r="A223" s="1" t="s">
        <v>1111</v>
      </c>
      <c r="B223" s="1" t="s">
        <v>1110</v>
      </c>
      <c r="C223" s="1" t="s">
        <v>12345</v>
      </c>
      <c r="D223" s="7" t="s">
        <v>10</v>
      </c>
    </row>
    <row r="224">
      <c r="A224" s="1" t="s">
        <v>1116</v>
      </c>
      <c r="B224" s="1" t="s">
        <v>1115</v>
      </c>
      <c r="C224" s="1" t="s">
        <v>12346</v>
      </c>
      <c r="D224" s="7" t="s">
        <v>10</v>
      </c>
    </row>
    <row r="225">
      <c r="A225" s="1" t="s">
        <v>1121</v>
      </c>
      <c r="B225" s="1" t="s">
        <v>1120</v>
      </c>
      <c r="C225" s="1" t="s">
        <v>12347</v>
      </c>
      <c r="D225" s="7" t="s">
        <v>10</v>
      </c>
    </row>
    <row r="226">
      <c r="A226" s="1" t="s">
        <v>1126</v>
      </c>
      <c r="B226" s="1" t="s">
        <v>1125</v>
      </c>
      <c r="C226" s="1" t="s">
        <v>12348</v>
      </c>
      <c r="D226" s="7" t="s">
        <v>10</v>
      </c>
    </row>
    <row r="227">
      <c r="A227" s="1" t="s">
        <v>1131</v>
      </c>
      <c r="B227" s="1" t="s">
        <v>1130</v>
      </c>
      <c r="C227" s="1" t="s">
        <v>12349</v>
      </c>
      <c r="D227" s="7" t="s">
        <v>10</v>
      </c>
    </row>
    <row r="228">
      <c r="A228" s="1" t="s">
        <v>1136</v>
      </c>
      <c r="B228" s="1" t="s">
        <v>1135</v>
      </c>
      <c r="C228" s="1" t="s">
        <v>12350</v>
      </c>
      <c r="D228" s="7" t="s">
        <v>10</v>
      </c>
    </row>
    <row r="229">
      <c r="A229" s="1" t="s">
        <v>1141</v>
      </c>
      <c r="B229" s="1" t="s">
        <v>1140</v>
      </c>
      <c r="C229" s="1" t="s">
        <v>12351</v>
      </c>
      <c r="D229" s="7" t="s">
        <v>10</v>
      </c>
    </row>
    <row r="230">
      <c r="A230" s="1" t="s">
        <v>1146</v>
      </c>
      <c r="B230" s="1" t="s">
        <v>1145</v>
      </c>
      <c r="C230" s="1" t="s">
        <v>12352</v>
      </c>
      <c r="D230" s="7" t="s">
        <v>10</v>
      </c>
    </row>
    <row r="231">
      <c r="A231" s="1" t="s">
        <v>1151</v>
      </c>
      <c r="B231" s="1" t="s">
        <v>1150</v>
      </c>
      <c r="C231" s="1" t="s">
        <v>12353</v>
      </c>
      <c r="D231" s="7" t="s">
        <v>10</v>
      </c>
    </row>
    <row r="232">
      <c r="A232" s="1" t="s">
        <v>1156</v>
      </c>
      <c r="B232" s="1" t="s">
        <v>1155</v>
      </c>
      <c r="C232" s="1" t="s">
        <v>12354</v>
      </c>
      <c r="D232" s="7" t="s">
        <v>10</v>
      </c>
    </row>
    <row r="233">
      <c r="A233" s="1" t="s">
        <v>1161</v>
      </c>
      <c r="B233" s="1" t="s">
        <v>1160</v>
      </c>
      <c r="C233" s="1" t="s">
        <v>12355</v>
      </c>
      <c r="D233" s="7" t="s">
        <v>10</v>
      </c>
    </row>
    <row r="234">
      <c r="A234" s="1" t="s">
        <v>1166</v>
      </c>
      <c r="B234" s="1" t="s">
        <v>1165</v>
      </c>
      <c r="C234" s="1" t="s">
        <v>12356</v>
      </c>
      <c r="D234" s="7" t="s">
        <v>10</v>
      </c>
    </row>
    <row r="235">
      <c r="A235" s="1" t="s">
        <v>1171</v>
      </c>
      <c r="B235" s="1" t="s">
        <v>1170</v>
      </c>
      <c r="C235" s="1" t="s">
        <v>12357</v>
      </c>
      <c r="D235" s="7" t="s">
        <v>10</v>
      </c>
    </row>
    <row r="236">
      <c r="A236" s="1" t="s">
        <v>1176</v>
      </c>
      <c r="B236" s="1" t="s">
        <v>1175</v>
      </c>
      <c r="C236" s="1" t="s">
        <v>12358</v>
      </c>
      <c r="D236" s="7" t="s">
        <v>10</v>
      </c>
    </row>
    <row r="237">
      <c r="A237" s="1" t="s">
        <v>1181</v>
      </c>
      <c r="B237" s="1" t="s">
        <v>1180</v>
      </c>
      <c r="C237" s="1" t="s">
        <v>12359</v>
      </c>
      <c r="D237" s="7" t="s">
        <v>10</v>
      </c>
    </row>
    <row r="238">
      <c r="A238" s="1" t="s">
        <v>1186</v>
      </c>
      <c r="B238" s="1" t="s">
        <v>1185</v>
      </c>
      <c r="C238" s="1" t="s">
        <v>12360</v>
      </c>
      <c r="D238" s="7" t="s">
        <v>10</v>
      </c>
    </row>
    <row r="239">
      <c r="A239" s="1" t="s">
        <v>1191</v>
      </c>
      <c r="B239" s="1" t="s">
        <v>1190</v>
      </c>
      <c r="C239" s="1" t="s">
        <v>12361</v>
      </c>
      <c r="D239" s="7" t="s">
        <v>10</v>
      </c>
    </row>
    <row r="240">
      <c r="A240" s="1" t="s">
        <v>1196</v>
      </c>
      <c r="B240" s="1" t="s">
        <v>1195</v>
      </c>
      <c r="C240" s="1" t="s">
        <v>12362</v>
      </c>
      <c r="D240" s="7" t="s">
        <v>10</v>
      </c>
    </row>
    <row r="241">
      <c r="A241" s="1" t="s">
        <v>1201</v>
      </c>
      <c r="B241" s="1" t="s">
        <v>1200</v>
      </c>
      <c r="C241" s="1" t="s">
        <v>12363</v>
      </c>
      <c r="D241" s="7" t="s">
        <v>10</v>
      </c>
    </row>
    <row r="242">
      <c r="A242" s="1" t="s">
        <v>1206</v>
      </c>
      <c r="B242" s="1" t="s">
        <v>1205</v>
      </c>
      <c r="C242" s="1" t="s">
        <v>12364</v>
      </c>
      <c r="D242" s="7" t="s">
        <v>10</v>
      </c>
    </row>
    <row r="243">
      <c r="A243" s="1" t="s">
        <v>1211</v>
      </c>
      <c r="B243" s="1" t="s">
        <v>1210</v>
      </c>
      <c r="C243" s="1" t="s">
        <v>12365</v>
      </c>
      <c r="D243" s="7" t="s">
        <v>10</v>
      </c>
    </row>
    <row r="244">
      <c r="A244" s="1" t="s">
        <v>1216</v>
      </c>
      <c r="B244" s="1" t="s">
        <v>1215</v>
      </c>
      <c r="C244" s="1" t="s">
        <v>12366</v>
      </c>
      <c r="D244" s="7" t="s">
        <v>10</v>
      </c>
    </row>
    <row r="245">
      <c r="A245" s="1" t="s">
        <v>1221</v>
      </c>
      <c r="B245" s="1" t="s">
        <v>1220</v>
      </c>
      <c r="C245" s="1" t="s">
        <v>12367</v>
      </c>
      <c r="D245" s="7" t="s">
        <v>10</v>
      </c>
    </row>
    <row r="246">
      <c r="A246" s="1" t="s">
        <v>1226</v>
      </c>
      <c r="B246" s="1" t="s">
        <v>1225</v>
      </c>
      <c r="C246" s="1" t="s">
        <v>12368</v>
      </c>
      <c r="D246" s="7" t="s">
        <v>10</v>
      </c>
    </row>
    <row r="247">
      <c r="A247" s="1" t="s">
        <v>1231</v>
      </c>
      <c r="B247" s="1" t="s">
        <v>1230</v>
      </c>
      <c r="C247" s="1" t="s">
        <v>12369</v>
      </c>
      <c r="D247" s="7" t="s">
        <v>10</v>
      </c>
    </row>
    <row r="248">
      <c r="A248" s="1" t="s">
        <v>1236</v>
      </c>
      <c r="B248" s="1" t="s">
        <v>1235</v>
      </c>
      <c r="C248" s="1" t="s">
        <v>12370</v>
      </c>
      <c r="D248" s="7" t="s">
        <v>10</v>
      </c>
    </row>
    <row r="249">
      <c r="A249" s="1" t="s">
        <v>1241</v>
      </c>
      <c r="B249" s="1" t="s">
        <v>1240</v>
      </c>
      <c r="C249" s="1" t="s">
        <v>12371</v>
      </c>
      <c r="D249" s="7" t="s">
        <v>10</v>
      </c>
    </row>
    <row r="250">
      <c r="A250" s="1" t="s">
        <v>1246</v>
      </c>
      <c r="B250" s="1" t="s">
        <v>1245</v>
      </c>
      <c r="C250" s="1" t="s">
        <v>12372</v>
      </c>
      <c r="D250" s="7" t="s">
        <v>10</v>
      </c>
    </row>
    <row r="251">
      <c r="A251" s="1" t="s">
        <v>1251</v>
      </c>
      <c r="B251" s="1" t="s">
        <v>1250</v>
      </c>
      <c r="C251" s="1" t="s">
        <v>12373</v>
      </c>
      <c r="D251" s="7" t="s">
        <v>10</v>
      </c>
    </row>
    <row r="252">
      <c r="A252" s="1" t="s">
        <v>1256</v>
      </c>
      <c r="B252" s="1" t="s">
        <v>1255</v>
      </c>
      <c r="C252" s="1" t="s">
        <v>12374</v>
      </c>
      <c r="D252" s="7" t="s">
        <v>10</v>
      </c>
    </row>
    <row r="253">
      <c r="A253" s="1" t="s">
        <v>1261</v>
      </c>
      <c r="B253" s="1" t="s">
        <v>1260</v>
      </c>
      <c r="C253" s="1" t="s">
        <v>12375</v>
      </c>
      <c r="D253" s="7" t="s">
        <v>10</v>
      </c>
    </row>
    <row r="254">
      <c r="A254" s="1" t="s">
        <v>1266</v>
      </c>
      <c r="B254" s="1" t="s">
        <v>1265</v>
      </c>
      <c r="C254" s="1" t="s">
        <v>12376</v>
      </c>
      <c r="D254" s="7" t="s">
        <v>10</v>
      </c>
    </row>
    <row r="255">
      <c r="A255" s="1" t="s">
        <v>1271</v>
      </c>
      <c r="B255" s="1" t="s">
        <v>1270</v>
      </c>
      <c r="C255" s="1" t="s">
        <v>12377</v>
      </c>
      <c r="D255" s="7" t="s">
        <v>10</v>
      </c>
    </row>
    <row r="256">
      <c r="A256" s="1" t="s">
        <v>1276</v>
      </c>
      <c r="B256" s="1" t="s">
        <v>1275</v>
      </c>
      <c r="C256" s="1" t="s">
        <v>12378</v>
      </c>
      <c r="D256" s="7" t="s">
        <v>10</v>
      </c>
    </row>
    <row r="257">
      <c r="A257" s="1" t="s">
        <v>1281</v>
      </c>
      <c r="B257" s="1" t="s">
        <v>1280</v>
      </c>
      <c r="C257" s="1" t="s">
        <v>12379</v>
      </c>
      <c r="D257" s="7" t="s">
        <v>10</v>
      </c>
    </row>
    <row r="258">
      <c r="A258" s="1" t="s">
        <v>1286</v>
      </c>
      <c r="B258" s="1" t="s">
        <v>1285</v>
      </c>
      <c r="C258" s="1" t="s">
        <v>12380</v>
      </c>
      <c r="D258" s="7" t="s">
        <v>10</v>
      </c>
    </row>
    <row r="259">
      <c r="A259" s="1" t="s">
        <v>1291</v>
      </c>
      <c r="B259" s="1" t="s">
        <v>1290</v>
      </c>
      <c r="C259" s="1" t="s">
        <v>12381</v>
      </c>
      <c r="D259" s="7" t="s">
        <v>10</v>
      </c>
    </row>
    <row r="260">
      <c r="A260" s="1" t="s">
        <v>1296</v>
      </c>
      <c r="B260" s="1" t="s">
        <v>1295</v>
      </c>
      <c r="C260" s="1" t="s">
        <v>12382</v>
      </c>
      <c r="D260" s="7" t="s">
        <v>10</v>
      </c>
    </row>
    <row r="261">
      <c r="A261" s="1" t="s">
        <v>1301</v>
      </c>
      <c r="B261" s="1" t="s">
        <v>1300</v>
      </c>
      <c r="C261" s="1" t="s">
        <v>12383</v>
      </c>
      <c r="D261" s="7" t="s">
        <v>10</v>
      </c>
    </row>
    <row r="262">
      <c r="A262" s="1" t="s">
        <v>1306</v>
      </c>
      <c r="B262" s="1" t="s">
        <v>1305</v>
      </c>
      <c r="C262" s="1" t="s">
        <v>12384</v>
      </c>
      <c r="D262" s="7" t="s">
        <v>10</v>
      </c>
    </row>
    <row r="263">
      <c r="A263" s="1" t="s">
        <v>1311</v>
      </c>
      <c r="B263" s="1" t="s">
        <v>1310</v>
      </c>
      <c r="C263" s="1" t="s">
        <v>12385</v>
      </c>
      <c r="D263" s="7" t="s">
        <v>10</v>
      </c>
    </row>
    <row r="264">
      <c r="A264" s="1" t="s">
        <v>1316</v>
      </c>
      <c r="B264" s="1" t="s">
        <v>1315</v>
      </c>
      <c r="C264" s="1" t="s">
        <v>12386</v>
      </c>
      <c r="D264" s="7" t="s">
        <v>10</v>
      </c>
    </row>
    <row r="265">
      <c r="A265" s="1" t="s">
        <v>1321</v>
      </c>
      <c r="B265" s="1" t="s">
        <v>1320</v>
      </c>
      <c r="C265" s="1" t="s">
        <v>12387</v>
      </c>
      <c r="D265" s="7" t="s">
        <v>10</v>
      </c>
    </row>
    <row r="266">
      <c r="A266" s="1" t="s">
        <v>1326</v>
      </c>
      <c r="B266" s="1" t="s">
        <v>1325</v>
      </c>
      <c r="C266" s="1" t="s">
        <v>12388</v>
      </c>
      <c r="D266" s="7" t="s">
        <v>10</v>
      </c>
    </row>
    <row r="267">
      <c r="A267" s="1" t="s">
        <v>1331</v>
      </c>
      <c r="B267" s="1" t="s">
        <v>1330</v>
      </c>
      <c r="C267" s="1" t="s">
        <v>12389</v>
      </c>
      <c r="D267" s="7" t="s">
        <v>10</v>
      </c>
    </row>
    <row r="268">
      <c r="A268" s="1" t="s">
        <v>1336</v>
      </c>
      <c r="B268" s="1" t="s">
        <v>1335</v>
      </c>
      <c r="C268" s="1" t="s">
        <v>12390</v>
      </c>
      <c r="D268" s="7" t="s">
        <v>10</v>
      </c>
    </row>
    <row r="269">
      <c r="A269" s="1" t="s">
        <v>1341</v>
      </c>
      <c r="B269" s="1" t="s">
        <v>1340</v>
      </c>
      <c r="C269" s="1" t="s">
        <v>12391</v>
      </c>
      <c r="D269" s="7" t="s">
        <v>10</v>
      </c>
    </row>
    <row r="270">
      <c r="A270" s="1" t="s">
        <v>1346</v>
      </c>
      <c r="B270" s="1" t="s">
        <v>1345</v>
      </c>
      <c r="C270" s="1" t="s">
        <v>12392</v>
      </c>
      <c r="D270" s="7" t="s">
        <v>10</v>
      </c>
    </row>
    <row r="271">
      <c r="A271" s="1" t="s">
        <v>1351</v>
      </c>
      <c r="B271" s="1" t="s">
        <v>1350</v>
      </c>
      <c r="C271" s="1" t="s">
        <v>12393</v>
      </c>
      <c r="D271" s="7" t="s">
        <v>10</v>
      </c>
    </row>
    <row r="272">
      <c r="A272" s="1" t="s">
        <v>1356</v>
      </c>
      <c r="B272" s="1" t="s">
        <v>1355</v>
      </c>
      <c r="C272" s="1" t="s">
        <v>12394</v>
      </c>
      <c r="D272" s="7" t="s">
        <v>10</v>
      </c>
    </row>
    <row r="273">
      <c r="A273" s="1" t="s">
        <v>1361</v>
      </c>
      <c r="B273" s="1" t="s">
        <v>1360</v>
      </c>
      <c r="C273" s="1" t="s">
        <v>12395</v>
      </c>
      <c r="D273" s="7" t="s">
        <v>10</v>
      </c>
    </row>
    <row r="274">
      <c r="A274" s="1" t="s">
        <v>1366</v>
      </c>
      <c r="B274" s="1" t="s">
        <v>1365</v>
      </c>
      <c r="C274" s="1" t="s">
        <v>12396</v>
      </c>
      <c r="D274" s="7" t="s">
        <v>10</v>
      </c>
    </row>
    <row r="275">
      <c r="A275" s="1" t="s">
        <v>1371</v>
      </c>
      <c r="B275" s="1" t="s">
        <v>1370</v>
      </c>
      <c r="C275" s="1" t="s">
        <v>12397</v>
      </c>
      <c r="D275" s="7" t="s">
        <v>10</v>
      </c>
    </row>
    <row r="276">
      <c r="A276" s="1" t="s">
        <v>1376</v>
      </c>
      <c r="B276" s="1" t="s">
        <v>1375</v>
      </c>
      <c r="C276" s="1" t="s">
        <v>12398</v>
      </c>
      <c r="D276" s="7" t="s">
        <v>10</v>
      </c>
    </row>
    <row r="277">
      <c r="A277" s="1" t="s">
        <v>1381</v>
      </c>
      <c r="B277" s="1" t="s">
        <v>1380</v>
      </c>
      <c r="C277" s="1" t="s">
        <v>12399</v>
      </c>
      <c r="D277" s="7" t="s">
        <v>10</v>
      </c>
    </row>
    <row r="278">
      <c r="A278" s="1" t="s">
        <v>1386</v>
      </c>
      <c r="B278" s="1" t="s">
        <v>1385</v>
      </c>
      <c r="C278" s="1" t="s">
        <v>12400</v>
      </c>
      <c r="D278" s="7" t="s">
        <v>10</v>
      </c>
    </row>
    <row r="279">
      <c r="A279" s="1" t="s">
        <v>1391</v>
      </c>
      <c r="B279" s="1" t="s">
        <v>1390</v>
      </c>
      <c r="C279" s="1" t="s">
        <v>12401</v>
      </c>
      <c r="D279" s="7" t="s">
        <v>10</v>
      </c>
    </row>
    <row r="280">
      <c r="A280" s="1" t="s">
        <v>1396</v>
      </c>
      <c r="B280" s="1" t="s">
        <v>1395</v>
      </c>
      <c r="C280" s="1" t="s">
        <v>12402</v>
      </c>
      <c r="D280" s="7" t="s">
        <v>10</v>
      </c>
    </row>
    <row r="281">
      <c r="A281" s="1" t="s">
        <v>1401</v>
      </c>
      <c r="B281" s="1" t="s">
        <v>1400</v>
      </c>
      <c r="C281" s="1" t="s">
        <v>12403</v>
      </c>
      <c r="D281" s="7" t="s">
        <v>10</v>
      </c>
    </row>
    <row r="282">
      <c r="A282" s="1" t="s">
        <v>1406</v>
      </c>
      <c r="B282" s="1" t="s">
        <v>1405</v>
      </c>
      <c r="C282" s="1" t="s">
        <v>12404</v>
      </c>
      <c r="D282" s="7" t="s">
        <v>10</v>
      </c>
    </row>
    <row r="283">
      <c r="A283" s="1" t="s">
        <v>1411</v>
      </c>
      <c r="B283" s="1" t="s">
        <v>1410</v>
      </c>
      <c r="C283" s="1" t="s">
        <v>12405</v>
      </c>
      <c r="D283" s="7" t="s">
        <v>10</v>
      </c>
    </row>
    <row r="284">
      <c r="A284" s="1" t="s">
        <v>1416</v>
      </c>
      <c r="B284" s="1" t="s">
        <v>1415</v>
      </c>
      <c r="C284" s="1" t="s">
        <v>12406</v>
      </c>
      <c r="D284" s="7" t="s">
        <v>10</v>
      </c>
    </row>
    <row r="285">
      <c r="A285" s="1" t="s">
        <v>1420</v>
      </c>
      <c r="B285" s="1" t="s">
        <v>1420</v>
      </c>
      <c r="C285" s="1" t="s">
        <v>12407</v>
      </c>
      <c r="D285" s="7" t="s">
        <v>10</v>
      </c>
    </row>
    <row r="286">
      <c r="A286" s="1" t="s">
        <v>1424</v>
      </c>
      <c r="B286" s="1" t="s">
        <v>1424</v>
      </c>
      <c r="C286" s="1" t="s">
        <v>12408</v>
      </c>
      <c r="D286" s="7" t="s">
        <v>10</v>
      </c>
    </row>
    <row r="287">
      <c r="A287" s="1" t="s">
        <v>1429</v>
      </c>
      <c r="B287" s="1" t="s">
        <v>1428</v>
      </c>
      <c r="C287" s="1" t="s">
        <v>12409</v>
      </c>
      <c r="D287" s="7" t="s">
        <v>10</v>
      </c>
    </row>
    <row r="288">
      <c r="A288" s="1" t="s">
        <v>1434</v>
      </c>
      <c r="B288" s="1" t="s">
        <v>1433</v>
      </c>
      <c r="C288" s="1" t="s">
        <v>12410</v>
      </c>
      <c r="D288" s="7" t="s">
        <v>10</v>
      </c>
    </row>
    <row r="289">
      <c r="A289" s="1" t="s">
        <v>1439</v>
      </c>
      <c r="B289" s="1" t="s">
        <v>1438</v>
      </c>
      <c r="C289" s="1" t="s">
        <v>12411</v>
      </c>
      <c r="D289" s="7" t="s">
        <v>10</v>
      </c>
    </row>
    <row r="290">
      <c r="A290" s="1" t="s">
        <v>1444</v>
      </c>
      <c r="B290" s="1" t="s">
        <v>1443</v>
      </c>
      <c r="C290" s="1" t="s">
        <v>12412</v>
      </c>
      <c r="D290" s="7" t="s">
        <v>10</v>
      </c>
    </row>
    <row r="291">
      <c r="A291" s="1" t="s">
        <v>1449</v>
      </c>
      <c r="B291" s="1" t="s">
        <v>1448</v>
      </c>
      <c r="C291" s="1" t="s">
        <v>12413</v>
      </c>
      <c r="D291" s="7" t="s">
        <v>10</v>
      </c>
    </row>
    <row r="292">
      <c r="A292" s="1" t="s">
        <v>1454</v>
      </c>
      <c r="B292" s="1" t="s">
        <v>1453</v>
      </c>
      <c r="C292" s="1" t="s">
        <v>12414</v>
      </c>
      <c r="D292" s="7" t="s">
        <v>10</v>
      </c>
    </row>
    <row r="293">
      <c r="A293" s="1" t="s">
        <v>1459</v>
      </c>
      <c r="B293" s="1" t="s">
        <v>1458</v>
      </c>
      <c r="C293" s="1" t="s">
        <v>12415</v>
      </c>
      <c r="D293" s="7" t="s">
        <v>10</v>
      </c>
    </row>
    <row r="294">
      <c r="A294" s="1" t="s">
        <v>1464</v>
      </c>
      <c r="B294" s="1" t="s">
        <v>1463</v>
      </c>
      <c r="C294" s="1" t="s">
        <v>12416</v>
      </c>
      <c r="D294" s="7" t="s">
        <v>10</v>
      </c>
    </row>
    <row r="295">
      <c r="A295" s="1" t="s">
        <v>1469</v>
      </c>
      <c r="B295" s="1" t="s">
        <v>1468</v>
      </c>
      <c r="C295" s="1" t="s">
        <v>12417</v>
      </c>
      <c r="D295" s="7" t="s">
        <v>10</v>
      </c>
    </row>
    <row r="296">
      <c r="A296" s="1" t="s">
        <v>1474</v>
      </c>
      <c r="B296" s="1" t="s">
        <v>1473</v>
      </c>
      <c r="C296" s="1" t="s">
        <v>12418</v>
      </c>
      <c r="D296" s="7" t="s">
        <v>10</v>
      </c>
    </row>
    <row r="297">
      <c r="A297" s="1" t="s">
        <v>1479</v>
      </c>
      <c r="B297" s="1" t="s">
        <v>1478</v>
      </c>
      <c r="C297" s="1" t="s">
        <v>12419</v>
      </c>
      <c r="D297" s="7" t="s">
        <v>10</v>
      </c>
    </row>
    <row r="298">
      <c r="A298" s="1" t="s">
        <v>1484</v>
      </c>
      <c r="B298" s="1" t="s">
        <v>1483</v>
      </c>
      <c r="C298" s="1" t="s">
        <v>12420</v>
      </c>
      <c r="D298" s="7" t="s">
        <v>10</v>
      </c>
    </row>
    <row r="299">
      <c r="A299" s="1" t="s">
        <v>1489</v>
      </c>
      <c r="B299" s="1" t="s">
        <v>1488</v>
      </c>
      <c r="C299" s="1" t="s">
        <v>12421</v>
      </c>
      <c r="D299" s="7" t="s">
        <v>10</v>
      </c>
    </row>
    <row r="300">
      <c r="A300" s="1" t="s">
        <v>1494</v>
      </c>
      <c r="B300" s="1" t="s">
        <v>1493</v>
      </c>
      <c r="C300" s="1" t="s">
        <v>12422</v>
      </c>
      <c r="D300" s="7" t="s">
        <v>10</v>
      </c>
    </row>
    <row r="301">
      <c r="A301" s="1" t="s">
        <v>1499</v>
      </c>
      <c r="B301" s="1" t="s">
        <v>1498</v>
      </c>
      <c r="C301" s="1" t="s">
        <v>12423</v>
      </c>
      <c r="D301" s="7" t="s">
        <v>10</v>
      </c>
    </row>
    <row r="302">
      <c r="A302" s="1" t="s">
        <v>1503</v>
      </c>
      <c r="B302" s="1" t="s">
        <v>1503</v>
      </c>
      <c r="C302" s="1" t="s">
        <v>12424</v>
      </c>
      <c r="D302" s="7" t="s">
        <v>10</v>
      </c>
    </row>
    <row r="303">
      <c r="A303" s="1" t="s">
        <v>1508</v>
      </c>
      <c r="B303" s="1" t="s">
        <v>1507</v>
      </c>
      <c r="C303" s="1" t="s">
        <v>12425</v>
      </c>
      <c r="D303" s="7" t="s">
        <v>10</v>
      </c>
    </row>
    <row r="304">
      <c r="A304" s="1" t="s">
        <v>1513</v>
      </c>
      <c r="B304" s="1" t="s">
        <v>1512</v>
      </c>
      <c r="C304" s="1" t="s">
        <v>12426</v>
      </c>
      <c r="D304" s="7" t="s">
        <v>10</v>
      </c>
    </row>
    <row r="305">
      <c r="A305" s="1" t="s">
        <v>1518</v>
      </c>
      <c r="B305" s="1" t="s">
        <v>1517</v>
      </c>
      <c r="C305" s="1" t="s">
        <v>12427</v>
      </c>
      <c r="D305" s="7" t="s">
        <v>10</v>
      </c>
    </row>
    <row r="306">
      <c r="A306" s="1" t="s">
        <v>1523</v>
      </c>
      <c r="B306" s="1" t="s">
        <v>1522</v>
      </c>
      <c r="C306" s="1" t="s">
        <v>12428</v>
      </c>
      <c r="D306" s="7" t="s">
        <v>10</v>
      </c>
    </row>
    <row r="307">
      <c r="A307" s="1" t="s">
        <v>1528</v>
      </c>
      <c r="B307" s="1" t="s">
        <v>1527</v>
      </c>
      <c r="C307" s="1" t="s">
        <v>12429</v>
      </c>
      <c r="D307" s="7" t="s">
        <v>10</v>
      </c>
    </row>
    <row r="308">
      <c r="A308" s="1" t="s">
        <v>1533</v>
      </c>
      <c r="B308" s="1" t="s">
        <v>1532</v>
      </c>
      <c r="C308" s="1" t="s">
        <v>12430</v>
      </c>
      <c r="D308" s="7" t="s">
        <v>10</v>
      </c>
    </row>
    <row r="309">
      <c r="A309" s="1" t="s">
        <v>1538</v>
      </c>
      <c r="B309" s="1" t="s">
        <v>1537</v>
      </c>
      <c r="C309" s="1" t="s">
        <v>12431</v>
      </c>
      <c r="D309" s="7" t="s">
        <v>10</v>
      </c>
    </row>
    <row r="310">
      <c r="A310" s="1" t="s">
        <v>1543</v>
      </c>
      <c r="B310" s="1" t="s">
        <v>1542</v>
      </c>
      <c r="C310" s="1" t="s">
        <v>12432</v>
      </c>
      <c r="D310" s="7" t="s">
        <v>10</v>
      </c>
    </row>
    <row r="311">
      <c r="A311" s="1" t="s">
        <v>1548</v>
      </c>
      <c r="B311" s="1" t="s">
        <v>1547</v>
      </c>
      <c r="C311" s="1" t="s">
        <v>12433</v>
      </c>
      <c r="D311" s="7" t="s">
        <v>10</v>
      </c>
    </row>
    <row r="312">
      <c r="A312" s="1" t="s">
        <v>1553</v>
      </c>
      <c r="B312" s="1" t="s">
        <v>1552</v>
      </c>
      <c r="C312" s="1" t="s">
        <v>12434</v>
      </c>
      <c r="D312" s="7" t="s">
        <v>10</v>
      </c>
    </row>
    <row r="313">
      <c r="A313" s="1" t="s">
        <v>1558</v>
      </c>
      <c r="B313" s="1" t="s">
        <v>1557</v>
      </c>
      <c r="C313" s="1" t="s">
        <v>12435</v>
      </c>
      <c r="D313" s="7" t="s">
        <v>10</v>
      </c>
    </row>
    <row r="314">
      <c r="A314" s="1" t="s">
        <v>1563</v>
      </c>
      <c r="B314" s="1" t="s">
        <v>1562</v>
      </c>
      <c r="C314" s="1" t="s">
        <v>12436</v>
      </c>
      <c r="D314" s="7" t="s">
        <v>10</v>
      </c>
    </row>
    <row r="315">
      <c r="A315" s="1" t="s">
        <v>1568</v>
      </c>
      <c r="B315" s="1" t="s">
        <v>1567</v>
      </c>
      <c r="C315" s="1" t="s">
        <v>12437</v>
      </c>
      <c r="D315" s="7" t="s">
        <v>10</v>
      </c>
    </row>
    <row r="316">
      <c r="A316" s="1" t="s">
        <v>1573</v>
      </c>
      <c r="B316" s="1" t="s">
        <v>1572</v>
      </c>
      <c r="C316" s="1" t="s">
        <v>12438</v>
      </c>
      <c r="D316" s="7" t="s">
        <v>10</v>
      </c>
    </row>
    <row r="317">
      <c r="A317" s="1" t="s">
        <v>1578</v>
      </c>
      <c r="B317" s="1" t="s">
        <v>1577</v>
      </c>
      <c r="C317" s="1" t="s">
        <v>12439</v>
      </c>
      <c r="D317" s="7" t="s">
        <v>10</v>
      </c>
    </row>
    <row r="318">
      <c r="A318" s="1" t="s">
        <v>1583</v>
      </c>
      <c r="B318" s="1" t="s">
        <v>1582</v>
      </c>
      <c r="C318" s="1" t="s">
        <v>12440</v>
      </c>
      <c r="D318" s="7" t="s">
        <v>10</v>
      </c>
    </row>
    <row r="319">
      <c r="A319" s="1" t="s">
        <v>1588</v>
      </c>
      <c r="B319" s="1" t="s">
        <v>1587</v>
      </c>
      <c r="C319" s="1" t="s">
        <v>12441</v>
      </c>
      <c r="D319" s="7" t="s">
        <v>10</v>
      </c>
    </row>
    <row r="320">
      <c r="A320" s="1" t="s">
        <v>1593</v>
      </c>
      <c r="B320" s="1" t="s">
        <v>1592</v>
      </c>
      <c r="C320" s="1" t="s">
        <v>12442</v>
      </c>
      <c r="D320" s="7" t="s">
        <v>10</v>
      </c>
    </row>
    <row r="321">
      <c r="A321" s="1" t="s">
        <v>1598</v>
      </c>
      <c r="B321" s="1" t="s">
        <v>1597</v>
      </c>
      <c r="C321" s="1" t="s">
        <v>12443</v>
      </c>
      <c r="D321" s="7" t="s">
        <v>10</v>
      </c>
    </row>
    <row r="322">
      <c r="A322" s="1" t="s">
        <v>1603</v>
      </c>
      <c r="B322" s="1" t="s">
        <v>1602</v>
      </c>
      <c r="C322" s="1" t="s">
        <v>12444</v>
      </c>
      <c r="D322" s="7" t="s">
        <v>10</v>
      </c>
    </row>
    <row r="323">
      <c r="A323" s="1" t="s">
        <v>1608</v>
      </c>
      <c r="B323" s="1" t="s">
        <v>1607</v>
      </c>
      <c r="C323" s="1" t="s">
        <v>12445</v>
      </c>
      <c r="D323" s="7" t="s">
        <v>10</v>
      </c>
    </row>
    <row r="324">
      <c r="A324" s="1" t="s">
        <v>1613</v>
      </c>
      <c r="B324" s="1" t="s">
        <v>1612</v>
      </c>
      <c r="C324" s="1" t="s">
        <v>12446</v>
      </c>
      <c r="D324" s="7" t="s">
        <v>10</v>
      </c>
    </row>
    <row r="325">
      <c r="A325" s="1" t="s">
        <v>1618</v>
      </c>
      <c r="B325" s="1" t="s">
        <v>1617</v>
      </c>
      <c r="C325" s="1" t="s">
        <v>12447</v>
      </c>
      <c r="D325" s="7" t="s">
        <v>10</v>
      </c>
    </row>
    <row r="326">
      <c r="A326" s="1" t="s">
        <v>1623</v>
      </c>
      <c r="B326" s="1" t="s">
        <v>1622</v>
      </c>
      <c r="C326" s="1" t="s">
        <v>12448</v>
      </c>
      <c r="D326" s="7" t="s">
        <v>10</v>
      </c>
    </row>
    <row r="327">
      <c r="A327" s="1" t="s">
        <v>1628</v>
      </c>
      <c r="B327" s="1" t="s">
        <v>1627</v>
      </c>
      <c r="C327" s="1" t="s">
        <v>12449</v>
      </c>
      <c r="D327" s="7" t="s">
        <v>10</v>
      </c>
    </row>
    <row r="328">
      <c r="A328" s="1" t="s">
        <v>1633</v>
      </c>
      <c r="B328" s="1" t="s">
        <v>1632</v>
      </c>
      <c r="C328" s="1" t="s">
        <v>12450</v>
      </c>
      <c r="D328" s="7" t="s">
        <v>10</v>
      </c>
    </row>
    <row r="329">
      <c r="A329" s="1" t="s">
        <v>1638</v>
      </c>
      <c r="B329" s="1" t="s">
        <v>1637</v>
      </c>
      <c r="C329" s="1" t="s">
        <v>12451</v>
      </c>
      <c r="D329" s="7" t="s">
        <v>10</v>
      </c>
    </row>
    <row r="330">
      <c r="A330" s="1" t="s">
        <v>1643</v>
      </c>
      <c r="B330" s="1" t="s">
        <v>1642</v>
      </c>
      <c r="C330" s="1" t="s">
        <v>12452</v>
      </c>
      <c r="D330" s="7" t="s">
        <v>10</v>
      </c>
    </row>
    <row r="331">
      <c r="A331" s="1" t="s">
        <v>1647</v>
      </c>
      <c r="B331" s="1" t="s">
        <v>1647</v>
      </c>
      <c r="C331" s="1" t="s">
        <v>12453</v>
      </c>
      <c r="D331" s="7" t="s">
        <v>10</v>
      </c>
    </row>
    <row r="332">
      <c r="A332" s="1" t="s">
        <v>1651</v>
      </c>
      <c r="B332" s="1" t="s">
        <v>1651</v>
      </c>
      <c r="C332" s="1" t="s">
        <v>12454</v>
      </c>
      <c r="D332" s="7" t="s">
        <v>10</v>
      </c>
    </row>
    <row r="333">
      <c r="A333" s="1" t="s">
        <v>1655</v>
      </c>
      <c r="B333" s="1" t="s">
        <v>1655</v>
      </c>
      <c r="C333" s="1" t="s">
        <v>12455</v>
      </c>
      <c r="D333" s="7" t="s">
        <v>10</v>
      </c>
    </row>
    <row r="334">
      <c r="A334" s="1" t="s">
        <v>1659</v>
      </c>
      <c r="B334" s="1" t="s">
        <v>1659</v>
      </c>
      <c r="C334" s="1" t="s">
        <v>12456</v>
      </c>
      <c r="D334" s="7" t="s">
        <v>10</v>
      </c>
    </row>
    <row r="335">
      <c r="A335" s="1" t="s">
        <v>1664</v>
      </c>
      <c r="B335" s="1" t="s">
        <v>1663</v>
      </c>
      <c r="C335" s="1" t="s">
        <v>12457</v>
      </c>
      <c r="D335" s="7" t="s">
        <v>10</v>
      </c>
    </row>
    <row r="336">
      <c r="A336" s="1" t="s">
        <v>1669</v>
      </c>
      <c r="B336" s="1" t="s">
        <v>1668</v>
      </c>
      <c r="C336" s="1" t="s">
        <v>12458</v>
      </c>
      <c r="D336" s="7" t="s">
        <v>10</v>
      </c>
    </row>
    <row r="337">
      <c r="A337" s="1" t="s">
        <v>1674</v>
      </c>
      <c r="B337" s="1" t="s">
        <v>1673</v>
      </c>
      <c r="C337" s="1" t="s">
        <v>12459</v>
      </c>
      <c r="D337" s="7" t="s">
        <v>10</v>
      </c>
    </row>
    <row r="338">
      <c r="A338" s="1" t="s">
        <v>1679</v>
      </c>
      <c r="B338" s="1" t="s">
        <v>1678</v>
      </c>
      <c r="C338" s="1" t="s">
        <v>12460</v>
      </c>
      <c r="D338" s="7" t="s">
        <v>10</v>
      </c>
    </row>
    <row r="339">
      <c r="A339" s="1" t="s">
        <v>1684</v>
      </c>
      <c r="B339" s="1" t="s">
        <v>1683</v>
      </c>
      <c r="C339" s="1" t="s">
        <v>12461</v>
      </c>
      <c r="D339" s="7" t="s">
        <v>10</v>
      </c>
    </row>
    <row r="340">
      <c r="A340" s="1" t="s">
        <v>1689</v>
      </c>
      <c r="B340" s="1" t="s">
        <v>1688</v>
      </c>
      <c r="C340" s="1" t="s">
        <v>12462</v>
      </c>
      <c r="D340" s="7" t="s">
        <v>10</v>
      </c>
    </row>
    <row r="341">
      <c r="A341" s="1" t="s">
        <v>1694</v>
      </c>
      <c r="B341" s="1" t="s">
        <v>1693</v>
      </c>
      <c r="C341" s="1" t="s">
        <v>12463</v>
      </c>
      <c r="D341" s="7" t="s">
        <v>10</v>
      </c>
    </row>
    <row r="342">
      <c r="A342" s="1" t="s">
        <v>1699</v>
      </c>
      <c r="B342" s="1" t="s">
        <v>1698</v>
      </c>
      <c r="C342" s="1" t="s">
        <v>12464</v>
      </c>
      <c r="D342" s="7" t="s">
        <v>10</v>
      </c>
    </row>
    <row r="343">
      <c r="A343" s="1" t="s">
        <v>1704</v>
      </c>
      <c r="B343" s="1" t="s">
        <v>1703</v>
      </c>
      <c r="C343" s="1" t="s">
        <v>12465</v>
      </c>
      <c r="D343" s="7" t="s">
        <v>10</v>
      </c>
    </row>
    <row r="344">
      <c r="A344" s="1" t="s">
        <v>1709</v>
      </c>
      <c r="B344" s="1" t="s">
        <v>1708</v>
      </c>
      <c r="C344" s="1" t="s">
        <v>12466</v>
      </c>
      <c r="D344" s="7" t="s">
        <v>10</v>
      </c>
    </row>
    <row r="345">
      <c r="A345" s="1" t="s">
        <v>1714</v>
      </c>
      <c r="B345" s="1" t="s">
        <v>1713</v>
      </c>
      <c r="C345" s="1" t="s">
        <v>12467</v>
      </c>
      <c r="D345" s="7" t="s">
        <v>10</v>
      </c>
    </row>
    <row r="346">
      <c r="A346" s="1" t="s">
        <v>1719</v>
      </c>
      <c r="B346" s="1" t="s">
        <v>1718</v>
      </c>
      <c r="C346" s="1" t="s">
        <v>12468</v>
      </c>
      <c r="D346" s="7" t="s">
        <v>10</v>
      </c>
    </row>
    <row r="347">
      <c r="A347" s="1" t="s">
        <v>1724</v>
      </c>
      <c r="B347" s="1" t="s">
        <v>1723</v>
      </c>
      <c r="C347" s="1" t="s">
        <v>12469</v>
      </c>
      <c r="D347" s="7" t="s">
        <v>10</v>
      </c>
    </row>
    <row r="348">
      <c r="A348" s="1" t="s">
        <v>1729</v>
      </c>
      <c r="B348" s="1" t="s">
        <v>1728</v>
      </c>
      <c r="C348" s="1" t="s">
        <v>12470</v>
      </c>
      <c r="D348" s="7" t="s">
        <v>10</v>
      </c>
    </row>
    <row r="349">
      <c r="A349" s="1" t="s">
        <v>1734</v>
      </c>
      <c r="B349" s="1" t="s">
        <v>1733</v>
      </c>
      <c r="C349" s="1" t="s">
        <v>12471</v>
      </c>
      <c r="D349" s="7" t="s">
        <v>10</v>
      </c>
    </row>
    <row r="350">
      <c r="A350" s="1" t="s">
        <v>1739</v>
      </c>
      <c r="B350" s="1" t="s">
        <v>1738</v>
      </c>
      <c r="C350" s="1" t="s">
        <v>12472</v>
      </c>
      <c r="D350" s="7" t="s">
        <v>10</v>
      </c>
    </row>
    <row r="351">
      <c r="A351" s="1" t="s">
        <v>1744</v>
      </c>
      <c r="B351" s="1" t="s">
        <v>1743</v>
      </c>
      <c r="C351" s="1" t="s">
        <v>12473</v>
      </c>
      <c r="D351" s="7" t="s">
        <v>10</v>
      </c>
    </row>
    <row r="352">
      <c r="A352" s="1" t="s">
        <v>1749</v>
      </c>
      <c r="B352" s="1" t="s">
        <v>1748</v>
      </c>
      <c r="C352" s="1" t="s">
        <v>12474</v>
      </c>
      <c r="D352" s="7" t="s">
        <v>10</v>
      </c>
    </row>
    <row r="353">
      <c r="A353" s="1" t="s">
        <v>1754</v>
      </c>
      <c r="B353" s="1" t="s">
        <v>1753</v>
      </c>
      <c r="C353" s="1" t="s">
        <v>12475</v>
      </c>
      <c r="D353" s="7" t="s">
        <v>10</v>
      </c>
    </row>
    <row r="354">
      <c r="A354" s="1" t="s">
        <v>1759</v>
      </c>
      <c r="B354" s="1" t="s">
        <v>1758</v>
      </c>
      <c r="C354" s="1" t="s">
        <v>12476</v>
      </c>
      <c r="D354" s="7" t="s">
        <v>10</v>
      </c>
    </row>
    <row r="355">
      <c r="A355" s="1" t="s">
        <v>1764</v>
      </c>
      <c r="B355" s="1" t="s">
        <v>1763</v>
      </c>
      <c r="C355" s="1" t="s">
        <v>12477</v>
      </c>
      <c r="D355" s="7" t="s">
        <v>10</v>
      </c>
    </row>
    <row r="356">
      <c r="A356" s="1" t="s">
        <v>1769</v>
      </c>
      <c r="B356" s="1" t="s">
        <v>1768</v>
      </c>
      <c r="C356" s="1" t="s">
        <v>12478</v>
      </c>
      <c r="D356" s="7" t="s">
        <v>10</v>
      </c>
    </row>
    <row r="357">
      <c r="A357" s="1" t="s">
        <v>1773</v>
      </c>
      <c r="B357" s="1" t="s">
        <v>1773</v>
      </c>
      <c r="C357" s="1" t="s">
        <v>12479</v>
      </c>
      <c r="D357" s="7" t="s">
        <v>10</v>
      </c>
    </row>
    <row r="358">
      <c r="A358" s="1" t="s">
        <v>1778</v>
      </c>
      <c r="B358" s="1" t="s">
        <v>1777</v>
      </c>
      <c r="C358" s="1" t="s">
        <v>12480</v>
      </c>
      <c r="D358" s="7" t="s">
        <v>10</v>
      </c>
    </row>
    <row r="359">
      <c r="A359" s="1" t="s">
        <v>1783</v>
      </c>
      <c r="B359" s="1" t="s">
        <v>1782</v>
      </c>
      <c r="C359" s="1" t="s">
        <v>12481</v>
      </c>
      <c r="D359" s="7" t="s">
        <v>10</v>
      </c>
    </row>
    <row r="360">
      <c r="A360" s="1" t="s">
        <v>1788</v>
      </c>
      <c r="B360" s="1" t="s">
        <v>1787</v>
      </c>
      <c r="C360" s="1" t="s">
        <v>12482</v>
      </c>
      <c r="D360" s="7" t="s">
        <v>10</v>
      </c>
    </row>
    <row r="361">
      <c r="A361" s="1" t="s">
        <v>1793</v>
      </c>
      <c r="B361" s="1" t="s">
        <v>1792</v>
      </c>
      <c r="C361" s="1" t="s">
        <v>12483</v>
      </c>
      <c r="D361" s="7" t="s">
        <v>10</v>
      </c>
    </row>
    <row r="362">
      <c r="A362" s="1" t="s">
        <v>1798</v>
      </c>
      <c r="B362" s="1" t="s">
        <v>1797</v>
      </c>
      <c r="C362" s="1" t="s">
        <v>12484</v>
      </c>
      <c r="D362" s="7" t="s">
        <v>10</v>
      </c>
    </row>
    <row r="363">
      <c r="A363" s="1" t="s">
        <v>1803</v>
      </c>
      <c r="B363" s="1" t="s">
        <v>1802</v>
      </c>
      <c r="C363" s="1" t="s">
        <v>12485</v>
      </c>
      <c r="D363" s="7" t="s">
        <v>10</v>
      </c>
    </row>
    <row r="364">
      <c r="A364" s="1" t="s">
        <v>1808</v>
      </c>
      <c r="B364" s="1" t="s">
        <v>1807</v>
      </c>
      <c r="C364" s="1" t="s">
        <v>12486</v>
      </c>
      <c r="D364" s="7" t="s">
        <v>10</v>
      </c>
    </row>
    <row r="365">
      <c r="A365" s="1" t="s">
        <v>1813</v>
      </c>
      <c r="B365" s="1" t="s">
        <v>1812</v>
      </c>
      <c r="C365" s="1" t="s">
        <v>12487</v>
      </c>
      <c r="D365" s="7" t="s">
        <v>10</v>
      </c>
    </row>
    <row r="366">
      <c r="A366" s="1" t="s">
        <v>1817</v>
      </c>
      <c r="B366" s="1" t="s">
        <v>1817</v>
      </c>
      <c r="C366" s="1" t="s">
        <v>12488</v>
      </c>
      <c r="D366" s="7" t="s">
        <v>10</v>
      </c>
    </row>
    <row r="367">
      <c r="A367" s="1" t="s">
        <v>1822</v>
      </c>
      <c r="B367" s="1" t="s">
        <v>1821</v>
      </c>
      <c r="C367" s="1" t="s">
        <v>12489</v>
      </c>
      <c r="D367" s="7" t="s">
        <v>10</v>
      </c>
    </row>
    <row r="368">
      <c r="A368" s="1" t="s">
        <v>1827</v>
      </c>
      <c r="B368" s="1" t="s">
        <v>1826</v>
      </c>
      <c r="C368" s="1" t="s">
        <v>12490</v>
      </c>
      <c r="D368" s="7" t="s">
        <v>10</v>
      </c>
    </row>
    <row r="369">
      <c r="A369" s="1" t="s">
        <v>1832</v>
      </c>
      <c r="B369" s="1" t="s">
        <v>1831</v>
      </c>
      <c r="C369" s="1" t="s">
        <v>12491</v>
      </c>
      <c r="D369" s="7" t="s">
        <v>10</v>
      </c>
    </row>
    <row r="370">
      <c r="A370" s="1" t="s">
        <v>1837</v>
      </c>
      <c r="B370" s="1" t="s">
        <v>1836</v>
      </c>
      <c r="C370" s="1" t="s">
        <v>12492</v>
      </c>
      <c r="D370" s="7" t="s">
        <v>10</v>
      </c>
    </row>
    <row r="371">
      <c r="A371" s="1" t="s">
        <v>1842</v>
      </c>
      <c r="B371" s="1" t="s">
        <v>1841</v>
      </c>
      <c r="C371" s="1" t="s">
        <v>12493</v>
      </c>
      <c r="D371" s="7" t="s">
        <v>10</v>
      </c>
    </row>
    <row r="372">
      <c r="A372" s="1" t="s">
        <v>1847</v>
      </c>
      <c r="B372" s="1" t="s">
        <v>1846</v>
      </c>
      <c r="C372" s="1" t="s">
        <v>12494</v>
      </c>
      <c r="D372" s="7" t="s">
        <v>10</v>
      </c>
    </row>
    <row r="373">
      <c r="A373" s="1" t="s">
        <v>1852</v>
      </c>
      <c r="B373" s="1" t="s">
        <v>1851</v>
      </c>
      <c r="C373" s="1" t="s">
        <v>12495</v>
      </c>
      <c r="D373" s="7" t="s">
        <v>10</v>
      </c>
    </row>
    <row r="374">
      <c r="A374" s="1" t="s">
        <v>1857</v>
      </c>
      <c r="B374" s="1" t="s">
        <v>1856</v>
      </c>
      <c r="C374" s="1" t="s">
        <v>12496</v>
      </c>
      <c r="D374" s="7" t="s">
        <v>10</v>
      </c>
    </row>
    <row r="375">
      <c r="A375" s="1" t="s">
        <v>1862</v>
      </c>
      <c r="B375" s="1" t="s">
        <v>1861</v>
      </c>
      <c r="C375" s="1" t="s">
        <v>12497</v>
      </c>
      <c r="D375" s="7" t="s">
        <v>10</v>
      </c>
    </row>
    <row r="376">
      <c r="A376" s="1" t="s">
        <v>1867</v>
      </c>
      <c r="B376" s="1" t="s">
        <v>1866</v>
      </c>
      <c r="C376" s="1" t="s">
        <v>12498</v>
      </c>
      <c r="D376" s="7" t="s">
        <v>10</v>
      </c>
    </row>
    <row r="377">
      <c r="A377" s="1" t="s">
        <v>1872</v>
      </c>
      <c r="B377" s="1" t="s">
        <v>1871</v>
      </c>
      <c r="C377" s="1" t="s">
        <v>12499</v>
      </c>
      <c r="D377" s="7" t="s">
        <v>10</v>
      </c>
    </row>
    <row r="378">
      <c r="A378" s="1" t="s">
        <v>1877</v>
      </c>
      <c r="B378" s="1" t="s">
        <v>1876</v>
      </c>
      <c r="C378" s="1" t="s">
        <v>12500</v>
      </c>
      <c r="D378" s="7" t="s">
        <v>10</v>
      </c>
    </row>
    <row r="379">
      <c r="A379" s="1" t="s">
        <v>1882</v>
      </c>
      <c r="B379" s="1" t="s">
        <v>1881</v>
      </c>
      <c r="C379" s="1" t="s">
        <v>12501</v>
      </c>
      <c r="D379" s="7" t="s">
        <v>10</v>
      </c>
    </row>
    <row r="380">
      <c r="A380" s="1" t="s">
        <v>1887</v>
      </c>
      <c r="B380" s="1" t="s">
        <v>1886</v>
      </c>
      <c r="C380" s="1" t="s">
        <v>12502</v>
      </c>
      <c r="D380" s="7" t="s">
        <v>10</v>
      </c>
    </row>
    <row r="381">
      <c r="A381" s="1" t="s">
        <v>1892</v>
      </c>
      <c r="B381" s="1" t="s">
        <v>1891</v>
      </c>
      <c r="C381" s="1" t="s">
        <v>12503</v>
      </c>
      <c r="D381" s="7" t="s">
        <v>10</v>
      </c>
    </row>
    <row r="382">
      <c r="A382" s="1" t="s">
        <v>1897</v>
      </c>
      <c r="B382" s="1" t="s">
        <v>1896</v>
      </c>
      <c r="C382" s="1" t="s">
        <v>12504</v>
      </c>
      <c r="D382" s="7" t="s">
        <v>10</v>
      </c>
    </row>
    <row r="383">
      <c r="A383" s="1" t="s">
        <v>1902</v>
      </c>
      <c r="B383" s="1" t="s">
        <v>1901</v>
      </c>
      <c r="C383" s="1" t="s">
        <v>12505</v>
      </c>
      <c r="D383" s="7" t="s">
        <v>10</v>
      </c>
    </row>
    <row r="384">
      <c r="A384" s="1" t="s">
        <v>1907</v>
      </c>
      <c r="B384" s="1" t="s">
        <v>1906</v>
      </c>
      <c r="C384" s="1" t="s">
        <v>12506</v>
      </c>
      <c r="D384" s="7" t="s">
        <v>10</v>
      </c>
    </row>
    <row r="385">
      <c r="A385" s="1" t="s">
        <v>1912</v>
      </c>
      <c r="B385" s="1" t="s">
        <v>1911</v>
      </c>
      <c r="C385" s="1" t="s">
        <v>12507</v>
      </c>
      <c r="D385" s="7" t="s">
        <v>10</v>
      </c>
    </row>
    <row r="386">
      <c r="A386" s="1" t="s">
        <v>1917</v>
      </c>
      <c r="B386" s="1" t="s">
        <v>1916</v>
      </c>
      <c r="C386" s="1" t="s">
        <v>12508</v>
      </c>
      <c r="D386" s="7" t="s">
        <v>10</v>
      </c>
    </row>
    <row r="387">
      <c r="A387" s="1" t="s">
        <v>1922</v>
      </c>
      <c r="B387" s="1" t="s">
        <v>1921</v>
      </c>
      <c r="C387" s="1" t="s">
        <v>12509</v>
      </c>
      <c r="D387" s="7" t="s">
        <v>10</v>
      </c>
    </row>
    <row r="388">
      <c r="A388" s="1" t="s">
        <v>1927</v>
      </c>
      <c r="B388" s="1" t="s">
        <v>1926</v>
      </c>
      <c r="C388" s="1" t="s">
        <v>12510</v>
      </c>
      <c r="D388" s="7" t="s">
        <v>10</v>
      </c>
    </row>
    <row r="389">
      <c r="A389" s="1" t="s">
        <v>1932</v>
      </c>
      <c r="B389" s="1" t="s">
        <v>1931</v>
      </c>
      <c r="C389" s="1" t="s">
        <v>12511</v>
      </c>
      <c r="D389" s="7" t="s">
        <v>10</v>
      </c>
    </row>
    <row r="390">
      <c r="A390" s="1" t="s">
        <v>1937</v>
      </c>
      <c r="B390" s="1" t="s">
        <v>1936</v>
      </c>
      <c r="C390" s="1" t="s">
        <v>12512</v>
      </c>
      <c r="D390" s="7" t="s">
        <v>10</v>
      </c>
    </row>
    <row r="391">
      <c r="A391" s="1" t="s">
        <v>1942</v>
      </c>
      <c r="B391" s="1" t="s">
        <v>1941</v>
      </c>
      <c r="C391" s="1" t="s">
        <v>12513</v>
      </c>
      <c r="D391" s="7" t="s">
        <v>10</v>
      </c>
    </row>
    <row r="392">
      <c r="A392" s="1" t="s">
        <v>1947</v>
      </c>
      <c r="B392" s="1" t="s">
        <v>1946</v>
      </c>
      <c r="C392" s="1" t="s">
        <v>12514</v>
      </c>
      <c r="D392" s="7" t="s">
        <v>10</v>
      </c>
    </row>
    <row r="393">
      <c r="A393" s="1" t="s">
        <v>1952</v>
      </c>
      <c r="B393" s="1" t="s">
        <v>1951</v>
      </c>
      <c r="C393" s="1" t="s">
        <v>12515</v>
      </c>
      <c r="D393" s="7" t="s">
        <v>10</v>
      </c>
    </row>
    <row r="394">
      <c r="A394" s="1" t="s">
        <v>1957</v>
      </c>
      <c r="B394" s="1" t="s">
        <v>1956</v>
      </c>
      <c r="C394" s="1" t="s">
        <v>12516</v>
      </c>
      <c r="D394" s="7" t="s">
        <v>10</v>
      </c>
    </row>
    <row r="395">
      <c r="A395" s="1" t="s">
        <v>1962</v>
      </c>
      <c r="B395" s="1" t="s">
        <v>1961</v>
      </c>
      <c r="C395" s="1" t="s">
        <v>12517</v>
      </c>
      <c r="D395" s="7" t="s">
        <v>10</v>
      </c>
    </row>
    <row r="396">
      <c r="A396" s="1" t="s">
        <v>1967</v>
      </c>
      <c r="B396" s="1" t="s">
        <v>1966</v>
      </c>
      <c r="C396" s="1" t="s">
        <v>12518</v>
      </c>
      <c r="D396" s="7" t="s">
        <v>10</v>
      </c>
    </row>
    <row r="397">
      <c r="A397" s="1" t="s">
        <v>1972</v>
      </c>
      <c r="B397" s="1" t="s">
        <v>1971</v>
      </c>
      <c r="C397" s="1" t="s">
        <v>12519</v>
      </c>
      <c r="D397" s="7" t="s">
        <v>10</v>
      </c>
    </row>
    <row r="398">
      <c r="A398" s="1" t="s">
        <v>1977</v>
      </c>
      <c r="B398" s="1" t="s">
        <v>1976</v>
      </c>
      <c r="C398" s="1" t="s">
        <v>12520</v>
      </c>
      <c r="D398" s="7" t="s">
        <v>10</v>
      </c>
    </row>
    <row r="399">
      <c r="A399" s="1" t="s">
        <v>1982</v>
      </c>
      <c r="B399" s="1" t="s">
        <v>1981</v>
      </c>
      <c r="C399" s="1" t="s">
        <v>12521</v>
      </c>
      <c r="D399" s="7" t="s">
        <v>10</v>
      </c>
    </row>
    <row r="400">
      <c r="A400" s="1" t="s">
        <v>1987</v>
      </c>
      <c r="B400" s="1" t="s">
        <v>1986</v>
      </c>
      <c r="C400" s="1" t="s">
        <v>12522</v>
      </c>
      <c r="D400" s="7" t="s">
        <v>10</v>
      </c>
    </row>
    <row r="401">
      <c r="A401" s="1" t="s">
        <v>1991</v>
      </c>
      <c r="B401" s="1" t="s">
        <v>1991</v>
      </c>
      <c r="C401" s="1" t="s">
        <v>12523</v>
      </c>
      <c r="D401" s="7" t="s">
        <v>10</v>
      </c>
    </row>
    <row r="402">
      <c r="A402" s="1" t="s">
        <v>1996</v>
      </c>
      <c r="B402" s="1" t="s">
        <v>1995</v>
      </c>
      <c r="C402" s="1" t="s">
        <v>12524</v>
      </c>
      <c r="D402" s="7" t="s">
        <v>10</v>
      </c>
    </row>
    <row r="403">
      <c r="A403" s="1" t="s">
        <v>2001</v>
      </c>
      <c r="B403" s="1" t="s">
        <v>2000</v>
      </c>
      <c r="C403" s="1" t="s">
        <v>12525</v>
      </c>
      <c r="D403" s="7" t="s">
        <v>10</v>
      </c>
    </row>
    <row r="404">
      <c r="A404" s="1" t="s">
        <v>2006</v>
      </c>
      <c r="B404" s="1" t="s">
        <v>2005</v>
      </c>
      <c r="C404" s="1" t="s">
        <v>12526</v>
      </c>
      <c r="D404" s="7" t="s">
        <v>10</v>
      </c>
    </row>
    <row r="405">
      <c r="A405" s="1" t="s">
        <v>2011</v>
      </c>
      <c r="B405" s="1" t="s">
        <v>2010</v>
      </c>
      <c r="C405" s="1" t="s">
        <v>12527</v>
      </c>
      <c r="D405" s="7" t="s">
        <v>10</v>
      </c>
    </row>
    <row r="406">
      <c r="A406" s="1" t="s">
        <v>2016</v>
      </c>
      <c r="B406" s="1" t="s">
        <v>2015</v>
      </c>
      <c r="C406" s="1" t="s">
        <v>12528</v>
      </c>
      <c r="D406" s="7" t="s">
        <v>10</v>
      </c>
    </row>
    <row r="407">
      <c r="A407" s="1" t="s">
        <v>2021</v>
      </c>
      <c r="B407" s="1" t="s">
        <v>2020</v>
      </c>
      <c r="C407" s="1" t="s">
        <v>12529</v>
      </c>
      <c r="D407" s="7" t="s">
        <v>10</v>
      </c>
    </row>
    <row r="408">
      <c r="A408" s="1" t="s">
        <v>2026</v>
      </c>
      <c r="B408" s="1" t="s">
        <v>2025</v>
      </c>
      <c r="C408" s="1" t="s">
        <v>12530</v>
      </c>
      <c r="D408" s="7" t="s">
        <v>10</v>
      </c>
    </row>
    <row r="409">
      <c r="A409" s="1" t="s">
        <v>2031</v>
      </c>
      <c r="B409" s="1" t="s">
        <v>2030</v>
      </c>
      <c r="C409" s="1" t="s">
        <v>12531</v>
      </c>
      <c r="D409" s="7" t="s">
        <v>10</v>
      </c>
    </row>
    <row r="410">
      <c r="A410" s="1" t="s">
        <v>2036</v>
      </c>
      <c r="B410" s="1" t="s">
        <v>2035</v>
      </c>
      <c r="C410" s="1" t="s">
        <v>12532</v>
      </c>
      <c r="D410" s="7" t="s">
        <v>10</v>
      </c>
    </row>
    <row r="411">
      <c r="A411" s="1" t="s">
        <v>2041</v>
      </c>
      <c r="B411" s="1" t="s">
        <v>2040</v>
      </c>
      <c r="C411" s="1" t="s">
        <v>12533</v>
      </c>
      <c r="D411" s="7" t="s">
        <v>10</v>
      </c>
    </row>
    <row r="412">
      <c r="A412" s="1" t="s">
        <v>2046</v>
      </c>
      <c r="B412" s="1" t="s">
        <v>2045</v>
      </c>
      <c r="C412" s="1" t="s">
        <v>12534</v>
      </c>
      <c r="D412" s="7" t="s">
        <v>10</v>
      </c>
    </row>
    <row r="413">
      <c r="A413" s="1" t="s">
        <v>2051</v>
      </c>
      <c r="B413" s="1" t="s">
        <v>2050</v>
      </c>
      <c r="C413" s="1" t="s">
        <v>12535</v>
      </c>
      <c r="D413" s="7" t="s">
        <v>10</v>
      </c>
    </row>
    <row r="414">
      <c r="A414" s="1" t="s">
        <v>2056</v>
      </c>
      <c r="B414" s="1" t="s">
        <v>2055</v>
      </c>
      <c r="C414" s="1" t="s">
        <v>12536</v>
      </c>
      <c r="D414" s="7" t="s">
        <v>10</v>
      </c>
    </row>
    <row r="415">
      <c r="A415" s="1" t="s">
        <v>2061</v>
      </c>
      <c r="B415" s="1" t="s">
        <v>2060</v>
      </c>
      <c r="C415" s="1" t="s">
        <v>12537</v>
      </c>
      <c r="D415" s="7" t="s">
        <v>10</v>
      </c>
    </row>
    <row r="416">
      <c r="A416" s="1" t="s">
        <v>2066</v>
      </c>
      <c r="B416" s="1" t="s">
        <v>2065</v>
      </c>
      <c r="C416" s="1" t="s">
        <v>12538</v>
      </c>
      <c r="D416" s="7" t="s">
        <v>10</v>
      </c>
    </row>
    <row r="417">
      <c r="A417" s="1" t="s">
        <v>2071</v>
      </c>
      <c r="B417" s="1" t="s">
        <v>2070</v>
      </c>
      <c r="C417" s="1" t="s">
        <v>12539</v>
      </c>
      <c r="D417" s="7" t="s">
        <v>10</v>
      </c>
    </row>
    <row r="418">
      <c r="A418" s="1" t="s">
        <v>2076</v>
      </c>
      <c r="B418" s="1" t="s">
        <v>2075</v>
      </c>
      <c r="C418" s="1" t="s">
        <v>12540</v>
      </c>
      <c r="D418" s="7" t="s">
        <v>10</v>
      </c>
    </row>
    <row r="419">
      <c r="A419" s="1" t="s">
        <v>2081</v>
      </c>
      <c r="B419" s="1" t="s">
        <v>2080</v>
      </c>
      <c r="C419" s="1" t="s">
        <v>12541</v>
      </c>
      <c r="D419" s="7" t="s">
        <v>10</v>
      </c>
    </row>
    <row r="420">
      <c r="A420" s="1" t="s">
        <v>2086</v>
      </c>
      <c r="B420" s="1" t="s">
        <v>2085</v>
      </c>
      <c r="C420" s="1" t="s">
        <v>12542</v>
      </c>
      <c r="D420" s="7" t="s">
        <v>10</v>
      </c>
    </row>
    <row r="421">
      <c r="A421" s="1" t="s">
        <v>2091</v>
      </c>
      <c r="B421" s="1" t="s">
        <v>2090</v>
      </c>
      <c r="C421" s="1" t="s">
        <v>12543</v>
      </c>
      <c r="D421" s="7" t="s">
        <v>10</v>
      </c>
    </row>
    <row r="422">
      <c r="A422" s="1" t="s">
        <v>2096</v>
      </c>
      <c r="B422" s="1" t="s">
        <v>2095</v>
      </c>
      <c r="C422" s="1" t="s">
        <v>12544</v>
      </c>
      <c r="D422" s="7" t="s">
        <v>10</v>
      </c>
    </row>
    <row r="423">
      <c r="A423" s="1" t="s">
        <v>2101</v>
      </c>
      <c r="B423" s="1" t="s">
        <v>2100</v>
      </c>
      <c r="C423" s="1" t="s">
        <v>12545</v>
      </c>
      <c r="D423" s="7" t="s">
        <v>10</v>
      </c>
    </row>
    <row r="424">
      <c r="A424" s="1" t="s">
        <v>2106</v>
      </c>
      <c r="B424" s="1" t="s">
        <v>2105</v>
      </c>
      <c r="C424" s="1" t="s">
        <v>12546</v>
      </c>
      <c r="D424" s="7" t="s">
        <v>10</v>
      </c>
    </row>
    <row r="425">
      <c r="A425" s="1" t="s">
        <v>2111</v>
      </c>
      <c r="B425" s="1" t="s">
        <v>2110</v>
      </c>
      <c r="C425" s="1" t="s">
        <v>12547</v>
      </c>
      <c r="D425" s="7" t="s">
        <v>10</v>
      </c>
    </row>
    <row r="426">
      <c r="A426" s="1" t="s">
        <v>2116</v>
      </c>
      <c r="B426" s="1" t="s">
        <v>2115</v>
      </c>
      <c r="C426" s="1" t="s">
        <v>12548</v>
      </c>
      <c r="D426" s="7" t="s">
        <v>10</v>
      </c>
    </row>
    <row r="427">
      <c r="A427" s="1" t="s">
        <v>2121</v>
      </c>
      <c r="B427" s="1" t="s">
        <v>2120</v>
      </c>
      <c r="C427" s="1" t="s">
        <v>12549</v>
      </c>
      <c r="D427" s="7" t="s">
        <v>10</v>
      </c>
    </row>
    <row r="428">
      <c r="A428" s="1" t="s">
        <v>2126</v>
      </c>
      <c r="B428" s="1" t="s">
        <v>2125</v>
      </c>
      <c r="C428" s="1" t="s">
        <v>12550</v>
      </c>
      <c r="D428" s="7" t="s">
        <v>10</v>
      </c>
    </row>
    <row r="429">
      <c r="A429" s="1" t="s">
        <v>2131</v>
      </c>
      <c r="B429" s="1" t="s">
        <v>2130</v>
      </c>
      <c r="C429" s="1" t="s">
        <v>12551</v>
      </c>
      <c r="D429" s="7" t="s">
        <v>10</v>
      </c>
    </row>
    <row r="430">
      <c r="A430" s="1" t="s">
        <v>2136</v>
      </c>
      <c r="B430" s="1" t="s">
        <v>2135</v>
      </c>
      <c r="C430" s="1" t="s">
        <v>12552</v>
      </c>
      <c r="D430" s="7" t="s">
        <v>10</v>
      </c>
    </row>
    <row r="431">
      <c r="A431" s="1" t="s">
        <v>2141</v>
      </c>
      <c r="B431" s="1" t="s">
        <v>2140</v>
      </c>
      <c r="C431" s="1" t="s">
        <v>12553</v>
      </c>
      <c r="D431" s="7" t="s">
        <v>10</v>
      </c>
    </row>
    <row r="432">
      <c r="A432" s="1" t="s">
        <v>2146</v>
      </c>
      <c r="B432" s="1" t="s">
        <v>2145</v>
      </c>
      <c r="C432" s="1" t="s">
        <v>12554</v>
      </c>
      <c r="D432" s="7" t="s">
        <v>10</v>
      </c>
    </row>
    <row r="433">
      <c r="A433" s="1" t="s">
        <v>2151</v>
      </c>
      <c r="B433" s="1" t="s">
        <v>2150</v>
      </c>
      <c r="C433" s="1" t="s">
        <v>12555</v>
      </c>
      <c r="D433" s="7" t="s">
        <v>10</v>
      </c>
    </row>
    <row r="434">
      <c r="A434" s="1" t="s">
        <v>2156</v>
      </c>
      <c r="B434" s="1" t="s">
        <v>2155</v>
      </c>
      <c r="C434" s="1" t="s">
        <v>12556</v>
      </c>
      <c r="D434" s="7" t="s">
        <v>10</v>
      </c>
    </row>
    <row r="435">
      <c r="A435" s="1" t="s">
        <v>2161</v>
      </c>
      <c r="B435" s="1" t="s">
        <v>2160</v>
      </c>
      <c r="C435" s="1" t="s">
        <v>12557</v>
      </c>
      <c r="D435" s="7" t="s">
        <v>10</v>
      </c>
    </row>
    <row r="436">
      <c r="A436" s="1" t="s">
        <v>2166</v>
      </c>
      <c r="B436" s="1" t="s">
        <v>2165</v>
      </c>
      <c r="C436" s="1" t="s">
        <v>12558</v>
      </c>
      <c r="D436" s="7" t="s">
        <v>10</v>
      </c>
    </row>
    <row r="437">
      <c r="A437" s="1" t="s">
        <v>2171</v>
      </c>
      <c r="B437" s="1" t="s">
        <v>2170</v>
      </c>
      <c r="C437" s="1" t="s">
        <v>12559</v>
      </c>
      <c r="D437" s="7" t="s">
        <v>10</v>
      </c>
    </row>
    <row r="438">
      <c r="A438" s="1" t="s">
        <v>2176</v>
      </c>
      <c r="B438" s="1" t="s">
        <v>2175</v>
      </c>
      <c r="C438" s="1" t="s">
        <v>12560</v>
      </c>
      <c r="D438" s="7" t="s">
        <v>10</v>
      </c>
    </row>
    <row r="439">
      <c r="A439" s="1" t="s">
        <v>2181</v>
      </c>
      <c r="B439" s="1" t="s">
        <v>2180</v>
      </c>
      <c r="C439" s="1" t="s">
        <v>12561</v>
      </c>
      <c r="D439" s="7" t="s">
        <v>10</v>
      </c>
    </row>
    <row r="440">
      <c r="A440" s="1" t="s">
        <v>2186</v>
      </c>
      <c r="B440" s="1" t="s">
        <v>2185</v>
      </c>
      <c r="C440" s="1" t="s">
        <v>12562</v>
      </c>
      <c r="D440" s="7" t="s">
        <v>10</v>
      </c>
    </row>
    <row r="441">
      <c r="A441" s="1" t="s">
        <v>2191</v>
      </c>
      <c r="B441" s="1" t="s">
        <v>2190</v>
      </c>
      <c r="C441" s="1" t="s">
        <v>12563</v>
      </c>
      <c r="D441" s="7" t="s">
        <v>10</v>
      </c>
    </row>
    <row r="442">
      <c r="A442" s="1" t="s">
        <v>2196</v>
      </c>
      <c r="B442" s="1" t="s">
        <v>2195</v>
      </c>
      <c r="C442" s="1" t="s">
        <v>12564</v>
      </c>
      <c r="D442" s="7" t="s">
        <v>10</v>
      </c>
    </row>
    <row r="443">
      <c r="A443" s="1" t="s">
        <v>2201</v>
      </c>
      <c r="B443" s="1" t="s">
        <v>2200</v>
      </c>
      <c r="C443" s="1" t="s">
        <v>12565</v>
      </c>
      <c r="D443" s="7" t="s">
        <v>10</v>
      </c>
    </row>
    <row r="444">
      <c r="A444" s="1" t="s">
        <v>2206</v>
      </c>
      <c r="B444" s="1" t="s">
        <v>2205</v>
      </c>
      <c r="C444" s="1" t="s">
        <v>12566</v>
      </c>
      <c r="D444" s="7" t="s">
        <v>10</v>
      </c>
    </row>
    <row r="445">
      <c r="A445" s="1" t="s">
        <v>2210</v>
      </c>
      <c r="B445" s="1" t="s">
        <v>2210</v>
      </c>
      <c r="C445" s="1" t="s">
        <v>12567</v>
      </c>
      <c r="D445" s="7" t="s">
        <v>10</v>
      </c>
    </row>
    <row r="446">
      <c r="A446" s="1" t="s">
        <v>2214</v>
      </c>
      <c r="B446" s="1" t="s">
        <v>2214</v>
      </c>
      <c r="C446" s="1" t="s">
        <v>12568</v>
      </c>
      <c r="D446" s="7" t="s">
        <v>10</v>
      </c>
    </row>
    <row r="447">
      <c r="A447" s="1" t="s">
        <v>2218</v>
      </c>
      <c r="B447" s="1" t="s">
        <v>2218</v>
      </c>
      <c r="C447" s="1" t="s">
        <v>12569</v>
      </c>
      <c r="D447" s="7" t="s">
        <v>10</v>
      </c>
    </row>
    <row r="448">
      <c r="A448" s="1" t="s">
        <v>2222</v>
      </c>
      <c r="B448" s="1" t="s">
        <v>2222</v>
      </c>
      <c r="C448" s="1" t="s">
        <v>12570</v>
      </c>
      <c r="D448" s="7" t="s">
        <v>10</v>
      </c>
    </row>
    <row r="449">
      <c r="A449" s="1" t="s">
        <v>2226</v>
      </c>
      <c r="B449" s="1" t="s">
        <v>2226</v>
      </c>
      <c r="C449" s="1" t="s">
        <v>12571</v>
      </c>
      <c r="D449" s="7" t="s">
        <v>10</v>
      </c>
    </row>
    <row r="450">
      <c r="A450" s="1" t="s">
        <v>2230</v>
      </c>
      <c r="B450" s="1" t="s">
        <v>2230</v>
      </c>
      <c r="C450" s="1" t="s">
        <v>12572</v>
      </c>
      <c r="D450" s="7" t="s">
        <v>10</v>
      </c>
    </row>
    <row r="451">
      <c r="A451" s="1" t="s">
        <v>2234</v>
      </c>
      <c r="B451" s="1" t="s">
        <v>2234</v>
      </c>
      <c r="C451" s="1" t="s">
        <v>12573</v>
      </c>
      <c r="D451" s="7" t="s">
        <v>10</v>
      </c>
    </row>
    <row r="452">
      <c r="A452" s="1" t="s">
        <v>2238</v>
      </c>
      <c r="B452" s="1" t="s">
        <v>2238</v>
      </c>
      <c r="C452" s="1" t="s">
        <v>12574</v>
      </c>
      <c r="D452" s="7" t="s">
        <v>10</v>
      </c>
    </row>
    <row r="453">
      <c r="A453" s="1" t="s">
        <v>2242</v>
      </c>
      <c r="B453" s="1" t="s">
        <v>2242</v>
      </c>
      <c r="C453" s="1" t="s">
        <v>12575</v>
      </c>
      <c r="D453" s="7" t="s">
        <v>10</v>
      </c>
    </row>
    <row r="454">
      <c r="A454" s="1" t="s">
        <v>2247</v>
      </c>
      <c r="B454" s="1" t="s">
        <v>2246</v>
      </c>
      <c r="C454" s="1" t="s">
        <v>12576</v>
      </c>
      <c r="D454" s="7" t="s">
        <v>10</v>
      </c>
    </row>
    <row r="455">
      <c r="A455" s="1" t="s">
        <v>2252</v>
      </c>
      <c r="B455" s="1" t="s">
        <v>2251</v>
      </c>
      <c r="C455" s="1" t="s">
        <v>12577</v>
      </c>
      <c r="D455" s="7" t="s">
        <v>10</v>
      </c>
    </row>
    <row r="456">
      <c r="A456" s="1" t="s">
        <v>2257</v>
      </c>
      <c r="B456" s="1" t="s">
        <v>2256</v>
      </c>
      <c r="C456" s="1" t="s">
        <v>12578</v>
      </c>
      <c r="D456" s="7" t="s">
        <v>10</v>
      </c>
    </row>
    <row r="457">
      <c r="A457" s="1" t="s">
        <v>2262</v>
      </c>
      <c r="B457" s="1" t="s">
        <v>2261</v>
      </c>
      <c r="C457" s="1" t="s">
        <v>12579</v>
      </c>
      <c r="D457" s="7" t="s">
        <v>10</v>
      </c>
    </row>
    <row r="458">
      <c r="A458" s="1" t="s">
        <v>2267</v>
      </c>
      <c r="B458" s="1" t="s">
        <v>2266</v>
      </c>
      <c r="C458" s="1" t="s">
        <v>12580</v>
      </c>
      <c r="D458" s="7" t="s">
        <v>10</v>
      </c>
    </row>
    <row r="459">
      <c r="A459" s="1" t="s">
        <v>2272</v>
      </c>
      <c r="B459" s="1" t="s">
        <v>2271</v>
      </c>
      <c r="C459" s="1" t="s">
        <v>12581</v>
      </c>
      <c r="D459" s="7" t="s">
        <v>10</v>
      </c>
    </row>
    <row r="460">
      <c r="A460" s="1" t="s">
        <v>2277</v>
      </c>
      <c r="B460" s="1" t="s">
        <v>2276</v>
      </c>
      <c r="C460" s="1" t="s">
        <v>12582</v>
      </c>
      <c r="D460" s="7" t="s">
        <v>10</v>
      </c>
    </row>
    <row r="461">
      <c r="A461" s="1" t="s">
        <v>2282</v>
      </c>
      <c r="B461" s="1" t="s">
        <v>2281</v>
      </c>
      <c r="C461" s="1" t="s">
        <v>12583</v>
      </c>
      <c r="D461" s="7" t="s">
        <v>10</v>
      </c>
    </row>
    <row r="462">
      <c r="A462" s="1" t="s">
        <v>2287</v>
      </c>
      <c r="B462" s="1" t="s">
        <v>2286</v>
      </c>
      <c r="C462" s="1" t="s">
        <v>12584</v>
      </c>
      <c r="D462" s="7" t="s">
        <v>10</v>
      </c>
    </row>
    <row r="463">
      <c r="A463" s="1" t="s">
        <v>2292</v>
      </c>
      <c r="B463" s="1" t="s">
        <v>2291</v>
      </c>
      <c r="C463" s="1" t="s">
        <v>12585</v>
      </c>
      <c r="D463" s="7" t="s">
        <v>10</v>
      </c>
    </row>
    <row r="464">
      <c r="A464" s="1" t="s">
        <v>2297</v>
      </c>
      <c r="B464" s="1" t="s">
        <v>2296</v>
      </c>
      <c r="C464" s="1" t="s">
        <v>12586</v>
      </c>
      <c r="D464" s="7" t="s">
        <v>10</v>
      </c>
    </row>
    <row r="465">
      <c r="A465" s="1" t="s">
        <v>2302</v>
      </c>
      <c r="B465" s="1" t="s">
        <v>2301</v>
      </c>
      <c r="C465" s="1" t="s">
        <v>12587</v>
      </c>
      <c r="D465" s="7" t="s">
        <v>10</v>
      </c>
    </row>
    <row r="466">
      <c r="A466" s="1" t="s">
        <v>2307</v>
      </c>
      <c r="B466" s="1" t="s">
        <v>2306</v>
      </c>
      <c r="C466" s="1" t="s">
        <v>12588</v>
      </c>
      <c r="D466" s="7" t="s">
        <v>10</v>
      </c>
    </row>
    <row r="467">
      <c r="A467" s="1" t="s">
        <v>2312</v>
      </c>
      <c r="B467" s="1" t="s">
        <v>2311</v>
      </c>
      <c r="C467" s="1" t="s">
        <v>12589</v>
      </c>
      <c r="D467" s="7" t="s">
        <v>10</v>
      </c>
    </row>
    <row r="468">
      <c r="A468" s="1" t="s">
        <v>2317</v>
      </c>
      <c r="B468" s="1" t="s">
        <v>2316</v>
      </c>
      <c r="C468" s="1" t="s">
        <v>12590</v>
      </c>
      <c r="D468" s="7" t="s">
        <v>10</v>
      </c>
    </row>
    <row r="469">
      <c r="A469" s="1" t="s">
        <v>2322</v>
      </c>
      <c r="B469" s="1" t="s">
        <v>2321</v>
      </c>
      <c r="C469" s="1" t="s">
        <v>12591</v>
      </c>
      <c r="D469" s="7" t="s">
        <v>10</v>
      </c>
    </row>
    <row r="470">
      <c r="A470" s="1" t="s">
        <v>2327</v>
      </c>
      <c r="B470" s="1" t="s">
        <v>2326</v>
      </c>
      <c r="C470" s="1" t="s">
        <v>12592</v>
      </c>
      <c r="D470" s="7" t="s">
        <v>10</v>
      </c>
    </row>
    <row r="471">
      <c r="A471" s="1" t="s">
        <v>2332</v>
      </c>
      <c r="B471" s="1" t="s">
        <v>2331</v>
      </c>
      <c r="C471" s="1" t="s">
        <v>12593</v>
      </c>
      <c r="D471" s="7" t="s">
        <v>10</v>
      </c>
    </row>
    <row r="472">
      <c r="A472" s="1" t="s">
        <v>2337</v>
      </c>
      <c r="B472" s="1" t="s">
        <v>2336</v>
      </c>
      <c r="C472" s="1" t="s">
        <v>12594</v>
      </c>
      <c r="D472" s="7" t="s">
        <v>10</v>
      </c>
    </row>
    <row r="473">
      <c r="A473" s="1" t="s">
        <v>2342</v>
      </c>
      <c r="B473" s="1" t="s">
        <v>2341</v>
      </c>
      <c r="C473" s="1" t="s">
        <v>12595</v>
      </c>
      <c r="D473" s="7" t="s">
        <v>10</v>
      </c>
    </row>
    <row r="474">
      <c r="A474" s="1" t="s">
        <v>2347</v>
      </c>
      <c r="B474" s="1" t="s">
        <v>2346</v>
      </c>
      <c r="C474" s="1" t="s">
        <v>12596</v>
      </c>
      <c r="D474" s="7" t="s">
        <v>10</v>
      </c>
    </row>
    <row r="475">
      <c r="A475" s="1" t="s">
        <v>2352</v>
      </c>
      <c r="B475" s="1" t="s">
        <v>2351</v>
      </c>
      <c r="C475" s="1" t="s">
        <v>12597</v>
      </c>
      <c r="D475" s="7" t="s">
        <v>10</v>
      </c>
    </row>
    <row r="476">
      <c r="A476" s="1" t="s">
        <v>2357</v>
      </c>
      <c r="B476" s="1" t="s">
        <v>2356</v>
      </c>
      <c r="C476" s="1" t="s">
        <v>12598</v>
      </c>
      <c r="D476" s="7" t="s">
        <v>10</v>
      </c>
    </row>
    <row r="477">
      <c r="A477" s="1" t="s">
        <v>2362</v>
      </c>
      <c r="B477" s="1" t="s">
        <v>2361</v>
      </c>
      <c r="C477" s="1" t="s">
        <v>12599</v>
      </c>
      <c r="D477" s="7" t="s">
        <v>10</v>
      </c>
    </row>
    <row r="478">
      <c r="A478" s="1" t="s">
        <v>2367</v>
      </c>
      <c r="B478" s="1" t="s">
        <v>2366</v>
      </c>
      <c r="C478" s="1" t="s">
        <v>12600</v>
      </c>
      <c r="D478" s="7" t="s">
        <v>10</v>
      </c>
    </row>
    <row r="479">
      <c r="A479" s="1" t="s">
        <v>2372</v>
      </c>
      <c r="B479" s="1" t="s">
        <v>2371</v>
      </c>
      <c r="C479" s="1" t="s">
        <v>12601</v>
      </c>
      <c r="D479" s="7" t="s">
        <v>10</v>
      </c>
    </row>
    <row r="480">
      <c r="A480" s="1" t="s">
        <v>2377</v>
      </c>
      <c r="B480" s="1" t="s">
        <v>2376</v>
      </c>
      <c r="C480" s="1" t="s">
        <v>12602</v>
      </c>
      <c r="D480" s="7" t="s">
        <v>10</v>
      </c>
    </row>
    <row r="481">
      <c r="A481" s="1" t="s">
        <v>2382</v>
      </c>
      <c r="B481" s="1" t="s">
        <v>2381</v>
      </c>
      <c r="C481" s="1" t="s">
        <v>12603</v>
      </c>
      <c r="D481" s="7" t="s">
        <v>10</v>
      </c>
    </row>
    <row r="482">
      <c r="A482" s="1" t="s">
        <v>2387</v>
      </c>
      <c r="B482" s="1" t="s">
        <v>2386</v>
      </c>
      <c r="C482" s="1" t="s">
        <v>12604</v>
      </c>
      <c r="D482" s="7" t="s">
        <v>10</v>
      </c>
    </row>
    <row r="483">
      <c r="A483" s="1" t="s">
        <v>2392</v>
      </c>
      <c r="B483" s="1" t="s">
        <v>2391</v>
      </c>
      <c r="C483" s="1" t="s">
        <v>12605</v>
      </c>
      <c r="D483" s="7" t="s">
        <v>10</v>
      </c>
    </row>
    <row r="484">
      <c r="A484" s="1" t="s">
        <v>2397</v>
      </c>
      <c r="B484" s="1" t="s">
        <v>2396</v>
      </c>
      <c r="C484" s="1" t="s">
        <v>12606</v>
      </c>
      <c r="D484" s="7" t="s">
        <v>10</v>
      </c>
    </row>
    <row r="485">
      <c r="A485" s="1" t="s">
        <v>2402</v>
      </c>
      <c r="B485" s="1" t="s">
        <v>2401</v>
      </c>
      <c r="C485" s="1" t="s">
        <v>12607</v>
      </c>
      <c r="D485" s="7" t="s">
        <v>10</v>
      </c>
    </row>
    <row r="486">
      <c r="A486" s="1" t="s">
        <v>2407</v>
      </c>
      <c r="B486" s="1" t="s">
        <v>2406</v>
      </c>
      <c r="C486" s="1" t="s">
        <v>12608</v>
      </c>
      <c r="D486" s="7" t="s">
        <v>10</v>
      </c>
    </row>
    <row r="487">
      <c r="A487" s="1" t="s">
        <v>2412</v>
      </c>
      <c r="B487" s="1" t="s">
        <v>2411</v>
      </c>
      <c r="C487" s="1" t="s">
        <v>12609</v>
      </c>
      <c r="D487" s="7" t="s">
        <v>10</v>
      </c>
    </row>
    <row r="488">
      <c r="A488" s="1" t="s">
        <v>2417</v>
      </c>
      <c r="B488" s="1" t="s">
        <v>2416</v>
      </c>
      <c r="C488" s="1" t="s">
        <v>12610</v>
      </c>
      <c r="D488" s="7" t="s">
        <v>10</v>
      </c>
    </row>
    <row r="489">
      <c r="A489" s="1" t="s">
        <v>2422</v>
      </c>
      <c r="B489" s="1" t="s">
        <v>2421</v>
      </c>
      <c r="C489" s="1" t="s">
        <v>12611</v>
      </c>
      <c r="D489" s="7" t="s">
        <v>10</v>
      </c>
    </row>
    <row r="490">
      <c r="A490" s="1" t="s">
        <v>2427</v>
      </c>
      <c r="B490" s="1" t="s">
        <v>2426</v>
      </c>
      <c r="C490" s="1" t="s">
        <v>12612</v>
      </c>
      <c r="D490" s="7" t="s">
        <v>10</v>
      </c>
    </row>
    <row r="491">
      <c r="A491" s="1" t="s">
        <v>2432</v>
      </c>
      <c r="B491" s="1" t="s">
        <v>2431</v>
      </c>
      <c r="C491" s="1" t="s">
        <v>12613</v>
      </c>
      <c r="D491" s="7" t="s">
        <v>10</v>
      </c>
    </row>
    <row r="492">
      <c r="A492" s="1" t="s">
        <v>2437</v>
      </c>
      <c r="B492" s="1" t="s">
        <v>2436</v>
      </c>
      <c r="C492" s="1" t="s">
        <v>12614</v>
      </c>
      <c r="D492" s="7" t="s">
        <v>10</v>
      </c>
    </row>
    <row r="493">
      <c r="A493" s="1" t="s">
        <v>2442</v>
      </c>
      <c r="B493" s="1" t="s">
        <v>2441</v>
      </c>
      <c r="C493" s="1" t="s">
        <v>12615</v>
      </c>
      <c r="D493" s="7" t="s">
        <v>10</v>
      </c>
    </row>
    <row r="494">
      <c r="A494" s="1" t="s">
        <v>2447</v>
      </c>
      <c r="B494" s="1" t="s">
        <v>2446</v>
      </c>
      <c r="C494" s="1" t="s">
        <v>12616</v>
      </c>
      <c r="D494" s="7" t="s">
        <v>10</v>
      </c>
    </row>
    <row r="495">
      <c r="A495" s="1" t="s">
        <v>2452</v>
      </c>
      <c r="B495" s="1" t="s">
        <v>2451</v>
      </c>
      <c r="C495" s="1" t="s">
        <v>12617</v>
      </c>
      <c r="D495" s="7" t="s">
        <v>10</v>
      </c>
    </row>
    <row r="496">
      <c r="A496" s="1" t="s">
        <v>2457</v>
      </c>
      <c r="B496" s="1" t="s">
        <v>2456</v>
      </c>
      <c r="C496" s="1" t="s">
        <v>12618</v>
      </c>
      <c r="D496" s="7" t="s">
        <v>10</v>
      </c>
    </row>
    <row r="497">
      <c r="A497" s="1" t="s">
        <v>2462</v>
      </c>
      <c r="B497" s="1" t="s">
        <v>2461</v>
      </c>
      <c r="C497" s="1" t="s">
        <v>12619</v>
      </c>
      <c r="D497" s="7" t="s">
        <v>10</v>
      </c>
    </row>
    <row r="498">
      <c r="A498" s="1" t="s">
        <v>2467</v>
      </c>
      <c r="B498" s="1" t="s">
        <v>2466</v>
      </c>
      <c r="C498" s="1" t="s">
        <v>12620</v>
      </c>
      <c r="D498" s="7" t="s">
        <v>10</v>
      </c>
    </row>
    <row r="499">
      <c r="A499" s="1" t="s">
        <v>2472</v>
      </c>
      <c r="B499" s="1" t="s">
        <v>2471</v>
      </c>
      <c r="C499" s="1" t="s">
        <v>12621</v>
      </c>
      <c r="D499" s="7" t="s">
        <v>10</v>
      </c>
    </row>
    <row r="500">
      <c r="A500" s="1" t="s">
        <v>2477</v>
      </c>
      <c r="B500" s="1" t="s">
        <v>2476</v>
      </c>
      <c r="C500" s="1" t="s">
        <v>12622</v>
      </c>
      <c r="D500" s="7" t="s">
        <v>10</v>
      </c>
    </row>
    <row r="501">
      <c r="A501" s="1" t="s">
        <v>2482</v>
      </c>
      <c r="B501" s="1" t="s">
        <v>2481</v>
      </c>
      <c r="C501" s="1" t="s">
        <v>12623</v>
      </c>
      <c r="D501" s="7" t="s">
        <v>10</v>
      </c>
    </row>
    <row r="502">
      <c r="A502" s="1" t="s">
        <v>2487</v>
      </c>
      <c r="B502" s="1" t="s">
        <v>2486</v>
      </c>
      <c r="C502" s="1" t="s">
        <v>12624</v>
      </c>
      <c r="D502" s="7" t="s">
        <v>10</v>
      </c>
    </row>
    <row r="503">
      <c r="A503" s="1" t="s">
        <v>2492</v>
      </c>
      <c r="B503" s="1" t="s">
        <v>2491</v>
      </c>
      <c r="C503" s="1" t="s">
        <v>12625</v>
      </c>
      <c r="D503" s="7" t="s">
        <v>10</v>
      </c>
    </row>
    <row r="504">
      <c r="A504" s="1" t="s">
        <v>2497</v>
      </c>
      <c r="B504" s="1" t="s">
        <v>2496</v>
      </c>
      <c r="C504" s="1" t="s">
        <v>12626</v>
      </c>
      <c r="D504" s="7" t="s">
        <v>10</v>
      </c>
    </row>
    <row r="505">
      <c r="A505" s="1" t="s">
        <v>2502</v>
      </c>
      <c r="B505" s="1" t="s">
        <v>2501</v>
      </c>
      <c r="C505" s="1" t="s">
        <v>12627</v>
      </c>
      <c r="D505" s="7" t="s">
        <v>10</v>
      </c>
    </row>
    <row r="506">
      <c r="A506" s="1" t="s">
        <v>2507</v>
      </c>
      <c r="B506" s="1" t="s">
        <v>2506</v>
      </c>
      <c r="C506" s="1" t="s">
        <v>12628</v>
      </c>
      <c r="D506" s="7" t="s">
        <v>10</v>
      </c>
    </row>
    <row r="507">
      <c r="A507" s="1" t="s">
        <v>2512</v>
      </c>
      <c r="B507" s="1" t="s">
        <v>2511</v>
      </c>
      <c r="C507" s="1" t="s">
        <v>12629</v>
      </c>
      <c r="D507" s="7" t="s">
        <v>10</v>
      </c>
    </row>
    <row r="508">
      <c r="A508" s="1" t="s">
        <v>2517</v>
      </c>
      <c r="B508" s="1" t="s">
        <v>2516</v>
      </c>
      <c r="C508" s="1" t="s">
        <v>12630</v>
      </c>
      <c r="D508" s="7" t="s">
        <v>10</v>
      </c>
    </row>
    <row r="509">
      <c r="A509" s="1" t="s">
        <v>2522</v>
      </c>
      <c r="B509" s="1" t="s">
        <v>2521</v>
      </c>
      <c r="C509" s="1" t="s">
        <v>12631</v>
      </c>
      <c r="D509" s="7" t="s">
        <v>10</v>
      </c>
    </row>
    <row r="510">
      <c r="A510" s="1" t="s">
        <v>2527</v>
      </c>
      <c r="B510" s="1" t="s">
        <v>2526</v>
      </c>
      <c r="C510" s="1" t="s">
        <v>12632</v>
      </c>
      <c r="D510" s="7" t="s">
        <v>10</v>
      </c>
    </row>
    <row r="511">
      <c r="A511" s="1" t="s">
        <v>2532</v>
      </c>
      <c r="B511" s="1" t="s">
        <v>2531</v>
      </c>
      <c r="C511" s="1" t="s">
        <v>12633</v>
      </c>
      <c r="D511" s="7" t="s">
        <v>10</v>
      </c>
    </row>
    <row r="512">
      <c r="A512" s="1" t="s">
        <v>2537</v>
      </c>
      <c r="B512" s="1" t="s">
        <v>2536</v>
      </c>
      <c r="C512" s="1" t="s">
        <v>12634</v>
      </c>
      <c r="D512" s="7" t="s">
        <v>10</v>
      </c>
    </row>
    <row r="513">
      <c r="A513" s="1" t="s">
        <v>2542</v>
      </c>
      <c r="B513" s="1" t="s">
        <v>2541</v>
      </c>
      <c r="C513" s="1" t="s">
        <v>12635</v>
      </c>
      <c r="D513" s="7" t="s">
        <v>10</v>
      </c>
    </row>
    <row r="514">
      <c r="A514" s="1" t="s">
        <v>2547</v>
      </c>
      <c r="B514" s="1" t="s">
        <v>2546</v>
      </c>
      <c r="C514" s="1" t="s">
        <v>12636</v>
      </c>
      <c r="D514" s="7" t="s">
        <v>10</v>
      </c>
    </row>
    <row r="515">
      <c r="A515" s="1" t="s">
        <v>2552</v>
      </c>
      <c r="B515" s="1" t="s">
        <v>2551</v>
      </c>
      <c r="C515" s="1" t="s">
        <v>12637</v>
      </c>
      <c r="D515" s="7" t="s">
        <v>10</v>
      </c>
    </row>
    <row r="516">
      <c r="A516" s="1" t="s">
        <v>2557</v>
      </c>
      <c r="B516" s="1" t="s">
        <v>2556</v>
      </c>
      <c r="C516" s="1" t="s">
        <v>12638</v>
      </c>
      <c r="D516" s="7" t="s">
        <v>10</v>
      </c>
    </row>
    <row r="517">
      <c r="A517" s="1" t="s">
        <v>2562</v>
      </c>
      <c r="B517" s="1" t="s">
        <v>2561</v>
      </c>
      <c r="C517" s="1" t="s">
        <v>12639</v>
      </c>
      <c r="D517" s="7" t="s">
        <v>10</v>
      </c>
    </row>
    <row r="518">
      <c r="A518" s="1" t="s">
        <v>2567</v>
      </c>
      <c r="B518" s="1" t="s">
        <v>2566</v>
      </c>
      <c r="C518" s="1" t="s">
        <v>12640</v>
      </c>
      <c r="D518" s="7" t="s">
        <v>10</v>
      </c>
    </row>
    <row r="519">
      <c r="A519" s="1" t="s">
        <v>2572</v>
      </c>
      <c r="B519" s="1" t="s">
        <v>2571</v>
      </c>
      <c r="C519" s="1" t="s">
        <v>12641</v>
      </c>
      <c r="D519" s="7" t="s">
        <v>10</v>
      </c>
    </row>
    <row r="520">
      <c r="A520" s="1" t="s">
        <v>2577</v>
      </c>
      <c r="B520" s="1" t="s">
        <v>2576</v>
      </c>
      <c r="C520" s="1" t="s">
        <v>12642</v>
      </c>
      <c r="D520" s="7" t="s">
        <v>10</v>
      </c>
    </row>
    <row r="521">
      <c r="A521" s="1" t="s">
        <v>2582</v>
      </c>
      <c r="B521" s="1" t="s">
        <v>2581</v>
      </c>
      <c r="C521" s="1" t="s">
        <v>12643</v>
      </c>
      <c r="D521" s="7" t="s">
        <v>10</v>
      </c>
    </row>
    <row r="522">
      <c r="A522" s="1" t="s">
        <v>2587</v>
      </c>
      <c r="B522" s="1" t="s">
        <v>2586</v>
      </c>
      <c r="C522" s="1" t="s">
        <v>12644</v>
      </c>
      <c r="D522" s="7" t="s">
        <v>10</v>
      </c>
    </row>
    <row r="523">
      <c r="A523" s="1" t="s">
        <v>2592</v>
      </c>
      <c r="B523" s="1" t="s">
        <v>2591</v>
      </c>
      <c r="C523" s="1" t="s">
        <v>12645</v>
      </c>
      <c r="D523" s="7" t="s">
        <v>10</v>
      </c>
    </row>
    <row r="524">
      <c r="A524" s="1" t="s">
        <v>2597</v>
      </c>
      <c r="B524" s="1" t="s">
        <v>2596</v>
      </c>
      <c r="C524" s="1" t="s">
        <v>12646</v>
      </c>
      <c r="D524" s="7" t="s">
        <v>10</v>
      </c>
    </row>
    <row r="525">
      <c r="A525" s="1" t="s">
        <v>2602</v>
      </c>
      <c r="B525" s="1" t="s">
        <v>2601</v>
      </c>
      <c r="C525" s="1" t="s">
        <v>12647</v>
      </c>
      <c r="D525" s="7" t="s">
        <v>10</v>
      </c>
    </row>
    <row r="526">
      <c r="A526" s="1" t="s">
        <v>2607</v>
      </c>
      <c r="B526" s="1" t="s">
        <v>2606</v>
      </c>
      <c r="C526" s="1" t="s">
        <v>12648</v>
      </c>
      <c r="D526" s="7" t="s">
        <v>10</v>
      </c>
    </row>
    <row r="527">
      <c r="A527" s="1" t="s">
        <v>2612</v>
      </c>
      <c r="B527" s="1" t="s">
        <v>2611</v>
      </c>
      <c r="C527" s="1" t="s">
        <v>12649</v>
      </c>
      <c r="D527" s="7" t="s">
        <v>10</v>
      </c>
    </row>
    <row r="528">
      <c r="A528" s="1" t="s">
        <v>2617</v>
      </c>
      <c r="B528" s="1" t="s">
        <v>2616</v>
      </c>
      <c r="C528" s="1" t="s">
        <v>12650</v>
      </c>
      <c r="D528" s="7" t="s">
        <v>10</v>
      </c>
    </row>
    <row r="529">
      <c r="A529" s="1" t="s">
        <v>2622</v>
      </c>
      <c r="B529" s="1" t="s">
        <v>2621</v>
      </c>
      <c r="C529" s="1" t="s">
        <v>12651</v>
      </c>
      <c r="D529" s="7" t="s">
        <v>10</v>
      </c>
    </row>
    <row r="530">
      <c r="A530" s="1" t="s">
        <v>2627</v>
      </c>
      <c r="B530" s="1" t="s">
        <v>2626</v>
      </c>
      <c r="C530" s="1" t="s">
        <v>12652</v>
      </c>
      <c r="D530" s="7" t="s">
        <v>10</v>
      </c>
    </row>
    <row r="531">
      <c r="A531" s="1" t="s">
        <v>2632</v>
      </c>
      <c r="B531" s="1" t="s">
        <v>2631</v>
      </c>
      <c r="C531" s="1" t="s">
        <v>12653</v>
      </c>
      <c r="D531" s="7" t="s">
        <v>10</v>
      </c>
    </row>
    <row r="532">
      <c r="A532" s="1" t="s">
        <v>2637</v>
      </c>
      <c r="B532" s="1" t="s">
        <v>2636</v>
      </c>
      <c r="C532" s="1" t="s">
        <v>12654</v>
      </c>
      <c r="D532" s="7" t="s">
        <v>10</v>
      </c>
    </row>
    <row r="533">
      <c r="A533" s="1" t="s">
        <v>2642</v>
      </c>
      <c r="B533" s="1" t="s">
        <v>2641</v>
      </c>
      <c r="C533" s="1" t="s">
        <v>12655</v>
      </c>
      <c r="D533" s="7" t="s">
        <v>10</v>
      </c>
    </row>
    <row r="534">
      <c r="A534" s="1" t="s">
        <v>2647</v>
      </c>
      <c r="B534" s="1" t="s">
        <v>2646</v>
      </c>
      <c r="C534" s="1" t="s">
        <v>12656</v>
      </c>
      <c r="D534" s="7" t="s">
        <v>10</v>
      </c>
    </row>
    <row r="535">
      <c r="A535" s="1" t="s">
        <v>2652</v>
      </c>
      <c r="B535" s="1" t="s">
        <v>2651</v>
      </c>
      <c r="C535" s="1" t="s">
        <v>12657</v>
      </c>
      <c r="D535" s="7" t="s">
        <v>10</v>
      </c>
    </row>
    <row r="536">
      <c r="A536" s="1" t="s">
        <v>2657</v>
      </c>
      <c r="B536" s="1" t="s">
        <v>2656</v>
      </c>
      <c r="C536" s="1" t="s">
        <v>12658</v>
      </c>
      <c r="D536" s="7" t="s">
        <v>10</v>
      </c>
    </row>
    <row r="537">
      <c r="A537" s="1" t="s">
        <v>2662</v>
      </c>
      <c r="B537" s="1" t="s">
        <v>2661</v>
      </c>
      <c r="C537" s="1" t="s">
        <v>12659</v>
      </c>
      <c r="D537" s="7" t="s">
        <v>10</v>
      </c>
    </row>
    <row r="538">
      <c r="A538" s="1" t="s">
        <v>2667</v>
      </c>
      <c r="B538" s="1" t="s">
        <v>2666</v>
      </c>
      <c r="C538" s="1" t="s">
        <v>12660</v>
      </c>
      <c r="D538" s="7" t="s">
        <v>10</v>
      </c>
    </row>
    <row r="539">
      <c r="A539" s="1" t="s">
        <v>2672</v>
      </c>
      <c r="B539" s="1" t="s">
        <v>2671</v>
      </c>
      <c r="C539" s="1" t="s">
        <v>12661</v>
      </c>
      <c r="D539" s="7" t="s">
        <v>10</v>
      </c>
    </row>
    <row r="540">
      <c r="A540" s="1" t="s">
        <v>2677</v>
      </c>
      <c r="B540" s="1" t="s">
        <v>2676</v>
      </c>
      <c r="C540" s="1" t="s">
        <v>12662</v>
      </c>
      <c r="D540" s="7" t="s">
        <v>10</v>
      </c>
    </row>
    <row r="541">
      <c r="A541" s="1" t="s">
        <v>2682</v>
      </c>
      <c r="B541" s="1" t="s">
        <v>2681</v>
      </c>
      <c r="C541" s="1" t="s">
        <v>12663</v>
      </c>
      <c r="D541" s="7" t="s">
        <v>10</v>
      </c>
    </row>
    <row r="542">
      <c r="A542" s="1" t="s">
        <v>2687</v>
      </c>
      <c r="B542" s="1" t="s">
        <v>2686</v>
      </c>
      <c r="C542" s="1" t="s">
        <v>12664</v>
      </c>
      <c r="D542" s="7" t="s">
        <v>10</v>
      </c>
    </row>
    <row r="543">
      <c r="A543" s="1" t="s">
        <v>2692</v>
      </c>
      <c r="B543" s="1" t="s">
        <v>2691</v>
      </c>
      <c r="C543" s="1" t="s">
        <v>12665</v>
      </c>
      <c r="D543" s="7" t="s">
        <v>10</v>
      </c>
    </row>
    <row r="544">
      <c r="A544" s="1" t="s">
        <v>2697</v>
      </c>
      <c r="B544" s="1" t="s">
        <v>2696</v>
      </c>
      <c r="C544" s="1" t="s">
        <v>12666</v>
      </c>
      <c r="D544" s="7" t="s">
        <v>10</v>
      </c>
    </row>
    <row r="545">
      <c r="A545" s="1" t="s">
        <v>2702</v>
      </c>
      <c r="B545" s="1" t="s">
        <v>2701</v>
      </c>
      <c r="C545" s="1" t="s">
        <v>12667</v>
      </c>
      <c r="D545" s="7" t="s">
        <v>10</v>
      </c>
    </row>
    <row r="546">
      <c r="A546" s="1" t="s">
        <v>2707</v>
      </c>
      <c r="B546" s="1" t="s">
        <v>2706</v>
      </c>
      <c r="C546" s="1" t="s">
        <v>12668</v>
      </c>
      <c r="D546" s="7" t="s">
        <v>10</v>
      </c>
    </row>
    <row r="547">
      <c r="A547" s="1" t="s">
        <v>2712</v>
      </c>
      <c r="B547" s="1" t="s">
        <v>2711</v>
      </c>
      <c r="C547" s="1" t="s">
        <v>12669</v>
      </c>
      <c r="D547" s="7" t="s">
        <v>10</v>
      </c>
    </row>
    <row r="548">
      <c r="A548" s="1" t="s">
        <v>2717</v>
      </c>
      <c r="B548" s="1" t="s">
        <v>2716</v>
      </c>
      <c r="C548" s="1" t="s">
        <v>12670</v>
      </c>
      <c r="D548" s="7" t="s">
        <v>10</v>
      </c>
    </row>
    <row r="549">
      <c r="A549" s="1" t="s">
        <v>2722</v>
      </c>
      <c r="B549" s="1" t="s">
        <v>2721</v>
      </c>
      <c r="C549" s="1" t="s">
        <v>12671</v>
      </c>
      <c r="D549" s="7" t="s">
        <v>10</v>
      </c>
    </row>
    <row r="550">
      <c r="A550" s="1" t="s">
        <v>2727</v>
      </c>
      <c r="B550" s="1" t="s">
        <v>2726</v>
      </c>
      <c r="C550" s="1" t="s">
        <v>12672</v>
      </c>
      <c r="D550" s="7" t="s">
        <v>10</v>
      </c>
    </row>
    <row r="551">
      <c r="A551" s="1" t="s">
        <v>2732</v>
      </c>
      <c r="B551" s="1" t="s">
        <v>2731</v>
      </c>
      <c r="C551" s="1" t="s">
        <v>12673</v>
      </c>
      <c r="D551" s="7" t="s">
        <v>10</v>
      </c>
    </row>
    <row r="552">
      <c r="A552" s="1" t="s">
        <v>2737</v>
      </c>
      <c r="B552" s="1" t="s">
        <v>2736</v>
      </c>
      <c r="C552" s="1" t="s">
        <v>12674</v>
      </c>
      <c r="D552" s="7" t="s">
        <v>10</v>
      </c>
    </row>
    <row r="553">
      <c r="A553" s="1" t="s">
        <v>2742</v>
      </c>
      <c r="B553" s="1" t="s">
        <v>2741</v>
      </c>
      <c r="C553" s="1" t="s">
        <v>12675</v>
      </c>
      <c r="D553" s="7" t="s">
        <v>10</v>
      </c>
    </row>
    <row r="554">
      <c r="A554" s="1" t="s">
        <v>2747</v>
      </c>
      <c r="B554" s="1" t="s">
        <v>2746</v>
      </c>
      <c r="C554" s="1" t="s">
        <v>12676</v>
      </c>
      <c r="D554" s="7" t="s">
        <v>10</v>
      </c>
    </row>
    <row r="555">
      <c r="A555" s="1" t="s">
        <v>2752</v>
      </c>
      <c r="B555" s="1" t="s">
        <v>2751</v>
      </c>
      <c r="C555" s="1" t="s">
        <v>12677</v>
      </c>
      <c r="D555" s="7" t="s">
        <v>10</v>
      </c>
    </row>
    <row r="556">
      <c r="A556" s="1" t="s">
        <v>2757</v>
      </c>
      <c r="B556" s="1" t="s">
        <v>2756</v>
      </c>
      <c r="C556" s="1" t="s">
        <v>12678</v>
      </c>
      <c r="D556" s="7" t="s">
        <v>10</v>
      </c>
    </row>
    <row r="557">
      <c r="A557" s="1" t="s">
        <v>2762</v>
      </c>
      <c r="B557" s="1" t="s">
        <v>2761</v>
      </c>
      <c r="C557" s="1" t="s">
        <v>12679</v>
      </c>
      <c r="D557" s="7" t="s">
        <v>10</v>
      </c>
    </row>
    <row r="558">
      <c r="A558" s="1" t="s">
        <v>2767</v>
      </c>
      <c r="B558" s="1" t="s">
        <v>2766</v>
      </c>
      <c r="C558" s="1" t="s">
        <v>12680</v>
      </c>
      <c r="D558" s="7" t="s">
        <v>10</v>
      </c>
    </row>
    <row r="559">
      <c r="A559" s="1" t="s">
        <v>2772</v>
      </c>
      <c r="B559" s="1" t="s">
        <v>2771</v>
      </c>
      <c r="C559" s="1" t="s">
        <v>12681</v>
      </c>
      <c r="D559" s="7" t="s">
        <v>10</v>
      </c>
    </row>
    <row r="560">
      <c r="A560" s="1" t="s">
        <v>2777</v>
      </c>
      <c r="B560" s="1" t="s">
        <v>2776</v>
      </c>
      <c r="C560" s="1" t="s">
        <v>12682</v>
      </c>
      <c r="D560" s="7" t="s">
        <v>10</v>
      </c>
    </row>
    <row r="561">
      <c r="A561" s="1" t="s">
        <v>2782</v>
      </c>
      <c r="B561" s="1" t="s">
        <v>2781</v>
      </c>
      <c r="C561" s="1" t="s">
        <v>12683</v>
      </c>
      <c r="D561" s="7" t="s">
        <v>10</v>
      </c>
    </row>
    <row r="562">
      <c r="A562" s="1" t="s">
        <v>2787</v>
      </c>
      <c r="B562" s="1" t="s">
        <v>2786</v>
      </c>
      <c r="C562" s="1" t="s">
        <v>12684</v>
      </c>
      <c r="D562" s="7" t="s">
        <v>10</v>
      </c>
    </row>
    <row r="563">
      <c r="A563" s="1" t="s">
        <v>2792</v>
      </c>
      <c r="B563" s="1" t="s">
        <v>2791</v>
      </c>
      <c r="C563" s="1" t="s">
        <v>12685</v>
      </c>
      <c r="D563" s="7" t="s">
        <v>10</v>
      </c>
    </row>
    <row r="564">
      <c r="A564" s="1" t="s">
        <v>2797</v>
      </c>
      <c r="B564" s="1" t="s">
        <v>2796</v>
      </c>
      <c r="C564" s="1" t="s">
        <v>12686</v>
      </c>
      <c r="D564" s="7" t="s">
        <v>10</v>
      </c>
    </row>
    <row r="565">
      <c r="A565" s="1" t="s">
        <v>2802</v>
      </c>
      <c r="B565" s="1" t="s">
        <v>2801</v>
      </c>
      <c r="C565" s="1" t="s">
        <v>12687</v>
      </c>
      <c r="D565" s="7" t="s">
        <v>10</v>
      </c>
    </row>
    <row r="566">
      <c r="A566" s="1" t="s">
        <v>2807</v>
      </c>
      <c r="B566" s="1" t="s">
        <v>2806</v>
      </c>
      <c r="C566" s="1" t="s">
        <v>12688</v>
      </c>
      <c r="D566" s="7" t="s">
        <v>10</v>
      </c>
    </row>
    <row r="567">
      <c r="A567" s="1" t="s">
        <v>2812</v>
      </c>
      <c r="B567" s="1" t="s">
        <v>2811</v>
      </c>
      <c r="C567" s="1" t="s">
        <v>12689</v>
      </c>
      <c r="D567" s="7" t="s">
        <v>10</v>
      </c>
    </row>
    <row r="568">
      <c r="A568" s="1" t="s">
        <v>2817</v>
      </c>
      <c r="B568" s="1" t="s">
        <v>2816</v>
      </c>
      <c r="C568" s="1" t="s">
        <v>12690</v>
      </c>
      <c r="D568" s="7" t="s">
        <v>10</v>
      </c>
    </row>
    <row r="569">
      <c r="A569" s="1" t="s">
        <v>2822</v>
      </c>
      <c r="B569" s="1" t="s">
        <v>2821</v>
      </c>
      <c r="C569" s="1" t="s">
        <v>12691</v>
      </c>
      <c r="D569" s="7" t="s">
        <v>10</v>
      </c>
    </row>
    <row r="570">
      <c r="A570" s="1" t="s">
        <v>2827</v>
      </c>
      <c r="B570" s="1" t="s">
        <v>2826</v>
      </c>
      <c r="C570" s="1" t="s">
        <v>12692</v>
      </c>
      <c r="D570" s="7" t="s">
        <v>10</v>
      </c>
    </row>
    <row r="571">
      <c r="A571" s="1" t="s">
        <v>2832</v>
      </c>
      <c r="B571" s="1" t="s">
        <v>2831</v>
      </c>
      <c r="C571" s="1" t="s">
        <v>12693</v>
      </c>
      <c r="D571" s="7" t="s">
        <v>10</v>
      </c>
    </row>
    <row r="572">
      <c r="A572" s="1" t="s">
        <v>2837</v>
      </c>
      <c r="B572" s="1" t="s">
        <v>2836</v>
      </c>
      <c r="C572" s="1" t="s">
        <v>12694</v>
      </c>
      <c r="D572" s="7" t="s">
        <v>10</v>
      </c>
    </row>
    <row r="573">
      <c r="A573" s="1" t="s">
        <v>2842</v>
      </c>
      <c r="B573" s="1" t="s">
        <v>2841</v>
      </c>
      <c r="C573" s="1" t="s">
        <v>12695</v>
      </c>
      <c r="D573" s="7" t="s">
        <v>10</v>
      </c>
    </row>
    <row r="574">
      <c r="A574" s="1" t="s">
        <v>2847</v>
      </c>
      <c r="B574" s="1" t="s">
        <v>2846</v>
      </c>
      <c r="C574" s="1" t="s">
        <v>12696</v>
      </c>
      <c r="D574" s="7" t="s">
        <v>10</v>
      </c>
    </row>
    <row r="575">
      <c r="A575" s="1" t="s">
        <v>2852</v>
      </c>
      <c r="B575" s="1" t="s">
        <v>2851</v>
      </c>
      <c r="C575" s="1" t="s">
        <v>12697</v>
      </c>
      <c r="D575" s="7" t="s">
        <v>10</v>
      </c>
    </row>
    <row r="576">
      <c r="A576" s="1" t="s">
        <v>2857</v>
      </c>
      <c r="B576" s="1" t="s">
        <v>2856</v>
      </c>
      <c r="C576" s="1" t="s">
        <v>12698</v>
      </c>
      <c r="D576" s="7" t="s">
        <v>10</v>
      </c>
    </row>
    <row r="577">
      <c r="A577" s="1" t="s">
        <v>2862</v>
      </c>
      <c r="B577" s="1" t="s">
        <v>2861</v>
      </c>
      <c r="C577" s="1" t="s">
        <v>12699</v>
      </c>
      <c r="D577" s="7" t="s">
        <v>10</v>
      </c>
    </row>
    <row r="578">
      <c r="A578" s="1" t="s">
        <v>2867</v>
      </c>
      <c r="B578" s="1" t="s">
        <v>2866</v>
      </c>
      <c r="C578" s="1" t="s">
        <v>12700</v>
      </c>
      <c r="D578" s="7" t="s">
        <v>10</v>
      </c>
    </row>
    <row r="579">
      <c r="A579" s="1" t="s">
        <v>2872</v>
      </c>
      <c r="B579" s="1" t="s">
        <v>2871</v>
      </c>
      <c r="C579" s="1" t="s">
        <v>12701</v>
      </c>
      <c r="D579" s="7" t="s">
        <v>10</v>
      </c>
    </row>
    <row r="580">
      <c r="A580" s="1" t="s">
        <v>2877</v>
      </c>
      <c r="B580" s="1" t="s">
        <v>2876</v>
      </c>
      <c r="C580" s="1" t="s">
        <v>12702</v>
      </c>
      <c r="D580" s="7" t="s">
        <v>10</v>
      </c>
    </row>
    <row r="581">
      <c r="A581" s="1" t="s">
        <v>2882</v>
      </c>
      <c r="B581" s="1" t="s">
        <v>2881</v>
      </c>
      <c r="C581" s="1" t="s">
        <v>12703</v>
      </c>
      <c r="D581" s="7" t="s">
        <v>10</v>
      </c>
    </row>
    <row r="582">
      <c r="A582" s="1" t="s">
        <v>2887</v>
      </c>
      <c r="B582" s="1" t="s">
        <v>2886</v>
      </c>
      <c r="C582" s="1" t="s">
        <v>12704</v>
      </c>
      <c r="D582" s="7" t="s">
        <v>10</v>
      </c>
    </row>
    <row r="583">
      <c r="A583" s="1" t="s">
        <v>2892</v>
      </c>
      <c r="B583" s="1" t="s">
        <v>2891</v>
      </c>
      <c r="C583" s="1" t="s">
        <v>12705</v>
      </c>
      <c r="D583" s="7" t="s">
        <v>10</v>
      </c>
    </row>
    <row r="584">
      <c r="A584" s="1" t="s">
        <v>2897</v>
      </c>
      <c r="B584" s="1" t="s">
        <v>2896</v>
      </c>
      <c r="C584" s="1" t="s">
        <v>12706</v>
      </c>
      <c r="D584" s="7" t="s">
        <v>10</v>
      </c>
    </row>
    <row r="585">
      <c r="A585" s="1" t="s">
        <v>2902</v>
      </c>
      <c r="B585" s="1" t="s">
        <v>2901</v>
      </c>
      <c r="C585" s="1" t="s">
        <v>12707</v>
      </c>
      <c r="D585" s="7" t="s">
        <v>10</v>
      </c>
    </row>
    <row r="586">
      <c r="A586" s="1" t="s">
        <v>2907</v>
      </c>
      <c r="B586" s="1" t="s">
        <v>2906</v>
      </c>
      <c r="C586" s="1" t="s">
        <v>12708</v>
      </c>
      <c r="D586" s="7" t="s">
        <v>10</v>
      </c>
    </row>
    <row r="587">
      <c r="A587" s="1" t="s">
        <v>2912</v>
      </c>
      <c r="B587" s="1" t="s">
        <v>2911</v>
      </c>
      <c r="C587" s="1" t="s">
        <v>12709</v>
      </c>
      <c r="D587" s="7" t="s">
        <v>10</v>
      </c>
    </row>
    <row r="588">
      <c r="A588" s="1" t="s">
        <v>2917</v>
      </c>
      <c r="B588" s="1" t="s">
        <v>2916</v>
      </c>
      <c r="C588" s="1" t="s">
        <v>12710</v>
      </c>
      <c r="D588" s="7" t="s">
        <v>10</v>
      </c>
    </row>
    <row r="589">
      <c r="A589" s="1" t="s">
        <v>2922</v>
      </c>
      <c r="B589" s="1" t="s">
        <v>2921</v>
      </c>
      <c r="C589" s="1" t="s">
        <v>12711</v>
      </c>
      <c r="D589" s="7" t="s">
        <v>10</v>
      </c>
    </row>
    <row r="590">
      <c r="A590" s="1" t="s">
        <v>2927</v>
      </c>
      <c r="B590" s="1" t="s">
        <v>2926</v>
      </c>
      <c r="C590" s="1" t="s">
        <v>12712</v>
      </c>
      <c r="D590" s="7" t="s">
        <v>10</v>
      </c>
    </row>
    <row r="591">
      <c r="A591" s="1" t="s">
        <v>2932</v>
      </c>
      <c r="B591" s="1" t="s">
        <v>2931</v>
      </c>
      <c r="C591" s="1" t="s">
        <v>12713</v>
      </c>
      <c r="D591" s="7" t="s">
        <v>10</v>
      </c>
    </row>
    <row r="592">
      <c r="A592" s="1" t="s">
        <v>2937</v>
      </c>
      <c r="B592" s="1" t="s">
        <v>2936</v>
      </c>
      <c r="C592" s="1" t="s">
        <v>12714</v>
      </c>
      <c r="D592" s="7" t="s">
        <v>10</v>
      </c>
    </row>
    <row r="593">
      <c r="A593" s="1" t="s">
        <v>2942</v>
      </c>
      <c r="B593" s="1" t="s">
        <v>2941</v>
      </c>
      <c r="C593" s="1" t="s">
        <v>12715</v>
      </c>
      <c r="D593" s="7" t="s">
        <v>10</v>
      </c>
    </row>
    <row r="594">
      <c r="A594" s="1" t="s">
        <v>2947</v>
      </c>
      <c r="B594" s="1" t="s">
        <v>2946</v>
      </c>
      <c r="C594" s="1" t="s">
        <v>12716</v>
      </c>
      <c r="D594" s="7" t="s">
        <v>10</v>
      </c>
    </row>
    <row r="595">
      <c r="A595" s="1" t="s">
        <v>2952</v>
      </c>
      <c r="B595" s="1" t="s">
        <v>2951</v>
      </c>
      <c r="C595" s="1" t="s">
        <v>12717</v>
      </c>
      <c r="D595" s="7" t="s">
        <v>10</v>
      </c>
    </row>
    <row r="596">
      <c r="A596" s="1" t="s">
        <v>2957</v>
      </c>
      <c r="B596" s="1" t="s">
        <v>2956</v>
      </c>
      <c r="C596" s="1" t="s">
        <v>12718</v>
      </c>
      <c r="D596" s="7" t="s">
        <v>10</v>
      </c>
    </row>
    <row r="597">
      <c r="A597" s="1" t="s">
        <v>2962</v>
      </c>
      <c r="B597" s="1" t="s">
        <v>2961</v>
      </c>
      <c r="C597" s="1" t="s">
        <v>12719</v>
      </c>
      <c r="D597" s="7" t="s">
        <v>10</v>
      </c>
    </row>
    <row r="598">
      <c r="A598" s="1" t="s">
        <v>2967</v>
      </c>
      <c r="B598" s="1" t="s">
        <v>2966</v>
      </c>
      <c r="C598" s="1" t="s">
        <v>12720</v>
      </c>
      <c r="D598" s="7" t="s">
        <v>10</v>
      </c>
    </row>
    <row r="599">
      <c r="A599" s="1" t="s">
        <v>2972</v>
      </c>
      <c r="B599" s="1" t="s">
        <v>2971</v>
      </c>
      <c r="C599" s="1" t="s">
        <v>12721</v>
      </c>
      <c r="D599" s="7" t="s">
        <v>10</v>
      </c>
    </row>
    <row r="600">
      <c r="A600" s="1" t="s">
        <v>2977</v>
      </c>
      <c r="B600" s="1" t="s">
        <v>2976</v>
      </c>
      <c r="C600" s="1" t="s">
        <v>12722</v>
      </c>
      <c r="D600" s="7" t="s">
        <v>10</v>
      </c>
    </row>
    <row r="601">
      <c r="A601" s="1" t="s">
        <v>2982</v>
      </c>
      <c r="B601" s="1" t="s">
        <v>2981</v>
      </c>
      <c r="C601" s="1" t="s">
        <v>12723</v>
      </c>
      <c r="D601" s="7" t="s">
        <v>10</v>
      </c>
    </row>
    <row r="602">
      <c r="A602" s="1" t="s">
        <v>2987</v>
      </c>
      <c r="B602" s="1" t="s">
        <v>2986</v>
      </c>
      <c r="C602" s="1" t="s">
        <v>12724</v>
      </c>
      <c r="D602" s="7" t="s">
        <v>10</v>
      </c>
    </row>
    <row r="603">
      <c r="A603" s="1" t="s">
        <v>2992</v>
      </c>
      <c r="B603" s="1" t="s">
        <v>2991</v>
      </c>
      <c r="C603" s="1" t="s">
        <v>12725</v>
      </c>
      <c r="D603" s="7" t="s">
        <v>10</v>
      </c>
    </row>
    <row r="604">
      <c r="A604" s="1" t="s">
        <v>2997</v>
      </c>
      <c r="B604" s="1" t="s">
        <v>2996</v>
      </c>
      <c r="C604" s="1" t="s">
        <v>12726</v>
      </c>
      <c r="D604" s="7" t="s">
        <v>10</v>
      </c>
    </row>
    <row r="605">
      <c r="A605" s="1" t="s">
        <v>3002</v>
      </c>
      <c r="B605" s="1" t="s">
        <v>3001</v>
      </c>
      <c r="C605" s="1" t="s">
        <v>12727</v>
      </c>
      <c r="D605" s="7" t="s">
        <v>10</v>
      </c>
    </row>
    <row r="606">
      <c r="A606" s="1" t="s">
        <v>3007</v>
      </c>
      <c r="B606" s="1" t="s">
        <v>3006</v>
      </c>
      <c r="C606" s="1" t="s">
        <v>12728</v>
      </c>
      <c r="D606" s="7" t="s">
        <v>10</v>
      </c>
    </row>
    <row r="607">
      <c r="A607" s="1" t="s">
        <v>3012</v>
      </c>
      <c r="B607" s="1" t="s">
        <v>3011</v>
      </c>
      <c r="C607" s="1" t="s">
        <v>12729</v>
      </c>
      <c r="D607" s="7" t="s">
        <v>10</v>
      </c>
    </row>
    <row r="608">
      <c r="A608" s="1" t="s">
        <v>3017</v>
      </c>
      <c r="B608" s="1" t="s">
        <v>3016</v>
      </c>
      <c r="C608" s="1" t="s">
        <v>12730</v>
      </c>
      <c r="D608" s="7" t="s">
        <v>10</v>
      </c>
    </row>
    <row r="609">
      <c r="A609" s="1" t="s">
        <v>3022</v>
      </c>
      <c r="B609" s="1" t="s">
        <v>3021</v>
      </c>
      <c r="C609" s="1" t="s">
        <v>12731</v>
      </c>
      <c r="D609" s="7" t="s">
        <v>10</v>
      </c>
    </row>
    <row r="610">
      <c r="A610" s="1" t="s">
        <v>3027</v>
      </c>
      <c r="B610" s="1" t="s">
        <v>3026</v>
      </c>
      <c r="C610" s="1" t="s">
        <v>12732</v>
      </c>
      <c r="D610" s="7" t="s">
        <v>10</v>
      </c>
    </row>
    <row r="611">
      <c r="A611" s="1" t="s">
        <v>3032</v>
      </c>
      <c r="B611" s="1" t="s">
        <v>3031</v>
      </c>
      <c r="C611" s="1" t="s">
        <v>12733</v>
      </c>
      <c r="D611" s="7" t="s">
        <v>10</v>
      </c>
    </row>
    <row r="612">
      <c r="A612" s="1" t="s">
        <v>3037</v>
      </c>
      <c r="B612" s="1" t="s">
        <v>3036</v>
      </c>
      <c r="C612" s="1" t="s">
        <v>12734</v>
      </c>
      <c r="D612" s="7" t="s">
        <v>10</v>
      </c>
    </row>
    <row r="613">
      <c r="A613" s="1" t="s">
        <v>3042</v>
      </c>
      <c r="B613" s="1" t="s">
        <v>3041</v>
      </c>
      <c r="C613" s="1" t="s">
        <v>12735</v>
      </c>
      <c r="D613" s="7" t="s">
        <v>10</v>
      </c>
    </row>
    <row r="614">
      <c r="A614" s="1" t="s">
        <v>3047</v>
      </c>
      <c r="B614" s="1" t="s">
        <v>3046</v>
      </c>
      <c r="C614" s="1" t="s">
        <v>12736</v>
      </c>
      <c r="D614" s="7" t="s">
        <v>10</v>
      </c>
    </row>
    <row r="615">
      <c r="A615" s="1" t="s">
        <v>3052</v>
      </c>
      <c r="B615" s="1" t="s">
        <v>3051</v>
      </c>
      <c r="C615" s="1" t="s">
        <v>12737</v>
      </c>
      <c r="D615" s="7" t="s">
        <v>10</v>
      </c>
    </row>
    <row r="616">
      <c r="A616" s="1" t="s">
        <v>3057</v>
      </c>
      <c r="B616" s="1" t="s">
        <v>3056</v>
      </c>
      <c r="C616" s="1" t="s">
        <v>12738</v>
      </c>
      <c r="D616" s="7" t="s">
        <v>10</v>
      </c>
    </row>
    <row r="617">
      <c r="A617" s="1" t="s">
        <v>3062</v>
      </c>
      <c r="B617" s="1" t="s">
        <v>3061</v>
      </c>
      <c r="C617" s="1" t="s">
        <v>12739</v>
      </c>
      <c r="D617" s="7" t="s">
        <v>10</v>
      </c>
    </row>
    <row r="618">
      <c r="A618" s="1" t="s">
        <v>3067</v>
      </c>
      <c r="B618" s="1" t="s">
        <v>3066</v>
      </c>
      <c r="C618" s="1" t="s">
        <v>12740</v>
      </c>
      <c r="D618" s="7" t="s">
        <v>10</v>
      </c>
    </row>
    <row r="619">
      <c r="A619" s="1" t="s">
        <v>3072</v>
      </c>
      <c r="B619" s="1" t="s">
        <v>3071</v>
      </c>
      <c r="C619" s="1" t="s">
        <v>12741</v>
      </c>
      <c r="D619" s="7" t="s">
        <v>10</v>
      </c>
    </row>
    <row r="620">
      <c r="A620" s="1" t="s">
        <v>3077</v>
      </c>
      <c r="B620" s="1" t="s">
        <v>3076</v>
      </c>
      <c r="C620" s="1" t="s">
        <v>12742</v>
      </c>
      <c r="D620" s="7" t="s">
        <v>10</v>
      </c>
    </row>
    <row r="621">
      <c r="A621" s="1" t="s">
        <v>3082</v>
      </c>
      <c r="B621" s="1" t="s">
        <v>3081</v>
      </c>
      <c r="C621" s="1" t="s">
        <v>12743</v>
      </c>
      <c r="D621" s="7" t="s">
        <v>10</v>
      </c>
    </row>
    <row r="622">
      <c r="A622" s="1" t="s">
        <v>3086</v>
      </c>
      <c r="B622" s="1" t="s">
        <v>3086</v>
      </c>
      <c r="C622" s="1" t="s">
        <v>12744</v>
      </c>
      <c r="D622" s="7" t="s">
        <v>10</v>
      </c>
    </row>
    <row r="623">
      <c r="A623" s="1" t="s">
        <v>3091</v>
      </c>
      <c r="B623" s="1" t="s">
        <v>3090</v>
      </c>
      <c r="C623" s="1" t="s">
        <v>12745</v>
      </c>
      <c r="D623" s="7" t="s">
        <v>10</v>
      </c>
    </row>
    <row r="624">
      <c r="A624" s="1" t="s">
        <v>3096</v>
      </c>
      <c r="B624" s="1" t="s">
        <v>3095</v>
      </c>
      <c r="C624" s="1" t="s">
        <v>12746</v>
      </c>
      <c r="D624" s="7" t="s">
        <v>10</v>
      </c>
    </row>
    <row r="625">
      <c r="A625" s="1" t="s">
        <v>3101</v>
      </c>
      <c r="B625" s="1" t="s">
        <v>3100</v>
      </c>
      <c r="C625" s="1" t="s">
        <v>12747</v>
      </c>
      <c r="D625" s="7" t="s">
        <v>10</v>
      </c>
    </row>
    <row r="626">
      <c r="A626" s="1" t="s">
        <v>3106</v>
      </c>
      <c r="B626" s="1" t="s">
        <v>3105</v>
      </c>
      <c r="C626" s="1" t="s">
        <v>12748</v>
      </c>
      <c r="D626" s="7" t="s">
        <v>10</v>
      </c>
    </row>
    <row r="627">
      <c r="A627" s="1" t="s">
        <v>3111</v>
      </c>
      <c r="B627" s="1" t="s">
        <v>3110</v>
      </c>
      <c r="C627" s="1" t="s">
        <v>12749</v>
      </c>
      <c r="D627" s="7" t="s">
        <v>10</v>
      </c>
    </row>
    <row r="628">
      <c r="A628" s="1" t="s">
        <v>3116</v>
      </c>
      <c r="B628" s="1" t="s">
        <v>3115</v>
      </c>
      <c r="C628" s="1" t="s">
        <v>12750</v>
      </c>
      <c r="D628" s="7" t="s">
        <v>10</v>
      </c>
    </row>
    <row r="629">
      <c r="A629" s="1" t="s">
        <v>3121</v>
      </c>
      <c r="B629" s="1" t="s">
        <v>3120</v>
      </c>
      <c r="C629" s="1" t="s">
        <v>12751</v>
      </c>
      <c r="D629" s="7" t="s">
        <v>10</v>
      </c>
    </row>
    <row r="630">
      <c r="A630" s="1" t="s">
        <v>3126</v>
      </c>
      <c r="B630" s="1" t="s">
        <v>3125</v>
      </c>
      <c r="C630" s="1" t="s">
        <v>12752</v>
      </c>
      <c r="D630" s="7" t="s">
        <v>10</v>
      </c>
    </row>
    <row r="631">
      <c r="A631" s="1" t="s">
        <v>3131</v>
      </c>
      <c r="B631" s="1" t="s">
        <v>3130</v>
      </c>
      <c r="C631" s="1" t="s">
        <v>12753</v>
      </c>
      <c r="D631" s="7" t="s">
        <v>10</v>
      </c>
    </row>
    <row r="632">
      <c r="A632" s="1" t="s">
        <v>3136</v>
      </c>
      <c r="B632" s="1" t="s">
        <v>3135</v>
      </c>
      <c r="C632" s="1" t="s">
        <v>12754</v>
      </c>
      <c r="D632" s="7" t="s">
        <v>10</v>
      </c>
    </row>
    <row r="633">
      <c r="A633" s="1" t="s">
        <v>3141</v>
      </c>
      <c r="B633" s="1" t="s">
        <v>3140</v>
      </c>
      <c r="C633" s="1" t="s">
        <v>12755</v>
      </c>
      <c r="D633" s="7" t="s">
        <v>10</v>
      </c>
    </row>
    <row r="634">
      <c r="A634" s="1" t="s">
        <v>3146</v>
      </c>
      <c r="B634" s="1" t="s">
        <v>3145</v>
      </c>
      <c r="C634" s="1" t="s">
        <v>12756</v>
      </c>
      <c r="D634" s="7" t="s">
        <v>10</v>
      </c>
    </row>
    <row r="635">
      <c r="A635" s="1" t="s">
        <v>3150</v>
      </c>
      <c r="B635" s="1" t="s">
        <v>3150</v>
      </c>
      <c r="C635" s="1" t="s">
        <v>12757</v>
      </c>
      <c r="D635" s="7" t="s">
        <v>10</v>
      </c>
    </row>
    <row r="636">
      <c r="A636" s="1" t="s">
        <v>3155</v>
      </c>
      <c r="B636" s="1" t="s">
        <v>3154</v>
      </c>
      <c r="C636" s="1" t="s">
        <v>12758</v>
      </c>
      <c r="D636" s="7" t="s">
        <v>10</v>
      </c>
    </row>
    <row r="637">
      <c r="A637" s="1" t="s">
        <v>3160</v>
      </c>
      <c r="B637" s="1" t="s">
        <v>3159</v>
      </c>
      <c r="C637" s="1" t="s">
        <v>12759</v>
      </c>
      <c r="D637" s="7" t="s">
        <v>10</v>
      </c>
    </row>
    <row r="638">
      <c r="A638" s="1" t="s">
        <v>3164</v>
      </c>
      <c r="B638" s="1" t="s">
        <v>3164</v>
      </c>
      <c r="C638" s="1" t="s">
        <v>12760</v>
      </c>
      <c r="D638" s="7" t="s">
        <v>10</v>
      </c>
    </row>
    <row r="639">
      <c r="A639" s="1" t="s">
        <v>3169</v>
      </c>
      <c r="B639" s="1" t="s">
        <v>3168</v>
      </c>
      <c r="C639" s="1" t="s">
        <v>12761</v>
      </c>
      <c r="D639" s="7" t="s">
        <v>10</v>
      </c>
    </row>
    <row r="640">
      <c r="A640" s="1" t="s">
        <v>3174</v>
      </c>
      <c r="B640" s="1" t="s">
        <v>3173</v>
      </c>
      <c r="C640" s="1" t="s">
        <v>12762</v>
      </c>
      <c r="D640" s="7" t="s">
        <v>10</v>
      </c>
    </row>
    <row r="641">
      <c r="A641" s="1" t="s">
        <v>3179</v>
      </c>
      <c r="B641" s="1" t="s">
        <v>3178</v>
      </c>
      <c r="C641" s="1" t="s">
        <v>12763</v>
      </c>
      <c r="D641" s="7" t="s">
        <v>10</v>
      </c>
    </row>
    <row r="642">
      <c r="A642" s="1" t="s">
        <v>3184</v>
      </c>
      <c r="B642" s="1" t="s">
        <v>3183</v>
      </c>
      <c r="C642" s="1" t="s">
        <v>12764</v>
      </c>
      <c r="D642" s="7" t="s">
        <v>10</v>
      </c>
    </row>
    <row r="643">
      <c r="A643" s="1" t="s">
        <v>3189</v>
      </c>
      <c r="B643" s="1" t="s">
        <v>3188</v>
      </c>
      <c r="C643" s="1" t="s">
        <v>12765</v>
      </c>
      <c r="D643" s="7" t="s">
        <v>10</v>
      </c>
    </row>
    <row r="644">
      <c r="A644" s="1" t="s">
        <v>3194</v>
      </c>
      <c r="B644" s="1" t="s">
        <v>3193</v>
      </c>
      <c r="C644" s="1" t="s">
        <v>12766</v>
      </c>
      <c r="D644" s="7" t="s">
        <v>10</v>
      </c>
    </row>
    <row r="645">
      <c r="A645" s="1" t="s">
        <v>3199</v>
      </c>
      <c r="B645" s="1" t="s">
        <v>3198</v>
      </c>
      <c r="C645" s="1" t="s">
        <v>12767</v>
      </c>
      <c r="D645" s="7" t="s">
        <v>10</v>
      </c>
    </row>
    <row r="646">
      <c r="A646" s="1" t="s">
        <v>3204</v>
      </c>
      <c r="B646" s="1" t="s">
        <v>3203</v>
      </c>
      <c r="C646" s="1" t="s">
        <v>12768</v>
      </c>
      <c r="D646" s="7" t="s">
        <v>10</v>
      </c>
    </row>
    <row r="647">
      <c r="A647" s="1" t="s">
        <v>3209</v>
      </c>
      <c r="B647" s="1" t="s">
        <v>3208</v>
      </c>
      <c r="C647" s="1" t="s">
        <v>12769</v>
      </c>
      <c r="D647" s="7" t="s">
        <v>10</v>
      </c>
    </row>
    <row r="648">
      <c r="A648" s="1" t="s">
        <v>3214</v>
      </c>
      <c r="B648" s="1" t="s">
        <v>3213</v>
      </c>
      <c r="C648" s="1" t="s">
        <v>12770</v>
      </c>
      <c r="D648" s="7" t="s">
        <v>10</v>
      </c>
    </row>
    <row r="649">
      <c r="A649" s="1" t="s">
        <v>3219</v>
      </c>
      <c r="B649" s="1" t="s">
        <v>3218</v>
      </c>
      <c r="C649" s="1" t="s">
        <v>12771</v>
      </c>
      <c r="D649" s="7" t="s">
        <v>10</v>
      </c>
    </row>
    <row r="650">
      <c r="A650" s="1" t="s">
        <v>3224</v>
      </c>
      <c r="B650" s="1" t="s">
        <v>3223</v>
      </c>
      <c r="C650" s="1" t="s">
        <v>12772</v>
      </c>
      <c r="D650" s="7" t="s">
        <v>10</v>
      </c>
    </row>
    <row r="651">
      <c r="A651" s="1" t="s">
        <v>3229</v>
      </c>
      <c r="B651" s="1" t="s">
        <v>3228</v>
      </c>
      <c r="C651" s="1" t="s">
        <v>12773</v>
      </c>
      <c r="D651" s="7" t="s">
        <v>10</v>
      </c>
    </row>
    <row r="652">
      <c r="A652" s="1" t="s">
        <v>3234</v>
      </c>
      <c r="B652" s="1" t="s">
        <v>3233</v>
      </c>
      <c r="C652" s="1" t="s">
        <v>12774</v>
      </c>
      <c r="D652" s="7" t="s">
        <v>10</v>
      </c>
    </row>
    <row r="653">
      <c r="A653" s="1" t="s">
        <v>3239</v>
      </c>
      <c r="B653" s="1" t="s">
        <v>3238</v>
      </c>
      <c r="C653" s="1" t="s">
        <v>12775</v>
      </c>
      <c r="D653" s="7" t="s">
        <v>10</v>
      </c>
    </row>
    <row r="654">
      <c r="A654" s="1" t="s">
        <v>3244</v>
      </c>
      <c r="B654" s="1" t="s">
        <v>3243</v>
      </c>
      <c r="C654" s="1" t="s">
        <v>12776</v>
      </c>
      <c r="D654" s="7" t="s">
        <v>10</v>
      </c>
    </row>
    <row r="655">
      <c r="A655" s="1" t="s">
        <v>3249</v>
      </c>
      <c r="B655" s="1" t="s">
        <v>3248</v>
      </c>
      <c r="C655" s="1" t="s">
        <v>12777</v>
      </c>
      <c r="D655" s="7" t="s">
        <v>10</v>
      </c>
    </row>
    <row r="656">
      <c r="A656" s="1" t="s">
        <v>3254</v>
      </c>
      <c r="B656" s="1" t="s">
        <v>3253</v>
      </c>
      <c r="C656" s="1" t="s">
        <v>12778</v>
      </c>
      <c r="D656" s="7" t="s">
        <v>10</v>
      </c>
    </row>
    <row r="657">
      <c r="A657" s="1" t="s">
        <v>3259</v>
      </c>
      <c r="B657" s="1" t="s">
        <v>3258</v>
      </c>
      <c r="C657" s="1" t="s">
        <v>12779</v>
      </c>
      <c r="D657" s="7" t="s">
        <v>10</v>
      </c>
    </row>
    <row r="658">
      <c r="A658" s="1" t="s">
        <v>3264</v>
      </c>
      <c r="B658" s="1" t="s">
        <v>3263</v>
      </c>
      <c r="C658" s="1" t="s">
        <v>12780</v>
      </c>
      <c r="D658" s="7" t="s">
        <v>10</v>
      </c>
    </row>
    <row r="659">
      <c r="A659" s="1" t="s">
        <v>3269</v>
      </c>
      <c r="B659" s="1" t="s">
        <v>3268</v>
      </c>
      <c r="C659" s="1" t="s">
        <v>12781</v>
      </c>
      <c r="D659" s="7" t="s">
        <v>10</v>
      </c>
    </row>
    <row r="660">
      <c r="A660" s="1" t="s">
        <v>3274</v>
      </c>
      <c r="B660" s="1" t="s">
        <v>3273</v>
      </c>
      <c r="C660" s="1" t="s">
        <v>12782</v>
      </c>
      <c r="D660" s="7" t="s">
        <v>10</v>
      </c>
    </row>
    <row r="661">
      <c r="A661" s="1" t="s">
        <v>3279</v>
      </c>
      <c r="B661" s="1" t="s">
        <v>3278</v>
      </c>
      <c r="C661" s="1" t="s">
        <v>12783</v>
      </c>
      <c r="D661" s="7" t="s">
        <v>10</v>
      </c>
    </row>
    <row r="662">
      <c r="A662" s="1" t="s">
        <v>3284</v>
      </c>
      <c r="B662" s="1" t="s">
        <v>3283</v>
      </c>
      <c r="C662" s="1" t="s">
        <v>12784</v>
      </c>
      <c r="D662" s="7" t="s">
        <v>10</v>
      </c>
    </row>
    <row r="663">
      <c r="A663" s="1" t="s">
        <v>3289</v>
      </c>
      <c r="B663" s="1" t="s">
        <v>3288</v>
      </c>
      <c r="C663" s="1" t="s">
        <v>12785</v>
      </c>
      <c r="D663" s="7" t="s">
        <v>10</v>
      </c>
    </row>
    <row r="664">
      <c r="A664" s="1" t="s">
        <v>3294</v>
      </c>
      <c r="B664" s="1" t="s">
        <v>3293</v>
      </c>
      <c r="C664" s="1" t="s">
        <v>12786</v>
      </c>
      <c r="D664" s="7" t="s">
        <v>10</v>
      </c>
    </row>
    <row r="665">
      <c r="A665" s="1" t="s">
        <v>3299</v>
      </c>
      <c r="B665" s="1" t="s">
        <v>3298</v>
      </c>
      <c r="C665" s="1" t="s">
        <v>12787</v>
      </c>
      <c r="D665" s="7" t="s">
        <v>10</v>
      </c>
    </row>
    <row r="666">
      <c r="A666" s="1" t="s">
        <v>3304</v>
      </c>
      <c r="B666" s="1" t="s">
        <v>3303</v>
      </c>
      <c r="C666" s="1" t="s">
        <v>12788</v>
      </c>
      <c r="D666" s="7" t="s">
        <v>10</v>
      </c>
    </row>
    <row r="667">
      <c r="A667" s="1" t="s">
        <v>3309</v>
      </c>
      <c r="B667" s="1" t="s">
        <v>3308</v>
      </c>
      <c r="C667" s="1" t="s">
        <v>12789</v>
      </c>
      <c r="D667" s="7" t="s">
        <v>10</v>
      </c>
    </row>
    <row r="668">
      <c r="A668" s="1" t="s">
        <v>3314</v>
      </c>
      <c r="B668" s="1" t="s">
        <v>3313</v>
      </c>
      <c r="C668" s="1" t="s">
        <v>12790</v>
      </c>
      <c r="D668" s="7" t="s">
        <v>10</v>
      </c>
    </row>
    <row r="669">
      <c r="A669" s="1" t="s">
        <v>3319</v>
      </c>
      <c r="B669" s="1" t="s">
        <v>3318</v>
      </c>
      <c r="C669" s="1" t="s">
        <v>12791</v>
      </c>
      <c r="D669" s="7" t="s">
        <v>10</v>
      </c>
    </row>
    <row r="670">
      <c r="A670" s="1" t="s">
        <v>3324</v>
      </c>
      <c r="B670" s="1" t="s">
        <v>3323</v>
      </c>
      <c r="C670" s="1" t="s">
        <v>12792</v>
      </c>
      <c r="D670" s="7" t="s">
        <v>10</v>
      </c>
    </row>
    <row r="671">
      <c r="A671" s="1" t="s">
        <v>3329</v>
      </c>
      <c r="B671" s="1" t="s">
        <v>3328</v>
      </c>
      <c r="C671" s="1" t="s">
        <v>12793</v>
      </c>
      <c r="D671" s="7" t="s">
        <v>10</v>
      </c>
    </row>
    <row r="672">
      <c r="A672" s="1" t="s">
        <v>3334</v>
      </c>
      <c r="B672" s="1" t="s">
        <v>3333</v>
      </c>
      <c r="C672" s="1" t="s">
        <v>12794</v>
      </c>
      <c r="D672" s="7" t="s">
        <v>10</v>
      </c>
    </row>
    <row r="673">
      <c r="A673" s="1" t="s">
        <v>3339</v>
      </c>
      <c r="B673" s="1" t="s">
        <v>3338</v>
      </c>
      <c r="C673" s="1" t="s">
        <v>12795</v>
      </c>
      <c r="D673" s="7" t="s">
        <v>10</v>
      </c>
    </row>
    <row r="674">
      <c r="A674" s="1" t="s">
        <v>3344</v>
      </c>
      <c r="B674" s="1" t="s">
        <v>3343</v>
      </c>
      <c r="C674" s="1" t="s">
        <v>12796</v>
      </c>
      <c r="D674" s="7" t="s">
        <v>10</v>
      </c>
    </row>
    <row r="675">
      <c r="A675" s="1" t="s">
        <v>3349</v>
      </c>
      <c r="B675" s="1" t="s">
        <v>3348</v>
      </c>
      <c r="C675" s="1" t="s">
        <v>12797</v>
      </c>
      <c r="D675" s="7" t="s">
        <v>10</v>
      </c>
    </row>
    <row r="676">
      <c r="A676" s="1" t="s">
        <v>3354</v>
      </c>
      <c r="B676" s="1" t="s">
        <v>3353</v>
      </c>
      <c r="C676" s="1" t="s">
        <v>12798</v>
      </c>
      <c r="D676" s="7" t="s">
        <v>10</v>
      </c>
    </row>
    <row r="677">
      <c r="A677" s="1" t="s">
        <v>3359</v>
      </c>
      <c r="B677" s="1" t="s">
        <v>3358</v>
      </c>
      <c r="C677" s="1" t="s">
        <v>12799</v>
      </c>
      <c r="D677" s="7" t="s">
        <v>10</v>
      </c>
    </row>
    <row r="678">
      <c r="A678" s="1" t="s">
        <v>3364</v>
      </c>
      <c r="B678" s="1" t="s">
        <v>3363</v>
      </c>
      <c r="C678" s="1" t="s">
        <v>12800</v>
      </c>
      <c r="D678" s="7" t="s">
        <v>10</v>
      </c>
    </row>
    <row r="679">
      <c r="A679" s="1" t="s">
        <v>3369</v>
      </c>
      <c r="B679" s="1" t="s">
        <v>3368</v>
      </c>
      <c r="C679" s="1" t="s">
        <v>12801</v>
      </c>
      <c r="D679" s="7" t="s">
        <v>10</v>
      </c>
    </row>
    <row r="680">
      <c r="A680" s="1" t="s">
        <v>3374</v>
      </c>
      <c r="B680" s="1" t="s">
        <v>3373</v>
      </c>
      <c r="C680" s="1" t="s">
        <v>12802</v>
      </c>
      <c r="D680" s="7" t="s">
        <v>10</v>
      </c>
    </row>
    <row r="681">
      <c r="A681" s="1" t="s">
        <v>3379</v>
      </c>
      <c r="B681" s="1" t="s">
        <v>3378</v>
      </c>
      <c r="C681" s="1" t="s">
        <v>12803</v>
      </c>
      <c r="D681" s="7" t="s">
        <v>10</v>
      </c>
    </row>
    <row r="682">
      <c r="A682" s="1" t="s">
        <v>3384</v>
      </c>
      <c r="B682" s="1" t="s">
        <v>3383</v>
      </c>
      <c r="C682" s="1" t="s">
        <v>12804</v>
      </c>
      <c r="D682" s="7" t="s">
        <v>10</v>
      </c>
    </row>
    <row r="683">
      <c r="A683" s="1" t="s">
        <v>3389</v>
      </c>
      <c r="B683" s="1" t="s">
        <v>3388</v>
      </c>
      <c r="C683" s="1" t="s">
        <v>12805</v>
      </c>
      <c r="D683" s="7" t="s">
        <v>10</v>
      </c>
    </row>
    <row r="684">
      <c r="A684" s="1" t="s">
        <v>3394</v>
      </c>
      <c r="B684" s="1" t="s">
        <v>3393</v>
      </c>
      <c r="C684" s="1" t="s">
        <v>12806</v>
      </c>
      <c r="D684" s="7" t="s">
        <v>10</v>
      </c>
    </row>
    <row r="685">
      <c r="A685" s="1" t="s">
        <v>3399</v>
      </c>
      <c r="B685" s="1" t="s">
        <v>3398</v>
      </c>
      <c r="C685" s="1" t="s">
        <v>12807</v>
      </c>
      <c r="D685" s="7" t="s">
        <v>10</v>
      </c>
    </row>
    <row r="686">
      <c r="A686" s="1" t="s">
        <v>3404</v>
      </c>
      <c r="B686" s="1" t="s">
        <v>3403</v>
      </c>
      <c r="C686" s="1" t="s">
        <v>12808</v>
      </c>
      <c r="D686" s="7" t="s">
        <v>10</v>
      </c>
    </row>
    <row r="687">
      <c r="A687" s="1" t="s">
        <v>3409</v>
      </c>
      <c r="B687" s="1" t="s">
        <v>3408</v>
      </c>
      <c r="C687" s="1" t="s">
        <v>12809</v>
      </c>
      <c r="D687" s="7" t="s">
        <v>10</v>
      </c>
    </row>
    <row r="688">
      <c r="A688" s="1" t="s">
        <v>3414</v>
      </c>
      <c r="B688" s="1" t="s">
        <v>3413</v>
      </c>
      <c r="C688" s="1" t="s">
        <v>12810</v>
      </c>
      <c r="D688" s="7" t="s">
        <v>10</v>
      </c>
    </row>
    <row r="689">
      <c r="A689" s="1" t="s">
        <v>3419</v>
      </c>
      <c r="B689" s="1" t="s">
        <v>3418</v>
      </c>
      <c r="C689" s="1" t="s">
        <v>12811</v>
      </c>
      <c r="D689" s="7" t="s">
        <v>10</v>
      </c>
    </row>
    <row r="690">
      <c r="A690" s="1" t="s">
        <v>3424</v>
      </c>
      <c r="B690" s="1" t="s">
        <v>3423</v>
      </c>
      <c r="C690" s="1" t="s">
        <v>12812</v>
      </c>
      <c r="D690" s="7" t="s">
        <v>10</v>
      </c>
    </row>
    <row r="691">
      <c r="A691" s="1" t="s">
        <v>3429</v>
      </c>
      <c r="B691" s="1" t="s">
        <v>3428</v>
      </c>
      <c r="C691" s="1" t="s">
        <v>12813</v>
      </c>
      <c r="D691" s="7" t="s">
        <v>10</v>
      </c>
    </row>
    <row r="692">
      <c r="A692" s="1" t="s">
        <v>3434</v>
      </c>
      <c r="B692" s="1" t="s">
        <v>3433</v>
      </c>
      <c r="C692" s="1" t="s">
        <v>12814</v>
      </c>
      <c r="D692" s="7" t="s">
        <v>10</v>
      </c>
    </row>
    <row r="693">
      <c r="A693" s="1" t="s">
        <v>3439</v>
      </c>
      <c r="B693" s="1" t="s">
        <v>3438</v>
      </c>
      <c r="C693" s="1" t="s">
        <v>12815</v>
      </c>
      <c r="D693" s="7" t="s">
        <v>10</v>
      </c>
    </row>
    <row r="694">
      <c r="A694" s="1" t="s">
        <v>3444</v>
      </c>
      <c r="B694" s="1" t="s">
        <v>3443</v>
      </c>
      <c r="C694" s="1" t="s">
        <v>12816</v>
      </c>
      <c r="D694" s="7" t="s">
        <v>10</v>
      </c>
    </row>
    <row r="695">
      <c r="A695" s="1" t="s">
        <v>3449</v>
      </c>
      <c r="B695" s="1" t="s">
        <v>3448</v>
      </c>
      <c r="C695" s="1" t="s">
        <v>12817</v>
      </c>
      <c r="D695" s="7" t="s">
        <v>10</v>
      </c>
    </row>
    <row r="696">
      <c r="A696" s="1" t="s">
        <v>3454</v>
      </c>
      <c r="B696" s="1" t="s">
        <v>3453</v>
      </c>
      <c r="C696" s="1" t="s">
        <v>12818</v>
      </c>
      <c r="D696" s="7" t="s">
        <v>10</v>
      </c>
    </row>
    <row r="697">
      <c r="A697" s="1" t="s">
        <v>3459</v>
      </c>
      <c r="B697" s="1" t="s">
        <v>3458</v>
      </c>
      <c r="C697" s="1" t="s">
        <v>12819</v>
      </c>
      <c r="D697" s="7" t="s">
        <v>10</v>
      </c>
    </row>
    <row r="698">
      <c r="A698" s="1" t="s">
        <v>3464</v>
      </c>
      <c r="B698" s="1" t="s">
        <v>3463</v>
      </c>
      <c r="C698" s="1" t="s">
        <v>12820</v>
      </c>
      <c r="D698" s="7" t="s">
        <v>10</v>
      </c>
    </row>
    <row r="699">
      <c r="A699" s="1" t="s">
        <v>3469</v>
      </c>
      <c r="B699" s="1" t="s">
        <v>3468</v>
      </c>
      <c r="C699" s="1" t="s">
        <v>12821</v>
      </c>
      <c r="D699" s="7" t="s">
        <v>10</v>
      </c>
    </row>
    <row r="700">
      <c r="A700" s="1" t="s">
        <v>3474</v>
      </c>
      <c r="B700" s="1" t="s">
        <v>3473</v>
      </c>
      <c r="C700" s="1" t="s">
        <v>12822</v>
      </c>
      <c r="D700" s="7" t="s">
        <v>10</v>
      </c>
    </row>
    <row r="701">
      <c r="A701" s="1" t="s">
        <v>3479</v>
      </c>
      <c r="B701" s="1" t="s">
        <v>3478</v>
      </c>
      <c r="C701" s="1" t="s">
        <v>12823</v>
      </c>
      <c r="D701" s="7" t="s">
        <v>10</v>
      </c>
    </row>
    <row r="702">
      <c r="A702" s="1" t="s">
        <v>3484</v>
      </c>
      <c r="B702" s="1" t="s">
        <v>3483</v>
      </c>
      <c r="C702" s="1" t="s">
        <v>12824</v>
      </c>
      <c r="D702" s="7" t="s">
        <v>10</v>
      </c>
    </row>
    <row r="703">
      <c r="A703" s="1" t="s">
        <v>3489</v>
      </c>
      <c r="B703" s="1" t="s">
        <v>3488</v>
      </c>
      <c r="C703" s="1" t="s">
        <v>12825</v>
      </c>
      <c r="D703" s="7" t="s">
        <v>10</v>
      </c>
    </row>
    <row r="704">
      <c r="A704" s="1" t="s">
        <v>3494</v>
      </c>
      <c r="B704" s="1" t="s">
        <v>3493</v>
      </c>
      <c r="C704" s="1" t="s">
        <v>12826</v>
      </c>
      <c r="D704" s="7" t="s">
        <v>10</v>
      </c>
    </row>
    <row r="705">
      <c r="A705" s="1" t="s">
        <v>3499</v>
      </c>
      <c r="B705" s="1" t="s">
        <v>3498</v>
      </c>
      <c r="C705" s="1" t="s">
        <v>12827</v>
      </c>
      <c r="D705" s="7" t="s">
        <v>10</v>
      </c>
    </row>
    <row r="706">
      <c r="A706" s="1" t="s">
        <v>3504</v>
      </c>
      <c r="B706" s="1" t="s">
        <v>3503</v>
      </c>
      <c r="C706" s="1" t="s">
        <v>12828</v>
      </c>
      <c r="D706" s="7" t="s">
        <v>10</v>
      </c>
    </row>
    <row r="707">
      <c r="A707" s="1" t="s">
        <v>3509</v>
      </c>
      <c r="B707" s="1" t="s">
        <v>3508</v>
      </c>
      <c r="C707" s="1" t="s">
        <v>12829</v>
      </c>
      <c r="D707" s="7" t="s">
        <v>10</v>
      </c>
    </row>
    <row r="708">
      <c r="A708" s="1" t="s">
        <v>3514</v>
      </c>
      <c r="B708" s="1" t="s">
        <v>3513</v>
      </c>
      <c r="C708" s="1" t="s">
        <v>12830</v>
      </c>
      <c r="D708" s="7" t="s">
        <v>10</v>
      </c>
    </row>
    <row r="709">
      <c r="A709" s="1" t="s">
        <v>3519</v>
      </c>
      <c r="B709" s="1" t="s">
        <v>3518</v>
      </c>
      <c r="C709" s="1" t="s">
        <v>12831</v>
      </c>
      <c r="D709" s="7" t="s">
        <v>10</v>
      </c>
    </row>
    <row r="710">
      <c r="A710" s="1" t="s">
        <v>3524</v>
      </c>
      <c r="B710" s="1" t="s">
        <v>3523</v>
      </c>
      <c r="C710" s="1" t="s">
        <v>12832</v>
      </c>
      <c r="D710" s="7" t="s">
        <v>10</v>
      </c>
    </row>
    <row r="711">
      <c r="A711" s="1" t="s">
        <v>3529</v>
      </c>
      <c r="B711" s="1" t="s">
        <v>3528</v>
      </c>
      <c r="C711" s="1" t="s">
        <v>12833</v>
      </c>
      <c r="D711" s="7" t="s">
        <v>10</v>
      </c>
    </row>
    <row r="712">
      <c r="A712" s="1" t="s">
        <v>3534</v>
      </c>
      <c r="B712" s="1" t="s">
        <v>3533</v>
      </c>
      <c r="C712" s="1" t="s">
        <v>12834</v>
      </c>
      <c r="D712" s="7" t="s">
        <v>10</v>
      </c>
    </row>
    <row r="713">
      <c r="A713" s="1" t="s">
        <v>3539</v>
      </c>
      <c r="B713" s="1" t="s">
        <v>3538</v>
      </c>
      <c r="C713" s="1" t="s">
        <v>12835</v>
      </c>
      <c r="D713" s="7" t="s">
        <v>10</v>
      </c>
    </row>
    <row r="714">
      <c r="A714" s="1" t="s">
        <v>3544</v>
      </c>
      <c r="B714" s="1" t="s">
        <v>3543</v>
      </c>
      <c r="C714" s="1" t="s">
        <v>12836</v>
      </c>
      <c r="D714" s="7" t="s">
        <v>10</v>
      </c>
    </row>
    <row r="715">
      <c r="A715" s="1" t="s">
        <v>3549</v>
      </c>
      <c r="B715" s="1" t="s">
        <v>3548</v>
      </c>
      <c r="C715" s="1" t="s">
        <v>12837</v>
      </c>
      <c r="D715" s="7" t="s">
        <v>10</v>
      </c>
    </row>
    <row r="716">
      <c r="A716" s="1" t="s">
        <v>3554</v>
      </c>
      <c r="B716" s="1" t="s">
        <v>3553</v>
      </c>
      <c r="C716" s="1" t="s">
        <v>12838</v>
      </c>
      <c r="D716" s="7" t="s">
        <v>10</v>
      </c>
    </row>
    <row r="717">
      <c r="A717" s="1" t="s">
        <v>3559</v>
      </c>
      <c r="B717" s="1" t="s">
        <v>3558</v>
      </c>
      <c r="C717" s="1" t="s">
        <v>12839</v>
      </c>
      <c r="D717" s="7" t="s">
        <v>10</v>
      </c>
    </row>
    <row r="718">
      <c r="A718" s="1" t="s">
        <v>3564</v>
      </c>
      <c r="B718" s="1" t="s">
        <v>3563</v>
      </c>
      <c r="C718" s="1" t="s">
        <v>12840</v>
      </c>
      <c r="D718" s="7" t="s">
        <v>10</v>
      </c>
    </row>
    <row r="719">
      <c r="A719" s="1" t="s">
        <v>3569</v>
      </c>
      <c r="B719" s="1" t="s">
        <v>3568</v>
      </c>
      <c r="C719" s="1" t="s">
        <v>12841</v>
      </c>
      <c r="D719" s="7" t="s">
        <v>10</v>
      </c>
    </row>
    <row r="720">
      <c r="A720" s="1" t="s">
        <v>3574</v>
      </c>
      <c r="B720" s="1" t="s">
        <v>3573</v>
      </c>
      <c r="C720" s="1" t="s">
        <v>12842</v>
      </c>
      <c r="D720" s="7" t="s">
        <v>10</v>
      </c>
    </row>
    <row r="721">
      <c r="A721" s="1" t="s">
        <v>3579</v>
      </c>
      <c r="B721" s="1" t="s">
        <v>3578</v>
      </c>
      <c r="C721" s="1" t="s">
        <v>12843</v>
      </c>
      <c r="D721" s="7" t="s">
        <v>10</v>
      </c>
    </row>
    <row r="722">
      <c r="A722" s="1" t="s">
        <v>3584</v>
      </c>
      <c r="B722" s="1" t="s">
        <v>3583</v>
      </c>
      <c r="C722" s="1" t="s">
        <v>12844</v>
      </c>
      <c r="D722" s="7" t="s">
        <v>10</v>
      </c>
    </row>
    <row r="723">
      <c r="A723" s="1" t="s">
        <v>3589</v>
      </c>
      <c r="B723" s="1" t="s">
        <v>3588</v>
      </c>
      <c r="C723" s="1" t="s">
        <v>12845</v>
      </c>
      <c r="D723" s="7" t="s">
        <v>10</v>
      </c>
    </row>
    <row r="724">
      <c r="A724" s="1" t="s">
        <v>3594</v>
      </c>
      <c r="B724" s="1" t="s">
        <v>3593</v>
      </c>
      <c r="C724" s="1" t="s">
        <v>12846</v>
      </c>
      <c r="D724" s="7" t="s">
        <v>10</v>
      </c>
    </row>
    <row r="725">
      <c r="A725" s="1" t="s">
        <v>3599</v>
      </c>
      <c r="B725" s="1" t="s">
        <v>3598</v>
      </c>
      <c r="C725" s="1" t="s">
        <v>12847</v>
      </c>
      <c r="D725" s="7" t="s">
        <v>10</v>
      </c>
    </row>
    <row r="726">
      <c r="A726" s="1" t="s">
        <v>3604</v>
      </c>
      <c r="B726" s="1" t="s">
        <v>3603</v>
      </c>
      <c r="C726" s="1" t="s">
        <v>12848</v>
      </c>
      <c r="D726" s="7" t="s">
        <v>10</v>
      </c>
    </row>
    <row r="727">
      <c r="A727" s="1" t="s">
        <v>3609</v>
      </c>
      <c r="B727" s="1" t="s">
        <v>3608</v>
      </c>
      <c r="C727" s="1" t="s">
        <v>12849</v>
      </c>
      <c r="D727" s="7" t="s">
        <v>10</v>
      </c>
    </row>
    <row r="728">
      <c r="A728" s="1" t="s">
        <v>3614</v>
      </c>
      <c r="B728" s="1" t="s">
        <v>3613</v>
      </c>
      <c r="C728" s="1" t="s">
        <v>12850</v>
      </c>
      <c r="D728" s="7" t="s">
        <v>10</v>
      </c>
    </row>
    <row r="729">
      <c r="A729" s="1" t="s">
        <v>3619</v>
      </c>
      <c r="B729" s="1" t="s">
        <v>3618</v>
      </c>
      <c r="C729" s="1" t="s">
        <v>12851</v>
      </c>
      <c r="D729" s="7" t="s">
        <v>10</v>
      </c>
    </row>
    <row r="730">
      <c r="A730" s="1" t="s">
        <v>3624</v>
      </c>
      <c r="B730" s="1" t="s">
        <v>3623</v>
      </c>
      <c r="C730" s="1" t="s">
        <v>12852</v>
      </c>
      <c r="D730" s="7" t="s">
        <v>10</v>
      </c>
    </row>
    <row r="731">
      <c r="A731" s="1" t="s">
        <v>3629</v>
      </c>
      <c r="B731" s="1" t="s">
        <v>3628</v>
      </c>
      <c r="C731" s="1" t="s">
        <v>12853</v>
      </c>
      <c r="D731" s="7" t="s">
        <v>10</v>
      </c>
    </row>
    <row r="732">
      <c r="A732" s="1" t="s">
        <v>3634</v>
      </c>
      <c r="B732" s="1" t="s">
        <v>3633</v>
      </c>
      <c r="C732" s="1" t="s">
        <v>12854</v>
      </c>
      <c r="D732" s="7" t="s">
        <v>10</v>
      </c>
    </row>
    <row r="733">
      <c r="A733" s="1" t="s">
        <v>3639</v>
      </c>
      <c r="B733" s="1" t="s">
        <v>3638</v>
      </c>
      <c r="C733" s="1" t="s">
        <v>12855</v>
      </c>
      <c r="D733" s="7" t="s">
        <v>10</v>
      </c>
    </row>
    <row r="734">
      <c r="A734" s="1" t="s">
        <v>3644</v>
      </c>
      <c r="B734" s="1" t="s">
        <v>3643</v>
      </c>
      <c r="C734" s="1" t="s">
        <v>12856</v>
      </c>
      <c r="D734" s="7" t="s">
        <v>10</v>
      </c>
    </row>
    <row r="735">
      <c r="A735" s="1" t="s">
        <v>3649</v>
      </c>
      <c r="B735" s="1" t="s">
        <v>3648</v>
      </c>
      <c r="C735" s="1" t="s">
        <v>12857</v>
      </c>
      <c r="D735" s="7" t="s">
        <v>10</v>
      </c>
    </row>
    <row r="736">
      <c r="A736" s="1" t="s">
        <v>3654</v>
      </c>
      <c r="B736" s="1" t="s">
        <v>3653</v>
      </c>
      <c r="C736" s="1" t="s">
        <v>12858</v>
      </c>
      <c r="D736" s="7" t="s">
        <v>10</v>
      </c>
    </row>
    <row r="737">
      <c r="A737" s="1" t="s">
        <v>3659</v>
      </c>
      <c r="B737" s="1" t="s">
        <v>3658</v>
      </c>
      <c r="C737" s="1" t="s">
        <v>12859</v>
      </c>
      <c r="D737" s="7" t="s">
        <v>10</v>
      </c>
    </row>
    <row r="738">
      <c r="A738" s="1" t="s">
        <v>3663</v>
      </c>
      <c r="B738" s="1" t="s">
        <v>3663</v>
      </c>
      <c r="C738" s="1" t="s">
        <v>12860</v>
      </c>
      <c r="D738" s="7" t="s">
        <v>10</v>
      </c>
    </row>
    <row r="739">
      <c r="A739" s="1" t="s">
        <v>3668</v>
      </c>
      <c r="B739" s="1" t="s">
        <v>3667</v>
      </c>
      <c r="C739" s="1" t="s">
        <v>12861</v>
      </c>
      <c r="D739" s="7" t="s">
        <v>10</v>
      </c>
    </row>
    <row r="740">
      <c r="A740" s="1" t="s">
        <v>3673</v>
      </c>
      <c r="B740" s="1" t="s">
        <v>3672</v>
      </c>
      <c r="C740" s="1" t="s">
        <v>12862</v>
      </c>
      <c r="D740" s="7" t="s">
        <v>10</v>
      </c>
    </row>
    <row r="741">
      <c r="A741" s="1" t="s">
        <v>3678</v>
      </c>
      <c r="B741" s="1" t="s">
        <v>3677</v>
      </c>
      <c r="C741" s="1" t="s">
        <v>12863</v>
      </c>
      <c r="D741" s="7" t="s">
        <v>10</v>
      </c>
    </row>
    <row r="742">
      <c r="A742" s="1" t="s">
        <v>3683</v>
      </c>
      <c r="B742" s="1" t="s">
        <v>3682</v>
      </c>
      <c r="C742" s="1" t="s">
        <v>12864</v>
      </c>
      <c r="D742" s="7" t="s">
        <v>10</v>
      </c>
    </row>
    <row r="743">
      <c r="A743" s="1" t="s">
        <v>3688</v>
      </c>
      <c r="B743" s="1" t="s">
        <v>3687</v>
      </c>
      <c r="C743" s="1" t="s">
        <v>12865</v>
      </c>
      <c r="D743" s="7" t="s">
        <v>10</v>
      </c>
    </row>
    <row r="744">
      <c r="A744" s="1" t="s">
        <v>3693</v>
      </c>
      <c r="B744" s="1" t="s">
        <v>3692</v>
      </c>
      <c r="C744" s="1" t="s">
        <v>12866</v>
      </c>
      <c r="D744" s="7" t="s">
        <v>10</v>
      </c>
    </row>
    <row r="745">
      <c r="A745" s="1" t="s">
        <v>3698</v>
      </c>
      <c r="B745" s="1" t="s">
        <v>3697</v>
      </c>
      <c r="C745" s="1" t="s">
        <v>12867</v>
      </c>
      <c r="D745" s="7" t="s">
        <v>10</v>
      </c>
    </row>
    <row r="746">
      <c r="A746" s="1" t="s">
        <v>3703</v>
      </c>
      <c r="B746" s="1" t="s">
        <v>3702</v>
      </c>
      <c r="C746" s="1" t="s">
        <v>12868</v>
      </c>
      <c r="D746" s="7" t="s">
        <v>10</v>
      </c>
    </row>
    <row r="747">
      <c r="A747" s="1" t="s">
        <v>3708</v>
      </c>
      <c r="B747" s="1" t="s">
        <v>3707</v>
      </c>
      <c r="C747" s="1" t="s">
        <v>12869</v>
      </c>
      <c r="D747" s="7" t="s">
        <v>10</v>
      </c>
    </row>
    <row r="748">
      <c r="A748" s="1" t="s">
        <v>3712</v>
      </c>
      <c r="B748" s="1" t="s">
        <v>3712</v>
      </c>
      <c r="C748" s="1" t="s">
        <v>12870</v>
      </c>
      <c r="D748" s="7" t="s">
        <v>10</v>
      </c>
    </row>
    <row r="749">
      <c r="A749" s="1" t="s">
        <v>3717</v>
      </c>
      <c r="B749" s="1" t="s">
        <v>3716</v>
      </c>
      <c r="C749" s="1" t="s">
        <v>12871</v>
      </c>
      <c r="D749" s="7" t="s">
        <v>10</v>
      </c>
    </row>
    <row r="750">
      <c r="A750" s="1" t="s">
        <v>3722</v>
      </c>
      <c r="B750" s="1" t="s">
        <v>3721</v>
      </c>
      <c r="C750" s="1" t="s">
        <v>12872</v>
      </c>
      <c r="D750" s="7" t="s">
        <v>10</v>
      </c>
    </row>
    <row r="751">
      <c r="A751" s="1" t="s">
        <v>3727</v>
      </c>
      <c r="B751" s="1" t="s">
        <v>3726</v>
      </c>
      <c r="C751" s="1" t="s">
        <v>12873</v>
      </c>
      <c r="D751" s="7" t="s">
        <v>10</v>
      </c>
    </row>
    <row r="752">
      <c r="A752" s="1" t="s">
        <v>3732</v>
      </c>
      <c r="B752" s="1" t="s">
        <v>3731</v>
      </c>
      <c r="C752" s="1" t="s">
        <v>12874</v>
      </c>
      <c r="D752" s="7" t="s">
        <v>10</v>
      </c>
    </row>
    <row r="753">
      <c r="A753" s="1" t="s">
        <v>3737</v>
      </c>
      <c r="B753" s="1" t="s">
        <v>3736</v>
      </c>
      <c r="C753" s="1" t="s">
        <v>12875</v>
      </c>
      <c r="D753" s="7" t="s">
        <v>10</v>
      </c>
    </row>
    <row r="754">
      <c r="A754" s="1" t="s">
        <v>3742</v>
      </c>
      <c r="B754" s="1" t="s">
        <v>3741</v>
      </c>
      <c r="C754" s="1" t="s">
        <v>12876</v>
      </c>
      <c r="D754" s="7" t="s">
        <v>10</v>
      </c>
    </row>
    <row r="755">
      <c r="A755" s="1" t="s">
        <v>3747</v>
      </c>
      <c r="B755" s="1" t="s">
        <v>3746</v>
      </c>
      <c r="C755" s="1" t="s">
        <v>12877</v>
      </c>
      <c r="D755" s="7" t="s">
        <v>10</v>
      </c>
    </row>
    <row r="756">
      <c r="A756" s="1" t="s">
        <v>3752</v>
      </c>
      <c r="B756" s="1" t="s">
        <v>3751</v>
      </c>
      <c r="C756" s="1" t="s">
        <v>12878</v>
      </c>
      <c r="D756" s="7" t="s">
        <v>10</v>
      </c>
    </row>
    <row r="757">
      <c r="A757" s="1" t="s">
        <v>3757</v>
      </c>
      <c r="B757" s="1" t="s">
        <v>3756</v>
      </c>
      <c r="C757" s="1" t="s">
        <v>12879</v>
      </c>
      <c r="D757" s="7" t="s">
        <v>10</v>
      </c>
    </row>
    <row r="758">
      <c r="A758" s="1" t="s">
        <v>3762</v>
      </c>
      <c r="B758" s="1" t="s">
        <v>3761</v>
      </c>
      <c r="C758" s="1" t="s">
        <v>12880</v>
      </c>
      <c r="D758" s="7" t="s">
        <v>10</v>
      </c>
    </row>
    <row r="759">
      <c r="A759" s="1" t="s">
        <v>3767</v>
      </c>
      <c r="B759" s="1" t="s">
        <v>3766</v>
      </c>
      <c r="C759" s="1" t="s">
        <v>12881</v>
      </c>
      <c r="D759" s="7" t="s">
        <v>10</v>
      </c>
    </row>
    <row r="760">
      <c r="A760" s="1" t="s">
        <v>3772</v>
      </c>
      <c r="B760" s="1" t="s">
        <v>3771</v>
      </c>
      <c r="C760" s="1" t="s">
        <v>12882</v>
      </c>
      <c r="D760" s="7" t="s">
        <v>10</v>
      </c>
    </row>
    <row r="761">
      <c r="A761" s="1" t="s">
        <v>3777</v>
      </c>
      <c r="B761" s="1" t="s">
        <v>3776</v>
      </c>
      <c r="C761" s="1" t="s">
        <v>12883</v>
      </c>
      <c r="D761" s="7" t="s">
        <v>10</v>
      </c>
    </row>
    <row r="762">
      <c r="A762" s="1" t="s">
        <v>3782</v>
      </c>
      <c r="B762" s="1" t="s">
        <v>3781</v>
      </c>
      <c r="C762" s="1" t="s">
        <v>12884</v>
      </c>
      <c r="D762" s="7" t="s">
        <v>10</v>
      </c>
    </row>
    <row r="763">
      <c r="A763" s="1" t="s">
        <v>3787</v>
      </c>
      <c r="B763" s="1" t="s">
        <v>3786</v>
      </c>
      <c r="C763" s="1" t="s">
        <v>12885</v>
      </c>
      <c r="D763" s="7" t="s">
        <v>10</v>
      </c>
    </row>
    <row r="764">
      <c r="A764" s="1" t="s">
        <v>3792</v>
      </c>
      <c r="B764" s="1" t="s">
        <v>3791</v>
      </c>
      <c r="C764" s="1" t="s">
        <v>12886</v>
      </c>
      <c r="D764" s="7" t="s">
        <v>10</v>
      </c>
    </row>
    <row r="765">
      <c r="A765" s="1" t="s">
        <v>3797</v>
      </c>
      <c r="B765" s="1" t="s">
        <v>3796</v>
      </c>
      <c r="C765" s="1" t="s">
        <v>12887</v>
      </c>
      <c r="D765" s="7" t="s">
        <v>10</v>
      </c>
    </row>
    <row r="766">
      <c r="A766" s="1" t="s">
        <v>3802</v>
      </c>
      <c r="B766" s="1" t="s">
        <v>3801</v>
      </c>
      <c r="C766" s="1" t="s">
        <v>12888</v>
      </c>
      <c r="D766" s="7" t="s">
        <v>10</v>
      </c>
    </row>
    <row r="767">
      <c r="A767" s="1" t="s">
        <v>3807</v>
      </c>
      <c r="B767" s="1" t="s">
        <v>3806</v>
      </c>
      <c r="C767" s="1" t="s">
        <v>12889</v>
      </c>
      <c r="D767" s="7" t="s">
        <v>10</v>
      </c>
    </row>
    <row r="768">
      <c r="A768" s="1" t="s">
        <v>3812</v>
      </c>
      <c r="B768" s="1" t="s">
        <v>3811</v>
      </c>
      <c r="C768" s="1" t="s">
        <v>12890</v>
      </c>
      <c r="D768" s="7" t="s">
        <v>10</v>
      </c>
    </row>
    <row r="769">
      <c r="A769" s="1" t="s">
        <v>3817</v>
      </c>
      <c r="B769" s="1" t="s">
        <v>3816</v>
      </c>
      <c r="C769" s="1" t="s">
        <v>12891</v>
      </c>
      <c r="D769" s="7" t="s">
        <v>10</v>
      </c>
    </row>
    <row r="770">
      <c r="A770" s="1" t="s">
        <v>3822</v>
      </c>
      <c r="B770" s="1" t="s">
        <v>3821</v>
      </c>
      <c r="C770" s="1" t="s">
        <v>12892</v>
      </c>
      <c r="D770" s="7" t="s">
        <v>10</v>
      </c>
    </row>
    <row r="771">
      <c r="A771" s="1" t="s">
        <v>3827</v>
      </c>
      <c r="B771" s="1" t="s">
        <v>3826</v>
      </c>
      <c r="C771" s="1" t="s">
        <v>12893</v>
      </c>
      <c r="D771" s="7" t="s">
        <v>10</v>
      </c>
    </row>
    <row r="772">
      <c r="A772" s="1" t="s">
        <v>3832</v>
      </c>
      <c r="B772" s="1" t="s">
        <v>3831</v>
      </c>
      <c r="C772" s="1" t="s">
        <v>12894</v>
      </c>
      <c r="D772" s="7" t="s">
        <v>10</v>
      </c>
    </row>
    <row r="773">
      <c r="A773" s="1" t="s">
        <v>3837</v>
      </c>
      <c r="B773" s="1" t="s">
        <v>3836</v>
      </c>
      <c r="C773" s="1" t="s">
        <v>12895</v>
      </c>
      <c r="D773" s="7" t="s">
        <v>10</v>
      </c>
    </row>
    <row r="774">
      <c r="A774" s="1" t="s">
        <v>3842</v>
      </c>
      <c r="B774" s="1" t="s">
        <v>3841</v>
      </c>
      <c r="C774" s="1" t="s">
        <v>12896</v>
      </c>
      <c r="D774" s="7" t="s">
        <v>10</v>
      </c>
    </row>
    <row r="775">
      <c r="A775" s="1" t="s">
        <v>3847</v>
      </c>
      <c r="B775" s="1" t="s">
        <v>3846</v>
      </c>
      <c r="C775" s="1" t="s">
        <v>12897</v>
      </c>
      <c r="D775" s="7" t="s">
        <v>10</v>
      </c>
    </row>
    <row r="776">
      <c r="A776" s="1" t="s">
        <v>3852</v>
      </c>
      <c r="B776" s="1" t="s">
        <v>3851</v>
      </c>
      <c r="C776" s="1" t="s">
        <v>12898</v>
      </c>
      <c r="D776" s="7" t="s">
        <v>10</v>
      </c>
    </row>
    <row r="777">
      <c r="A777" s="1" t="s">
        <v>3857</v>
      </c>
      <c r="B777" s="1" t="s">
        <v>3856</v>
      </c>
      <c r="C777" s="1" t="s">
        <v>12899</v>
      </c>
      <c r="D777" s="7" t="s">
        <v>10</v>
      </c>
    </row>
    <row r="778">
      <c r="A778" s="1" t="s">
        <v>3862</v>
      </c>
      <c r="B778" s="1" t="s">
        <v>3861</v>
      </c>
      <c r="C778" s="1" t="s">
        <v>12900</v>
      </c>
      <c r="D778" s="7" t="s">
        <v>10</v>
      </c>
    </row>
    <row r="779">
      <c r="A779" s="1" t="s">
        <v>3867</v>
      </c>
      <c r="B779" s="1" t="s">
        <v>3866</v>
      </c>
      <c r="C779" s="1" t="s">
        <v>12901</v>
      </c>
      <c r="D779" s="7" t="s">
        <v>10</v>
      </c>
    </row>
    <row r="780">
      <c r="A780" s="1" t="s">
        <v>3872</v>
      </c>
      <c r="B780" s="1" t="s">
        <v>3871</v>
      </c>
      <c r="C780" s="1" t="s">
        <v>12902</v>
      </c>
      <c r="D780" s="7" t="s">
        <v>10</v>
      </c>
    </row>
    <row r="781">
      <c r="A781" s="1" t="s">
        <v>3877</v>
      </c>
      <c r="B781" s="1" t="s">
        <v>3876</v>
      </c>
      <c r="C781" s="1" t="s">
        <v>12903</v>
      </c>
      <c r="D781" s="7" t="s">
        <v>10</v>
      </c>
    </row>
    <row r="782">
      <c r="A782" s="1" t="s">
        <v>3882</v>
      </c>
      <c r="B782" s="1" t="s">
        <v>3881</v>
      </c>
      <c r="C782" s="1" t="s">
        <v>12904</v>
      </c>
      <c r="D782" s="7" t="s">
        <v>10</v>
      </c>
    </row>
    <row r="783">
      <c r="A783" s="1" t="s">
        <v>3887</v>
      </c>
      <c r="B783" s="1" t="s">
        <v>3886</v>
      </c>
      <c r="C783" s="1" t="s">
        <v>12905</v>
      </c>
      <c r="D783" s="7" t="s">
        <v>10</v>
      </c>
    </row>
    <row r="784">
      <c r="A784" s="1" t="s">
        <v>3892</v>
      </c>
      <c r="B784" s="1" t="s">
        <v>3891</v>
      </c>
      <c r="C784" s="1" t="s">
        <v>12906</v>
      </c>
      <c r="D784" s="7" t="s">
        <v>10</v>
      </c>
    </row>
    <row r="785">
      <c r="A785" s="1" t="s">
        <v>3897</v>
      </c>
      <c r="B785" s="1" t="s">
        <v>3896</v>
      </c>
      <c r="C785" s="1" t="s">
        <v>12907</v>
      </c>
      <c r="D785" s="7" t="s">
        <v>10</v>
      </c>
    </row>
    <row r="786">
      <c r="A786" s="1" t="s">
        <v>3902</v>
      </c>
      <c r="B786" s="1" t="s">
        <v>3901</v>
      </c>
      <c r="C786" s="1" t="s">
        <v>12908</v>
      </c>
      <c r="D786" s="7" t="s">
        <v>10</v>
      </c>
    </row>
    <row r="787">
      <c r="A787" s="1" t="s">
        <v>3907</v>
      </c>
      <c r="B787" s="1" t="s">
        <v>3906</v>
      </c>
      <c r="C787" s="1" t="s">
        <v>12909</v>
      </c>
      <c r="D787" s="7" t="s">
        <v>10</v>
      </c>
    </row>
    <row r="788">
      <c r="A788" s="1" t="s">
        <v>3912</v>
      </c>
      <c r="B788" s="1" t="s">
        <v>3911</v>
      </c>
      <c r="C788" s="1" t="s">
        <v>12910</v>
      </c>
      <c r="D788" s="7" t="s">
        <v>10</v>
      </c>
    </row>
    <row r="789">
      <c r="A789" s="1" t="s">
        <v>3917</v>
      </c>
      <c r="B789" s="1" t="s">
        <v>3916</v>
      </c>
      <c r="C789" s="1" t="s">
        <v>12911</v>
      </c>
      <c r="D789" s="7" t="s">
        <v>10</v>
      </c>
    </row>
    <row r="790">
      <c r="A790" s="1" t="s">
        <v>3922</v>
      </c>
      <c r="B790" s="1" t="s">
        <v>3921</v>
      </c>
      <c r="C790" s="1" t="s">
        <v>12912</v>
      </c>
      <c r="D790" s="7" t="s">
        <v>10</v>
      </c>
    </row>
    <row r="791">
      <c r="A791" s="1" t="s">
        <v>3927</v>
      </c>
      <c r="B791" s="1" t="s">
        <v>3926</v>
      </c>
      <c r="C791" s="1" t="s">
        <v>12913</v>
      </c>
      <c r="D791" s="7" t="s">
        <v>10</v>
      </c>
    </row>
    <row r="792">
      <c r="A792" s="1" t="s">
        <v>3932</v>
      </c>
      <c r="B792" s="1" t="s">
        <v>3931</v>
      </c>
      <c r="C792" s="1" t="s">
        <v>12914</v>
      </c>
      <c r="D792" s="7" t="s">
        <v>10</v>
      </c>
    </row>
    <row r="793">
      <c r="A793" s="1" t="s">
        <v>3936</v>
      </c>
      <c r="B793" s="1" t="s">
        <v>3936</v>
      </c>
      <c r="C793" s="1" t="s">
        <v>12915</v>
      </c>
      <c r="D793" s="7" t="s">
        <v>10</v>
      </c>
    </row>
    <row r="794">
      <c r="A794" s="1" t="s">
        <v>3941</v>
      </c>
      <c r="B794" s="1" t="s">
        <v>3940</v>
      </c>
      <c r="C794" s="1" t="s">
        <v>12916</v>
      </c>
      <c r="D794" s="7" t="s">
        <v>10</v>
      </c>
    </row>
    <row r="795">
      <c r="A795" s="1" t="s">
        <v>3946</v>
      </c>
      <c r="B795" s="1" t="s">
        <v>3945</v>
      </c>
      <c r="C795" s="1" t="s">
        <v>12917</v>
      </c>
      <c r="D795" s="7" t="s">
        <v>10</v>
      </c>
    </row>
    <row r="796">
      <c r="A796" s="1" t="s">
        <v>3951</v>
      </c>
      <c r="B796" s="1" t="s">
        <v>3950</v>
      </c>
      <c r="C796" s="1" t="s">
        <v>12918</v>
      </c>
      <c r="D796" s="7" t="s">
        <v>10</v>
      </c>
    </row>
    <row r="797">
      <c r="A797" s="1" t="s">
        <v>3956</v>
      </c>
      <c r="B797" s="1" t="s">
        <v>3955</v>
      </c>
      <c r="C797" s="1" t="s">
        <v>12919</v>
      </c>
      <c r="D797" s="7" t="s">
        <v>10</v>
      </c>
    </row>
    <row r="798">
      <c r="A798" s="1" t="s">
        <v>3961</v>
      </c>
      <c r="B798" s="1" t="s">
        <v>3960</v>
      </c>
      <c r="C798" s="1" t="s">
        <v>12920</v>
      </c>
      <c r="D798" s="7" t="s">
        <v>10</v>
      </c>
    </row>
    <row r="799">
      <c r="A799" s="1" t="s">
        <v>3966</v>
      </c>
      <c r="B799" s="1" t="s">
        <v>3965</v>
      </c>
      <c r="C799" s="1" t="s">
        <v>12921</v>
      </c>
      <c r="D799" s="7" t="s">
        <v>10</v>
      </c>
    </row>
    <row r="800">
      <c r="A800" s="1" t="s">
        <v>3971</v>
      </c>
      <c r="B800" s="1" t="s">
        <v>3970</v>
      </c>
      <c r="C800" s="1" t="s">
        <v>12922</v>
      </c>
      <c r="D800" s="7" t="s">
        <v>10</v>
      </c>
    </row>
    <row r="801">
      <c r="A801" s="1" t="s">
        <v>3976</v>
      </c>
      <c r="B801" s="1" t="s">
        <v>3975</v>
      </c>
      <c r="C801" s="1" t="s">
        <v>12923</v>
      </c>
      <c r="D801" s="7" t="s">
        <v>10</v>
      </c>
    </row>
    <row r="802">
      <c r="A802" s="1" t="s">
        <v>3981</v>
      </c>
      <c r="B802" s="1" t="s">
        <v>3980</v>
      </c>
      <c r="C802" s="1" t="s">
        <v>12924</v>
      </c>
      <c r="D802" s="7" t="s">
        <v>10</v>
      </c>
    </row>
    <row r="803">
      <c r="A803" s="1" t="s">
        <v>3986</v>
      </c>
      <c r="B803" s="1" t="s">
        <v>3985</v>
      </c>
      <c r="C803" s="1" t="s">
        <v>12925</v>
      </c>
      <c r="D803" s="7" t="s">
        <v>10</v>
      </c>
    </row>
    <row r="804">
      <c r="A804" s="1" t="s">
        <v>3991</v>
      </c>
      <c r="B804" s="1" t="s">
        <v>3990</v>
      </c>
      <c r="C804" s="1" t="s">
        <v>12926</v>
      </c>
      <c r="D804" s="7" t="s">
        <v>10</v>
      </c>
    </row>
    <row r="805">
      <c r="A805" s="1" t="s">
        <v>3996</v>
      </c>
      <c r="B805" s="1" t="s">
        <v>3995</v>
      </c>
      <c r="C805" s="1" t="s">
        <v>12927</v>
      </c>
      <c r="D805" s="7" t="s">
        <v>10</v>
      </c>
    </row>
    <row r="806">
      <c r="A806" s="1" t="s">
        <v>4001</v>
      </c>
      <c r="B806" s="1" t="s">
        <v>4000</v>
      </c>
      <c r="C806" s="1" t="s">
        <v>12928</v>
      </c>
      <c r="D806" s="7" t="s">
        <v>10</v>
      </c>
    </row>
    <row r="807">
      <c r="A807" s="1" t="s">
        <v>4006</v>
      </c>
      <c r="B807" s="1" t="s">
        <v>4005</v>
      </c>
      <c r="C807" s="1" t="s">
        <v>12929</v>
      </c>
      <c r="D807" s="7" t="s">
        <v>10</v>
      </c>
    </row>
    <row r="808">
      <c r="A808" s="1" t="s">
        <v>4010</v>
      </c>
      <c r="B808" s="1" t="s">
        <v>4010</v>
      </c>
      <c r="C808" s="1" t="s">
        <v>12930</v>
      </c>
      <c r="D808" s="7" t="s">
        <v>10</v>
      </c>
    </row>
    <row r="809">
      <c r="A809" s="1" t="s">
        <v>4014</v>
      </c>
      <c r="B809" s="1" t="s">
        <v>4014</v>
      </c>
      <c r="C809" s="1" t="s">
        <v>12931</v>
      </c>
      <c r="D809" s="7" t="s">
        <v>10</v>
      </c>
    </row>
    <row r="810">
      <c r="A810" s="1" t="s">
        <v>4019</v>
      </c>
      <c r="B810" s="1" t="s">
        <v>4018</v>
      </c>
      <c r="C810" s="1" t="s">
        <v>12932</v>
      </c>
      <c r="D810" s="7" t="s">
        <v>10</v>
      </c>
    </row>
    <row r="811">
      <c r="A811" s="1" t="s">
        <v>4024</v>
      </c>
      <c r="B811" s="1" t="s">
        <v>4023</v>
      </c>
      <c r="C811" s="1" t="s">
        <v>12933</v>
      </c>
      <c r="D811" s="7" t="s">
        <v>10</v>
      </c>
    </row>
    <row r="812">
      <c r="A812" s="1" t="s">
        <v>4029</v>
      </c>
      <c r="B812" s="1" t="s">
        <v>4028</v>
      </c>
      <c r="C812" s="1" t="s">
        <v>12934</v>
      </c>
      <c r="D812" s="7" t="s">
        <v>10</v>
      </c>
    </row>
    <row r="813">
      <c r="A813" s="1" t="s">
        <v>4034</v>
      </c>
      <c r="B813" s="1" t="s">
        <v>4033</v>
      </c>
      <c r="C813" s="1" t="s">
        <v>12935</v>
      </c>
      <c r="D813" s="7" t="s">
        <v>10</v>
      </c>
    </row>
    <row r="814">
      <c r="A814" s="1" t="s">
        <v>4039</v>
      </c>
      <c r="B814" s="1" t="s">
        <v>4038</v>
      </c>
      <c r="C814" s="1" t="s">
        <v>12936</v>
      </c>
      <c r="D814" s="7" t="s">
        <v>10</v>
      </c>
    </row>
    <row r="815">
      <c r="A815" s="1" t="s">
        <v>4044</v>
      </c>
      <c r="B815" s="1" t="s">
        <v>4043</v>
      </c>
      <c r="C815" s="1" t="s">
        <v>12937</v>
      </c>
      <c r="D815" s="7" t="s">
        <v>10</v>
      </c>
    </row>
    <row r="816">
      <c r="A816" s="1" t="s">
        <v>4049</v>
      </c>
      <c r="B816" s="1" t="s">
        <v>4048</v>
      </c>
      <c r="C816" s="1" t="s">
        <v>12938</v>
      </c>
      <c r="D816" s="7" t="s">
        <v>10</v>
      </c>
    </row>
    <row r="817">
      <c r="A817" s="1" t="s">
        <v>4054</v>
      </c>
      <c r="B817" s="1" t="s">
        <v>4053</v>
      </c>
      <c r="C817" s="1" t="s">
        <v>12939</v>
      </c>
      <c r="D817" s="7" t="s">
        <v>10</v>
      </c>
    </row>
    <row r="818">
      <c r="A818" s="1" t="s">
        <v>4059</v>
      </c>
      <c r="B818" s="1" t="s">
        <v>4058</v>
      </c>
      <c r="C818" s="1" t="s">
        <v>12940</v>
      </c>
      <c r="D818" s="7" t="s">
        <v>10</v>
      </c>
    </row>
    <row r="819">
      <c r="A819" s="1" t="s">
        <v>4064</v>
      </c>
      <c r="B819" s="1" t="s">
        <v>4063</v>
      </c>
      <c r="C819" s="1" t="s">
        <v>12941</v>
      </c>
      <c r="D819" s="7" t="s">
        <v>10</v>
      </c>
    </row>
    <row r="820">
      <c r="A820" s="1" t="s">
        <v>4069</v>
      </c>
      <c r="B820" s="1" t="s">
        <v>4068</v>
      </c>
      <c r="C820" s="1" t="s">
        <v>12942</v>
      </c>
      <c r="D820" s="7" t="s">
        <v>10</v>
      </c>
    </row>
    <row r="821">
      <c r="A821" s="1" t="s">
        <v>4074</v>
      </c>
      <c r="B821" s="1" t="s">
        <v>4073</v>
      </c>
      <c r="C821" s="1" t="s">
        <v>12943</v>
      </c>
      <c r="D821" s="7" t="s">
        <v>10</v>
      </c>
    </row>
    <row r="822">
      <c r="A822" s="1" t="s">
        <v>4079</v>
      </c>
      <c r="B822" s="1" t="s">
        <v>4078</v>
      </c>
      <c r="C822" s="1" t="s">
        <v>12944</v>
      </c>
      <c r="D822" s="7" t="s">
        <v>10</v>
      </c>
    </row>
    <row r="823">
      <c r="A823" s="1" t="s">
        <v>4084</v>
      </c>
      <c r="B823" s="1" t="s">
        <v>4083</v>
      </c>
      <c r="C823" s="1" t="s">
        <v>12945</v>
      </c>
      <c r="D823" s="7" t="s">
        <v>10</v>
      </c>
    </row>
    <row r="824">
      <c r="A824" s="1" t="s">
        <v>4089</v>
      </c>
      <c r="B824" s="1" t="s">
        <v>4088</v>
      </c>
      <c r="C824" s="1" t="s">
        <v>12946</v>
      </c>
      <c r="D824" s="7" t="s">
        <v>10</v>
      </c>
    </row>
    <row r="825">
      <c r="A825" s="1" t="s">
        <v>4094</v>
      </c>
      <c r="B825" s="1" t="s">
        <v>4093</v>
      </c>
      <c r="C825" s="1" t="s">
        <v>12947</v>
      </c>
      <c r="D825" s="7" t="s">
        <v>10</v>
      </c>
    </row>
    <row r="826">
      <c r="A826" s="1" t="s">
        <v>4099</v>
      </c>
      <c r="B826" s="1" t="s">
        <v>4098</v>
      </c>
      <c r="C826" s="1" t="s">
        <v>12948</v>
      </c>
      <c r="D826" s="7" t="s">
        <v>10</v>
      </c>
    </row>
    <row r="827">
      <c r="A827" s="1" t="s">
        <v>4104</v>
      </c>
      <c r="B827" s="1" t="s">
        <v>4103</v>
      </c>
      <c r="C827" s="1" t="s">
        <v>12949</v>
      </c>
      <c r="D827" s="7" t="s">
        <v>10</v>
      </c>
    </row>
    <row r="828">
      <c r="A828" s="1" t="s">
        <v>4109</v>
      </c>
      <c r="B828" s="1" t="s">
        <v>4108</v>
      </c>
      <c r="C828" s="1" t="s">
        <v>12950</v>
      </c>
      <c r="D828" s="7" t="s">
        <v>10</v>
      </c>
    </row>
    <row r="829">
      <c r="A829" s="1" t="s">
        <v>4114</v>
      </c>
      <c r="B829" s="1" t="s">
        <v>4113</v>
      </c>
      <c r="C829" s="1" t="s">
        <v>12951</v>
      </c>
      <c r="D829" s="7" t="s">
        <v>10</v>
      </c>
    </row>
    <row r="830">
      <c r="A830" s="1" t="s">
        <v>4119</v>
      </c>
      <c r="B830" s="1" t="s">
        <v>4118</v>
      </c>
      <c r="C830" s="1" t="s">
        <v>12952</v>
      </c>
      <c r="D830" s="7" t="s">
        <v>10</v>
      </c>
    </row>
    <row r="831">
      <c r="A831" s="1" t="s">
        <v>4124</v>
      </c>
      <c r="B831" s="1" t="s">
        <v>4123</v>
      </c>
      <c r="C831" s="1" t="s">
        <v>12953</v>
      </c>
      <c r="D831" s="7" t="s">
        <v>10</v>
      </c>
    </row>
    <row r="832">
      <c r="A832" s="1" t="s">
        <v>4129</v>
      </c>
      <c r="B832" s="1" t="s">
        <v>4128</v>
      </c>
      <c r="C832" s="1" t="s">
        <v>12954</v>
      </c>
      <c r="D832" s="7" t="s">
        <v>10</v>
      </c>
    </row>
    <row r="833">
      <c r="A833" s="1" t="s">
        <v>4134</v>
      </c>
      <c r="B833" s="1" t="s">
        <v>4133</v>
      </c>
      <c r="C833" s="1" t="s">
        <v>12955</v>
      </c>
      <c r="D833" s="7" t="s">
        <v>10</v>
      </c>
    </row>
    <row r="834">
      <c r="A834" s="1" t="s">
        <v>4139</v>
      </c>
      <c r="B834" s="1" t="s">
        <v>4138</v>
      </c>
      <c r="C834" s="1" t="s">
        <v>12956</v>
      </c>
      <c r="D834" s="7" t="s">
        <v>10</v>
      </c>
    </row>
    <row r="835">
      <c r="A835" s="1" t="s">
        <v>4144</v>
      </c>
      <c r="B835" s="1" t="s">
        <v>4143</v>
      </c>
      <c r="C835" s="1" t="s">
        <v>12957</v>
      </c>
      <c r="D835" s="7" t="s">
        <v>10</v>
      </c>
    </row>
    <row r="836">
      <c r="A836" s="1" t="s">
        <v>4149</v>
      </c>
      <c r="B836" s="1" t="s">
        <v>4148</v>
      </c>
      <c r="C836" s="1" t="s">
        <v>12958</v>
      </c>
      <c r="D836" s="7" t="s">
        <v>10</v>
      </c>
    </row>
    <row r="837">
      <c r="A837" s="1" t="s">
        <v>4154</v>
      </c>
      <c r="B837" s="1" t="s">
        <v>4153</v>
      </c>
      <c r="C837" s="1" t="s">
        <v>12959</v>
      </c>
      <c r="D837" s="7" t="s">
        <v>10</v>
      </c>
    </row>
    <row r="838">
      <c r="A838" s="1" t="s">
        <v>4159</v>
      </c>
      <c r="B838" s="1" t="s">
        <v>4158</v>
      </c>
      <c r="C838" s="1" t="s">
        <v>12960</v>
      </c>
      <c r="D838" s="7" t="s">
        <v>10</v>
      </c>
    </row>
    <row r="839">
      <c r="A839" s="1" t="s">
        <v>4164</v>
      </c>
      <c r="B839" s="1" t="s">
        <v>4163</v>
      </c>
      <c r="C839" s="1" t="s">
        <v>12961</v>
      </c>
      <c r="D839" s="7" t="s">
        <v>10</v>
      </c>
    </row>
    <row r="840">
      <c r="A840" s="1" t="s">
        <v>4169</v>
      </c>
      <c r="B840" s="1" t="s">
        <v>4168</v>
      </c>
      <c r="C840" s="1" t="s">
        <v>12962</v>
      </c>
      <c r="D840" s="7" t="s">
        <v>10</v>
      </c>
    </row>
    <row r="841">
      <c r="A841" s="1" t="s">
        <v>4174</v>
      </c>
      <c r="B841" s="1" t="s">
        <v>4173</v>
      </c>
      <c r="C841" s="1" t="s">
        <v>12963</v>
      </c>
      <c r="D841" s="7" t="s">
        <v>10</v>
      </c>
    </row>
    <row r="842">
      <c r="A842" s="1" t="s">
        <v>4179</v>
      </c>
      <c r="B842" s="1" t="s">
        <v>4178</v>
      </c>
      <c r="C842" s="1" t="s">
        <v>12964</v>
      </c>
      <c r="D842" s="7" t="s">
        <v>10</v>
      </c>
    </row>
    <row r="843">
      <c r="A843" s="1" t="s">
        <v>4184</v>
      </c>
      <c r="B843" s="1" t="s">
        <v>4183</v>
      </c>
      <c r="C843" s="1" t="s">
        <v>12965</v>
      </c>
      <c r="D843" s="7" t="s">
        <v>10</v>
      </c>
    </row>
    <row r="844">
      <c r="A844" s="1" t="s">
        <v>4189</v>
      </c>
      <c r="B844" s="1" t="s">
        <v>4188</v>
      </c>
      <c r="C844" s="1" t="s">
        <v>12966</v>
      </c>
      <c r="D844" s="7" t="s">
        <v>10</v>
      </c>
    </row>
    <row r="845">
      <c r="A845" s="1" t="s">
        <v>4194</v>
      </c>
      <c r="B845" s="1" t="s">
        <v>4193</v>
      </c>
      <c r="C845" s="1" t="s">
        <v>12967</v>
      </c>
      <c r="D845" s="7" t="s">
        <v>10</v>
      </c>
    </row>
    <row r="846">
      <c r="A846" s="1" t="s">
        <v>4199</v>
      </c>
      <c r="B846" s="1" t="s">
        <v>4198</v>
      </c>
      <c r="C846" s="1" t="s">
        <v>12968</v>
      </c>
      <c r="D846" s="7" t="s">
        <v>10</v>
      </c>
    </row>
    <row r="847">
      <c r="A847" s="1" t="s">
        <v>4204</v>
      </c>
      <c r="B847" s="1" t="s">
        <v>4203</v>
      </c>
      <c r="C847" s="1" t="s">
        <v>12969</v>
      </c>
      <c r="D847" s="7" t="s">
        <v>10</v>
      </c>
    </row>
    <row r="848">
      <c r="A848" s="1" t="s">
        <v>4209</v>
      </c>
      <c r="B848" s="1" t="s">
        <v>4208</v>
      </c>
      <c r="C848" s="1" t="s">
        <v>12970</v>
      </c>
      <c r="D848" s="7" t="s">
        <v>10</v>
      </c>
    </row>
    <row r="849">
      <c r="A849" s="1" t="s">
        <v>4214</v>
      </c>
      <c r="B849" s="1" t="s">
        <v>4213</v>
      </c>
      <c r="C849" s="1" t="s">
        <v>12971</v>
      </c>
      <c r="D849" s="7" t="s">
        <v>10</v>
      </c>
    </row>
    <row r="850">
      <c r="A850" s="1" t="s">
        <v>4219</v>
      </c>
      <c r="B850" s="1" t="s">
        <v>4218</v>
      </c>
      <c r="C850" s="1" t="s">
        <v>12972</v>
      </c>
      <c r="D850" s="7" t="s">
        <v>10</v>
      </c>
    </row>
    <row r="851">
      <c r="A851" s="1" t="s">
        <v>4224</v>
      </c>
      <c r="B851" s="1" t="s">
        <v>4223</v>
      </c>
      <c r="C851" s="1" t="s">
        <v>12973</v>
      </c>
      <c r="D851" s="7" t="s">
        <v>10</v>
      </c>
    </row>
    <row r="852">
      <c r="A852" s="1" t="s">
        <v>4229</v>
      </c>
      <c r="B852" s="1" t="s">
        <v>4228</v>
      </c>
      <c r="C852" s="1" t="s">
        <v>12974</v>
      </c>
      <c r="D852" s="7" t="s">
        <v>10</v>
      </c>
    </row>
    <row r="853">
      <c r="A853" s="1" t="s">
        <v>4234</v>
      </c>
      <c r="B853" s="1" t="s">
        <v>4233</v>
      </c>
      <c r="C853" s="1" t="s">
        <v>12975</v>
      </c>
      <c r="D853" s="7" t="s">
        <v>10</v>
      </c>
    </row>
    <row r="854">
      <c r="A854" s="1" t="s">
        <v>4239</v>
      </c>
      <c r="B854" s="1" t="s">
        <v>4238</v>
      </c>
      <c r="C854" s="1" t="s">
        <v>12976</v>
      </c>
      <c r="D854" s="7" t="s">
        <v>10</v>
      </c>
    </row>
    <row r="855">
      <c r="A855" s="1" t="s">
        <v>4244</v>
      </c>
      <c r="B855" s="1" t="s">
        <v>4243</v>
      </c>
      <c r="C855" s="1" t="s">
        <v>12977</v>
      </c>
      <c r="D855" s="7" t="s">
        <v>10</v>
      </c>
    </row>
    <row r="856">
      <c r="A856" s="1" t="s">
        <v>4249</v>
      </c>
      <c r="B856" s="1" t="s">
        <v>4248</v>
      </c>
      <c r="C856" s="1" t="s">
        <v>12978</v>
      </c>
      <c r="D856" s="7" t="s">
        <v>10</v>
      </c>
    </row>
    <row r="857">
      <c r="A857" s="1" t="s">
        <v>4254</v>
      </c>
      <c r="B857" s="1" t="s">
        <v>4253</v>
      </c>
      <c r="C857" s="1" t="s">
        <v>12979</v>
      </c>
      <c r="D857" s="7" t="s">
        <v>10</v>
      </c>
    </row>
    <row r="858">
      <c r="A858" s="1" t="s">
        <v>4259</v>
      </c>
      <c r="B858" s="1" t="s">
        <v>4258</v>
      </c>
      <c r="C858" s="1" t="s">
        <v>12980</v>
      </c>
      <c r="D858" s="7" t="s">
        <v>10</v>
      </c>
    </row>
    <row r="859">
      <c r="A859" s="1" t="s">
        <v>4264</v>
      </c>
      <c r="B859" s="1" t="s">
        <v>4263</v>
      </c>
      <c r="C859" s="1" t="s">
        <v>12981</v>
      </c>
      <c r="D859" s="7" t="s">
        <v>10</v>
      </c>
    </row>
    <row r="860">
      <c r="A860" s="1" t="s">
        <v>4269</v>
      </c>
      <c r="B860" s="1" t="s">
        <v>4268</v>
      </c>
      <c r="C860" s="1" t="s">
        <v>12982</v>
      </c>
      <c r="D860" s="7" t="s">
        <v>10</v>
      </c>
    </row>
    <row r="861">
      <c r="A861" s="1" t="s">
        <v>4274</v>
      </c>
      <c r="B861" s="1" t="s">
        <v>4273</v>
      </c>
      <c r="C861" s="1" t="s">
        <v>12983</v>
      </c>
      <c r="D861" s="7" t="s">
        <v>10</v>
      </c>
    </row>
    <row r="862">
      <c r="A862" s="1" t="s">
        <v>4279</v>
      </c>
      <c r="B862" s="1" t="s">
        <v>4278</v>
      </c>
      <c r="C862" s="1" t="s">
        <v>12984</v>
      </c>
      <c r="D862" s="7" t="s">
        <v>10</v>
      </c>
    </row>
    <row r="863">
      <c r="A863" s="1" t="s">
        <v>4284</v>
      </c>
      <c r="B863" s="1" t="s">
        <v>4283</v>
      </c>
      <c r="C863" s="1" t="s">
        <v>12985</v>
      </c>
      <c r="D863" s="7" t="s">
        <v>10</v>
      </c>
    </row>
    <row r="864">
      <c r="A864" s="1" t="s">
        <v>4289</v>
      </c>
      <c r="B864" s="1" t="s">
        <v>4288</v>
      </c>
      <c r="C864" s="1" t="s">
        <v>12986</v>
      </c>
      <c r="D864" s="7" t="s">
        <v>10</v>
      </c>
    </row>
    <row r="865">
      <c r="A865" s="1" t="s">
        <v>4294</v>
      </c>
      <c r="B865" s="1" t="s">
        <v>4293</v>
      </c>
      <c r="C865" s="1" t="s">
        <v>12987</v>
      </c>
      <c r="D865" s="7" t="s">
        <v>10</v>
      </c>
    </row>
    <row r="866">
      <c r="A866" s="1" t="s">
        <v>4299</v>
      </c>
      <c r="B866" s="1" t="s">
        <v>4298</v>
      </c>
      <c r="C866" s="1" t="s">
        <v>12988</v>
      </c>
      <c r="D866" s="7" t="s">
        <v>10</v>
      </c>
    </row>
    <row r="867">
      <c r="A867" s="1" t="s">
        <v>4304</v>
      </c>
      <c r="B867" s="1" t="s">
        <v>4303</v>
      </c>
      <c r="C867" s="1" t="s">
        <v>12989</v>
      </c>
      <c r="D867" s="7" t="s">
        <v>10</v>
      </c>
    </row>
    <row r="868">
      <c r="A868" s="1" t="s">
        <v>4309</v>
      </c>
      <c r="B868" s="1" t="s">
        <v>4308</v>
      </c>
      <c r="C868" s="1" t="s">
        <v>12990</v>
      </c>
      <c r="D868" s="7" t="s">
        <v>10</v>
      </c>
    </row>
    <row r="869">
      <c r="A869" s="1" t="s">
        <v>4313</v>
      </c>
      <c r="B869" s="1" t="s">
        <v>4313</v>
      </c>
      <c r="C869" s="1" t="s">
        <v>12991</v>
      </c>
      <c r="D869" s="7" t="s">
        <v>10</v>
      </c>
    </row>
    <row r="870">
      <c r="A870" s="1" t="s">
        <v>4318</v>
      </c>
      <c r="B870" s="1" t="s">
        <v>4317</v>
      </c>
      <c r="C870" s="1" t="s">
        <v>12992</v>
      </c>
      <c r="D870" s="7" t="s">
        <v>10</v>
      </c>
    </row>
    <row r="871">
      <c r="A871" s="1" t="s">
        <v>4323</v>
      </c>
      <c r="B871" s="1" t="s">
        <v>4322</v>
      </c>
      <c r="C871" s="1" t="s">
        <v>12993</v>
      </c>
      <c r="D871" s="7" t="s">
        <v>10</v>
      </c>
    </row>
    <row r="872">
      <c r="A872" s="1" t="s">
        <v>4328</v>
      </c>
      <c r="B872" s="1" t="s">
        <v>4327</v>
      </c>
      <c r="C872" s="1" t="s">
        <v>12994</v>
      </c>
      <c r="D872" s="7" t="s">
        <v>10</v>
      </c>
    </row>
    <row r="873">
      <c r="A873" s="1" t="s">
        <v>4333</v>
      </c>
      <c r="B873" s="1" t="s">
        <v>4332</v>
      </c>
      <c r="C873" s="1" t="s">
        <v>12995</v>
      </c>
      <c r="D873" s="7" t="s">
        <v>10</v>
      </c>
    </row>
    <row r="874">
      <c r="A874" s="1" t="s">
        <v>4338</v>
      </c>
      <c r="B874" s="1" t="s">
        <v>4337</v>
      </c>
      <c r="C874" s="1" t="s">
        <v>12996</v>
      </c>
      <c r="D874" s="7" t="s">
        <v>10</v>
      </c>
    </row>
    <row r="875">
      <c r="A875" s="1" t="s">
        <v>4343</v>
      </c>
      <c r="B875" s="1" t="s">
        <v>4342</v>
      </c>
      <c r="C875" s="1" t="s">
        <v>12997</v>
      </c>
      <c r="D875" s="7" t="s">
        <v>10</v>
      </c>
    </row>
    <row r="876">
      <c r="A876" s="1" t="s">
        <v>4348</v>
      </c>
      <c r="B876" s="1" t="s">
        <v>4347</v>
      </c>
      <c r="C876" s="1" t="s">
        <v>12998</v>
      </c>
      <c r="D876" s="7" t="s">
        <v>10</v>
      </c>
    </row>
    <row r="877">
      <c r="A877" s="1" t="s">
        <v>4353</v>
      </c>
      <c r="B877" s="1" t="s">
        <v>4352</v>
      </c>
      <c r="C877" s="1" t="s">
        <v>12999</v>
      </c>
      <c r="D877" s="7" t="s">
        <v>10</v>
      </c>
    </row>
    <row r="878">
      <c r="A878" s="1" t="s">
        <v>4358</v>
      </c>
      <c r="B878" s="1" t="s">
        <v>4357</v>
      </c>
      <c r="C878" s="1" t="s">
        <v>13000</v>
      </c>
      <c r="D878" s="7" t="s">
        <v>10</v>
      </c>
    </row>
    <row r="879">
      <c r="A879" s="1" t="s">
        <v>4363</v>
      </c>
      <c r="B879" s="1" t="s">
        <v>4362</v>
      </c>
      <c r="C879" s="1" t="s">
        <v>13001</v>
      </c>
      <c r="D879" s="7" t="s">
        <v>10</v>
      </c>
    </row>
    <row r="880">
      <c r="A880" s="1" t="s">
        <v>4368</v>
      </c>
      <c r="B880" s="1" t="s">
        <v>4367</v>
      </c>
      <c r="C880" s="1" t="s">
        <v>13002</v>
      </c>
      <c r="D880" s="7" t="s">
        <v>10</v>
      </c>
    </row>
    <row r="881">
      <c r="A881" s="1" t="s">
        <v>4373</v>
      </c>
      <c r="B881" s="1" t="s">
        <v>4372</v>
      </c>
      <c r="C881" s="1" t="s">
        <v>13003</v>
      </c>
      <c r="D881" s="7" t="s">
        <v>10</v>
      </c>
    </row>
    <row r="882">
      <c r="A882" s="1" t="s">
        <v>4378</v>
      </c>
      <c r="B882" s="1" t="s">
        <v>4377</v>
      </c>
      <c r="C882" s="1" t="s">
        <v>13004</v>
      </c>
      <c r="D882" s="7" t="s">
        <v>10</v>
      </c>
    </row>
    <row r="883">
      <c r="A883" s="1" t="s">
        <v>4383</v>
      </c>
      <c r="B883" s="1" t="s">
        <v>4382</v>
      </c>
      <c r="C883" s="1" t="s">
        <v>13005</v>
      </c>
      <c r="D883" s="7" t="s">
        <v>10</v>
      </c>
    </row>
    <row r="884">
      <c r="A884" s="1" t="s">
        <v>4388</v>
      </c>
      <c r="B884" s="1" t="s">
        <v>4387</v>
      </c>
      <c r="C884" s="1" t="s">
        <v>13006</v>
      </c>
      <c r="D884" s="7" t="s">
        <v>10</v>
      </c>
    </row>
    <row r="885">
      <c r="A885" s="1" t="s">
        <v>4393</v>
      </c>
      <c r="B885" s="1" t="s">
        <v>4392</v>
      </c>
      <c r="C885" s="1" t="s">
        <v>13007</v>
      </c>
      <c r="D885" s="7" t="s">
        <v>10</v>
      </c>
    </row>
    <row r="886">
      <c r="A886" s="1" t="s">
        <v>4397</v>
      </c>
      <c r="B886" s="1" t="s">
        <v>4397</v>
      </c>
      <c r="C886" s="1" t="s">
        <v>13008</v>
      </c>
      <c r="D886" s="7" t="s">
        <v>10</v>
      </c>
    </row>
    <row r="887">
      <c r="A887" s="1" t="s">
        <v>4402</v>
      </c>
      <c r="B887" s="1" t="s">
        <v>4401</v>
      </c>
      <c r="C887" s="1" t="s">
        <v>13009</v>
      </c>
      <c r="D887" s="7" t="s">
        <v>10</v>
      </c>
    </row>
    <row r="888">
      <c r="A888" s="1" t="s">
        <v>4407</v>
      </c>
      <c r="B888" s="1" t="s">
        <v>4406</v>
      </c>
      <c r="C888" s="1" t="s">
        <v>13010</v>
      </c>
      <c r="D888" s="7" t="s">
        <v>10</v>
      </c>
    </row>
    <row r="889">
      <c r="A889" s="1" t="s">
        <v>4412</v>
      </c>
      <c r="B889" s="1" t="s">
        <v>4411</v>
      </c>
      <c r="C889" s="1" t="s">
        <v>13011</v>
      </c>
      <c r="D889" s="7" t="s">
        <v>10</v>
      </c>
    </row>
    <row r="890">
      <c r="A890" s="1" t="s">
        <v>4417</v>
      </c>
      <c r="B890" s="1" t="s">
        <v>4416</v>
      </c>
      <c r="C890" s="1" t="s">
        <v>13012</v>
      </c>
      <c r="D890" s="7" t="s">
        <v>10</v>
      </c>
    </row>
    <row r="891">
      <c r="A891" s="1" t="s">
        <v>4422</v>
      </c>
      <c r="B891" s="1" t="s">
        <v>4421</v>
      </c>
      <c r="C891" s="1" t="s">
        <v>13013</v>
      </c>
      <c r="D891" s="7" t="s">
        <v>10</v>
      </c>
    </row>
    <row r="892">
      <c r="A892" s="1" t="s">
        <v>4427</v>
      </c>
      <c r="B892" s="1" t="s">
        <v>4426</v>
      </c>
      <c r="C892" s="1" t="s">
        <v>13014</v>
      </c>
      <c r="D892" s="7" t="s">
        <v>10</v>
      </c>
    </row>
    <row r="893">
      <c r="A893" s="1" t="s">
        <v>4432</v>
      </c>
      <c r="B893" s="1" t="s">
        <v>4431</v>
      </c>
      <c r="C893" s="1" t="s">
        <v>13015</v>
      </c>
      <c r="D893" s="7" t="s">
        <v>10</v>
      </c>
    </row>
    <row r="894">
      <c r="A894" s="1" t="s">
        <v>4437</v>
      </c>
      <c r="B894" s="1" t="s">
        <v>4436</v>
      </c>
      <c r="C894" s="1" t="s">
        <v>13016</v>
      </c>
      <c r="D894" s="7" t="s">
        <v>10</v>
      </c>
    </row>
    <row r="895">
      <c r="A895" s="1" t="s">
        <v>4442</v>
      </c>
      <c r="B895" s="1" t="s">
        <v>4441</v>
      </c>
      <c r="C895" s="1" t="s">
        <v>13017</v>
      </c>
      <c r="D895" s="7" t="s">
        <v>10</v>
      </c>
    </row>
    <row r="896">
      <c r="A896" s="1" t="s">
        <v>4447</v>
      </c>
      <c r="B896" s="1" t="s">
        <v>4446</v>
      </c>
      <c r="C896" s="1" t="s">
        <v>13018</v>
      </c>
      <c r="D896" s="7" t="s">
        <v>10</v>
      </c>
    </row>
    <row r="897">
      <c r="A897" s="1" t="s">
        <v>4452</v>
      </c>
      <c r="B897" s="1" t="s">
        <v>4451</v>
      </c>
      <c r="C897" s="1" t="s">
        <v>13019</v>
      </c>
      <c r="D897" s="7" t="s">
        <v>10</v>
      </c>
    </row>
    <row r="898">
      <c r="A898" s="1" t="s">
        <v>4457</v>
      </c>
      <c r="B898" s="1" t="s">
        <v>4456</v>
      </c>
      <c r="C898" s="1" t="s">
        <v>13020</v>
      </c>
      <c r="D898" s="7" t="s">
        <v>10</v>
      </c>
    </row>
    <row r="899">
      <c r="A899" s="1" t="s">
        <v>4462</v>
      </c>
      <c r="B899" s="1" t="s">
        <v>4461</v>
      </c>
      <c r="C899" s="1" t="s">
        <v>13021</v>
      </c>
      <c r="D899" s="7" t="s">
        <v>10</v>
      </c>
    </row>
    <row r="900">
      <c r="A900" s="1" t="s">
        <v>4467</v>
      </c>
      <c r="B900" s="1" t="s">
        <v>4466</v>
      </c>
      <c r="C900" s="1" t="s">
        <v>13022</v>
      </c>
      <c r="D900" s="7" t="s">
        <v>10</v>
      </c>
    </row>
    <row r="901">
      <c r="A901" s="1" t="s">
        <v>4472</v>
      </c>
      <c r="B901" s="1" t="s">
        <v>4471</v>
      </c>
      <c r="C901" s="1" t="s">
        <v>13023</v>
      </c>
      <c r="D901" s="7" t="s">
        <v>10</v>
      </c>
    </row>
    <row r="902">
      <c r="A902" s="1" t="s">
        <v>4477</v>
      </c>
      <c r="B902" s="1" t="s">
        <v>4476</v>
      </c>
      <c r="C902" s="1" t="s">
        <v>13024</v>
      </c>
      <c r="D902" s="7" t="s">
        <v>10</v>
      </c>
    </row>
    <row r="903">
      <c r="A903" s="1" t="s">
        <v>4482</v>
      </c>
      <c r="B903" s="1" t="s">
        <v>4481</v>
      </c>
      <c r="C903" s="1" t="s">
        <v>13025</v>
      </c>
      <c r="D903" s="7" t="s">
        <v>10</v>
      </c>
    </row>
    <row r="904">
      <c r="A904" s="1" t="s">
        <v>4487</v>
      </c>
      <c r="B904" s="1" t="s">
        <v>4486</v>
      </c>
      <c r="C904" s="1" t="s">
        <v>13026</v>
      </c>
      <c r="D904" s="7" t="s">
        <v>10</v>
      </c>
    </row>
    <row r="905">
      <c r="A905" s="1" t="s">
        <v>4492</v>
      </c>
      <c r="B905" s="1" t="s">
        <v>4491</v>
      </c>
      <c r="C905" s="1" t="s">
        <v>13027</v>
      </c>
      <c r="D905" s="7" t="s">
        <v>10</v>
      </c>
    </row>
    <row r="906">
      <c r="A906" s="1" t="s">
        <v>4497</v>
      </c>
      <c r="B906" s="1" t="s">
        <v>4496</v>
      </c>
      <c r="C906" s="1" t="s">
        <v>13028</v>
      </c>
      <c r="D906" s="7" t="s">
        <v>10</v>
      </c>
    </row>
    <row r="907">
      <c r="A907" s="1" t="s">
        <v>4502</v>
      </c>
      <c r="B907" s="1" t="s">
        <v>4501</v>
      </c>
      <c r="C907" s="1" t="s">
        <v>13029</v>
      </c>
      <c r="D907" s="7" t="s">
        <v>10</v>
      </c>
    </row>
    <row r="908">
      <c r="A908" s="1" t="s">
        <v>4507</v>
      </c>
      <c r="B908" s="1" t="s">
        <v>4506</v>
      </c>
      <c r="C908" s="1" t="s">
        <v>13030</v>
      </c>
      <c r="D908" s="7" t="s">
        <v>10</v>
      </c>
    </row>
    <row r="909">
      <c r="A909" s="1" t="s">
        <v>4512</v>
      </c>
      <c r="B909" s="1" t="s">
        <v>4511</v>
      </c>
      <c r="C909" s="1" t="s">
        <v>13031</v>
      </c>
      <c r="D909" s="7" t="s">
        <v>10</v>
      </c>
    </row>
    <row r="910">
      <c r="A910" s="1" t="s">
        <v>4517</v>
      </c>
      <c r="B910" s="1" t="s">
        <v>4516</v>
      </c>
      <c r="C910" s="1" t="s">
        <v>13032</v>
      </c>
      <c r="D910" s="7" t="s">
        <v>10</v>
      </c>
    </row>
    <row r="911">
      <c r="A911" s="1" t="s">
        <v>4522</v>
      </c>
      <c r="B911" s="1" t="s">
        <v>4521</v>
      </c>
      <c r="C911" s="1" t="s">
        <v>13033</v>
      </c>
      <c r="D911" s="7" t="s">
        <v>10</v>
      </c>
    </row>
    <row r="912">
      <c r="A912" s="1" t="s">
        <v>4527</v>
      </c>
      <c r="B912" s="1" t="s">
        <v>4526</v>
      </c>
      <c r="C912" s="1" t="s">
        <v>13034</v>
      </c>
      <c r="D912" s="7" t="s">
        <v>10</v>
      </c>
    </row>
    <row r="913">
      <c r="A913" s="1" t="s">
        <v>4532</v>
      </c>
      <c r="B913" s="1" t="s">
        <v>4531</v>
      </c>
      <c r="C913" s="1" t="s">
        <v>13035</v>
      </c>
      <c r="D913" s="7" t="s">
        <v>10</v>
      </c>
    </row>
    <row r="914">
      <c r="A914" s="1" t="s">
        <v>4537</v>
      </c>
      <c r="B914" s="1" t="s">
        <v>4536</v>
      </c>
      <c r="C914" s="1" t="s">
        <v>13036</v>
      </c>
      <c r="D914" s="7" t="s">
        <v>10</v>
      </c>
    </row>
    <row r="915">
      <c r="A915" s="1" t="s">
        <v>4542</v>
      </c>
      <c r="B915" s="1" t="s">
        <v>4541</v>
      </c>
      <c r="C915" s="1" t="s">
        <v>13037</v>
      </c>
      <c r="D915" s="7" t="s">
        <v>10</v>
      </c>
    </row>
    <row r="916">
      <c r="A916" s="1" t="s">
        <v>4547</v>
      </c>
      <c r="B916" s="1" t="s">
        <v>4546</v>
      </c>
      <c r="C916" s="1" t="s">
        <v>13038</v>
      </c>
      <c r="D916" s="7" t="s">
        <v>10</v>
      </c>
    </row>
    <row r="917">
      <c r="A917" s="1" t="s">
        <v>4552</v>
      </c>
      <c r="B917" s="1" t="s">
        <v>4551</v>
      </c>
      <c r="C917" s="1" t="s">
        <v>13039</v>
      </c>
      <c r="D917" s="7" t="s">
        <v>10</v>
      </c>
    </row>
    <row r="918">
      <c r="A918" s="1" t="s">
        <v>4557</v>
      </c>
      <c r="B918" s="1" t="s">
        <v>4556</v>
      </c>
      <c r="C918" s="1" t="s">
        <v>13040</v>
      </c>
      <c r="D918" s="7" t="s">
        <v>10</v>
      </c>
    </row>
    <row r="919">
      <c r="A919" s="1" t="s">
        <v>4562</v>
      </c>
      <c r="B919" s="1" t="s">
        <v>4561</v>
      </c>
      <c r="C919" s="1" t="s">
        <v>13041</v>
      </c>
      <c r="D919" s="7" t="s">
        <v>10</v>
      </c>
    </row>
    <row r="920">
      <c r="A920" s="1" t="s">
        <v>4567</v>
      </c>
      <c r="B920" s="1" t="s">
        <v>4566</v>
      </c>
      <c r="C920" s="1" t="s">
        <v>13042</v>
      </c>
      <c r="D920" s="7" t="s">
        <v>10</v>
      </c>
    </row>
    <row r="921">
      <c r="A921" s="1" t="s">
        <v>4572</v>
      </c>
      <c r="B921" s="1" t="s">
        <v>4571</v>
      </c>
      <c r="C921" s="1" t="s">
        <v>13043</v>
      </c>
      <c r="D921" s="7" t="s">
        <v>10</v>
      </c>
    </row>
    <row r="922">
      <c r="A922" s="1" t="s">
        <v>4577</v>
      </c>
      <c r="B922" s="1" t="s">
        <v>4576</v>
      </c>
      <c r="C922" s="1" t="s">
        <v>13044</v>
      </c>
      <c r="D922" s="7" t="s">
        <v>10</v>
      </c>
    </row>
    <row r="923">
      <c r="A923" s="1" t="s">
        <v>4582</v>
      </c>
      <c r="B923" s="1" t="s">
        <v>4581</v>
      </c>
      <c r="C923" s="1" t="s">
        <v>13045</v>
      </c>
      <c r="D923" s="7" t="s">
        <v>10</v>
      </c>
    </row>
    <row r="924">
      <c r="A924" s="1" t="s">
        <v>4587</v>
      </c>
      <c r="B924" s="1" t="s">
        <v>4586</v>
      </c>
      <c r="C924" s="1" t="s">
        <v>13046</v>
      </c>
      <c r="D924" s="7" t="s">
        <v>10</v>
      </c>
    </row>
    <row r="925">
      <c r="A925" s="1" t="s">
        <v>4592</v>
      </c>
      <c r="B925" s="1" t="s">
        <v>4591</v>
      </c>
      <c r="C925" s="1" t="s">
        <v>13047</v>
      </c>
      <c r="D925" s="7" t="s">
        <v>10</v>
      </c>
    </row>
    <row r="926">
      <c r="A926" s="1" t="s">
        <v>4597</v>
      </c>
      <c r="B926" s="1" t="s">
        <v>4596</v>
      </c>
      <c r="C926" s="1" t="s">
        <v>13048</v>
      </c>
      <c r="D926" s="7" t="s">
        <v>10</v>
      </c>
    </row>
    <row r="927">
      <c r="A927" s="1" t="s">
        <v>4602</v>
      </c>
      <c r="B927" s="1" t="s">
        <v>4601</v>
      </c>
      <c r="C927" s="1" t="s">
        <v>13049</v>
      </c>
      <c r="D927" s="7" t="s">
        <v>10</v>
      </c>
    </row>
    <row r="928">
      <c r="A928" s="1" t="s">
        <v>4607</v>
      </c>
      <c r="B928" s="1" t="s">
        <v>4606</v>
      </c>
      <c r="C928" s="1" t="s">
        <v>13050</v>
      </c>
      <c r="D928" s="7" t="s">
        <v>10</v>
      </c>
    </row>
    <row r="929">
      <c r="A929" s="1" t="s">
        <v>4612</v>
      </c>
      <c r="B929" s="1" t="s">
        <v>4611</v>
      </c>
      <c r="C929" s="1" t="s">
        <v>13051</v>
      </c>
      <c r="D929" s="7" t="s">
        <v>10</v>
      </c>
    </row>
    <row r="930">
      <c r="A930" s="1" t="s">
        <v>4617</v>
      </c>
      <c r="B930" s="1" t="s">
        <v>4616</v>
      </c>
      <c r="C930" s="1" t="s">
        <v>13052</v>
      </c>
      <c r="D930" s="7" t="s">
        <v>10</v>
      </c>
    </row>
    <row r="931">
      <c r="A931" s="1" t="s">
        <v>4622</v>
      </c>
      <c r="B931" s="1" t="s">
        <v>4621</v>
      </c>
      <c r="C931" s="1" t="s">
        <v>13053</v>
      </c>
      <c r="D931" s="7" t="s">
        <v>10</v>
      </c>
    </row>
    <row r="932">
      <c r="A932" s="1" t="s">
        <v>4627</v>
      </c>
      <c r="B932" s="1" t="s">
        <v>4626</v>
      </c>
      <c r="C932" s="1" t="s">
        <v>13054</v>
      </c>
      <c r="D932" s="7" t="s">
        <v>10</v>
      </c>
    </row>
    <row r="933">
      <c r="A933" s="1" t="s">
        <v>4632</v>
      </c>
      <c r="B933" s="1" t="s">
        <v>4631</v>
      </c>
      <c r="C933" s="1" t="s">
        <v>13055</v>
      </c>
      <c r="D933" s="7" t="s">
        <v>10</v>
      </c>
    </row>
    <row r="934">
      <c r="A934" s="1" t="s">
        <v>4637</v>
      </c>
      <c r="B934" s="1" t="s">
        <v>4636</v>
      </c>
      <c r="C934" s="1" t="s">
        <v>13056</v>
      </c>
      <c r="D934" s="7" t="s">
        <v>10</v>
      </c>
    </row>
    <row r="935">
      <c r="A935" s="1" t="s">
        <v>4642</v>
      </c>
      <c r="B935" s="1" t="s">
        <v>4641</v>
      </c>
      <c r="C935" s="1" t="s">
        <v>13057</v>
      </c>
      <c r="D935" s="7" t="s">
        <v>10</v>
      </c>
    </row>
    <row r="936">
      <c r="A936" s="1" t="s">
        <v>4647</v>
      </c>
      <c r="B936" s="1" t="s">
        <v>4646</v>
      </c>
      <c r="C936" s="1" t="s">
        <v>13058</v>
      </c>
      <c r="D936" s="7" t="s">
        <v>10</v>
      </c>
    </row>
    <row r="937">
      <c r="A937" s="1" t="s">
        <v>4652</v>
      </c>
      <c r="B937" s="1" t="s">
        <v>4651</v>
      </c>
      <c r="C937" s="1" t="s">
        <v>13059</v>
      </c>
      <c r="D937" s="7" t="s">
        <v>10</v>
      </c>
    </row>
    <row r="938">
      <c r="A938" s="1" t="s">
        <v>4657</v>
      </c>
      <c r="B938" s="1" t="s">
        <v>4656</v>
      </c>
      <c r="C938" s="1" t="s">
        <v>13060</v>
      </c>
      <c r="D938" s="7" t="s">
        <v>10</v>
      </c>
    </row>
    <row r="939">
      <c r="A939" s="1" t="s">
        <v>4662</v>
      </c>
      <c r="B939" s="1" t="s">
        <v>4661</v>
      </c>
      <c r="C939" s="1" t="s">
        <v>13061</v>
      </c>
      <c r="D939" s="7" t="s">
        <v>10</v>
      </c>
    </row>
    <row r="940">
      <c r="A940" s="1" t="s">
        <v>4667</v>
      </c>
      <c r="B940" s="1" t="s">
        <v>4666</v>
      </c>
      <c r="C940" s="1" t="s">
        <v>13062</v>
      </c>
      <c r="D940" s="7" t="s">
        <v>10</v>
      </c>
    </row>
    <row r="941">
      <c r="A941" s="1" t="s">
        <v>4672</v>
      </c>
      <c r="B941" s="1" t="s">
        <v>4671</v>
      </c>
      <c r="C941" s="1" t="s">
        <v>13063</v>
      </c>
      <c r="D941" s="7" t="s">
        <v>10</v>
      </c>
    </row>
    <row r="942">
      <c r="A942" s="1" t="s">
        <v>4677</v>
      </c>
      <c r="B942" s="1" t="s">
        <v>4676</v>
      </c>
      <c r="C942" s="1" t="s">
        <v>13064</v>
      </c>
      <c r="D942" s="7" t="s">
        <v>10</v>
      </c>
    </row>
    <row r="943">
      <c r="A943" s="1" t="s">
        <v>4682</v>
      </c>
      <c r="B943" s="1" t="s">
        <v>4681</v>
      </c>
      <c r="C943" s="1" t="s">
        <v>13065</v>
      </c>
      <c r="D943" s="7" t="s">
        <v>10</v>
      </c>
    </row>
    <row r="944">
      <c r="A944" s="1" t="s">
        <v>4687</v>
      </c>
      <c r="B944" s="1" t="s">
        <v>4686</v>
      </c>
      <c r="C944" s="1" t="s">
        <v>13066</v>
      </c>
      <c r="D944" s="7" t="s">
        <v>10</v>
      </c>
    </row>
    <row r="945">
      <c r="A945" s="1" t="s">
        <v>4692</v>
      </c>
      <c r="B945" s="1" t="s">
        <v>4691</v>
      </c>
      <c r="C945" s="1" t="s">
        <v>13067</v>
      </c>
      <c r="D945" s="7" t="s">
        <v>10</v>
      </c>
    </row>
    <row r="946">
      <c r="A946" s="1" t="s">
        <v>4697</v>
      </c>
      <c r="B946" s="1" t="s">
        <v>4696</v>
      </c>
      <c r="C946" s="1" t="s">
        <v>13068</v>
      </c>
      <c r="D946" s="7" t="s">
        <v>10</v>
      </c>
    </row>
    <row r="947">
      <c r="A947" s="1" t="s">
        <v>4702</v>
      </c>
      <c r="B947" s="1" t="s">
        <v>4701</v>
      </c>
      <c r="C947" s="1" t="s">
        <v>13069</v>
      </c>
      <c r="D947" s="7" t="s">
        <v>10</v>
      </c>
    </row>
    <row r="948">
      <c r="A948" s="1" t="s">
        <v>4707</v>
      </c>
      <c r="B948" s="1" t="s">
        <v>4706</v>
      </c>
      <c r="C948" s="1" t="s">
        <v>13070</v>
      </c>
      <c r="D948" s="7" t="s">
        <v>10</v>
      </c>
    </row>
    <row r="949">
      <c r="A949" s="1" t="s">
        <v>4712</v>
      </c>
      <c r="B949" s="1" t="s">
        <v>4711</v>
      </c>
      <c r="C949" s="1" t="s">
        <v>13071</v>
      </c>
      <c r="D949" s="7" t="s">
        <v>10</v>
      </c>
    </row>
    <row r="950">
      <c r="A950" s="1" t="s">
        <v>4717</v>
      </c>
      <c r="B950" s="1" t="s">
        <v>4716</v>
      </c>
      <c r="C950" s="1" t="s">
        <v>13072</v>
      </c>
      <c r="D950" s="7" t="s">
        <v>10</v>
      </c>
    </row>
    <row r="951">
      <c r="A951" s="1" t="s">
        <v>4722</v>
      </c>
      <c r="B951" s="1" t="s">
        <v>4721</v>
      </c>
      <c r="C951" s="1" t="s">
        <v>13073</v>
      </c>
      <c r="D951" s="7" t="s">
        <v>10</v>
      </c>
    </row>
    <row r="952">
      <c r="A952" s="1" t="s">
        <v>4727</v>
      </c>
      <c r="B952" s="1" t="s">
        <v>4726</v>
      </c>
      <c r="C952" s="1" t="s">
        <v>13074</v>
      </c>
      <c r="D952" s="7" t="s">
        <v>10</v>
      </c>
    </row>
    <row r="953">
      <c r="A953" s="1" t="s">
        <v>4732</v>
      </c>
      <c r="B953" s="1" t="s">
        <v>4731</v>
      </c>
      <c r="C953" s="1" t="s">
        <v>13075</v>
      </c>
      <c r="D953" s="7" t="s">
        <v>10</v>
      </c>
    </row>
    <row r="954">
      <c r="A954" s="1" t="s">
        <v>4737</v>
      </c>
      <c r="B954" s="1" t="s">
        <v>4736</v>
      </c>
      <c r="C954" s="1" t="s">
        <v>13076</v>
      </c>
      <c r="D954" s="7" t="s">
        <v>10</v>
      </c>
    </row>
    <row r="955">
      <c r="A955" s="1" t="s">
        <v>4742</v>
      </c>
      <c r="B955" s="1" t="s">
        <v>4741</v>
      </c>
      <c r="C955" s="1" t="s">
        <v>13077</v>
      </c>
      <c r="D955" s="7" t="s">
        <v>10</v>
      </c>
    </row>
    <row r="956">
      <c r="A956" s="1" t="s">
        <v>4747</v>
      </c>
      <c r="B956" s="1" t="s">
        <v>4746</v>
      </c>
      <c r="C956" s="1" t="s">
        <v>13078</v>
      </c>
      <c r="D956" s="7" t="s">
        <v>10</v>
      </c>
    </row>
    <row r="957">
      <c r="A957" s="1" t="s">
        <v>4752</v>
      </c>
      <c r="B957" s="1" t="s">
        <v>4751</v>
      </c>
      <c r="C957" s="1" t="s">
        <v>13079</v>
      </c>
      <c r="D957" s="7" t="s">
        <v>10</v>
      </c>
    </row>
    <row r="958">
      <c r="A958" s="1" t="s">
        <v>4757</v>
      </c>
      <c r="B958" s="1" t="s">
        <v>4756</v>
      </c>
      <c r="C958" s="1" t="s">
        <v>13080</v>
      </c>
      <c r="D958" s="7" t="s">
        <v>10</v>
      </c>
    </row>
    <row r="959">
      <c r="A959" s="1" t="s">
        <v>4762</v>
      </c>
      <c r="B959" s="1" t="s">
        <v>4761</v>
      </c>
      <c r="C959" s="1" t="s">
        <v>13081</v>
      </c>
      <c r="D959" s="7" t="s">
        <v>10</v>
      </c>
    </row>
    <row r="960">
      <c r="A960" s="1" t="s">
        <v>4767</v>
      </c>
      <c r="B960" s="1" t="s">
        <v>4766</v>
      </c>
      <c r="C960" s="1" t="s">
        <v>13082</v>
      </c>
      <c r="D960" s="7" t="s">
        <v>10</v>
      </c>
    </row>
    <row r="961">
      <c r="A961" s="1" t="s">
        <v>4772</v>
      </c>
      <c r="B961" s="1" t="s">
        <v>4771</v>
      </c>
      <c r="C961" s="1" t="s">
        <v>13083</v>
      </c>
      <c r="D961" s="7" t="s">
        <v>10</v>
      </c>
    </row>
    <row r="962">
      <c r="A962" s="1" t="s">
        <v>4777</v>
      </c>
      <c r="B962" s="1" t="s">
        <v>4776</v>
      </c>
      <c r="C962" s="1" t="s">
        <v>13084</v>
      </c>
      <c r="D962" s="7" t="s">
        <v>10</v>
      </c>
    </row>
    <row r="963">
      <c r="A963" s="1" t="s">
        <v>4782</v>
      </c>
      <c r="B963" s="1" t="s">
        <v>4781</v>
      </c>
      <c r="C963" s="1" t="s">
        <v>13085</v>
      </c>
      <c r="D963" s="7" t="s">
        <v>10</v>
      </c>
    </row>
    <row r="964">
      <c r="A964" s="1" t="s">
        <v>4787</v>
      </c>
      <c r="B964" s="1" t="s">
        <v>4786</v>
      </c>
      <c r="C964" s="1" t="s">
        <v>13086</v>
      </c>
      <c r="D964" s="7" t="s">
        <v>10</v>
      </c>
    </row>
    <row r="965">
      <c r="A965" s="1" t="s">
        <v>4792</v>
      </c>
      <c r="B965" s="1" t="s">
        <v>4791</v>
      </c>
      <c r="C965" s="1" t="s">
        <v>13087</v>
      </c>
      <c r="D965" s="7" t="s">
        <v>10</v>
      </c>
    </row>
    <row r="966">
      <c r="A966" s="1" t="s">
        <v>4797</v>
      </c>
      <c r="B966" s="1" t="s">
        <v>4796</v>
      </c>
      <c r="C966" s="1" t="s">
        <v>13088</v>
      </c>
      <c r="D966" s="7" t="s">
        <v>10</v>
      </c>
    </row>
    <row r="967">
      <c r="A967" s="1" t="s">
        <v>4802</v>
      </c>
      <c r="B967" s="1" t="s">
        <v>4801</v>
      </c>
      <c r="C967" s="1" t="s">
        <v>13089</v>
      </c>
      <c r="D967" s="7" t="s">
        <v>10</v>
      </c>
    </row>
    <row r="968">
      <c r="A968" s="1" t="s">
        <v>4807</v>
      </c>
      <c r="B968" s="1" t="s">
        <v>4806</v>
      </c>
      <c r="C968" s="1" t="s">
        <v>13090</v>
      </c>
      <c r="D968" s="7" t="s">
        <v>10</v>
      </c>
    </row>
    <row r="969">
      <c r="A969" s="1" t="s">
        <v>4812</v>
      </c>
      <c r="B969" s="1" t="s">
        <v>4811</v>
      </c>
      <c r="C969" s="1" t="s">
        <v>13091</v>
      </c>
      <c r="D969" s="7" t="s">
        <v>10</v>
      </c>
    </row>
    <row r="970">
      <c r="A970" s="1" t="s">
        <v>4817</v>
      </c>
      <c r="B970" s="1" t="s">
        <v>4816</v>
      </c>
      <c r="C970" s="1" t="s">
        <v>13092</v>
      </c>
      <c r="D970" s="7" t="s">
        <v>10</v>
      </c>
    </row>
    <row r="971">
      <c r="A971" s="1" t="s">
        <v>4822</v>
      </c>
      <c r="B971" s="1" t="s">
        <v>4821</v>
      </c>
      <c r="C971" s="1" t="s">
        <v>13093</v>
      </c>
      <c r="D971" s="7" t="s">
        <v>10</v>
      </c>
    </row>
    <row r="972">
      <c r="A972" s="1" t="s">
        <v>4827</v>
      </c>
      <c r="B972" s="1" t="s">
        <v>4826</v>
      </c>
      <c r="C972" s="1" t="s">
        <v>13094</v>
      </c>
      <c r="D972" s="7" t="s">
        <v>10</v>
      </c>
    </row>
    <row r="973">
      <c r="A973" s="1" t="s">
        <v>4832</v>
      </c>
      <c r="B973" s="1" t="s">
        <v>4831</v>
      </c>
      <c r="C973" s="1" t="s">
        <v>13095</v>
      </c>
      <c r="D973" s="7" t="s">
        <v>10</v>
      </c>
    </row>
    <row r="974">
      <c r="A974" s="1" t="s">
        <v>4837</v>
      </c>
      <c r="B974" s="1" t="s">
        <v>4836</v>
      </c>
      <c r="C974" s="1" t="s">
        <v>13096</v>
      </c>
      <c r="D974" s="7" t="s">
        <v>10</v>
      </c>
    </row>
    <row r="975">
      <c r="A975" s="1" t="s">
        <v>4842</v>
      </c>
      <c r="B975" s="1" t="s">
        <v>4841</v>
      </c>
      <c r="C975" s="1" t="s">
        <v>13097</v>
      </c>
      <c r="D975" s="7" t="s">
        <v>10</v>
      </c>
    </row>
    <row r="976">
      <c r="A976" s="1" t="s">
        <v>4847</v>
      </c>
      <c r="B976" s="1" t="s">
        <v>4846</v>
      </c>
      <c r="C976" s="1" t="s">
        <v>13098</v>
      </c>
      <c r="D976" s="7" t="s">
        <v>10</v>
      </c>
    </row>
    <row r="977">
      <c r="A977" s="1" t="s">
        <v>4852</v>
      </c>
      <c r="B977" s="1" t="s">
        <v>4851</v>
      </c>
      <c r="C977" s="1" t="s">
        <v>13099</v>
      </c>
      <c r="D977" s="7" t="s">
        <v>10</v>
      </c>
    </row>
    <row r="978">
      <c r="A978" s="1" t="s">
        <v>4857</v>
      </c>
      <c r="B978" s="1" t="s">
        <v>4856</v>
      </c>
      <c r="C978" s="1" t="s">
        <v>13100</v>
      </c>
      <c r="D978" s="7" t="s">
        <v>10</v>
      </c>
    </row>
    <row r="979">
      <c r="A979" s="1" t="s">
        <v>4862</v>
      </c>
      <c r="B979" s="1" t="s">
        <v>4861</v>
      </c>
      <c r="C979" s="1" t="s">
        <v>13101</v>
      </c>
      <c r="D979" s="7" t="s">
        <v>10</v>
      </c>
    </row>
    <row r="980">
      <c r="A980" s="1" t="s">
        <v>4867</v>
      </c>
      <c r="B980" s="1" t="s">
        <v>4866</v>
      </c>
      <c r="C980" s="1" t="s">
        <v>13102</v>
      </c>
      <c r="D980" s="7" t="s">
        <v>10</v>
      </c>
    </row>
    <row r="981">
      <c r="A981" s="1" t="s">
        <v>4872</v>
      </c>
      <c r="B981" s="1" t="s">
        <v>4871</v>
      </c>
      <c r="C981" s="1" t="s">
        <v>13103</v>
      </c>
      <c r="D981" s="7" t="s">
        <v>10</v>
      </c>
    </row>
    <row r="982">
      <c r="A982" s="1" t="s">
        <v>4877</v>
      </c>
      <c r="B982" s="1" t="s">
        <v>4876</v>
      </c>
      <c r="C982" s="1" t="s">
        <v>13104</v>
      </c>
      <c r="D982" s="7" t="s">
        <v>10</v>
      </c>
    </row>
    <row r="983">
      <c r="A983" s="1" t="s">
        <v>4882</v>
      </c>
      <c r="B983" s="1" t="s">
        <v>4881</v>
      </c>
      <c r="C983" s="1" t="s">
        <v>13105</v>
      </c>
      <c r="D983" s="7" t="s">
        <v>10</v>
      </c>
    </row>
    <row r="984">
      <c r="A984" s="1" t="s">
        <v>4887</v>
      </c>
      <c r="B984" s="1" t="s">
        <v>4886</v>
      </c>
      <c r="C984" s="1" t="s">
        <v>13106</v>
      </c>
      <c r="D984" s="7" t="s">
        <v>10</v>
      </c>
    </row>
    <row r="985">
      <c r="A985" s="1" t="s">
        <v>4892</v>
      </c>
      <c r="B985" s="1" t="s">
        <v>4891</v>
      </c>
      <c r="C985" s="1" t="s">
        <v>13107</v>
      </c>
      <c r="D985" s="7" t="s">
        <v>10</v>
      </c>
    </row>
    <row r="986">
      <c r="A986" s="1" t="s">
        <v>4897</v>
      </c>
      <c r="B986" s="1" t="s">
        <v>4896</v>
      </c>
      <c r="C986" s="1" t="s">
        <v>13108</v>
      </c>
      <c r="D986" s="7" t="s">
        <v>10</v>
      </c>
    </row>
    <row r="987">
      <c r="A987" s="1" t="s">
        <v>4902</v>
      </c>
      <c r="B987" s="1" t="s">
        <v>4901</v>
      </c>
      <c r="C987" s="1" t="s">
        <v>13109</v>
      </c>
      <c r="D987" s="7" t="s">
        <v>10</v>
      </c>
    </row>
    <row r="988">
      <c r="A988" s="1" t="s">
        <v>4907</v>
      </c>
      <c r="B988" s="1" t="s">
        <v>4906</v>
      </c>
      <c r="C988" s="1" t="s">
        <v>13110</v>
      </c>
      <c r="D988" s="7" t="s">
        <v>10</v>
      </c>
    </row>
    <row r="989">
      <c r="A989" s="1" t="s">
        <v>4912</v>
      </c>
      <c r="B989" s="1" t="s">
        <v>4911</v>
      </c>
      <c r="C989" s="1" t="s">
        <v>13111</v>
      </c>
      <c r="D989" s="7" t="s">
        <v>10</v>
      </c>
    </row>
    <row r="990">
      <c r="A990" s="1" t="s">
        <v>4917</v>
      </c>
      <c r="B990" s="1" t="s">
        <v>4916</v>
      </c>
      <c r="C990" s="1" t="s">
        <v>13112</v>
      </c>
      <c r="D990" s="7" t="s">
        <v>10</v>
      </c>
    </row>
    <row r="991">
      <c r="A991" s="1" t="s">
        <v>4922</v>
      </c>
      <c r="B991" s="1" t="s">
        <v>4921</v>
      </c>
      <c r="C991" s="1" t="s">
        <v>13113</v>
      </c>
      <c r="D991" s="7" t="s">
        <v>10</v>
      </c>
    </row>
    <row r="992">
      <c r="A992" s="1" t="s">
        <v>4927</v>
      </c>
      <c r="B992" s="1" t="s">
        <v>4926</v>
      </c>
      <c r="C992" s="1" t="s">
        <v>13114</v>
      </c>
      <c r="D992" s="7" t="s">
        <v>10</v>
      </c>
    </row>
    <row r="993">
      <c r="A993" s="1" t="s">
        <v>4932</v>
      </c>
      <c r="B993" s="1" t="s">
        <v>4931</v>
      </c>
      <c r="C993" s="1" t="s">
        <v>13115</v>
      </c>
      <c r="D993" s="7" t="s">
        <v>10</v>
      </c>
    </row>
    <row r="994">
      <c r="A994" s="1" t="s">
        <v>4937</v>
      </c>
      <c r="B994" s="1" t="s">
        <v>4936</v>
      </c>
      <c r="C994" s="1" t="s">
        <v>13116</v>
      </c>
      <c r="D994" s="7" t="s">
        <v>10</v>
      </c>
    </row>
    <row r="995">
      <c r="A995" s="1" t="s">
        <v>4942</v>
      </c>
      <c r="B995" s="1" t="s">
        <v>4941</v>
      </c>
      <c r="C995" s="1" t="s">
        <v>13117</v>
      </c>
      <c r="D995" s="7" t="s">
        <v>10</v>
      </c>
    </row>
    <row r="996">
      <c r="A996" s="1" t="s">
        <v>4947</v>
      </c>
      <c r="B996" s="1" t="s">
        <v>4946</v>
      </c>
      <c r="C996" s="1" t="s">
        <v>13118</v>
      </c>
      <c r="D996" s="7" t="s">
        <v>10</v>
      </c>
    </row>
    <row r="997">
      <c r="A997" s="1" t="s">
        <v>4952</v>
      </c>
      <c r="B997" s="1" t="s">
        <v>4951</v>
      </c>
      <c r="C997" s="1" t="s">
        <v>13119</v>
      </c>
      <c r="D997" s="7" t="s">
        <v>10</v>
      </c>
    </row>
    <row r="998">
      <c r="A998" s="1" t="s">
        <v>4957</v>
      </c>
      <c r="B998" s="1" t="s">
        <v>4956</v>
      </c>
      <c r="C998" s="1" t="s">
        <v>13120</v>
      </c>
      <c r="D998" s="7" t="s">
        <v>10</v>
      </c>
    </row>
    <row r="999">
      <c r="A999" s="1" t="s">
        <v>4962</v>
      </c>
      <c r="B999" s="1" t="s">
        <v>4961</v>
      </c>
      <c r="C999" s="1" t="s">
        <v>13121</v>
      </c>
      <c r="D999" s="7" t="s">
        <v>10</v>
      </c>
    </row>
    <row r="1000">
      <c r="A1000" s="1" t="s">
        <v>4967</v>
      </c>
      <c r="B1000" s="1" t="s">
        <v>4966</v>
      </c>
      <c r="C1000" s="1" t="s">
        <v>13122</v>
      </c>
      <c r="D1000" s="7" t="s">
        <v>10</v>
      </c>
    </row>
    <row r="1001">
      <c r="A1001" s="1" t="s">
        <v>4972</v>
      </c>
      <c r="B1001" s="1" t="s">
        <v>4971</v>
      </c>
      <c r="C1001" s="1" t="s">
        <v>13123</v>
      </c>
      <c r="D1001" s="7" t="s">
        <v>10</v>
      </c>
    </row>
    <row r="1002">
      <c r="A1002" s="1" t="s">
        <v>4977</v>
      </c>
      <c r="B1002" s="1" t="s">
        <v>4976</v>
      </c>
      <c r="C1002" s="1" t="s">
        <v>13124</v>
      </c>
      <c r="D1002" s="7" t="s">
        <v>10</v>
      </c>
    </row>
    <row r="1003">
      <c r="A1003" s="1" t="s">
        <v>4982</v>
      </c>
      <c r="B1003" s="1" t="s">
        <v>4981</v>
      </c>
      <c r="C1003" s="1" t="s">
        <v>13125</v>
      </c>
      <c r="D1003" s="7" t="s">
        <v>10</v>
      </c>
    </row>
    <row r="1004">
      <c r="A1004" s="1" t="s">
        <v>4987</v>
      </c>
      <c r="B1004" s="1" t="s">
        <v>4986</v>
      </c>
      <c r="C1004" s="1" t="s">
        <v>13126</v>
      </c>
      <c r="D1004" s="7" t="s">
        <v>10</v>
      </c>
    </row>
    <row r="1005">
      <c r="A1005" s="1" t="s">
        <v>4992</v>
      </c>
      <c r="B1005" s="1" t="s">
        <v>4991</v>
      </c>
      <c r="C1005" s="1" t="s">
        <v>13127</v>
      </c>
      <c r="D1005" s="7" t="s">
        <v>10</v>
      </c>
    </row>
    <row r="1006">
      <c r="A1006" s="1" t="s">
        <v>4997</v>
      </c>
      <c r="B1006" s="1" t="s">
        <v>4996</v>
      </c>
      <c r="C1006" s="1" t="s">
        <v>13128</v>
      </c>
      <c r="D1006" s="7" t="s">
        <v>10</v>
      </c>
    </row>
    <row r="1007">
      <c r="A1007" s="1" t="s">
        <v>5002</v>
      </c>
      <c r="B1007" s="1" t="s">
        <v>5001</v>
      </c>
      <c r="C1007" s="1" t="s">
        <v>13129</v>
      </c>
      <c r="D1007" s="7" t="s">
        <v>10</v>
      </c>
    </row>
    <row r="1008">
      <c r="A1008" s="1" t="s">
        <v>5007</v>
      </c>
      <c r="B1008" s="1" t="s">
        <v>5006</v>
      </c>
      <c r="C1008" s="1" t="s">
        <v>13130</v>
      </c>
      <c r="D1008" s="7" t="s">
        <v>10</v>
      </c>
    </row>
    <row r="1009">
      <c r="A1009" s="1" t="s">
        <v>5012</v>
      </c>
      <c r="B1009" s="1" t="s">
        <v>5011</v>
      </c>
      <c r="C1009" s="1" t="s">
        <v>13131</v>
      </c>
      <c r="D1009" s="7" t="s">
        <v>10</v>
      </c>
    </row>
    <row r="1010">
      <c r="A1010" s="1" t="s">
        <v>5017</v>
      </c>
      <c r="B1010" s="1" t="s">
        <v>5016</v>
      </c>
      <c r="C1010" s="1" t="s">
        <v>13132</v>
      </c>
      <c r="D1010" s="7" t="s">
        <v>10</v>
      </c>
    </row>
    <row r="1011">
      <c r="A1011" s="1" t="s">
        <v>5022</v>
      </c>
      <c r="B1011" s="1" t="s">
        <v>5021</v>
      </c>
      <c r="C1011" s="1" t="s">
        <v>13133</v>
      </c>
      <c r="D1011" s="7" t="s">
        <v>10</v>
      </c>
    </row>
    <row r="1012">
      <c r="A1012" s="1" t="s">
        <v>5027</v>
      </c>
      <c r="B1012" s="1" t="s">
        <v>5026</v>
      </c>
      <c r="C1012" s="1" t="s">
        <v>13134</v>
      </c>
      <c r="D1012" s="7" t="s">
        <v>10</v>
      </c>
    </row>
    <row r="1013">
      <c r="A1013" s="1" t="s">
        <v>5032</v>
      </c>
      <c r="B1013" s="1" t="s">
        <v>5031</v>
      </c>
      <c r="C1013" s="1" t="s">
        <v>13135</v>
      </c>
      <c r="D1013" s="7" t="s">
        <v>10</v>
      </c>
    </row>
    <row r="1014">
      <c r="A1014" s="1" t="s">
        <v>5037</v>
      </c>
      <c r="B1014" s="1" t="s">
        <v>5036</v>
      </c>
      <c r="C1014" s="1" t="s">
        <v>13136</v>
      </c>
      <c r="D1014" s="7" t="s">
        <v>10</v>
      </c>
    </row>
    <row r="1015">
      <c r="A1015" s="1" t="s">
        <v>5042</v>
      </c>
      <c r="B1015" s="1" t="s">
        <v>5041</v>
      </c>
      <c r="C1015" s="1" t="s">
        <v>13137</v>
      </c>
      <c r="D1015" s="7" t="s">
        <v>10</v>
      </c>
    </row>
    <row r="1016">
      <c r="A1016" s="1" t="s">
        <v>5047</v>
      </c>
      <c r="B1016" s="1" t="s">
        <v>5046</v>
      </c>
      <c r="C1016" s="1" t="s">
        <v>13138</v>
      </c>
      <c r="D1016" s="7" t="s">
        <v>10</v>
      </c>
    </row>
    <row r="1017">
      <c r="A1017" s="1" t="s">
        <v>5052</v>
      </c>
      <c r="B1017" s="1" t="s">
        <v>5051</v>
      </c>
      <c r="C1017" s="1" t="s">
        <v>13139</v>
      </c>
      <c r="D1017" s="7" t="s">
        <v>10</v>
      </c>
    </row>
    <row r="1018">
      <c r="A1018" s="1" t="s">
        <v>5057</v>
      </c>
      <c r="B1018" s="1" t="s">
        <v>5056</v>
      </c>
      <c r="C1018" s="1" t="s">
        <v>13140</v>
      </c>
      <c r="D1018" s="7" t="s">
        <v>10</v>
      </c>
    </row>
    <row r="1019">
      <c r="A1019" s="1" t="s">
        <v>5062</v>
      </c>
      <c r="B1019" s="1" t="s">
        <v>5061</v>
      </c>
      <c r="C1019" s="1" t="s">
        <v>13141</v>
      </c>
      <c r="D1019" s="7" t="s">
        <v>10</v>
      </c>
    </row>
    <row r="1020">
      <c r="A1020" s="1" t="s">
        <v>5067</v>
      </c>
      <c r="B1020" s="1" t="s">
        <v>5066</v>
      </c>
      <c r="C1020" s="1" t="s">
        <v>13142</v>
      </c>
      <c r="D1020" s="7" t="s">
        <v>10</v>
      </c>
    </row>
    <row r="1021">
      <c r="A1021" s="1" t="s">
        <v>5072</v>
      </c>
      <c r="B1021" s="1" t="s">
        <v>5071</v>
      </c>
      <c r="C1021" s="1" t="s">
        <v>13143</v>
      </c>
      <c r="D1021" s="7" t="s">
        <v>10</v>
      </c>
    </row>
    <row r="1022">
      <c r="A1022" s="1" t="s">
        <v>5077</v>
      </c>
      <c r="B1022" s="1" t="s">
        <v>5076</v>
      </c>
      <c r="C1022" s="1" t="s">
        <v>13144</v>
      </c>
      <c r="D1022" s="7" t="s">
        <v>10</v>
      </c>
    </row>
    <row r="1023">
      <c r="A1023" s="1" t="s">
        <v>5082</v>
      </c>
      <c r="B1023" s="1" t="s">
        <v>5081</v>
      </c>
      <c r="C1023" s="1" t="s">
        <v>13145</v>
      </c>
      <c r="D1023" s="7" t="s">
        <v>10</v>
      </c>
    </row>
    <row r="1024">
      <c r="A1024" s="1" t="s">
        <v>5087</v>
      </c>
      <c r="B1024" s="1" t="s">
        <v>5086</v>
      </c>
      <c r="C1024" s="1" t="s">
        <v>13146</v>
      </c>
      <c r="D1024" s="7" t="s">
        <v>10</v>
      </c>
    </row>
    <row r="1025">
      <c r="A1025" s="1" t="s">
        <v>5092</v>
      </c>
      <c r="B1025" s="1" t="s">
        <v>5091</v>
      </c>
      <c r="C1025" s="1" t="s">
        <v>13147</v>
      </c>
      <c r="D1025" s="7" t="s">
        <v>10</v>
      </c>
    </row>
    <row r="1026">
      <c r="A1026" s="1" t="s">
        <v>5097</v>
      </c>
      <c r="B1026" s="1" t="s">
        <v>5096</v>
      </c>
      <c r="C1026" s="1" t="s">
        <v>13148</v>
      </c>
      <c r="D1026" s="7" t="s">
        <v>10</v>
      </c>
    </row>
    <row r="1027">
      <c r="A1027" s="1" t="s">
        <v>5102</v>
      </c>
      <c r="B1027" s="1" t="s">
        <v>5101</v>
      </c>
      <c r="C1027" s="1" t="s">
        <v>13149</v>
      </c>
      <c r="D1027" s="7" t="s">
        <v>10</v>
      </c>
    </row>
    <row r="1028">
      <c r="A1028" s="1" t="s">
        <v>5107</v>
      </c>
      <c r="B1028" s="1" t="s">
        <v>5106</v>
      </c>
      <c r="C1028" s="1" t="s">
        <v>13150</v>
      </c>
      <c r="D1028" s="7" t="s">
        <v>10</v>
      </c>
    </row>
    <row r="1029">
      <c r="A1029" s="1" t="s">
        <v>5112</v>
      </c>
      <c r="B1029" s="1" t="s">
        <v>5111</v>
      </c>
      <c r="C1029" s="1" t="s">
        <v>13151</v>
      </c>
      <c r="D1029" s="7" t="s">
        <v>10</v>
      </c>
    </row>
    <row r="1030">
      <c r="A1030" s="1" t="s">
        <v>5117</v>
      </c>
      <c r="B1030" s="1" t="s">
        <v>5116</v>
      </c>
      <c r="C1030" s="1" t="s">
        <v>13152</v>
      </c>
      <c r="D1030" s="7" t="s">
        <v>10</v>
      </c>
    </row>
    <row r="1031">
      <c r="A1031" s="1" t="s">
        <v>5122</v>
      </c>
      <c r="B1031" s="1" t="s">
        <v>5121</v>
      </c>
      <c r="C1031" s="1" t="s">
        <v>13153</v>
      </c>
      <c r="D1031" s="7" t="s">
        <v>10</v>
      </c>
    </row>
    <row r="1032">
      <c r="A1032" s="1" t="s">
        <v>5127</v>
      </c>
      <c r="B1032" s="1" t="s">
        <v>5126</v>
      </c>
      <c r="C1032" s="1" t="s">
        <v>13154</v>
      </c>
      <c r="D1032" s="7" t="s">
        <v>10</v>
      </c>
    </row>
    <row r="1033">
      <c r="A1033" s="1" t="s">
        <v>5132</v>
      </c>
      <c r="B1033" s="1" t="s">
        <v>5131</v>
      </c>
      <c r="C1033" s="1" t="s">
        <v>13155</v>
      </c>
      <c r="D1033" s="7" t="s">
        <v>10</v>
      </c>
    </row>
    <row r="1034">
      <c r="A1034" s="1" t="s">
        <v>5137</v>
      </c>
      <c r="B1034" s="1" t="s">
        <v>5136</v>
      </c>
      <c r="C1034" s="1" t="s">
        <v>13156</v>
      </c>
      <c r="D1034" s="7" t="s">
        <v>10</v>
      </c>
    </row>
    <row r="1035">
      <c r="A1035" s="1" t="s">
        <v>5142</v>
      </c>
      <c r="B1035" s="1" t="s">
        <v>5141</v>
      </c>
      <c r="C1035" s="1" t="s">
        <v>13157</v>
      </c>
      <c r="D1035" s="7" t="s">
        <v>10</v>
      </c>
    </row>
    <row r="1036">
      <c r="A1036" s="1" t="s">
        <v>5147</v>
      </c>
      <c r="B1036" s="1" t="s">
        <v>5146</v>
      </c>
      <c r="C1036" s="1" t="s">
        <v>13158</v>
      </c>
      <c r="D1036" s="7" t="s">
        <v>10</v>
      </c>
    </row>
    <row r="1037">
      <c r="A1037" s="1" t="s">
        <v>5152</v>
      </c>
      <c r="B1037" s="1" t="s">
        <v>5151</v>
      </c>
      <c r="C1037" s="1" t="s">
        <v>13159</v>
      </c>
      <c r="D1037" s="7" t="s">
        <v>10</v>
      </c>
    </row>
    <row r="1038">
      <c r="A1038" s="1" t="s">
        <v>5157</v>
      </c>
      <c r="B1038" s="1" t="s">
        <v>5156</v>
      </c>
      <c r="C1038" s="1" t="s">
        <v>13160</v>
      </c>
      <c r="D1038" s="7" t="s">
        <v>10</v>
      </c>
    </row>
    <row r="1039">
      <c r="A1039" s="1" t="s">
        <v>5162</v>
      </c>
      <c r="B1039" s="1" t="s">
        <v>5161</v>
      </c>
      <c r="C1039" s="1" t="s">
        <v>13161</v>
      </c>
      <c r="D1039" s="7" t="s">
        <v>10</v>
      </c>
    </row>
    <row r="1040">
      <c r="A1040" s="1" t="s">
        <v>5167</v>
      </c>
      <c r="B1040" s="1" t="s">
        <v>5166</v>
      </c>
      <c r="C1040" s="1" t="s">
        <v>13162</v>
      </c>
      <c r="D1040" s="7" t="s">
        <v>10</v>
      </c>
    </row>
    <row r="1041">
      <c r="A1041" s="1" t="s">
        <v>5172</v>
      </c>
      <c r="B1041" s="1" t="s">
        <v>5171</v>
      </c>
      <c r="C1041" s="1" t="s">
        <v>13163</v>
      </c>
      <c r="D1041" s="7" t="s">
        <v>10</v>
      </c>
    </row>
    <row r="1042">
      <c r="A1042" s="1" t="s">
        <v>5177</v>
      </c>
      <c r="B1042" s="1" t="s">
        <v>5176</v>
      </c>
      <c r="C1042" s="1" t="s">
        <v>13164</v>
      </c>
      <c r="D1042" s="7" t="s">
        <v>10</v>
      </c>
    </row>
    <row r="1043">
      <c r="A1043" s="1" t="s">
        <v>5182</v>
      </c>
      <c r="B1043" s="1" t="s">
        <v>5181</v>
      </c>
      <c r="C1043" s="1" t="s">
        <v>13165</v>
      </c>
      <c r="D1043" s="7" t="s">
        <v>10</v>
      </c>
    </row>
    <row r="1044">
      <c r="A1044" s="1" t="s">
        <v>5187</v>
      </c>
      <c r="B1044" s="1" t="s">
        <v>5186</v>
      </c>
      <c r="C1044" s="1" t="s">
        <v>13166</v>
      </c>
      <c r="D1044" s="7" t="s">
        <v>10</v>
      </c>
    </row>
    <row r="1045">
      <c r="A1045" s="1" t="s">
        <v>5192</v>
      </c>
      <c r="B1045" s="1" t="s">
        <v>5191</v>
      </c>
      <c r="C1045" s="1" t="s">
        <v>13167</v>
      </c>
      <c r="D1045" s="7" t="s">
        <v>10</v>
      </c>
    </row>
    <row r="1046">
      <c r="A1046" s="1" t="s">
        <v>5197</v>
      </c>
      <c r="B1046" s="1" t="s">
        <v>5196</v>
      </c>
      <c r="C1046" s="1" t="s">
        <v>13168</v>
      </c>
      <c r="D1046" s="7" t="s">
        <v>10</v>
      </c>
    </row>
    <row r="1047">
      <c r="A1047" s="1" t="s">
        <v>5202</v>
      </c>
      <c r="B1047" s="1" t="s">
        <v>5201</v>
      </c>
      <c r="C1047" s="1" t="s">
        <v>13169</v>
      </c>
      <c r="D1047" s="7" t="s">
        <v>10</v>
      </c>
    </row>
    <row r="1048">
      <c r="A1048" s="1" t="s">
        <v>5207</v>
      </c>
      <c r="B1048" s="1" t="s">
        <v>5206</v>
      </c>
      <c r="C1048" s="1" t="s">
        <v>13170</v>
      </c>
      <c r="D1048" s="7" t="s">
        <v>10</v>
      </c>
    </row>
    <row r="1049">
      <c r="A1049" s="1" t="s">
        <v>5212</v>
      </c>
      <c r="B1049" s="1" t="s">
        <v>5211</v>
      </c>
      <c r="C1049" s="1" t="s">
        <v>13171</v>
      </c>
      <c r="D1049" s="7" t="s">
        <v>10</v>
      </c>
    </row>
    <row r="1050">
      <c r="A1050" s="1" t="s">
        <v>5217</v>
      </c>
      <c r="B1050" s="1" t="s">
        <v>5216</v>
      </c>
      <c r="C1050" s="1" t="s">
        <v>13172</v>
      </c>
      <c r="D1050" s="7" t="s">
        <v>10</v>
      </c>
    </row>
    <row r="1051">
      <c r="A1051" s="1" t="s">
        <v>5222</v>
      </c>
      <c r="B1051" s="1" t="s">
        <v>5221</v>
      </c>
      <c r="C1051" s="1" t="s">
        <v>13173</v>
      </c>
      <c r="D1051" s="7" t="s">
        <v>10</v>
      </c>
    </row>
    <row r="1052">
      <c r="A1052" s="1" t="s">
        <v>5227</v>
      </c>
      <c r="B1052" s="1" t="s">
        <v>5226</v>
      </c>
      <c r="C1052" s="1" t="s">
        <v>13174</v>
      </c>
      <c r="D1052" s="7" t="s">
        <v>10</v>
      </c>
    </row>
    <row r="1053">
      <c r="A1053" s="1" t="s">
        <v>5232</v>
      </c>
      <c r="B1053" s="1" t="s">
        <v>5231</v>
      </c>
      <c r="C1053" s="1" t="s">
        <v>13175</v>
      </c>
      <c r="D1053" s="7" t="s">
        <v>10</v>
      </c>
    </row>
    <row r="1054">
      <c r="A1054" s="1" t="s">
        <v>5237</v>
      </c>
      <c r="B1054" s="1" t="s">
        <v>5236</v>
      </c>
      <c r="C1054" s="1" t="s">
        <v>13176</v>
      </c>
      <c r="D1054" s="7" t="s">
        <v>10</v>
      </c>
    </row>
    <row r="1055">
      <c r="A1055" s="1" t="s">
        <v>5242</v>
      </c>
      <c r="B1055" s="1" t="s">
        <v>5241</v>
      </c>
      <c r="C1055" s="1" t="s">
        <v>13177</v>
      </c>
      <c r="D1055" s="7" t="s">
        <v>10</v>
      </c>
    </row>
    <row r="1056">
      <c r="A1056" s="1" t="s">
        <v>5247</v>
      </c>
      <c r="B1056" s="1" t="s">
        <v>5246</v>
      </c>
      <c r="C1056" s="1" t="s">
        <v>13178</v>
      </c>
      <c r="D1056" s="7" t="s">
        <v>10</v>
      </c>
    </row>
    <row r="1057">
      <c r="A1057" s="1" t="s">
        <v>5252</v>
      </c>
      <c r="B1057" s="1" t="s">
        <v>5251</v>
      </c>
      <c r="C1057" s="1" t="s">
        <v>13179</v>
      </c>
      <c r="D1057" s="7" t="s">
        <v>10</v>
      </c>
    </row>
    <row r="1058">
      <c r="A1058" s="1" t="s">
        <v>5257</v>
      </c>
      <c r="B1058" s="1" t="s">
        <v>5256</v>
      </c>
      <c r="C1058" s="1" t="s">
        <v>13180</v>
      </c>
      <c r="D1058" s="7" t="s">
        <v>10</v>
      </c>
    </row>
    <row r="1059">
      <c r="A1059" s="1" t="s">
        <v>5262</v>
      </c>
      <c r="B1059" s="1" t="s">
        <v>5261</v>
      </c>
      <c r="C1059" s="1" t="s">
        <v>13181</v>
      </c>
      <c r="D1059" s="7" t="s">
        <v>10</v>
      </c>
    </row>
    <row r="1060">
      <c r="A1060" s="1" t="s">
        <v>5267</v>
      </c>
      <c r="B1060" s="1" t="s">
        <v>5266</v>
      </c>
      <c r="C1060" s="1" t="s">
        <v>13182</v>
      </c>
      <c r="D1060" s="7" t="s">
        <v>10</v>
      </c>
    </row>
    <row r="1061">
      <c r="A1061" s="1" t="s">
        <v>5272</v>
      </c>
      <c r="B1061" s="1" t="s">
        <v>5271</v>
      </c>
      <c r="C1061" s="1" t="s">
        <v>13183</v>
      </c>
      <c r="D1061" s="7" t="s">
        <v>10</v>
      </c>
    </row>
    <row r="1062">
      <c r="A1062" s="1" t="s">
        <v>5277</v>
      </c>
      <c r="B1062" s="1" t="s">
        <v>5276</v>
      </c>
      <c r="C1062" s="1" t="s">
        <v>13184</v>
      </c>
      <c r="D1062" s="7" t="s">
        <v>10</v>
      </c>
    </row>
    <row r="1063">
      <c r="A1063" s="1" t="s">
        <v>5282</v>
      </c>
      <c r="B1063" s="1" t="s">
        <v>5281</v>
      </c>
      <c r="C1063" s="1" t="s">
        <v>13185</v>
      </c>
      <c r="D1063" s="7" t="s">
        <v>10</v>
      </c>
    </row>
    <row r="1064">
      <c r="A1064" s="1" t="s">
        <v>5287</v>
      </c>
      <c r="B1064" s="1" t="s">
        <v>5286</v>
      </c>
      <c r="C1064" s="1" t="s">
        <v>13186</v>
      </c>
      <c r="D1064" s="7" t="s">
        <v>10</v>
      </c>
    </row>
    <row r="1065">
      <c r="A1065" s="1" t="s">
        <v>5292</v>
      </c>
      <c r="B1065" s="1" t="s">
        <v>5291</v>
      </c>
      <c r="C1065" s="1" t="s">
        <v>13187</v>
      </c>
      <c r="D1065" s="7" t="s">
        <v>10</v>
      </c>
    </row>
    <row r="1066">
      <c r="A1066" s="1" t="s">
        <v>5297</v>
      </c>
      <c r="B1066" s="1" t="s">
        <v>5296</v>
      </c>
      <c r="C1066" s="1" t="s">
        <v>13188</v>
      </c>
      <c r="D1066" s="7" t="s">
        <v>10</v>
      </c>
    </row>
    <row r="1067">
      <c r="A1067" s="1" t="s">
        <v>5302</v>
      </c>
      <c r="B1067" s="1" t="s">
        <v>5301</v>
      </c>
      <c r="C1067" s="1" t="s">
        <v>13189</v>
      </c>
      <c r="D1067" s="7" t="s">
        <v>10</v>
      </c>
    </row>
    <row r="1068">
      <c r="A1068" s="1" t="s">
        <v>5307</v>
      </c>
      <c r="B1068" s="1" t="s">
        <v>5306</v>
      </c>
      <c r="C1068" s="1" t="s">
        <v>13190</v>
      </c>
      <c r="D1068" s="7" t="s">
        <v>10</v>
      </c>
    </row>
    <row r="1069">
      <c r="A1069" s="1" t="s">
        <v>5312</v>
      </c>
      <c r="B1069" s="1" t="s">
        <v>5311</v>
      </c>
      <c r="C1069" s="1" t="s">
        <v>13191</v>
      </c>
      <c r="D1069" s="7" t="s">
        <v>10</v>
      </c>
    </row>
    <row r="1070">
      <c r="A1070" s="1" t="s">
        <v>5317</v>
      </c>
      <c r="B1070" s="1" t="s">
        <v>5316</v>
      </c>
      <c r="C1070" s="1" t="s">
        <v>13192</v>
      </c>
      <c r="D1070" s="7" t="s">
        <v>10</v>
      </c>
    </row>
    <row r="1071">
      <c r="A1071" s="1" t="s">
        <v>5322</v>
      </c>
      <c r="B1071" s="1" t="s">
        <v>5321</v>
      </c>
      <c r="C1071" s="1" t="s">
        <v>13193</v>
      </c>
      <c r="D1071" s="7" t="s">
        <v>10</v>
      </c>
    </row>
    <row r="1072">
      <c r="A1072" s="1" t="s">
        <v>5327</v>
      </c>
      <c r="B1072" s="1" t="s">
        <v>5326</v>
      </c>
      <c r="C1072" s="1" t="s">
        <v>13194</v>
      </c>
      <c r="D1072" s="7" t="s">
        <v>10</v>
      </c>
    </row>
    <row r="1073">
      <c r="A1073" s="1" t="s">
        <v>5327</v>
      </c>
      <c r="B1073" s="1" t="s">
        <v>5331</v>
      </c>
      <c r="C1073" s="1" t="s">
        <v>13195</v>
      </c>
      <c r="D1073" s="7" t="s">
        <v>10</v>
      </c>
    </row>
    <row r="1074">
      <c r="A1074" s="1" t="s">
        <v>5336</v>
      </c>
      <c r="B1074" s="1" t="s">
        <v>5335</v>
      </c>
      <c r="C1074" s="1" t="s">
        <v>13196</v>
      </c>
      <c r="D1074" s="7" t="s">
        <v>10</v>
      </c>
    </row>
    <row r="1075">
      <c r="A1075" s="1" t="s">
        <v>5341</v>
      </c>
      <c r="B1075" s="1" t="s">
        <v>5340</v>
      </c>
      <c r="C1075" s="1" t="s">
        <v>13197</v>
      </c>
      <c r="D1075" s="7" t="s">
        <v>10</v>
      </c>
    </row>
    <row r="1076">
      <c r="A1076" s="1" t="s">
        <v>5346</v>
      </c>
      <c r="B1076" s="1" t="s">
        <v>5345</v>
      </c>
      <c r="C1076" s="1" t="s">
        <v>13198</v>
      </c>
      <c r="D1076" s="7" t="s">
        <v>10</v>
      </c>
    </row>
    <row r="1077">
      <c r="A1077" s="1" t="s">
        <v>5351</v>
      </c>
      <c r="B1077" s="1" t="s">
        <v>5350</v>
      </c>
      <c r="C1077" s="1" t="s">
        <v>13199</v>
      </c>
      <c r="D1077" s="7" t="s">
        <v>10</v>
      </c>
    </row>
    <row r="1078">
      <c r="A1078" s="1" t="s">
        <v>5356</v>
      </c>
      <c r="B1078" s="1" t="s">
        <v>5355</v>
      </c>
      <c r="C1078" s="1" t="s">
        <v>13200</v>
      </c>
      <c r="D1078" s="7" t="s">
        <v>10</v>
      </c>
    </row>
    <row r="1079">
      <c r="A1079" s="1" t="s">
        <v>5361</v>
      </c>
      <c r="B1079" s="1" t="s">
        <v>5360</v>
      </c>
      <c r="C1079" s="1" t="s">
        <v>13201</v>
      </c>
      <c r="D1079" s="7" t="s">
        <v>10</v>
      </c>
    </row>
    <row r="1080">
      <c r="A1080" s="1" t="s">
        <v>5366</v>
      </c>
      <c r="B1080" s="1" t="s">
        <v>5365</v>
      </c>
      <c r="C1080" s="1" t="s">
        <v>13202</v>
      </c>
      <c r="D1080" s="7" t="s">
        <v>10</v>
      </c>
    </row>
    <row r="1081">
      <c r="A1081" s="1" t="s">
        <v>5371</v>
      </c>
      <c r="B1081" s="1" t="s">
        <v>5370</v>
      </c>
      <c r="C1081" s="1" t="s">
        <v>13203</v>
      </c>
      <c r="D1081" s="7" t="s">
        <v>10</v>
      </c>
    </row>
    <row r="1082">
      <c r="A1082" s="1" t="s">
        <v>5376</v>
      </c>
      <c r="B1082" s="1" t="s">
        <v>5375</v>
      </c>
      <c r="C1082" s="1" t="s">
        <v>13204</v>
      </c>
      <c r="D1082" s="7" t="s">
        <v>10</v>
      </c>
    </row>
    <row r="1083">
      <c r="A1083" s="1" t="s">
        <v>5381</v>
      </c>
      <c r="B1083" s="1" t="s">
        <v>5380</v>
      </c>
      <c r="C1083" s="1" t="s">
        <v>13205</v>
      </c>
      <c r="D1083" s="7" t="s">
        <v>10</v>
      </c>
    </row>
    <row r="1084">
      <c r="A1084" s="1" t="s">
        <v>5386</v>
      </c>
      <c r="B1084" s="1" t="s">
        <v>5385</v>
      </c>
      <c r="C1084" s="1" t="s">
        <v>13206</v>
      </c>
      <c r="D1084" s="7" t="s">
        <v>10</v>
      </c>
    </row>
    <row r="1085">
      <c r="A1085" s="1" t="s">
        <v>5391</v>
      </c>
      <c r="B1085" s="1" t="s">
        <v>5390</v>
      </c>
      <c r="C1085" s="1" t="s">
        <v>13207</v>
      </c>
      <c r="D1085" s="7" t="s">
        <v>10</v>
      </c>
    </row>
    <row r="1086">
      <c r="A1086" s="1" t="s">
        <v>5396</v>
      </c>
      <c r="B1086" s="1" t="s">
        <v>5395</v>
      </c>
      <c r="C1086" s="1" t="s">
        <v>13208</v>
      </c>
      <c r="D1086" s="7" t="s">
        <v>10</v>
      </c>
    </row>
    <row r="1087">
      <c r="A1087" s="1" t="s">
        <v>5401</v>
      </c>
      <c r="B1087" s="1" t="s">
        <v>5400</v>
      </c>
      <c r="C1087" s="1" t="s">
        <v>13209</v>
      </c>
      <c r="D1087" s="7" t="s">
        <v>10</v>
      </c>
    </row>
    <row r="1088">
      <c r="A1088" s="1" t="s">
        <v>5406</v>
      </c>
      <c r="B1088" s="1" t="s">
        <v>5405</v>
      </c>
      <c r="C1088" s="1" t="s">
        <v>13210</v>
      </c>
      <c r="D1088" s="7" t="s">
        <v>10</v>
      </c>
    </row>
    <row r="1089">
      <c r="A1089" s="1" t="s">
        <v>5411</v>
      </c>
      <c r="B1089" s="1" t="s">
        <v>5410</v>
      </c>
      <c r="C1089" s="1" t="s">
        <v>13211</v>
      </c>
      <c r="D1089" s="7" t="s">
        <v>10</v>
      </c>
    </row>
    <row r="1090">
      <c r="A1090" s="1" t="s">
        <v>5416</v>
      </c>
      <c r="B1090" s="1" t="s">
        <v>5415</v>
      </c>
      <c r="C1090" s="1" t="s">
        <v>13212</v>
      </c>
      <c r="D1090" s="7" t="s">
        <v>10</v>
      </c>
    </row>
    <row r="1091">
      <c r="A1091" s="1" t="s">
        <v>5421</v>
      </c>
      <c r="B1091" s="1" t="s">
        <v>5420</v>
      </c>
      <c r="C1091" s="1" t="s">
        <v>13213</v>
      </c>
      <c r="D1091" s="7" t="s">
        <v>10</v>
      </c>
    </row>
    <row r="1092">
      <c r="A1092" s="1" t="s">
        <v>5426</v>
      </c>
      <c r="B1092" s="1" t="s">
        <v>5425</v>
      </c>
      <c r="C1092" s="1" t="s">
        <v>13214</v>
      </c>
      <c r="D1092" s="7" t="s">
        <v>10</v>
      </c>
    </row>
    <row r="1093">
      <c r="A1093" s="1" t="s">
        <v>5431</v>
      </c>
      <c r="B1093" s="1" t="s">
        <v>5430</v>
      </c>
      <c r="C1093" s="1" t="s">
        <v>13215</v>
      </c>
      <c r="D1093" s="7" t="s">
        <v>10</v>
      </c>
    </row>
    <row r="1094">
      <c r="A1094" s="1" t="s">
        <v>5436</v>
      </c>
      <c r="B1094" s="1" t="s">
        <v>5435</v>
      </c>
      <c r="C1094" s="1" t="s">
        <v>13216</v>
      </c>
      <c r="D1094" s="7" t="s">
        <v>10</v>
      </c>
    </row>
    <row r="1095">
      <c r="A1095" s="1" t="s">
        <v>5441</v>
      </c>
      <c r="B1095" s="1" t="s">
        <v>5440</v>
      </c>
      <c r="C1095" s="1" t="s">
        <v>13217</v>
      </c>
      <c r="D1095" s="7" t="s">
        <v>10</v>
      </c>
    </row>
    <row r="1096">
      <c r="A1096" s="1" t="s">
        <v>5446</v>
      </c>
      <c r="B1096" s="1" t="s">
        <v>5445</v>
      </c>
      <c r="C1096" s="1" t="s">
        <v>13218</v>
      </c>
      <c r="D1096" s="7" t="s">
        <v>10</v>
      </c>
    </row>
    <row r="1097">
      <c r="A1097" s="1" t="s">
        <v>5451</v>
      </c>
      <c r="B1097" s="1" t="s">
        <v>5450</v>
      </c>
      <c r="C1097" s="1" t="s">
        <v>13219</v>
      </c>
      <c r="D1097" s="7" t="s">
        <v>10</v>
      </c>
    </row>
    <row r="1098">
      <c r="A1098" s="1" t="s">
        <v>5456</v>
      </c>
      <c r="B1098" s="1" t="s">
        <v>5455</v>
      </c>
      <c r="C1098" s="1" t="s">
        <v>13220</v>
      </c>
      <c r="D1098" s="7" t="s">
        <v>10</v>
      </c>
    </row>
    <row r="1099">
      <c r="A1099" s="1" t="s">
        <v>5461</v>
      </c>
      <c r="B1099" s="1" t="s">
        <v>5460</v>
      </c>
      <c r="C1099" s="1" t="s">
        <v>13221</v>
      </c>
      <c r="D1099" s="7" t="s">
        <v>10</v>
      </c>
    </row>
    <row r="1100">
      <c r="A1100" s="1" t="s">
        <v>5466</v>
      </c>
      <c r="B1100" s="1" t="s">
        <v>5465</v>
      </c>
      <c r="C1100" s="1" t="s">
        <v>13222</v>
      </c>
      <c r="D1100" s="7" t="s">
        <v>10</v>
      </c>
    </row>
    <row r="1101">
      <c r="A1101" s="1" t="s">
        <v>5471</v>
      </c>
      <c r="B1101" s="1" t="s">
        <v>5470</v>
      </c>
      <c r="C1101" s="1" t="s">
        <v>13223</v>
      </c>
      <c r="D1101" s="7" t="s">
        <v>10</v>
      </c>
    </row>
    <row r="1102">
      <c r="A1102" s="1" t="s">
        <v>5476</v>
      </c>
      <c r="B1102" s="1" t="s">
        <v>5475</v>
      </c>
      <c r="C1102" s="1" t="s">
        <v>13224</v>
      </c>
      <c r="D1102" s="7" t="s">
        <v>10</v>
      </c>
    </row>
    <row r="1103">
      <c r="A1103" s="1" t="s">
        <v>5481</v>
      </c>
      <c r="B1103" s="1" t="s">
        <v>5480</v>
      </c>
      <c r="C1103" s="1" t="s">
        <v>13225</v>
      </c>
      <c r="D1103" s="7" t="s">
        <v>10</v>
      </c>
    </row>
    <row r="1104">
      <c r="A1104" s="1" t="s">
        <v>5486</v>
      </c>
      <c r="B1104" s="1" t="s">
        <v>5485</v>
      </c>
      <c r="C1104" s="1" t="s">
        <v>13226</v>
      </c>
      <c r="D1104" s="7" t="s">
        <v>10</v>
      </c>
    </row>
    <row r="1105">
      <c r="A1105" s="1" t="s">
        <v>5491</v>
      </c>
      <c r="B1105" s="1" t="s">
        <v>5490</v>
      </c>
      <c r="C1105" s="1" t="s">
        <v>13227</v>
      </c>
      <c r="D1105" s="7" t="s">
        <v>10</v>
      </c>
    </row>
    <row r="1106">
      <c r="A1106" s="1" t="s">
        <v>5496</v>
      </c>
      <c r="B1106" s="1" t="s">
        <v>5495</v>
      </c>
      <c r="C1106" s="1" t="s">
        <v>13228</v>
      </c>
      <c r="D1106" s="7" t="s">
        <v>10</v>
      </c>
    </row>
    <row r="1107">
      <c r="A1107" s="1" t="s">
        <v>5501</v>
      </c>
      <c r="B1107" s="1" t="s">
        <v>5500</v>
      </c>
      <c r="C1107" s="1" t="s">
        <v>13229</v>
      </c>
      <c r="D1107" s="7" t="s">
        <v>10</v>
      </c>
    </row>
    <row r="1108">
      <c r="A1108" s="1" t="s">
        <v>5506</v>
      </c>
      <c r="B1108" s="1" t="s">
        <v>5505</v>
      </c>
      <c r="C1108" s="1" t="s">
        <v>13230</v>
      </c>
      <c r="D1108" s="7" t="s">
        <v>10</v>
      </c>
    </row>
    <row r="1109">
      <c r="A1109" s="1" t="s">
        <v>5511</v>
      </c>
      <c r="B1109" s="1" t="s">
        <v>5510</v>
      </c>
      <c r="C1109" s="1" t="s">
        <v>13231</v>
      </c>
      <c r="D1109" s="7" t="s">
        <v>10</v>
      </c>
    </row>
    <row r="1110">
      <c r="A1110" s="1" t="s">
        <v>5516</v>
      </c>
      <c r="B1110" s="1" t="s">
        <v>5515</v>
      </c>
      <c r="C1110" s="1" t="s">
        <v>13232</v>
      </c>
      <c r="D1110" s="7" t="s">
        <v>10</v>
      </c>
    </row>
    <row r="1111">
      <c r="A1111" s="1" t="s">
        <v>5521</v>
      </c>
      <c r="B1111" s="1" t="s">
        <v>5520</v>
      </c>
      <c r="C1111" s="1" t="s">
        <v>13233</v>
      </c>
      <c r="D1111" s="7" t="s">
        <v>10</v>
      </c>
    </row>
    <row r="1112">
      <c r="A1112" s="1" t="s">
        <v>5526</v>
      </c>
      <c r="B1112" s="1" t="s">
        <v>5525</v>
      </c>
      <c r="C1112" s="1" t="s">
        <v>13234</v>
      </c>
      <c r="D1112" s="7" t="s">
        <v>10</v>
      </c>
    </row>
    <row r="1113">
      <c r="A1113" s="1" t="s">
        <v>5531</v>
      </c>
      <c r="B1113" s="1" t="s">
        <v>5530</v>
      </c>
      <c r="C1113" s="1" t="s">
        <v>13235</v>
      </c>
      <c r="D1113" s="7" t="s">
        <v>10</v>
      </c>
    </row>
    <row r="1114">
      <c r="A1114" s="1" t="s">
        <v>5536</v>
      </c>
      <c r="B1114" s="1" t="s">
        <v>5535</v>
      </c>
      <c r="C1114" s="1" t="s">
        <v>13236</v>
      </c>
      <c r="D1114" s="7" t="s">
        <v>10</v>
      </c>
    </row>
    <row r="1115">
      <c r="A1115" s="1" t="s">
        <v>5541</v>
      </c>
      <c r="B1115" s="1" t="s">
        <v>5540</v>
      </c>
      <c r="C1115" s="1" t="s">
        <v>13237</v>
      </c>
      <c r="D1115" s="7" t="s">
        <v>10</v>
      </c>
    </row>
    <row r="1116">
      <c r="A1116" s="1" t="s">
        <v>5546</v>
      </c>
      <c r="B1116" s="1" t="s">
        <v>5545</v>
      </c>
      <c r="C1116" s="1" t="s">
        <v>13238</v>
      </c>
      <c r="D1116" s="7" t="s">
        <v>10</v>
      </c>
    </row>
    <row r="1117">
      <c r="A1117" s="1" t="s">
        <v>5551</v>
      </c>
      <c r="B1117" s="1" t="s">
        <v>5550</v>
      </c>
      <c r="C1117" s="1" t="s">
        <v>13239</v>
      </c>
      <c r="D1117" s="7" t="s">
        <v>10</v>
      </c>
    </row>
    <row r="1118">
      <c r="A1118" s="1" t="s">
        <v>5556</v>
      </c>
      <c r="B1118" s="1" t="s">
        <v>5555</v>
      </c>
      <c r="C1118" s="1" t="s">
        <v>13240</v>
      </c>
      <c r="D1118" s="7" t="s">
        <v>10</v>
      </c>
    </row>
    <row r="1119">
      <c r="A1119" s="1" t="s">
        <v>5561</v>
      </c>
      <c r="B1119" s="1" t="s">
        <v>5560</v>
      </c>
      <c r="C1119" s="1" t="s">
        <v>13241</v>
      </c>
      <c r="D1119" s="7" t="s">
        <v>10</v>
      </c>
    </row>
    <row r="1120">
      <c r="A1120" s="1" t="s">
        <v>5566</v>
      </c>
      <c r="B1120" s="1" t="s">
        <v>5565</v>
      </c>
      <c r="C1120" s="1" t="s">
        <v>13242</v>
      </c>
      <c r="D1120" s="7" t="s">
        <v>10</v>
      </c>
    </row>
    <row r="1121">
      <c r="A1121" s="1" t="s">
        <v>5571</v>
      </c>
      <c r="B1121" s="1" t="s">
        <v>5570</v>
      </c>
      <c r="C1121" s="1" t="s">
        <v>13243</v>
      </c>
      <c r="D1121" s="7" t="s">
        <v>10</v>
      </c>
    </row>
    <row r="1122">
      <c r="A1122" s="1" t="s">
        <v>5576</v>
      </c>
      <c r="B1122" s="1" t="s">
        <v>5575</v>
      </c>
      <c r="C1122" s="1" t="s">
        <v>13244</v>
      </c>
      <c r="D1122" s="7" t="s">
        <v>10</v>
      </c>
    </row>
    <row r="1123">
      <c r="A1123" s="1" t="s">
        <v>5581</v>
      </c>
      <c r="B1123" s="1" t="s">
        <v>5580</v>
      </c>
      <c r="C1123" s="1" t="s">
        <v>13245</v>
      </c>
      <c r="D1123" s="7" t="s">
        <v>10</v>
      </c>
    </row>
    <row r="1124">
      <c r="A1124" s="1" t="s">
        <v>5586</v>
      </c>
      <c r="B1124" s="1" t="s">
        <v>5585</v>
      </c>
      <c r="C1124" s="1" t="s">
        <v>13246</v>
      </c>
      <c r="D1124" s="7" t="s">
        <v>10</v>
      </c>
    </row>
    <row r="1125">
      <c r="A1125" s="1" t="s">
        <v>5591</v>
      </c>
      <c r="B1125" s="1" t="s">
        <v>5590</v>
      </c>
      <c r="C1125" s="1" t="s">
        <v>13247</v>
      </c>
      <c r="D1125" s="7" t="s">
        <v>10</v>
      </c>
    </row>
    <row r="1126">
      <c r="A1126" s="1" t="s">
        <v>5596</v>
      </c>
      <c r="B1126" s="1" t="s">
        <v>5595</v>
      </c>
      <c r="C1126" s="1" t="s">
        <v>13248</v>
      </c>
      <c r="D1126" s="7" t="s">
        <v>10</v>
      </c>
    </row>
    <row r="1127">
      <c r="A1127" s="1" t="s">
        <v>5601</v>
      </c>
      <c r="B1127" s="1" t="s">
        <v>5600</v>
      </c>
      <c r="C1127" s="1" t="s">
        <v>13249</v>
      </c>
      <c r="D1127" s="7" t="s">
        <v>10</v>
      </c>
    </row>
    <row r="1128">
      <c r="A1128" s="1" t="s">
        <v>5606</v>
      </c>
      <c r="B1128" s="1" t="s">
        <v>5605</v>
      </c>
      <c r="C1128" s="1" t="s">
        <v>13250</v>
      </c>
      <c r="D1128" s="7" t="s">
        <v>10</v>
      </c>
    </row>
    <row r="1129">
      <c r="A1129" s="1" t="s">
        <v>5611</v>
      </c>
      <c r="B1129" s="1" t="s">
        <v>5610</v>
      </c>
      <c r="C1129" s="1" t="s">
        <v>13251</v>
      </c>
      <c r="D1129" s="7" t="s">
        <v>10</v>
      </c>
    </row>
    <row r="1130">
      <c r="A1130" s="1" t="s">
        <v>5616</v>
      </c>
      <c r="B1130" s="1" t="s">
        <v>5615</v>
      </c>
      <c r="C1130" s="1" t="s">
        <v>13252</v>
      </c>
      <c r="D1130" s="7" t="s">
        <v>10</v>
      </c>
    </row>
    <row r="1131">
      <c r="A1131" s="1" t="s">
        <v>5621</v>
      </c>
      <c r="B1131" s="1" t="s">
        <v>5620</v>
      </c>
      <c r="C1131" s="1" t="s">
        <v>13253</v>
      </c>
      <c r="D1131" s="7" t="s">
        <v>10</v>
      </c>
    </row>
    <row r="1132">
      <c r="A1132" s="1" t="s">
        <v>5626</v>
      </c>
      <c r="B1132" s="1" t="s">
        <v>5625</v>
      </c>
      <c r="C1132" s="1" t="s">
        <v>13254</v>
      </c>
      <c r="D1132" s="7" t="s">
        <v>10</v>
      </c>
    </row>
    <row r="1133">
      <c r="A1133" s="1" t="s">
        <v>5630</v>
      </c>
      <c r="B1133" s="1" t="s">
        <v>5630</v>
      </c>
      <c r="C1133" s="1" t="s">
        <v>13255</v>
      </c>
      <c r="D1133" s="7" t="s">
        <v>10</v>
      </c>
    </row>
    <row r="1134">
      <c r="A1134" s="1" t="s">
        <v>5635</v>
      </c>
      <c r="B1134" s="1" t="s">
        <v>5634</v>
      </c>
      <c r="C1134" s="1" t="s">
        <v>13256</v>
      </c>
      <c r="D1134" s="7" t="s">
        <v>10</v>
      </c>
    </row>
    <row r="1135">
      <c r="A1135" s="1" t="s">
        <v>5640</v>
      </c>
      <c r="B1135" s="1" t="s">
        <v>5639</v>
      </c>
      <c r="C1135" s="1" t="s">
        <v>13257</v>
      </c>
      <c r="D1135" s="7" t="s">
        <v>10</v>
      </c>
    </row>
    <row r="1136">
      <c r="A1136" s="1" t="s">
        <v>5645</v>
      </c>
      <c r="B1136" s="1" t="s">
        <v>5644</v>
      </c>
      <c r="C1136" s="1" t="s">
        <v>13258</v>
      </c>
      <c r="D1136" s="7" t="s">
        <v>10</v>
      </c>
    </row>
    <row r="1137">
      <c r="A1137" s="1" t="s">
        <v>5650</v>
      </c>
      <c r="B1137" s="1" t="s">
        <v>5649</v>
      </c>
      <c r="C1137" s="1" t="s">
        <v>13259</v>
      </c>
      <c r="D1137" s="7" t="s">
        <v>10</v>
      </c>
    </row>
    <row r="1138">
      <c r="A1138" s="1" t="s">
        <v>5655</v>
      </c>
      <c r="B1138" s="1" t="s">
        <v>5654</v>
      </c>
      <c r="C1138" s="1" t="s">
        <v>13260</v>
      </c>
      <c r="D1138" s="7" t="s">
        <v>10</v>
      </c>
    </row>
    <row r="1139">
      <c r="A1139" s="1" t="s">
        <v>5660</v>
      </c>
      <c r="B1139" s="1" t="s">
        <v>5659</v>
      </c>
      <c r="C1139" s="1" t="s">
        <v>13261</v>
      </c>
      <c r="D1139" s="7" t="s">
        <v>10</v>
      </c>
    </row>
    <row r="1140">
      <c r="A1140" s="1" t="s">
        <v>5665</v>
      </c>
      <c r="B1140" s="1" t="s">
        <v>5664</v>
      </c>
      <c r="C1140" s="1" t="s">
        <v>13262</v>
      </c>
      <c r="D1140" s="7" t="s">
        <v>10</v>
      </c>
    </row>
    <row r="1141">
      <c r="A1141" s="1" t="s">
        <v>5670</v>
      </c>
      <c r="B1141" s="1" t="s">
        <v>5669</v>
      </c>
      <c r="C1141" s="1" t="s">
        <v>13263</v>
      </c>
      <c r="D1141" s="7" t="s">
        <v>10</v>
      </c>
    </row>
    <row r="1142">
      <c r="A1142" s="1" t="s">
        <v>5675</v>
      </c>
      <c r="B1142" s="1" t="s">
        <v>5674</v>
      </c>
      <c r="C1142" s="1" t="s">
        <v>13264</v>
      </c>
      <c r="D1142" s="7" t="s">
        <v>10</v>
      </c>
    </row>
    <row r="1143">
      <c r="A1143" s="1" t="s">
        <v>5680</v>
      </c>
      <c r="B1143" s="1" t="s">
        <v>5679</v>
      </c>
      <c r="C1143" s="1" t="s">
        <v>13265</v>
      </c>
      <c r="D1143" s="7" t="s">
        <v>10</v>
      </c>
    </row>
    <row r="1144">
      <c r="A1144" s="1" t="s">
        <v>5685</v>
      </c>
      <c r="B1144" s="1" t="s">
        <v>5684</v>
      </c>
      <c r="C1144" s="1" t="s">
        <v>13266</v>
      </c>
      <c r="D1144" s="7" t="s">
        <v>10</v>
      </c>
    </row>
    <row r="1145">
      <c r="A1145" s="1" t="s">
        <v>5690</v>
      </c>
      <c r="B1145" s="1" t="s">
        <v>5689</v>
      </c>
      <c r="C1145" s="1" t="s">
        <v>13267</v>
      </c>
      <c r="D1145" s="7" t="s">
        <v>10</v>
      </c>
    </row>
    <row r="1146">
      <c r="A1146" s="1" t="s">
        <v>5695</v>
      </c>
      <c r="B1146" s="1" t="s">
        <v>5694</v>
      </c>
      <c r="C1146" s="1" t="s">
        <v>13268</v>
      </c>
      <c r="D1146" s="7" t="s">
        <v>10</v>
      </c>
    </row>
    <row r="1147">
      <c r="A1147" s="1" t="s">
        <v>5700</v>
      </c>
      <c r="B1147" s="1" t="s">
        <v>5699</v>
      </c>
      <c r="C1147" s="1" t="s">
        <v>13269</v>
      </c>
      <c r="D1147" s="7" t="s">
        <v>10</v>
      </c>
    </row>
    <row r="1148">
      <c r="A1148" s="1" t="s">
        <v>5705</v>
      </c>
      <c r="B1148" s="1" t="s">
        <v>5704</v>
      </c>
      <c r="C1148" s="1" t="s">
        <v>13270</v>
      </c>
      <c r="D1148" s="7" t="s">
        <v>10</v>
      </c>
    </row>
    <row r="1149">
      <c r="A1149" s="1" t="s">
        <v>5710</v>
      </c>
      <c r="B1149" s="1" t="s">
        <v>5709</v>
      </c>
      <c r="C1149" s="1" t="s">
        <v>13271</v>
      </c>
      <c r="D1149" s="7" t="s">
        <v>10</v>
      </c>
    </row>
    <row r="1150">
      <c r="A1150" s="1" t="s">
        <v>5715</v>
      </c>
      <c r="B1150" s="1" t="s">
        <v>5714</v>
      </c>
      <c r="C1150" s="1" t="s">
        <v>13272</v>
      </c>
      <c r="D1150" s="7" t="s">
        <v>10</v>
      </c>
    </row>
    <row r="1151">
      <c r="A1151" s="1" t="s">
        <v>5720</v>
      </c>
      <c r="B1151" s="1" t="s">
        <v>5719</v>
      </c>
      <c r="C1151" s="1" t="s">
        <v>13273</v>
      </c>
      <c r="D1151" s="7" t="s">
        <v>10</v>
      </c>
    </row>
    <row r="1152">
      <c r="A1152" s="1" t="s">
        <v>5725</v>
      </c>
      <c r="B1152" s="1" t="s">
        <v>5724</v>
      </c>
      <c r="C1152" s="1" t="s">
        <v>13274</v>
      </c>
      <c r="D1152" s="7" t="s">
        <v>10</v>
      </c>
    </row>
    <row r="1153">
      <c r="A1153" s="1" t="s">
        <v>5730</v>
      </c>
      <c r="B1153" s="1" t="s">
        <v>5729</v>
      </c>
      <c r="C1153" s="1" t="s">
        <v>13275</v>
      </c>
      <c r="D1153" s="7" t="s">
        <v>10</v>
      </c>
    </row>
    <row r="1154">
      <c r="A1154" s="1" t="s">
        <v>5735</v>
      </c>
      <c r="B1154" s="1" t="s">
        <v>5734</v>
      </c>
      <c r="C1154" s="1" t="s">
        <v>13276</v>
      </c>
      <c r="D1154" s="7" t="s">
        <v>10</v>
      </c>
    </row>
    <row r="1155">
      <c r="A1155" s="1" t="s">
        <v>5740</v>
      </c>
      <c r="B1155" s="1" t="s">
        <v>5739</v>
      </c>
      <c r="C1155" s="1" t="s">
        <v>13277</v>
      </c>
      <c r="D1155" s="7" t="s">
        <v>10</v>
      </c>
    </row>
    <row r="1156">
      <c r="A1156" s="1" t="s">
        <v>5745</v>
      </c>
      <c r="B1156" s="1" t="s">
        <v>5744</v>
      </c>
      <c r="C1156" s="1" t="s">
        <v>13278</v>
      </c>
      <c r="D1156" s="7" t="s">
        <v>10</v>
      </c>
    </row>
    <row r="1157">
      <c r="A1157" s="1" t="s">
        <v>5750</v>
      </c>
      <c r="B1157" s="1" t="s">
        <v>5749</v>
      </c>
      <c r="C1157" s="1" t="s">
        <v>13279</v>
      </c>
      <c r="D1157" s="7" t="s">
        <v>10</v>
      </c>
    </row>
    <row r="1158">
      <c r="A1158" s="1" t="s">
        <v>5755</v>
      </c>
      <c r="B1158" s="1" t="s">
        <v>5754</v>
      </c>
      <c r="C1158" s="1" t="s">
        <v>13280</v>
      </c>
      <c r="D1158" s="7" t="s">
        <v>10</v>
      </c>
    </row>
    <row r="1159">
      <c r="A1159" s="1" t="s">
        <v>5760</v>
      </c>
      <c r="B1159" s="1" t="s">
        <v>5759</v>
      </c>
      <c r="C1159" s="1" t="s">
        <v>13281</v>
      </c>
      <c r="D1159" s="7" t="s">
        <v>10</v>
      </c>
    </row>
    <row r="1160">
      <c r="A1160" s="1" t="s">
        <v>5765</v>
      </c>
      <c r="B1160" s="1" t="s">
        <v>5764</v>
      </c>
      <c r="C1160" s="1" t="s">
        <v>13282</v>
      </c>
      <c r="D1160" s="7" t="s">
        <v>10</v>
      </c>
    </row>
    <row r="1161">
      <c r="A1161" s="1" t="s">
        <v>5770</v>
      </c>
      <c r="B1161" s="1" t="s">
        <v>5769</v>
      </c>
      <c r="C1161" s="1" t="s">
        <v>13283</v>
      </c>
      <c r="D1161" s="7" t="s">
        <v>10</v>
      </c>
    </row>
    <row r="1162">
      <c r="A1162" s="1" t="s">
        <v>5775</v>
      </c>
      <c r="B1162" s="1" t="s">
        <v>5774</v>
      </c>
      <c r="C1162" s="1" t="s">
        <v>13284</v>
      </c>
      <c r="D1162" s="7" t="s">
        <v>10</v>
      </c>
    </row>
    <row r="1163">
      <c r="A1163" s="1" t="s">
        <v>5780</v>
      </c>
      <c r="B1163" s="1" t="s">
        <v>5779</v>
      </c>
      <c r="C1163" s="1" t="s">
        <v>13285</v>
      </c>
      <c r="D1163" s="7" t="s">
        <v>10</v>
      </c>
    </row>
    <row r="1164">
      <c r="A1164" s="1" t="s">
        <v>5785</v>
      </c>
      <c r="B1164" s="1" t="s">
        <v>5784</v>
      </c>
      <c r="C1164" s="1" t="s">
        <v>13286</v>
      </c>
      <c r="D1164" s="7" t="s">
        <v>10</v>
      </c>
    </row>
    <row r="1165">
      <c r="A1165" s="1" t="s">
        <v>5790</v>
      </c>
      <c r="B1165" s="1" t="s">
        <v>5789</v>
      </c>
      <c r="C1165" s="1" t="s">
        <v>13287</v>
      </c>
      <c r="D1165" s="7" t="s">
        <v>10</v>
      </c>
    </row>
    <row r="1166">
      <c r="A1166" s="1" t="s">
        <v>5795</v>
      </c>
      <c r="B1166" s="1" t="s">
        <v>5794</v>
      </c>
      <c r="C1166" s="1" t="s">
        <v>13288</v>
      </c>
      <c r="D1166" s="7" t="s">
        <v>10</v>
      </c>
    </row>
    <row r="1167">
      <c r="A1167" s="1" t="s">
        <v>5800</v>
      </c>
      <c r="B1167" s="1" t="s">
        <v>5799</v>
      </c>
      <c r="C1167" s="1" t="s">
        <v>13289</v>
      </c>
      <c r="D1167" s="7" t="s">
        <v>10</v>
      </c>
    </row>
    <row r="1168">
      <c r="A1168" s="1" t="s">
        <v>5805</v>
      </c>
      <c r="B1168" s="1" t="s">
        <v>5804</v>
      </c>
      <c r="C1168" s="1" t="s">
        <v>13290</v>
      </c>
      <c r="D1168" s="7" t="s">
        <v>10</v>
      </c>
    </row>
    <row r="1169">
      <c r="A1169" s="1" t="s">
        <v>5810</v>
      </c>
      <c r="B1169" s="1" t="s">
        <v>5809</v>
      </c>
      <c r="C1169" s="1" t="s">
        <v>13291</v>
      </c>
      <c r="D1169" s="7" t="s">
        <v>10</v>
      </c>
    </row>
    <row r="1170">
      <c r="A1170" s="1" t="s">
        <v>5815</v>
      </c>
      <c r="B1170" s="1" t="s">
        <v>5814</v>
      </c>
      <c r="C1170" s="1" t="s">
        <v>13292</v>
      </c>
      <c r="D1170" s="7" t="s">
        <v>10</v>
      </c>
    </row>
    <row r="1171">
      <c r="A1171" s="1" t="s">
        <v>5820</v>
      </c>
      <c r="B1171" s="1" t="s">
        <v>5819</v>
      </c>
      <c r="C1171" s="1" t="s">
        <v>13293</v>
      </c>
      <c r="D1171" s="7" t="s">
        <v>10</v>
      </c>
    </row>
    <row r="1172">
      <c r="A1172" s="1" t="s">
        <v>5825</v>
      </c>
      <c r="B1172" s="1" t="s">
        <v>5824</v>
      </c>
      <c r="C1172" s="1" t="s">
        <v>13294</v>
      </c>
      <c r="D1172" s="7" t="s">
        <v>10</v>
      </c>
    </row>
    <row r="1173">
      <c r="A1173" s="1" t="s">
        <v>5830</v>
      </c>
      <c r="B1173" s="1" t="s">
        <v>5829</v>
      </c>
      <c r="C1173" s="1" t="s">
        <v>13295</v>
      </c>
      <c r="D1173" s="7" t="s">
        <v>10</v>
      </c>
    </row>
    <row r="1174">
      <c r="A1174" s="1" t="s">
        <v>5835</v>
      </c>
      <c r="B1174" s="1" t="s">
        <v>5834</v>
      </c>
      <c r="C1174" s="1" t="s">
        <v>13296</v>
      </c>
      <c r="D1174" s="7" t="s">
        <v>10</v>
      </c>
    </row>
    <row r="1175">
      <c r="A1175" s="1" t="s">
        <v>5840</v>
      </c>
      <c r="B1175" s="1" t="s">
        <v>5839</v>
      </c>
      <c r="C1175" s="1" t="s">
        <v>13297</v>
      </c>
      <c r="D1175" s="7" t="s">
        <v>10</v>
      </c>
    </row>
    <row r="1176">
      <c r="A1176" s="1" t="s">
        <v>5845</v>
      </c>
      <c r="B1176" s="1" t="s">
        <v>5844</v>
      </c>
      <c r="C1176" s="1" t="s">
        <v>13298</v>
      </c>
      <c r="D1176" s="7" t="s">
        <v>10</v>
      </c>
    </row>
    <row r="1177">
      <c r="A1177" s="1" t="s">
        <v>5850</v>
      </c>
      <c r="B1177" s="1" t="s">
        <v>5849</v>
      </c>
      <c r="C1177" s="1" t="s">
        <v>13299</v>
      </c>
      <c r="D1177" s="7" t="s">
        <v>10</v>
      </c>
    </row>
    <row r="1178">
      <c r="A1178" s="1" t="s">
        <v>5855</v>
      </c>
      <c r="B1178" s="1" t="s">
        <v>5854</v>
      </c>
      <c r="C1178" s="1" t="s">
        <v>13300</v>
      </c>
      <c r="D1178" s="7" t="s">
        <v>10</v>
      </c>
    </row>
    <row r="1179">
      <c r="A1179" s="1" t="s">
        <v>5860</v>
      </c>
      <c r="B1179" s="1" t="s">
        <v>5859</v>
      </c>
      <c r="C1179" s="1" t="s">
        <v>13301</v>
      </c>
      <c r="D1179" s="7" t="s">
        <v>10</v>
      </c>
    </row>
    <row r="1180">
      <c r="A1180" s="1" t="s">
        <v>5865</v>
      </c>
      <c r="B1180" s="1" t="s">
        <v>5864</v>
      </c>
      <c r="C1180" s="1" t="s">
        <v>13302</v>
      </c>
      <c r="D1180" s="7" t="s">
        <v>10</v>
      </c>
    </row>
    <row r="1181">
      <c r="A1181" s="1" t="s">
        <v>5870</v>
      </c>
      <c r="B1181" s="1" t="s">
        <v>5869</v>
      </c>
      <c r="C1181" s="1" t="s">
        <v>13303</v>
      </c>
      <c r="D1181" s="7" t="s">
        <v>10</v>
      </c>
    </row>
    <row r="1182">
      <c r="A1182" s="1" t="s">
        <v>5875</v>
      </c>
      <c r="B1182" s="1" t="s">
        <v>5874</v>
      </c>
      <c r="C1182" s="1" t="s">
        <v>13304</v>
      </c>
      <c r="D1182" s="7" t="s">
        <v>10</v>
      </c>
    </row>
    <row r="1183">
      <c r="A1183" s="1" t="s">
        <v>5880</v>
      </c>
      <c r="B1183" s="1" t="s">
        <v>5879</v>
      </c>
      <c r="C1183" s="1" t="s">
        <v>13305</v>
      </c>
      <c r="D1183" s="7" t="s">
        <v>10</v>
      </c>
    </row>
    <row r="1184">
      <c r="A1184" s="1" t="s">
        <v>5885</v>
      </c>
      <c r="B1184" s="1" t="s">
        <v>5884</v>
      </c>
      <c r="C1184" s="1" t="s">
        <v>13306</v>
      </c>
      <c r="D1184" s="7" t="s">
        <v>10</v>
      </c>
    </row>
    <row r="1185">
      <c r="A1185" s="1" t="s">
        <v>5890</v>
      </c>
      <c r="B1185" s="1" t="s">
        <v>5889</v>
      </c>
      <c r="C1185" s="1" t="s">
        <v>13307</v>
      </c>
      <c r="D1185" s="7" t="s">
        <v>10</v>
      </c>
    </row>
    <row r="1186">
      <c r="A1186" s="1" t="s">
        <v>5895</v>
      </c>
      <c r="B1186" s="1" t="s">
        <v>5894</v>
      </c>
      <c r="C1186" s="1" t="s">
        <v>13308</v>
      </c>
      <c r="D1186" s="7" t="s">
        <v>10</v>
      </c>
    </row>
    <row r="1187">
      <c r="A1187" s="1" t="s">
        <v>5900</v>
      </c>
      <c r="B1187" s="1" t="s">
        <v>5899</v>
      </c>
      <c r="C1187" s="1" t="s">
        <v>13309</v>
      </c>
      <c r="D1187" s="7" t="s">
        <v>10</v>
      </c>
    </row>
    <row r="1188">
      <c r="A1188" s="1" t="s">
        <v>5905</v>
      </c>
      <c r="B1188" s="1" t="s">
        <v>5904</v>
      </c>
      <c r="C1188" s="1" t="s">
        <v>13310</v>
      </c>
      <c r="D1188" s="7" t="s">
        <v>10</v>
      </c>
    </row>
    <row r="1189">
      <c r="A1189" s="1" t="s">
        <v>5910</v>
      </c>
      <c r="B1189" s="1" t="s">
        <v>5909</v>
      </c>
      <c r="C1189" s="1" t="s">
        <v>13311</v>
      </c>
      <c r="D1189" s="7" t="s">
        <v>10</v>
      </c>
    </row>
    <row r="1190">
      <c r="A1190" s="1" t="s">
        <v>5915</v>
      </c>
      <c r="B1190" s="1" t="s">
        <v>5914</v>
      </c>
      <c r="C1190" s="1" t="s">
        <v>13312</v>
      </c>
      <c r="D1190" s="7" t="s">
        <v>10</v>
      </c>
    </row>
    <row r="1191">
      <c r="A1191" s="1" t="s">
        <v>5920</v>
      </c>
      <c r="B1191" s="1" t="s">
        <v>5919</v>
      </c>
      <c r="C1191" s="1" t="s">
        <v>13313</v>
      </c>
      <c r="D1191" s="7" t="s">
        <v>10</v>
      </c>
    </row>
    <row r="1192">
      <c r="A1192" s="1" t="s">
        <v>5925</v>
      </c>
      <c r="B1192" s="1" t="s">
        <v>5924</v>
      </c>
      <c r="C1192" s="1" t="s">
        <v>13314</v>
      </c>
      <c r="D1192" s="7" t="s">
        <v>10</v>
      </c>
    </row>
    <row r="1193">
      <c r="A1193" s="1" t="s">
        <v>5930</v>
      </c>
      <c r="B1193" s="1" t="s">
        <v>5929</v>
      </c>
      <c r="C1193" s="1" t="s">
        <v>13315</v>
      </c>
      <c r="D1193" s="7" t="s">
        <v>10</v>
      </c>
    </row>
    <row r="1194">
      <c r="A1194" s="1" t="s">
        <v>5935</v>
      </c>
      <c r="B1194" s="1" t="s">
        <v>5934</v>
      </c>
      <c r="C1194" s="1" t="s">
        <v>13316</v>
      </c>
      <c r="D1194" s="7" t="s">
        <v>10</v>
      </c>
    </row>
    <row r="1195">
      <c r="A1195" s="1" t="s">
        <v>5940</v>
      </c>
      <c r="B1195" s="1" t="s">
        <v>5939</v>
      </c>
      <c r="C1195" s="1" t="s">
        <v>13317</v>
      </c>
      <c r="D1195" s="7" t="s">
        <v>10</v>
      </c>
    </row>
    <row r="1196">
      <c r="A1196" s="1" t="s">
        <v>5945</v>
      </c>
      <c r="B1196" s="1" t="s">
        <v>5944</v>
      </c>
      <c r="C1196" s="1" t="s">
        <v>13318</v>
      </c>
      <c r="D1196" s="7" t="s">
        <v>10</v>
      </c>
    </row>
    <row r="1197">
      <c r="A1197" s="1" t="s">
        <v>5950</v>
      </c>
      <c r="B1197" s="1" t="s">
        <v>5949</v>
      </c>
      <c r="C1197" s="1" t="s">
        <v>13319</v>
      </c>
      <c r="D1197" s="7" t="s">
        <v>10</v>
      </c>
    </row>
    <row r="1198">
      <c r="A1198" s="1" t="s">
        <v>5955</v>
      </c>
      <c r="B1198" s="1" t="s">
        <v>5954</v>
      </c>
      <c r="C1198" s="1" t="s">
        <v>13320</v>
      </c>
      <c r="D1198" s="7" t="s">
        <v>10</v>
      </c>
    </row>
    <row r="1199">
      <c r="A1199" s="1" t="s">
        <v>5960</v>
      </c>
      <c r="B1199" s="1" t="s">
        <v>5959</v>
      </c>
      <c r="C1199" s="1" t="s">
        <v>13321</v>
      </c>
      <c r="D1199" s="7" t="s">
        <v>10</v>
      </c>
    </row>
    <row r="1200">
      <c r="A1200" s="1" t="s">
        <v>5965</v>
      </c>
      <c r="B1200" s="1" t="s">
        <v>5964</v>
      </c>
      <c r="C1200" s="1" t="s">
        <v>13322</v>
      </c>
      <c r="D1200" s="7" t="s">
        <v>10</v>
      </c>
    </row>
    <row r="1201">
      <c r="A1201" s="1" t="s">
        <v>5970</v>
      </c>
      <c r="B1201" s="1" t="s">
        <v>5969</v>
      </c>
      <c r="C1201" s="1" t="s">
        <v>13323</v>
      </c>
      <c r="D1201" s="7" t="s">
        <v>10</v>
      </c>
    </row>
    <row r="1202">
      <c r="A1202" s="1" t="s">
        <v>5975</v>
      </c>
      <c r="B1202" s="1" t="s">
        <v>5974</v>
      </c>
      <c r="C1202" s="1" t="s">
        <v>13324</v>
      </c>
      <c r="D1202" s="7" t="s">
        <v>10</v>
      </c>
    </row>
    <row r="1203">
      <c r="A1203" s="1" t="s">
        <v>5980</v>
      </c>
      <c r="B1203" s="1" t="s">
        <v>5979</v>
      </c>
      <c r="C1203" s="1" t="s">
        <v>13325</v>
      </c>
      <c r="D1203" s="7" t="s">
        <v>10</v>
      </c>
    </row>
    <row r="1204">
      <c r="A1204" s="1" t="s">
        <v>5985</v>
      </c>
      <c r="B1204" s="1" t="s">
        <v>5984</v>
      </c>
      <c r="C1204" s="1" t="s">
        <v>13326</v>
      </c>
      <c r="D1204" s="7" t="s">
        <v>10</v>
      </c>
    </row>
    <row r="1205">
      <c r="A1205" s="1" t="s">
        <v>5990</v>
      </c>
      <c r="B1205" s="1" t="s">
        <v>5989</v>
      </c>
      <c r="C1205" s="1" t="s">
        <v>13327</v>
      </c>
      <c r="D1205" s="7" t="s">
        <v>10</v>
      </c>
    </row>
    <row r="1206">
      <c r="A1206" s="1" t="s">
        <v>5995</v>
      </c>
      <c r="B1206" s="1" t="s">
        <v>5994</v>
      </c>
      <c r="C1206" s="1" t="s">
        <v>13328</v>
      </c>
      <c r="D1206" s="7" t="s">
        <v>10</v>
      </c>
    </row>
    <row r="1207">
      <c r="A1207" s="1" t="s">
        <v>6000</v>
      </c>
      <c r="B1207" s="1" t="s">
        <v>5999</v>
      </c>
      <c r="C1207" s="1" t="s">
        <v>13329</v>
      </c>
      <c r="D1207" s="7" t="s">
        <v>10</v>
      </c>
    </row>
    <row r="1208">
      <c r="A1208" s="1" t="s">
        <v>6005</v>
      </c>
      <c r="B1208" s="1" t="s">
        <v>6004</v>
      </c>
      <c r="C1208" s="1" t="s">
        <v>13330</v>
      </c>
      <c r="D1208" s="7" t="s">
        <v>10</v>
      </c>
    </row>
    <row r="1209">
      <c r="A1209" s="1" t="s">
        <v>6010</v>
      </c>
      <c r="B1209" s="1" t="s">
        <v>6009</v>
      </c>
      <c r="C1209" s="1" t="s">
        <v>13331</v>
      </c>
      <c r="D1209" s="7" t="s">
        <v>10</v>
      </c>
    </row>
    <row r="1210">
      <c r="A1210" s="1" t="s">
        <v>6015</v>
      </c>
      <c r="B1210" s="1" t="s">
        <v>6014</v>
      </c>
      <c r="C1210" s="1" t="s">
        <v>13332</v>
      </c>
      <c r="D1210" s="7" t="s">
        <v>10</v>
      </c>
    </row>
    <row r="1211">
      <c r="A1211" s="1" t="s">
        <v>6020</v>
      </c>
      <c r="B1211" s="1" t="s">
        <v>6019</v>
      </c>
      <c r="C1211" s="1" t="s">
        <v>13333</v>
      </c>
      <c r="D1211" s="7" t="s">
        <v>10</v>
      </c>
    </row>
    <row r="1212">
      <c r="A1212" s="1" t="s">
        <v>6025</v>
      </c>
      <c r="B1212" s="1" t="s">
        <v>6024</v>
      </c>
      <c r="C1212" s="1" t="s">
        <v>13334</v>
      </c>
      <c r="D1212" s="7" t="s">
        <v>10</v>
      </c>
    </row>
    <row r="1213">
      <c r="A1213" s="1" t="s">
        <v>6030</v>
      </c>
      <c r="B1213" s="1" t="s">
        <v>6029</v>
      </c>
      <c r="C1213" s="1" t="s">
        <v>13335</v>
      </c>
      <c r="D1213" s="7" t="s">
        <v>10</v>
      </c>
    </row>
    <row r="1214">
      <c r="A1214" s="1" t="s">
        <v>6035</v>
      </c>
      <c r="B1214" s="1" t="s">
        <v>6034</v>
      </c>
      <c r="C1214" s="1" t="s">
        <v>13336</v>
      </c>
      <c r="D1214" s="7" t="s">
        <v>10</v>
      </c>
    </row>
    <row r="1215">
      <c r="A1215" s="1" t="s">
        <v>6040</v>
      </c>
      <c r="B1215" s="1" t="s">
        <v>6039</v>
      </c>
      <c r="C1215" s="1" t="s">
        <v>13337</v>
      </c>
      <c r="D1215" s="7" t="s">
        <v>10</v>
      </c>
    </row>
    <row r="1216">
      <c r="A1216" s="1" t="s">
        <v>6045</v>
      </c>
      <c r="B1216" s="1" t="s">
        <v>6044</v>
      </c>
      <c r="C1216" s="1" t="s">
        <v>13338</v>
      </c>
      <c r="D1216" s="7" t="s">
        <v>10</v>
      </c>
    </row>
    <row r="1217">
      <c r="A1217" s="1" t="s">
        <v>6050</v>
      </c>
      <c r="B1217" s="1" t="s">
        <v>6049</v>
      </c>
      <c r="C1217" s="1" t="s">
        <v>13339</v>
      </c>
      <c r="D1217" s="7" t="s">
        <v>10</v>
      </c>
    </row>
    <row r="1218">
      <c r="A1218" s="1" t="s">
        <v>6055</v>
      </c>
      <c r="B1218" s="1" t="s">
        <v>6054</v>
      </c>
      <c r="C1218" s="1" t="s">
        <v>13340</v>
      </c>
      <c r="D1218" s="7" t="s">
        <v>10</v>
      </c>
    </row>
    <row r="1219">
      <c r="A1219" s="1" t="s">
        <v>6060</v>
      </c>
      <c r="B1219" s="1" t="s">
        <v>6059</v>
      </c>
      <c r="C1219" s="1" t="s">
        <v>13341</v>
      </c>
      <c r="D1219" s="7" t="s">
        <v>10</v>
      </c>
    </row>
    <row r="1220">
      <c r="A1220" s="1" t="s">
        <v>6065</v>
      </c>
      <c r="B1220" s="1" t="s">
        <v>6064</v>
      </c>
      <c r="C1220" s="1" t="s">
        <v>13342</v>
      </c>
      <c r="D1220" s="7" t="s">
        <v>10</v>
      </c>
    </row>
    <row r="1221">
      <c r="A1221" s="1" t="s">
        <v>6070</v>
      </c>
      <c r="B1221" s="1" t="s">
        <v>6069</v>
      </c>
      <c r="C1221" s="1" t="s">
        <v>13343</v>
      </c>
      <c r="D1221" s="7" t="s">
        <v>10</v>
      </c>
    </row>
    <row r="1222">
      <c r="A1222" s="1" t="s">
        <v>6075</v>
      </c>
      <c r="B1222" s="1" t="s">
        <v>6074</v>
      </c>
      <c r="C1222" s="1" t="s">
        <v>13344</v>
      </c>
      <c r="D1222" s="7" t="s">
        <v>10</v>
      </c>
    </row>
    <row r="1223">
      <c r="A1223" s="1" t="s">
        <v>6080</v>
      </c>
      <c r="B1223" s="1" t="s">
        <v>6079</v>
      </c>
      <c r="C1223" s="1" t="s">
        <v>13345</v>
      </c>
      <c r="D1223" s="7" t="s">
        <v>10</v>
      </c>
    </row>
    <row r="1224">
      <c r="A1224" s="1" t="s">
        <v>6085</v>
      </c>
      <c r="B1224" s="1" t="s">
        <v>6084</v>
      </c>
      <c r="C1224" s="1" t="s">
        <v>13346</v>
      </c>
      <c r="D1224" s="7" t="s">
        <v>10</v>
      </c>
    </row>
    <row r="1225">
      <c r="A1225" s="1" t="s">
        <v>6090</v>
      </c>
      <c r="B1225" s="1" t="s">
        <v>6089</v>
      </c>
      <c r="C1225" s="1" t="s">
        <v>13347</v>
      </c>
      <c r="D1225" s="7" t="s">
        <v>10</v>
      </c>
    </row>
    <row r="1226">
      <c r="A1226" s="1" t="s">
        <v>6095</v>
      </c>
      <c r="B1226" s="1" t="s">
        <v>6094</v>
      </c>
      <c r="C1226" s="1" t="s">
        <v>13348</v>
      </c>
      <c r="D1226" s="7" t="s">
        <v>10</v>
      </c>
    </row>
    <row r="1227">
      <c r="A1227" s="1" t="s">
        <v>6100</v>
      </c>
      <c r="B1227" s="1" t="s">
        <v>6099</v>
      </c>
      <c r="C1227" s="1" t="s">
        <v>13349</v>
      </c>
      <c r="D1227" s="7" t="s">
        <v>10</v>
      </c>
    </row>
    <row r="1228">
      <c r="A1228" s="1" t="s">
        <v>6105</v>
      </c>
      <c r="B1228" s="1" t="s">
        <v>6104</v>
      </c>
      <c r="C1228" s="1" t="s">
        <v>13350</v>
      </c>
      <c r="D1228" s="7" t="s">
        <v>10</v>
      </c>
    </row>
    <row r="1229">
      <c r="A1229" s="1" t="s">
        <v>6110</v>
      </c>
      <c r="B1229" s="1" t="s">
        <v>6109</v>
      </c>
      <c r="C1229" s="1" t="s">
        <v>13351</v>
      </c>
      <c r="D1229" s="7" t="s">
        <v>10</v>
      </c>
    </row>
    <row r="1230">
      <c r="A1230" s="1" t="s">
        <v>6115</v>
      </c>
      <c r="B1230" s="1" t="s">
        <v>6114</v>
      </c>
      <c r="C1230" s="1" t="s">
        <v>13352</v>
      </c>
      <c r="D1230" s="7" t="s">
        <v>10</v>
      </c>
    </row>
    <row r="1231">
      <c r="A1231" s="1" t="s">
        <v>6120</v>
      </c>
      <c r="B1231" s="1" t="s">
        <v>6119</v>
      </c>
      <c r="C1231" s="1" t="s">
        <v>13353</v>
      </c>
      <c r="D1231" s="7" t="s">
        <v>10</v>
      </c>
    </row>
    <row r="1232">
      <c r="A1232" s="1" t="s">
        <v>6125</v>
      </c>
      <c r="B1232" s="1" t="s">
        <v>6124</v>
      </c>
      <c r="C1232" s="1" t="s">
        <v>13354</v>
      </c>
      <c r="D1232" s="7" t="s">
        <v>10</v>
      </c>
    </row>
    <row r="1233">
      <c r="A1233" s="1" t="s">
        <v>6130</v>
      </c>
      <c r="B1233" s="1" t="s">
        <v>6129</v>
      </c>
      <c r="C1233" s="1" t="s">
        <v>13355</v>
      </c>
      <c r="D1233" s="7" t="s">
        <v>10</v>
      </c>
    </row>
    <row r="1234">
      <c r="A1234" s="1" t="s">
        <v>6135</v>
      </c>
      <c r="B1234" s="1" t="s">
        <v>6134</v>
      </c>
      <c r="C1234" s="1" t="s">
        <v>13356</v>
      </c>
      <c r="D1234" s="7" t="s">
        <v>10</v>
      </c>
    </row>
    <row r="1235">
      <c r="A1235" s="1" t="s">
        <v>6140</v>
      </c>
      <c r="B1235" s="1" t="s">
        <v>6139</v>
      </c>
      <c r="C1235" s="1" t="s">
        <v>13357</v>
      </c>
      <c r="D1235" s="7" t="s">
        <v>10</v>
      </c>
    </row>
    <row r="1236">
      <c r="A1236" s="1" t="s">
        <v>6145</v>
      </c>
      <c r="B1236" s="1" t="s">
        <v>6144</v>
      </c>
      <c r="C1236" s="1" t="s">
        <v>13358</v>
      </c>
      <c r="D1236" s="7" t="s">
        <v>10</v>
      </c>
    </row>
    <row r="1237">
      <c r="A1237" s="1" t="s">
        <v>6150</v>
      </c>
      <c r="B1237" s="1" t="s">
        <v>6149</v>
      </c>
      <c r="C1237" s="1" t="s">
        <v>13359</v>
      </c>
      <c r="D1237" s="7" t="s">
        <v>10</v>
      </c>
    </row>
    <row r="1238">
      <c r="A1238" s="1" t="s">
        <v>6155</v>
      </c>
      <c r="B1238" s="1" t="s">
        <v>6154</v>
      </c>
      <c r="C1238" s="1" t="s">
        <v>13360</v>
      </c>
      <c r="D1238" s="7" t="s">
        <v>10</v>
      </c>
    </row>
    <row r="1239">
      <c r="A1239" s="1" t="s">
        <v>6160</v>
      </c>
      <c r="B1239" s="1" t="s">
        <v>6159</v>
      </c>
      <c r="C1239" s="1" t="s">
        <v>13361</v>
      </c>
      <c r="D1239" s="7" t="s">
        <v>10</v>
      </c>
    </row>
    <row r="1240">
      <c r="A1240" s="1" t="s">
        <v>6165</v>
      </c>
      <c r="B1240" s="1" t="s">
        <v>6164</v>
      </c>
      <c r="C1240" s="1" t="s">
        <v>13362</v>
      </c>
      <c r="D1240" s="7" t="s">
        <v>10</v>
      </c>
    </row>
    <row r="1241">
      <c r="A1241" s="1" t="s">
        <v>6170</v>
      </c>
      <c r="B1241" s="1" t="s">
        <v>6169</v>
      </c>
      <c r="C1241" s="1" t="s">
        <v>13363</v>
      </c>
      <c r="D1241" s="7" t="s">
        <v>10</v>
      </c>
    </row>
    <row r="1242">
      <c r="A1242" s="1" t="s">
        <v>6175</v>
      </c>
      <c r="B1242" s="1" t="s">
        <v>6174</v>
      </c>
      <c r="C1242" s="1" t="s">
        <v>13364</v>
      </c>
      <c r="D1242" s="7" t="s">
        <v>10</v>
      </c>
    </row>
    <row r="1243">
      <c r="A1243" s="1" t="s">
        <v>6180</v>
      </c>
      <c r="B1243" s="1" t="s">
        <v>6179</v>
      </c>
      <c r="C1243" s="1" t="s">
        <v>13365</v>
      </c>
      <c r="D1243" s="7" t="s">
        <v>10</v>
      </c>
    </row>
    <row r="1244">
      <c r="A1244" s="1" t="s">
        <v>6185</v>
      </c>
      <c r="B1244" s="1" t="s">
        <v>6184</v>
      </c>
      <c r="C1244" s="1" t="s">
        <v>13366</v>
      </c>
      <c r="D1244" s="7" t="s">
        <v>10</v>
      </c>
    </row>
    <row r="1245">
      <c r="A1245" s="1" t="s">
        <v>6190</v>
      </c>
      <c r="B1245" s="1" t="s">
        <v>6189</v>
      </c>
      <c r="C1245" s="1" t="s">
        <v>13367</v>
      </c>
      <c r="D1245" s="7" t="s">
        <v>10</v>
      </c>
    </row>
    <row r="1246">
      <c r="A1246" s="1" t="s">
        <v>6195</v>
      </c>
      <c r="B1246" s="1" t="s">
        <v>6194</v>
      </c>
      <c r="C1246" s="1" t="s">
        <v>13368</v>
      </c>
      <c r="D1246" s="7" t="s">
        <v>10</v>
      </c>
    </row>
    <row r="1247">
      <c r="A1247" s="1" t="s">
        <v>6200</v>
      </c>
      <c r="B1247" s="1" t="s">
        <v>6199</v>
      </c>
      <c r="C1247" s="1" t="s">
        <v>13369</v>
      </c>
      <c r="D1247" s="7" t="s">
        <v>10</v>
      </c>
    </row>
    <row r="1248">
      <c r="A1248" s="1" t="s">
        <v>6205</v>
      </c>
      <c r="B1248" s="1" t="s">
        <v>6204</v>
      </c>
      <c r="C1248" s="1" t="s">
        <v>13370</v>
      </c>
      <c r="D1248" s="7" t="s">
        <v>10</v>
      </c>
    </row>
    <row r="1249">
      <c r="A1249" s="1" t="s">
        <v>6210</v>
      </c>
      <c r="B1249" s="1" t="s">
        <v>6209</v>
      </c>
      <c r="C1249" s="1" t="s">
        <v>13371</v>
      </c>
      <c r="D1249" s="7" t="s">
        <v>10</v>
      </c>
    </row>
    <row r="1250">
      <c r="A1250" s="1" t="s">
        <v>6215</v>
      </c>
      <c r="B1250" s="1" t="s">
        <v>6214</v>
      </c>
      <c r="C1250" s="1" t="s">
        <v>13372</v>
      </c>
      <c r="D1250" s="7" t="s">
        <v>10</v>
      </c>
    </row>
    <row r="1251">
      <c r="A1251" s="1" t="s">
        <v>6220</v>
      </c>
      <c r="B1251" s="1" t="s">
        <v>6219</v>
      </c>
      <c r="C1251" s="1" t="s">
        <v>13373</v>
      </c>
      <c r="D1251" s="7" t="s">
        <v>10</v>
      </c>
    </row>
    <row r="1252">
      <c r="A1252" s="1" t="s">
        <v>6225</v>
      </c>
      <c r="B1252" s="1" t="s">
        <v>6224</v>
      </c>
      <c r="C1252" s="1" t="s">
        <v>13374</v>
      </c>
      <c r="D1252" s="7" t="s">
        <v>10</v>
      </c>
    </row>
    <row r="1253">
      <c r="A1253" s="1" t="s">
        <v>6230</v>
      </c>
      <c r="B1253" s="1" t="s">
        <v>6229</v>
      </c>
      <c r="C1253" s="1" t="s">
        <v>13375</v>
      </c>
      <c r="D1253" s="7" t="s">
        <v>10</v>
      </c>
    </row>
    <row r="1254">
      <c r="A1254" s="1" t="s">
        <v>6235</v>
      </c>
      <c r="B1254" s="1" t="s">
        <v>6234</v>
      </c>
      <c r="C1254" s="1" t="s">
        <v>13376</v>
      </c>
      <c r="D1254" s="7" t="s">
        <v>10</v>
      </c>
    </row>
    <row r="1255">
      <c r="A1255" s="1" t="s">
        <v>6240</v>
      </c>
      <c r="B1255" s="1" t="s">
        <v>6239</v>
      </c>
      <c r="C1255" s="1" t="s">
        <v>13377</v>
      </c>
      <c r="D1255" s="7" t="s">
        <v>10</v>
      </c>
    </row>
    <row r="1256">
      <c r="A1256" s="1" t="s">
        <v>6245</v>
      </c>
      <c r="B1256" s="1" t="s">
        <v>6244</v>
      </c>
      <c r="C1256" s="1" t="s">
        <v>13378</v>
      </c>
      <c r="D1256" s="7" t="s">
        <v>10</v>
      </c>
    </row>
    <row r="1257">
      <c r="A1257" s="1" t="s">
        <v>6250</v>
      </c>
      <c r="B1257" s="1" t="s">
        <v>6249</v>
      </c>
      <c r="C1257" s="1" t="s">
        <v>13379</v>
      </c>
      <c r="D1257" s="7" t="s">
        <v>10</v>
      </c>
    </row>
    <row r="1258">
      <c r="A1258" s="1" t="s">
        <v>6255</v>
      </c>
      <c r="B1258" s="1" t="s">
        <v>6254</v>
      </c>
      <c r="C1258" s="1" t="s">
        <v>13380</v>
      </c>
      <c r="D1258" s="7" t="s">
        <v>10</v>
      </c>
    </row>
    <row r="1259">
      <c r="A1259" s="1" t="s">
        <v>6260</v>
      </c>
      <c r="B1259" s="1" t="s">
        <v>6259</v>
      </c>
      <c r="C1259" s="1" t="s">
        <v>13381</v>
      </c>
      <c r="D1259" s="7" t="s">
        <v>10</v>
      </c>
    </row>
    <row r="1260">
      <c r="A1260" s="1" t="s">
        <v>6265</v>
      </c>
      <c r="B1260" s="1" t="s">
        <v>6264</v>
      </c>
      <c r="C1260" s="1" t="s">
        <v>13382</v>
      </c>
      <c r="D1260" s="7" t="s">
        <v>10</v>
      </c>
    </row>
    <row r="1261">
      <c r="A1261" s="1" t="s">
        <v>6270</v>
      </c>
      <c r="B1261" s="1" t="s">
        <v>6269</v>
      </c>
      <c r="C1261" s="1" t="s">
        <v>13383</v>
      </c>
      <c r="D1261" s="7" t="s">
        <v>10</v>
      </c>
    </row>
    <row r="1262">
      <c r="A1262" s="1" t="s">
        <v>6275</v>
      </c>
      <c r="B1262" s="1" t="s">
        <v>6274</v>
      </c>
      <c r="C1262" s="1" t="s">
        <v>13384</v>
      </c>
      <c r="D1262" s="7" t="s">
        <v>10</v>
      </c>
    </row>
    <row r="1263">
      <c r="A1263" s="1" t="s">
        <v>6280</v>
      </c>
      <c r="B1263" s="1" t="s">
        <v>6279</v>
      </c>
      <c r="C1263" s="1" t="s">
        <v>13385</v>
      </c>
      <c r="D1263" s="7" t="s">
        <v>10</v>
      </c>
    </row>
    <row r="1264">
      <c r="A1264" s="1" t="s">
        <v>6285</v>
      </c>
      <c r="B1264" s="1" t="s">
        <v>6284</v>
      </c>
      <c r="C1264" s="1" t="s">
        <v>13386</v>
      </c>
      <c r="D1264" s="7" t="s">
        <v>10</v>
      </c>
    </row>
    <row r="1265">
      <c r="A1265" s="1" t="s">
        <v>6290</v>
      </c>
      <c r="B1265" s="1" t="s">
        <v>6289</v>
      </c>
      <c r="C1265" s="1" t="s">
        <v>13387</v>
      </c>
      <c r="D1265" s="7" t="s">
        <v>10</v>
      </c>
    </row>
    <row r="1266">
      <c r="A1266" s="1" t="s">
        <v>6295</v>
      </c>
      <c r="B1266" s="1" t="s">
        <v>6294</v>
      </c>
      <c r="C1266" s="1" t="s">
        <v>13388</v>
      </c>
      <c r="D1266" s="7" t="s">
        <v>10</v>
      </c>
    </row>
    <row r="1267">
      <c r="A1267" s="1" t="s">
        <v>6300</v>
      </c>
      <c r="B1267" s="1" t="s">
        <v>6299</v>
      </c>
      <c r="C1267" s="1" t="s">
        <v>13389</v>
      </c>
      <c r="D1267" s="7" t="s">
        <v>10</v>
      </c>
    </row>
    <row r="1268">
      <c r="A1268" s="1" t="s">
        <v>6305</v>
      </c>
      <c r="B1268" s="1" t="s">
        <v>6304</v>
      </c>
      <c r="C1268" s="1" t="s">
        <v>13390</v>
      </c>
      <c r="D1268" s="7" t="s">
        <v>10</v>
      </c>
    </row>
    <row r="1269">
      <c r="A1269" s="1" t="s">
        <v>6310</v>
      </c>
      <c r="B1269" s="1" t="s">
        <v>6309</v>
      </c>
      <c r="C1269" s="1" t="s">
        <v>13391</v>
      </c>
      <c r="D1269" s="7" t="s">
        <v>10</v>
      </c>
    </row>
    <row r="1270">
      <c r="A1270" s="1" t="s">
        <v>6315</v>
      </c>
      <c r="B1270" s="1" t="s">
        <v>6314</v>
      </c>
      <c r="C1270" s="1" t="s">
        <v>13392</v>
      </c>
      <c r="D1270" s="7" t="s">
        <v>10</v>
      </c>
    </row>
    <row r="1271">
      <c r="A1271" s="1" t="s">
        <v>6320</v>
      </c>
      <c r="B1271" s="1" t="s">
        <v>6319</v>
      </c>
      <c r="C1271" s="1" t="s">
        <v>13393</v>
      </c>
      <c r="D1271" s="7" t="s">
        <v>10</v>
      </c>
    </row>
    <row r="1272">
      <c r="A1272" s="1" t="s">
        <v>6325</v>
      </c>
      <c r="B1272" s="1" t="s">
        <v>6324</v>
      </c>
      <c r="C1272" s="1" t="s">
        <v>13394</v>
      </c>
      <c r="D1272" s="7" t="s">
        <v>10</v>
      </c>
    </row>
    <row r="1273">
      <c r="A1273" s="1" t="s">
        <v>6330</v>
      </c>
      <c r="B1273" s="1" t="s">
        <v>6329</v>
      </c>
      <c r="C1273" s="1" t="s">
        <v>13395</v>
      </c>
      <c r="D1273" s="7" t="s">
        <v>10</v>
      </c>
    </row>
    <row r="1274">
      <c r="A1274" s="1" t="s">
        <v>6335</v>
      </c>
      <c r="B1274" s="1" t="s">
        <v>6334</v>
      </c>
      <c r="C1274" s="1" t="s">
        <v>13396</v>
      </c>
      <c r="D1274" s="7" t="s">
        <v>10</v>
      </c>
    </row>
    <row r="1275">
      <c r="A1275" s="1" t="s">
        <v>6340</v>
      </c>
      <c r="B1275" s="1" t="s">
        <v>6339</v>
      </c>
      <c r="C1275" s="1" t="s">
        <v>13397</v>
      </c>
      <c r="D1275" s="7" t="s">
        <v>10</v>
      </c>
    </row>
    <row r="1276">
      <c r="A1276" s="1" t="s">
        <v>6345</v>
      </c>
      <c r="B1276" s="1" t="s">
        <v>6344</v>
      </c>
      <c r="C1276" s="1" t="s">
        <v>13398</v>
      </c>
      <c r="D1276" s="7" t="s">
        <v>10</v>
      </c>
    </row>
    <row r="1277">
      <c r="A1277" s="1" t="s">
        <v>6350</v>
      </c>
      <c r="B1277" s="1" t="s">
        <v>6349</v>
      </c>
      <c r="C1277" s="1" t="s">
        <v>13399</v>
      </c>
      <c r="D1277" s="7" t="s">
        <v>10</v>
      </c>
    </row>
    <row r="1278">
      <c r="A1278" s="1" t="s">
        <v>6355</v>
      </c>
      <c r="B1278" s="1" t="s">
        <v>6354</v>
      </c>
      <c r="C1278" s="1" t="s">
        <v>13400</v>
      </c>
      <c r="D1278" s="7" t="s">
        <v>10</v>
      </c>
    </row>
    <row r="1279">
      <c r="A1279" s="1" t="s">
        <v>6360</v>
      </c>
      <c r="B1279" s="1" t="s">
        <v>6359</v>
      </c>
      <c r="C1279" s="1" t="s">
        <v>13401</v>
      </c>
      <c r="D1279" s="7" t="s">
        <v>10</v>
      </c>
    </row>
    <row r="1280">
      <c r="A1280" s="1" t="s">
        <v>6365</v>
      </c>
      <c r="B1280" s="1" t="s">
        <v>6364</v>
      </c>
      <c r="C1280" s="1" t="s">
        <v>13402</v>
      </c>
      <c r="D1280" s="7" t="s">
        <v>10</v>
      </c>
    </row>
    <row r="1281">
      <c r="A1281" s="1" t="s">
        <v>6370</v>
      </c>
      <c r="B1281" s="1" t="s">
        <v>6369</v>
      </c>
      <c r="C1281" s="1" t="s">
        <v>13403</v>
      </c>
      <c r="D1281" s="7" t="s">
        <v>10</v>
      </c>
    </row>
    <row r="1282">
      <c r="A1282" s="1" t="s">
        <v>6375</v>
      </c>
      <c r="B1282" s="1" t="s">
        <v>6374</v>
      </c>
      <c r="C1282" s="1" t="s">
        <v>13404</v>
      </c>
      <c r="D1282" s="7" t="s">
        <v>10</v>
      </c>
    </row>
    <row r="1283">
      <c r="A1283" s="1" t="s">
        <v>6380</v>
      </c>
      <c r="B1283" s="1" t="s">
        <v>6379</v>
      </c>
      <c r="C1283" s="1" t="s">
        <v>13405</v>
      </c>
      <c r="D1283" s="7" t="s">
        <v>10</v>
      </c>
    </row>
    <row r="1284">
      <c r="A1284" s="1" t="s">
        <v>6385</v>
      </c>
      <c r="B1284" s="1" t="s">
        <v>6384</v>
      </c>
      <c r="C1284" s="1" t="s">
        <v>13406</v>
      </c>
      <c r="D1284" s="7" t="s">
        <v>10</v>
      </c>
    </row>
    <row r="1285">
      <c r="A1285" s="1" t="s">
        <v>6390</v>
      </c>
      <c r="B1285" s="1" t="s">
        <v>6389</v>
      </c>
      <c r="C1285" s="1" t="s">
        <v>13407</v>
      </c>
      <c r="D1285" s="7" t="s">
        <v>10</v>
      </c>
    </row>
    <row r="1286">
      <c r="A1286" s="1" t="s">
        <v>6395</v>
      </c>
      <c r="B1286" s="1" t="s">
        <v>6394</v>
      </c>
      <c r="C1286" s="1" t="s">
        <v>13408</v>
      </c>
      <c r="D1286" s="7" t="s">
        <v>10</v>
      </c>
    </row>
    <row r="1287">
      <c r="A1287" s="1" t="s">
        <v>6400</v>
      </c>
      <c r="B1287" s="1" t="s">
        <v>6399</v>
      </c>
      <c r="C1287" s="1" t="s">
        <v>13409</v>
      </c>
      <c r="D1287" s="7" t="s">
        <v>10</v>
      </c>
    </row>
    <row r="1288">
      <c r="A1288" s="1" t="s">
        <v>6405</v>
      </c>
      <c r="B1288" s="1" t="s">
        <v>6404</v>
      </c>
      <c r="C1288" s="1" t="s">
        <v>13410</v>
      </c>
      <c r="D1288" s="7" t="s">
        <v>10</v>
      </c>
    </row>
    <row r="1289">
      <c r="A1289" s="1" t="s">
        <v>6410</v>
      </c>
      <c r="B1289" s="1" t="s">
        <v>6409</v>
      </c>
      <c r="C1289" s="1" t="s">
        <v>13411</v>
      </c>
      <c r="D1289" s="7" t="s">
        <v>10</v>
      </c>
    </row>
    <row r="1290">
      <c r="A1290" s="1" t="s">
        <v>6415</v>
      </c>
      <c r="B1290" s="1" t="s">
        <v>6414</v>
      </c>
      <c r="C1290" s="1" t="s">
        <v>13412</v>
      </c>
      <c r="D1290" s="7" t="s">
        <v>10</v>
      </c>
    </row>
    <row r="1291">
      <c r="A1291" s="1" t="s">
        <v>6420</v>
      </c>
      <c r="B1291" s="1" t="s">
        <v>6419</v>
      </c>
      <c r="C1291" s="1" t="s">
        <v>13413</v>
      </c>
      <c r="D1291" s="7" t="s">
        <v>10</v>
      </c>
    </row>
    <row r="1292">
      <c r="A1292" s="1" t="s">
        <v>6425</v>
      </c>
      <c r="B1292" s="1" t="s">
        <v>6424</v>
      </c>
      <c r="C1292" s="1" t="s">
        <v>13414</v>
      </c>
      <c r="D1292" s="7" t="s">
        <v>10</v>
      </c>
    </row>
    <row r="1293">
      <c r="A1293" s="1" t="s">
        <v>6430</v>
      </c>
      <c r="B1293" s="1" t="s">
        <v>6429</v>
      </c>
      <c r="C1293" s="1" t="s">
        <v>13415</v>
      </c>
      <c r="D1293" s="7" t="s">
        <v>10</v>
      </c>
    </row>
    <row r="1294">
      <c r="A1294" s="1" t="s">
        <v>6435</v>
      </c>
      <c r="B1294" s="1" t="s">
        <v>6434</v>
      </c>
      <c r="C1294" s="1" t="s">
        <v>13416</v>
      </c>
      <c r="D1294" s="7" t="s">
        <v>10</v>
      </c>
    </row>
    <row r="1295">
      <c r="A1295" s="1" t="s">
        <v>6440</v>
      </c>
      <c r="B1295" s="1" t="s">
        <v>6439</v>
      </c>
      <c r="C1295" s="1" t="s">
        <v>13417</v>
      </c>
      <c r="D1295" s="7" t="s">
        <v>10</v>
      </c>
    </row>
    <row r="1296">
      <c r="A1296" s="1" t="s">
        <v>6445</v>
      </c>
      <c r="B1296" s="1" t="s">
        <v>6444</v>
      </c>
      <c r="C1296" s="1" t="s">
        <v>13418</v>
      </c>
      <c r="D1296" s="7" t="s">
        <v>10</v>
      </c>
    </row>
    <row r="1297">
      <c r="A1297" s="1" t="s">
        <v>6450</v>
      </c>
      <c r="B1297" s="1" t="s">
        <v>6449</v>
      </c>
      <c r="C1297" s="1" t="s">
        <v>13419</v>
      </c>
      <c r="D1297" s="7" t="s">
        <v>10</v>
      </c>
    </row>
    <row r="1298">
      <c r="A1298" s="1" t="s">
        <v>6455</v>
      </c>
      <c r="B1298" s="1" t="s">
        <v>6454</v>
      </c>
      <c r="C1298" s="1" t="s">
        <v>13420</v>
      </c>
      <c r="D1298" s="7" t="s">
        <v>10</v>
      </c>
    </row>
    <row r="1299">
      <c r="A1299" s="1" t="s">
        <v>6460</v>
      </c>
      <c r="B1299" s="1" t="s">
        <v>6459</v>
      </c>
      <c r="C1299" s="1" t="s">
        <v>13421</v>
      </c>
      <c r="D1299" s="7" t="s">
        <v>10</v>
      </c>
    </row>
    <row r="1300">
      <c r="A1300" s="1" t="s">
        <v>6465</v>
      </c>
      <c r="B1300" s="1" t="s">
        <v>6464</v>
      </c>
      <c r="C1300" s="1" t="s">
        <v>13422</v>
      </c>
      <c r="D1300" s="7" t="s">
        <v>10</v>
      </c>
    </row>
    <row r="1301">
      <c r="A1301" s="1" t="s">
        <v>6470</v>
      </c>
      <c r="B1301" s="1" t="s">
        <v>6469</v>
      </c>
      <c r="C1301" s="1" t="s">
        <v>13423</v>
      </c>
      <c r="D1301" s="7" t="s">
        <v>10</v>
      </c>
    </row>
    <row r="1302">
      <c r="A1302" s="1" t="s">
        <v>6475</v>
      </c>
      <c r="B1302" s="1" t="s">
        <v>6474</v>
      </c>
      <c r="C1302" s="1" t="s">
        <v>13424</v>
      </c>
      <c r="D1302" s="7" t="s">
        <v>10</v>
      </c>
    </row>
    <row r="1303">
      <c r="A1303" s="1" t="s">
        <v>6480</v>
      </c>
      <c r="B1303" s="1" t="s">
        <v>6479</v>
      </c>
      <c r="C1303" s="1" t="s">
        <v>13425</v>
      </c>
      <c r="D1303" s="7" t="s">
        <v>10</v>
      </c>
    </row>
    <row r="1304">
      <c r="A1304" s="1" t="s">
        <v>6485</v>
      </c>
      <c r="B1304" s="1" t="s">
        <v>6484</v>
      </c>
      <c r="C1304" s="1" t="s">
        <v>13426</v>
      </c>
      <c r="D1304" s="7" t="s">
        <v>10</v>
      </c>
    </row>
    <row r="1305">
      <c r="A1305" s="1" t="s">
        <v>6490</v>
      </c>
      <c r="B1305" s="1" t="s">
        <v>6489</v>
      </c>
      <c r="C1305" s="1" t="s">
        <v>13427</v>
      </c>
      <c r="D1305" s="7" t="s">
        <v>10</v>
      </c>
    </row>
    <row r="1306">
      <c r="A1306" s="1" t="s">
        <v>6495</v>
      </c>
      <c r="B1306" s="1" t="s">
        <v>6494</v>
      </c>
      <c r="C1306" s="1" t="s">
        <v>13428</v>
      </c>
      <c r="D1306" s="7" t="s">
        <v>10</v>
      </c>
    </row>
    <row r="1307">
      <c r="A1307" s="1" t="s">
        <v>6500</v>
      </c>
      <c r="B1307" s="1" t="s">
        <v>6499</v>
      </c>
      <c r="C1307" s="1" t="s">
        <v>13429</v>
      </c>
      <c r="D1307" s="7" t="s">
        <v>10</v>
      </c>
    </row>
    <row r="1308">
      <c r="A1308" s="1" t="s">
        <v>6505</v>
      </c>
      <c r="B1308" s="1" t="s">
        <v>6504</v>
      </c>
      <c r="C1308" s="1" t="s">
        <v>13430</v>
      </c>
      <c r="D1308" s="7" t="s">
        <v>10</v>
      </c>
    </row>
    <row r="1309">
      <c r="A1309" s="1" t="s">
        <v>6510</v>
      </c>
      <c r="B1309" s="1" t="s">
        <v>6509</v>
      </c>
      <c r="C1309" s="1" t="s">
        <v>13431</v>
      </c>
      <c r="D1309" s="7" t="s">
        <v>10</v>
      </c>
    </row>
    <row r="1310">
      <c r="A1310" s="1" t="s">
        <v>6515</v>
      </c>
      <c r="B1310" s="1" t="s">
        <v>6514</v>
      </c>
      <c r="C1310" s="1" t="s">
        <v>13432</v>
      </c>
      <c r="D1310" s="7" t="s">
        <v>10</v>
      </c>
    </row>
    <row r="1311">
      <c r="A1311" s="1" t="s">
        <v>6520</v>
      </c>
      <c r="B1311" s="1" t="s">
        <v>6519</v>
      </c>
      <c r="C1311" s="1" t="s">
        <v>13433</v>
      </c>
      <c r="D1311" s="7" t="s">
        <v>10</v>
      </c>
    </row>
    <row r="1312">
      <c r="A1312" s="1" t="s">
        <v>6525</v>
      </c>
      <c r="B1312" s="1" t="s">
        <v>6524</v>
      </c>
      <c r="C1312" s="1" t="s">
        <v>13434</v>
      </c>
      <c r="D1312" s="7" t="s">
        <v>10</v>
      </c>
    </row>
    <row r="1313">
      <c r="A1313" s="1" t="s">
        <v>6530</v>
      </c>
      <c r="B1313" s="1" t="s">
        <v>6529</v>
      </c>
      <c r="C1313" s="1" t="s">
        <v>13435</v>
      </c>
      <c r="D1313" s="7" t="s">
        <v>10</v>
      </c>
    </row>
    <row r="1314">
      <c r="A1314" s="1" t="s">
        <v>6535</v>
      </c>
      <c r="B1314" s="1" t="s">
        <v>6534</v>
      </c>
      <c r="C1314" s="1" t="s">
        <v>13436</v>
      </c>
      <c r="D1314" s="7" t="s">
        <v>10</v>
      </c>
    </row>
    <row r="1315">
      <c r="A1315" s="1" t="s">
        <v>6540</v>
      </c>
      <c r="B1315" s="1" t="s">
        <v>6539</v>
      </c>
      <c r="C1315" s="1" t="s">
        <v>13437</v>
      </c>
      <c r="D1315" s="7" t="s">
        <v>10</v>
      </c>
    </row>
    <row r="1316">
      <c r="A1316" s="1" t="s">
        <v>6545</v>
      </c>
      <c r="B1316" s="1" t="s">
        <v>6544</v>
      </c>
      <c r="C1316" s="1" t="s">
        <v>13438</v>
      </c>
      <c r="D1316" s="7" t="s">
        <v>10</v>
      </c>
    </row>
    <row r="1317">
      <c r="A1317" s="1" t="s">
        <v>6550</v>
      </c>
      <c r="B1317" s="1" t="s">
        <v>6549</v>
      </c>
      <c r="C1317" s="1" t="s">
        <v>13439</v>
      </c>
      <c r="D1317" s="7" t="s">
        <v>10</v>
      </c>
    </row>
    <row r="1318">
      <c r="A1318" s="1" t="s">
        <v>6555</v>
      </c>
      <c r="B1318" s="1" t="s">
        <v>6554</v>
      </c>
      <c r="C1318" s="1" t="s">
        <v>13440</v>
      </c>
      <c r="D1318" s="7" t="s">
        <v>10</v>
      </c>
    </row>
    <row r="1319">
      <c r="A1319" s="1" t="s">
        <v>6560</v>
      </c>
      <c r="B1319" s="1" t="s">
        <v>6559</v>
      </c>
      <c r="C1319" s="1" t="s">
        <v>13441</v>
      </c>
      <c r="D1319" s="7" t="s">
        <v>10</v>
      </c>
    </row>
    <row r="1320">
      <c r="A1320" s="1" t="s">
        <v>6565</v>
      </c>
      <c r="B1320" s="1" t="s">
        <v>6564</v>
      </c>
      <c r="C1320" s="1" t="s">
        <v>13442</v>
      </c>
      <c r="D1320" s="7" t="s">
        <v>10</v>
      </c>
    </row>
    <row r="1321">
      <c r="A1321" s="1" t="s">
        <v>6570</v>
      </c>
      <c r="B1321" s="1" t="s">
        <v>6569</v>
      </c>
      <c r="C1321" s="1" t="s">
        <v>13443</v>
      </c>
      <c r="D1321" s="7" t="s">
        <v>10</v>
      </c>
    </row>
    <row r="1322">
      <c r="A1322" s="1" t="s">
        <v>6575</v>
      </c>
      <c r="B1322" s="1" t="s">
        <v>6574</v>
      </c>
      <c r="C1322" s="1" t="s">
        <v>13444</v>
      </c>
      <c r="D1322" s="7" t="s">
        <v>10</v>
      </c>
    </row>
    <row r="1323">
      <c r="A1323" s="1" t="s">
        <v>6580</v>
      </c>
      <c r="B1323" s="1" t="s">
        <v>6579</v>
      </c>
      <c r="C1323" s="1" t="s">
        <v>13445</v>
      </c>
      <c r="D1323" s="7" t="s">
        <v>10</v>
      </c>
    </row>
    <row r="1324">
      <c r="A1324" s="1" t="s">
        <v>6585</v>
      </c>
      <c r="B1324" s="1" t="s">
        <v>6584</v>
      </c>
      <c r="C1324" s="1" t="s">
        <v>13446</v>
      </c>
      <c r="D1324" s="7" t="s">
        <v>10</v>
      </c>
    </row>
    <row r="1325">
      <c r="A1325" s="1" t="s">
        <v>6590</v>
      </c>
      <c r="B1325" s="1" t="s">
        <v>6589</v>
      </c>
      <c r="C1325" s="1" t="s">
        <v>13447</v>
      </c>
      <c r="D1325" s="7" t="s">
        <v>10</v>
      </c>
    </row>
    <row r="1326">
      <c r="A1326" s="1" t="s">
        <v>6595</v>
      </c>
      <c r="B1326" s="1" t="s">
        <v>6594</v>
      </c>
      <c r="C1326" s="1" t="s">
        <v>13448</v>
      </c>
      <c r="D1326" s="7" t="s">
        <v>10</v>
      </c>
    </row>
    <row r="1327">
      <c r="A1327" s="1" t="s">
        <v>6600</v>
      </c>
      <c r="B1327" s="1" t="s">
        <v>6599</v>
      </c>
      <c r="C1327" s="1" t="s">
        <v>13449</v>
      </c>
      <c r="D1327" s="7" t="s">
        <v>10</v>
      </c>
    </row>
    <row r="1328">
      <c r="A1328" s="1" t="s">
        <v>6605</v>
      </c>
      <c r="B1328" s="1" t="s">
        <v>6604</v>
      </c>
      <c r="C1328" s="1" t="s">
        <v>13450</v>
      </c>
      <c r="D1328" s="7" t="s">
        <v>10</v>
      </c>
    </row>
    <row r="1329">
      <c r="A1329" s="1" t="s">
        <v>6610</v>
      </c>
      <c r="B1329" s="1" t="s">
        <v>6609</v>
      </c>
      <c r="C1329" s="1" t="s">
        <v>13451</v>
      </c>
      <c r="D1329" s="7" t="s">
        <v>10</v>
      </c>
    </row>
    <row r="1330">
      <c r="A1330" s="1" t="s">
        <v>6615</v>
      </c>
      <c r="B1330" s="1" t="s">
        <v>6614</v>
      </c>
      <c r="C1330" s="1" t="s">
        <v>13452</v>
      </c>
      <c r="D1330" s="7" t="s">
        <v>10</v>
      </c>
    </row>
    <row r="1331">
      <c r="A1331" s="1" t="s">
        <v>6620</v>
      </c>
      <c r="B1331" s="1" t="s">
        <v>6619</v>
      </c>
      <c r="C1331" s="1" t="s">
        <v>13453</v>
      </c>
      <c r="D1331" s="7" t="s">
        <v>10</v>
      </c>
    </row>
    <row r="1332">
      <c r="A1332" s="1" t="s">
        <v>6625</v>
      </c>
      <c r="B1332" s="1" t="s">
        <v>6624</v>
      </c>
      <c r="C1332" s="1" t="s">
        <v>13454</v>
      </c>
      <c r="D1332" s="7" t="s">
        <v>10</v>
      </c>
    </row>
    <row r="1333">
      <c r="A1333" s="1" t="s">
        <v>6630</v>
      </c>
      <c r="B1333" s="1" t="s">
        <v>6629</v>
      </c>
      <c r="C1333" s="1" t="s">
        <v>13455</v>
      </c>
      <c r="D1333" s="7" t="s">
        <v>10</v>
      </c>
    </row>
    <row r="1334">
      <c r="A1334" s="1" t="s">
        <v>6635</v>
      </c>
      <c r="B1334" s="1" t="s">
        <v>6634</v>
      </c>
      <c r="C1334" s="1" t="s">
        <v>13456</v>
      </c>
      <c r="D1334" s="7" t="s">
        <v>10</v>
      </c>
    </row>
    <row r="1335">
      <c r="A1335" s="1" t="s">
        <v>6640</v>
      </c>
      <c r="B1335" s="1" t="s">
        <v>6639</v>
      </c>
      <c r="C1335" s="1" t="s">
        <v>13457</v>
      </c>
      <c r="D1335" s="7" t="s">
        <v>10</v>
      </c>
    </row>
    <row r="1336">
      <c r="A1336" s="1" t="s">
        <v>6645</v>
      </c>
      <c r="B1336" s="1" t="s">
        <v>6644</v>
      </c>
      <c r="C1336" s="1" t="s">
        <v>13458</v>
      </c>
      <c r="D1336" s="7" t="s">
        <v>10</v>
      </c>
    </row>
    <row r="1337">
      <c r="A1337" s="1" t="s">
        <v>6650</v>
      </c>
      <c r="B1337" s="1" t="s">
        <v>6649</v>
      </c>
      <c r="C1337" s="1" t="s">
        <v>13459</v>
      </c>
      <c r="D1337" s="7" t="s">
        <v>10</v>
      </c>
    </row>
    <row r="1338">
      <c r="A1338" s="1" t="s">
        <v>6655</v>
      </c>
      <c r="B1338" s="1" t="s">
        <v>6654</v>
      </c>
      <c r="C1338" s="1" t="s">
        <v>13460</v>
      </c>
      <c r="D1338" s="7" t="s">
        <v>10</v>
      </c>
    </row>
    <row r="1339">
      <c r="A1339" s="1" t="s">
        <v>6660</v>
      </c>
      <c r="B1339" s="1" t="s">
        <v>6659</v>
      </c>
      <c r="C1339" s="1" t="s">
        <v>13461</v>
      </c>
      <c r="D1339" s="7" t="s">
        <v>10</v>
      </c>
    </row>
    <row r="1340">
      <c r="A1340" s="1" t="s">
        <v>6665</v>
      </c>
      <c r="B1340" s="1" t="s">
        <v>6664</v>
      </c>
      <c r="C1340" s="1" t="s">
        <v>13462</v>
      </c>
      <c r="D1340" s="7" t="s">
        <v>10</v>
      </c>
    </row>
    <row r="1341">
      <c r="A1341" s="1" t="s">
        <v>6670</v>
      </c>
      <c r="B1341" s="1" t="s">
        <v>6669</v>
      </c>
      <c r="C1341" s="1" t="s">
        <v>13463</v>
      </c>
      <c r="D1341" s="7" t="s">
        <v>10</v>
      </c>
    </row>
    <row r="1342">
      <c r="A1342" s="1" t="s">
        <v>6675</v>
      </c>
      <c r="B1342" s="1" t="s">
        <v>6674</v>
      </c>
      <c r="C1342" s="1" t="s">
        <v>13464</v>
      </c>
      <c r="D1342" s="7" t="s">
        <v>10</v>
      </c>
    </row>
    <row r="1343">
      <c r="A1343" s="1" t="s">
        <v>6680</v>
      </c>
      <c r="B1343" s="1" t="s">
        <v>6679</v>
      </c>
      <c r="C1343" s="1" t="s">
        <v>13465</v>
      </c>
      <c r="D1343" s="7" t="s">
        <v>10</v>
      </c>
    </row>
    <row r="1344">
      <c r="A1344" s="1" t="s">
        <v>6685</v>
      </c>
      <c r="B1344" s="1" t="s">
        <v>6684</v>
      </c>
      <c r="C1344" s="1" t="s">
        <v>13466</v>
      </c>
      <c r="D1344" s="7" t="s">
        <v>10</v>
      </c>
    </row>
    <row r="1345">
      <c r="A1345" s="1" t="s">
        <v>6690</v>
      </c>
      <c r="B1345" s="1" t="s">
        <v>6689</v>
      </c>
      <c r="C1345" s="1" t="s">
        <v>13467</v>
      </c>
      <c r="D1345" s="7" t="s">
        <v>10</v>
      </c>
    </row>
    <row r="1346">
      <c r="A1346" s="1" t="s">
        <v>6695</v>
      </c>
      <c r="B1346" s="1" t="s">
        <v>6694</v>
      </c>
      <c r="C1346" s="1" t="s">
        <v>13468</v>
      </c>
      <c r="D1346" s="7" t="s">
        <v>10</v>
      </c>
    </row>
    <row r="1347">
      <c r="A1347" s="1" t="s">
        <v>6700</v>
      </c>
      <c r="B1347" s="1" t="s">
        <v>6699</v>
      </c>
      <c r="C1347" s="1" t="s">
        <v>13469</v>
      </c>
      <c r="D1347" s="7" t="s">
        <v>10</v>
      </c>
    </row>
    <row r="1348">
      <c r="A1348" s="1" t="s">
        <v>6705</v>
      </c>
      <c r="B1348" s="1" t="s">
        <v>6704</v>
      </c>
      <c r="C1348" s="1" t="s">
        <v>13470</v>
      </c>
      <c r="D1348" s="7" t="s">
        <v>10</v>
      </c>
    </row>
    <row r="1349">
      <c r="A1349" s="1" t="s">
        <v>6710</v>
      </c>
      <c r="B1349" s="1" t="s">
        <v>6709</v>
      </c>
      <c r="C1349" s="1" t="s">
        <v>13471</v>
      </c>
      <c r="D1349" s="7" t="s">
        <v>10</v>
      </c>
    </row>
    <row r="1350">
      <c r="A1350" s="1" t="s">
        <v>6715</v>
      </c>
      <c r="B1350" s="1" t="s">
        <v>6714</v>
      </c>
      <c r="C1350" s="1" t="s">
        <v>13472</v>
      </c>
      <c r="D1350" s="7" t="s">
        <v>10</v>
      </c>
    </row>
    <row r="1351">
      <c r="A1351" s="1" t="s">
        <v>6720</v>
      </c>
      <c r="B1351" s="1" t="s">
        <v>6719</v>
      </c>
      <c r="C1351" s="1" t="s">
        <v>13473</v>
      </c>
      <c r="D1351" s="7" t="s">
        <v>10</v>
      </c>
    </row>
    <row r="1352">
      <c r="A1352" s="1" t="s">
        <v>6725</v>
      </c>
      <c r="B1352" s="1" t="s">
        <v>6724</v>
      </c>
      <c r="C1352" s="1" t="s">
        <v>13474</v>
      </c>
      <c r="D1352" s="7" t="s">
        <v>10</v>
      </c>
    </row>
    <row r="1353">
      <c r="A1353" s="1" t="s">
        <v>6730</v>
      </c>
      <c r="B1353" s="1" t="s">
        <v>6729</v>
      </c>
      <c r="C1353" s="1" t="s">
        <v>13475</v>
      </c>
      <c r="D1353" s="7" t="s">
        <v>10</v>
      </c>
    </row>
    <row r="1354">
      <c r="A1354" s="1" t="s">
        <v>6735</v>
      </c>
      <c r="B1354" s="1" t="s">
        <v>6734</v>
      </c>
      <c r="C1354" s="1" t="s">
        <v>13476</v>
      </c>
      <c r="D1354" s="7" t="s">
        <v>10</v>
      </c>
    </row>
    <row r="1355">
      <c r="A1355" s="1" t="s">
        <v>6740</v>
      </c>
      <c r="B1355" s="1" t="s">
        <v>6739</v>
      </c>
      <c r="C1355" s="1" t="s">
        <v>13477</v>
      </c>
      <c r="D1355" s="7" t="s">
        <v>10</v>
      </c>
    </row>
    <row r="1356">
      <c r="A1356" s="1" t="s">
        <v>6745</v>
      </c>
      <c r="B1356" s="1" t="s">
        <v>6744</v>
      </c>
      <c r="C1356" s="1" t="s">
        <v>13478</v>
      </c>
      <c r="D1356" s="7" t="s">
        <v>10</v>
      </c>
    </row>
    <row r="1357">
      <c r="A1357" s="1" t="s">
        <v>6750</v>
      </c>
      <c r="B1357" s="1" t="s">
        <v>6749</v>
      </c>
      <c r="C1357" s="1" t="s">
        <v>13479</v>
      </c>
      <c r="D1357" s="7" t="s">
        <v>10</v>
      </c>
    </row>
    <row r="1358">
      <c r="A1358" s="1" t="s">
        <v>6755</v>
      </c>
      <c r="B1358" s="1" t="s">
        <v>6754</v>
      </c>
      <c r="C1358" s="1" t="s">
        <v>13480</v>
      </c>
      <c r="D1358" s="7" t="s">
        <v>10</v>
      </c>
    </row>
    <row r="1359">
      <c r="A1359" s="1" t="s">
        <v>6760</v>
      </c>
      <c r="B1359" s="1" t="s">
        <v>6759</v>
      </c>
      <c r="C1359" s="1" t="s">
        <v>13481</v>
      </c>
      <c r="D1359" s="7" t="s">
        <v>10</v>
      </c>
    </row>
    <row r="1360">
      <c r="A1360" s="1" t="s">
        <v>6765</v>
      </c>
      <c r="B1360" s="1" t="s">
        <v>6764</v>
      </c>
      <c r="C1360" s="1" t="s">
        <v>13482</v>
      </c>
      <c r="D1360" s="7" t="s">
        <v>10</v>
      </c>
    </row>
    <row r="1361">
      <c r="A1361" s="1" t="s">
        <v>6770</v>
      </c>
      <c r="B1361" s="1" t="s">
        <v>6769</v>
      </c>
      <c r="C1361" s="1" t="s">
        <v>13483</v>
      </c>
      <c r="D1361" s="7" t="s">
        <v>10</v>
      </c>
    </row>
    <row r="1362">
      <c r="A1362" s="1" t="s">
        <v>6775</v>
      </c>
      <c r="B1362" s="1" t="s">
        <v>6774</v>
      </c>
      <c r="C1362" s="1" t="s">
        <v>13484</v>
      </c>
      <c r="D1362" s="7" t="s">
        <v>10</v>
      </c>
    </row>
    <row r="1363">
      <c r="A1363" s="1" t="s">
        <v>6780</v>
      </c>
      <c r="B1363" s="1" t="s">
        <v>6779</v>
      </c>
      <c r="C1363" s="1" t="s">
        <v>13485</v>
      </c>
      <c r="D1363" s="7" t="s">
        <v>10</v>
      </c>
    </row>
    <row r="1364">
      <c r="A1364" s="1" t="s">
        <v>6785</v>
      </c>
      <c r="B1364" s="1" t="s">
        <v>6784</v>
      </c>
      <c r="C1364" s="1" t="s">
        <v>13486</v>
      </c>
      <c r="D1364" s="7" t="s">
        <v>10</v>
      </c>
    </row>
    <row r="1365">
      <c r="A1365" s="1" t="s">
        <v>6790</v>
      </c>
      <c r="B1365" s="1" t="s">
        <v>6789</v>
      </c>
      <c r="C1365" s="1" t="s">
        <v>13487</v>
      </c>
      <c r="D1365" s="7" t="s">
        <v>10</v>
      </c>
    </row>
    <row r="1366">
      <c r="A1366" s="1" t="s">
        <v>6795</v>
      </c>
      <c r="B1366" s="1" t="s">
        <v>6794</v>
      </c>
      <c r="C1366" s="1" t="s">
        <v>13488</v>
      </c>
      <c r="D1366" s="7" t="s">
        <v>10</v>
      </c>
    </row>
    <row r="1367">
      <c r="A1367" s="1" t="s">
        <v>6800</v>
      </c>
      <c r="B1367" s="1" t="s">
        <v>6799</v>
      </c>
      <c r="C1367" s="1" t="s">
        <v>13489</v>
      </c>
      <c r="D1367" s="7" t="s">
        <v>10</v>
      </c>
    </row>
    <row r="1368">
      <c r="A1368" s="1" t="s">
        <v>6805</v>
      </c>
      <c r="B1368" s="1" t="s">
        <v>6804</v>
      </c>
      <c r="C1368" s="1" t="s">
        <v>13490</v>
      </c>
      <c r="D1368" s="7" t="s">
        <v>10</v>
      </c>
    </row>
    <row r="1369">
      <c r="A1369" s="1" t="s">
        <v>6810</v>
      </c>
      <c r="B1369" s="1" t="s">
        <v>6809</v>
      </c>
      <c r="C1369" s="1" t="s">
        <v>13491</v>
      </c>
      <c r="D1369" s="7" t="s">
        <v>10</v>
      </c>
    </row>
    <row r="1370">
      <c r="A1370" s="1" t="s">
        <v>6815</v>
      </c>
      <c r="B1370" s="1" t="s">
        <v>6814</v>
      </c>
      <c r="C1370" s="1" t="s">
        <v>13492</v>
      </c>
      <c r="D1370" s="7" t="s">
        <v>10</v>
      </c>
    </row>
    <row r="1371">
      <c r="A1371" s="1" t="s">
        <v>6820</v>
      </c>
      <c r="B1371" s="1" t="s">
        <v>6819</v>
      </c>
      <c r="C1371" s="1" t="s">
        <v>13493</v>
      </c>
      <c r="D1371" s="7" t="s">
        <v>10</v>
      </c>
    </row>
    <row r="1372">
      <c r="A1372" s="1" t="s">
        <v>6825</v>
      </c>
      <c r="B1372" s="1" t="s">
        <v>6824</v>
      </c>
      <c r="C1372" s="1" t="s">
        <v>13494</v>
      </c>
      <c r="D1372" s="7" t="s">
        <v>10</v>
      </c>
    </row>
    <row r="1373">
      <c r="A1373" s="1" t="s">
        <v>6830</v>
      </c>
      <c r="B1373" s="1" t="s">
        <v>6829</v>
      </c>
      <c r="C1373" s="1" t="s">
        <v>13495</v>
      </c>
      <c r="D1373" s="7" t="s">
        <v>10</v>
      </c>
    </row>
    <row r="1374">
      <c r="A1374" s="1" t="s">
        <v>6835</v>
      </c>
      <c r="B1374" s="1" t="s">
        <v>6834</v>
      </c>
      <c r="C1374" s="1" t="s">
        <v>13496</v>
      </c>
      <c r="D1374" s="7" t="s">
        <v>10</v>
      </c>
    </row>
    <row r="1375">
      <c r="A1375" s="1" t="s">
        <v>6840</v>
      </c>
      <c r="B1375" s="1" t="s">
        <v>6839</v>
      </c>
      <c r="C1375" s="1" t="s">
        <v>13497</v>
      </c>
      <c r="D1375" s="7" t="s">
        <v>10</v>
      </c>
    </row>
    <row r="1376">
      <c r="A1376" s="1" t="s">
        <v>6845</v>
      </c>
      <c r="B1376" s="1" t="s">
        <v>6844</v>
      </c>
      <c r="C1376" s="1" t="s">
        <v>13498</v>
      </c>
      <c r="D1376" s="7" t="s">
        <v>10</v>
      </c>
    </row>
    <row r="1377">
      <c r="A1377" s="1" t="s">
        <v>6850</v>
      </c>
      <c r="B1377" s="1" t="s">
        <v>6849</v>
      </c>
      <c r="C1377" s="1" t="s">
        <v>13499</v>
      </c>
      <c r="D1377" s="7" t="s">
        <v>10</v>
      </c>
    </row>
    <row r="1378">
      <c r="A1378" s="1" t="s">
        <v>6855</v>
      </c>
      <c r="B1378" s="1" t="s">
        <v>6854</v>
      </c>
      <c r="C1378" s="1" t="s">
        <v>13500</v>
      </c>
      <c r="D1378" s="7" t="s">
        <v>10</v>
      </c>
    </row>
    <row r="1379">
      <c r="A1379" s="1" t="s">
        <v>6860</v>
      </c>
      <c r="B1379" s="1" t="s">
        <v>6859</v>
      </c>
      <c r="C1379" s="1" t="s">
        <v>13501</v>
      </c>
      <c r="D1379" s="7" t="s">
        <v>10</v>
      </c>
    </row>
    <row r="1380">
      <c r="A1380" s="1" t="s">
        <v>6865</v>
      </c>
      <c r="B1380" s="1" t="s">
        <v>6864</v>
      </c>
      <c r="C1380" s="1" t="s">
        <v>13502</v>
      </c>
      <c r="D1380" s="7" t="s">
        <v>10</v>
      </c>
    </row>
    <row r="1381">
      <c r="A1381" s="1" t="s">
        <v>6870</v>
      </c>
      <c r="B1381" s="1" t="s">
        <v>6869</v>
      </c>
      <c r="C1381" s="1" t="s">
        <v>13503</v>
      </c>
      <c r="D1381" s="7" t="s">
        <v>10</v>
      </c>
    </row>
    <row r="1382">
      <c r="A1382" s="1" t="s">
        <v>6875</v>
      </c>
      <c r="B1382" s="1" t="s">
        <v>6874</v>
      </c>
      <c r="C1382" s="1" t="s">
        <v>13504</v>
      </c>
      <c r="D1382" s="7" t="s">
        <v>10</v>
      </c>
    </row>
    <row r="1383">
      <c r="A1383" s="1" t="s">
        <v>6880</v>
      </c>
      <c r="B1383" s="1" t="s">
        <v>6879</v>
      </c>
      <c r="C1383" s="1" t="s">
        <v>13505</v>
      </c>
      <c r="D1383" s="7" t="s">
        <v>10</v>
      </c>
    </row>
    <row r="1384">
      <c r="A1384" s="1" t="s">
        <v>6885</v>
      </c>
      <c r="B1384" s="1" t="s">
        <v>6884</v>
      </c>
      <c r="C1384" s="1" t="s">
        <v>13506</v>
      </c>
      <c r="D1384" s="7" t="s">
        <v>10</v>
      </c>
    </row>
    <row r="1385">
      <c r="A1385" s="1" t="s">
        <v>6890</v>
      </c>
      <c r="B1385" s="1" t="s">
        <v>6889</v>
      </c>
      <c r="C1385" s="1" t="s">
        <v>13507</v>
      </c>
      <c r="D1385" s="7" t="s">
        <v>10</v>
      </c>
    </row>
    <row r="1386">
      <c r="A1386" s="1" t="s">
        <v>6895</v>
      </c>
      <c r="B1386" s="1" t="s">
        <v>6894</v>
      </c>
      <c r="C1386" s="1" t="s">
        <v>13508</v>
      </c>
      <c r="D1386" s="7" t="s">
        <v>10</v>
      </c>
    </row>
    <row r="1387">
      <c r="A1387" s="1" t="s">
        <v>6900</v>
      </c>
      <c r="B1387" s="1" t="s">
        <v>6899</v>
      </c>
      <c r="C1387" s="1" t="s">
        <v>13509</v>
      </c>
      <c r="D1387" s="7" t="s">
        <v>10</v>
      </c>
    </row>
    <row r="1388">
      <c r="A1388" s="1" t="s">
        <v>6905</v>
      </c>
      <c r="B1388" s="1" t="s">
        <v>6904</v>
      </c>
      <c r="C1388" s="1" t="s">
        <v>13510</v>
      </c>
      <c r="D1388" s="7" t="s">
        <v>10</v>
      </c>
    </row>
    <row r="1389">
      <c r="A1389" s="1" t="s">
        <v>6910</v>
      </c>
      <c r="B1389" s="1" t="s">
        <v>6909</v>
      </c>
      <c r="C1389" s="1" t="s">
        <v>13511</v>
      </c>
      <c r="D1389" s="7" t="s">
        <v>10</v>
      </c>
    </row>
    <row r="1390">
      <c r="A1390" s="1" t="s">
        <v>6915</v>
      </c>
      <c r="B1390" s="1" t="s">
        <v>6914</v>
      </c>
      <c r="C1390" s="1" t="s">
        <v>13512</v>
      </c>
      <c r="D1390" s="7" t="s">
        <v>10</v>
      </c>
    </row>
    <row r="1391">
      <c r="A1391" s="1" t="s">
        <v>6920</v>
      </c>
      <c r="B1391" s="1" t="s">
        <v>6919</v>
      </c>
      <c r="C1391" s="1" t="s">
        <v>13513</v>
      </c>
      <c r="D1391" s="7" t="s">
        <v>10</v>
      </c>
    </row>
    <row r="1392">
      <c r="A1392" s="1" t="s">
        <v>6925</v>
      </c>
      <c r="B1392" s="1" t="s">
        <v>6924</v>
      </c>
      <c r="C1392" s="1" t="s">
        <v>13514</v>
      </c>
      <c r="D1392" s="7" t="s">
        <v>10</v>
      </c>
    </row>
    <row r="1393">
      <c r="A1393" s="1" t="s">
        <v>6930</v>
      </c>
      <c r="B1393" s="1" t="s">
        <v>6929</v>
      </c>
      <c r="C1393" s="1" t="s">
        <v>13515</v>
      </c>
      <c r="D1393" s="7" t="s">
        <v>10</v>
      </c>
    </row>
    <row r="1394">
      <c r="A1394" s="1" t="s">
        <v>6935</v>
      </c>
      <c r="B1394" s="1" t="s">
        <v>6934</v>
      </c>
      <c r="C1394" s="1" t="s">
        <v>13516</v>
      </c>
      <c r="D1394" s="7" t="s">
        <v>10</v>
      </c>
    </row>
    <row r="1395">
      <c r="A1395" s="1" t="s">
        <v>6940</v>
      </c>
      <c r="B1395" s="1" t="s">
        <v>6939</v>
      </c>
      <c r="C1395" s="1" t="s">
        <v>13517</v>
      </c>
      <c r="D1395" s="7" t="s">
        <v>10</v>
      </c>
    </row>
    <row r="1396">
      <c r="A1396" s="1" t="s">
        <v>6945</v>
      </c>
      <c r="B1396" s="1" t="s">
        <v>6944</v>
      </c>
      <c r="C1396" s="1" t="s">
        <v>13518</v>
      </c>
      <c r="D1396" s="7" t="s">
        <v>10</v>
      </c>
    </row>
    <row r="1397">
      <c r="A1397" s="1" t="s">
        <v>6950</v>
      </c>
      <c r="B1397" s="1" t="s">
        <v>6949</v>
      </c>
      <c r="C1397" s="1" t="s">
        <v>13519</v>
      </c>
      <c r="D1397" s="7" t="s">
        <v>10</v>
      </c>
    </row>
    <row r="1398">
      <c r="A1398" s="1" t="s">
        <v>6955</v>
      </c>
      <c r="B1398" s="1" t="s">
        <v>6954</v>
      </c>
      <c r="C1398" s="1" t="s">
        <v>13520</v>
      </c>
      <c r="D1398" s="7" t="s">
        <v>10</v>
      </c>
    </row>
    <row r="1399">
      <c r="A1399" s="1" t="s">
        <v>6960</v>
      </c>
      <c r="B1399" s="1" t="s">
        <v>6959</v>
      </c>
      <c r="C1399" s="1" t="s">
        <v>13521</v>
      </c>
      <c r="D1399" s="7" t="s">
        <v>10</v>
      </c>
    </row>
    <row r="1400">
      <c r="A1400" s="1" t="s">
        <v>6965</v>
      </c>
      <c r="B1400" s="1" t="s">
        <v>6964</v>
      </c>
      <c r="C1400" s="1" t="s">
        <v>13522</v>
      </c>
      <c r="D1400" s="7" t="s">
        <v>10</v>
      </c>
    </row>
    <row r="1401">
      <c r="A1401" s="1" t="s">
        <v>6970</v>
      </c>
      <c r="B1401" s="1" t="s">
        <v>6969</v>
      </c>
      <c r="C1401" s="1" t="s">
        <v>13523</v>
      </c>
      <c r="D1401" s="7" t="s">
        <v>10</v>
      </c>
    </row>
    <row r="1402">
      <c r="A1402" s="1" t="s">
        <v>6975</v>
      </c>
      <c r="B1402" s="1" t="s">
        <v>6974</v>
      </c>
      <c r="C1402" s="1" t="s">
        <v>13524</v>
      </c>
      <c r="D1402" s="7" t="s">
        <v>10</v>
      </c>
    </row>
    <row r="1403">
      <c r="A1403" s="1" t="s">
        <v>6980</v>
      </c>
      <c r="B1403" s="1" t="s">
        <v>6979</v>
      </c>
      <c r="C1403" s="1" t="s">
        <v>13525</v>
      </c>
      <c r="D1403" s="7" t="s">
        <v>10</v>
      </c>
    </row>
    <row r="1404">
      <c r="A1404" s="1" t="s">
        <v>6985</v>
      </c>
      <c r="B1404" s="1" t="s">
        <v>6984</v>
      </c>
      <c r="C1404" s="1" t="s">
        <v>13526</v>
      </c>
      <c r="D1404" s="7" t="s">
        <v>10</v>
      </c>
    </row>
    <row r="1405">
      <c r="A1405" s="1" t="s">
        <v>6990</v>
      </c>
      <c r="B1405" s="1" t="s">
        <v>6989</v>
      </c>
      <c r="C1405" s="1" t="s">
        <v>13527</v>
      </c>
      <c r="D1405" s="7" t="s">
        <v>10</v>
      </c>
    </row>
    <row r="1406">
      <c r="A1406" s="1" t="s">
        <v>6995</v>
      </c>
      <c r="B1406" s="1" t="s">
        <v>6994</v>
      </c>
      <c r="C1406" s="1" t="s">
        <v>13528</v>
      </c>
      <c r="D1406" s="7" t="s">
        <v>10</v>
      </c>
    </row>
    <row r="1407">
      <c r="A1407" s="1" t="s">
        <v>7000</v>
      </c>
      <c r="B1407" s="1" t="s">
        <v>6999</v>
      </c>
      <c r="C1407" s="1" t="s">
        <v>13529</v>
      </c>
      <c r="D1407" s="7" t="s">
        <v>10</v>
      </c>
    </row>
    <row r="1408">
      <c r="A1408" s="1" t="s">
        <v>7005</v>
      </c>
      <c r="B1408" s="1" t="s">
        <v>7004</v>
      </c>
      <c r="C1408" s="1" t="s">
        <v>13530</v>
      </c>
      <c r="D1408" s="7" t="s">
        <v>10</v>
      </c>
    </row>
    <row r="1409">
      <c r="A1409" s="1" t="s">
        <v>7010</v>
      </c>
      <c r="B1409" s="1" t="s">
        <v>7009</v>
      </c>
      <c r="C1409" s="1" t="s">
        <v>13531</v>
      </c>
      <c r="D1409" s="7" t="s">
        <v>10</v>
      </c>
    </row>
    <row r="1410">
      <c r="A1410" s="1" t="s">
        <v>7015</v>
      </c>
      <c r="B1410" s="1" t="s">
        <v>7014</v>
      </c>
      <c r="C1410" s="1" t="s">
        <v>13532</v>
      </c>
      <c r="D1410" s="7" t="s">
        <v>10</v>
      </c>
    </row>
    <row r="1411">
      <c r="A1411" s="1" t="s">
        <v>7020</v>
      </c>
      <c r="B1411" s="1" t="s">
        <v>7019</v>
      </c>
      <c r="C1411" s="1" t="s">
        <v>13533</v>
      </c>
      <c r="D1411" s="7" t="s">
        <v>10</v>
      </c>
    </row>
    <row r="1412">
      <c r="A1412" s="1" t="s">
        <v>7025</v>
      </c>
      <c r="B1412" s="1" t="s">
        <v>7024</v>
      </c>
      <c r="C1412" s="1" t="s">
        <v>13534</v>
      </c>
      <c r="D1412" s="7" t="s">
        <v>10</v>
      </c>
    </row>
    <row r="1413">
      <c r="A1413" s="1" t="s">
        <v>7030</v>
      </c>
      <c r="B1413" s="1" t="s">
        <v>7029</v>
      </c>
      <c r="C1413" s="1" t="s">
        <v>13535</v>
      </c>
      <c r="D1413" s="7" t="s">
        <v>10</v>
      </c>
    </row>
    <row r="1414">
      <c r="A1414" s="1" t="s">
        <v>7035</v>
      </c>
      <c r="B1414" s="1" t="s">
        <v>7034</v>
      </c>
      <c r="C1414" s="1" t="s">
        <v>13536</v>
      </c>
      <c r="D1414" s="7" t="s">
        <v>10</v>
      </c>
    </row>
    <row r="1415">
      <c r="A1415" s="1" t="s">
        <v>7040</v>
      </c>
      <c r="B1415" s="1" t="s">
        <v>7039</v>
      </c>
      <c r="C1415" s="1" t="s">
        <v>13537</v>
      </c>
      <c r="D1415" s="7" t="s">
        <v>10</v>
      </c>
    </row>
    <row r="1416">
      <c r="A1416" s="1" t="s">
        <v>7044</v>
      </c>
      <c r="B1416" s="1" t="s">
        <v>7044</v>
      </c>
      <c r="C1416" s="1" t="s">
        <v>13538</v>
      </c>
      <c r="D1416" s="7" t="s">
        <v>10</v>
      </c>
    </row>
    <row r="1417">
      <c r="A1417" s="1" t="s">
        <v>7049</v>
      </c>
      <c r="B1417" s="1" t="s">
        <v>7048</v>
      </c>
      <c r="C1417" s="1" t="s">
        <v>13539</v>
      </c>
      <c r="D1417" s="7" t="s">
        <v>10</v>
      </c>
    </row>
    <row r="1418">
      <c r="A1418" s="1" t="s">
        <v>7054</v>
      </c>
      <c r="B1418" s="1" t="s">
        <v>7053</v>
      </c>
      <c r="C1418" s="1" t="s">
        <v>13540</v>
      </c>
      <c r="D1418" s="7" t="s">
        <v>10</v>
      </c>
    </row>
    <row r="1419">
      <c r="A1419" s="1" t="s">
        <v>7059</v>
      </c>
      <c r="B1419" s="1" t="s">
        <v>7058</v>
      </c>
      <c r="C1419" s="1" t="s">
        <v>13541</v>
      </c>
      <c r="D1419" s="7" t="s">
        <v>10</v>
      </c>
    </row>
    <row r="1420">
      <c r="A1420" s="1" t="s">
        <v>7064</v>
      </c>
      <c r="B1420" s="1" t="s">
        <v>7063</v>
      </c>
      <c r="C1420" s="1" t="s">
        <v>13542</v>
      </c>
      <c r="D1420" s="7" t="s">
        <v>10</v>
      </c>
    </row>
    <row r="1421">
      <c r="A1421" s="1" t="s">
        <v>7069</v>
      </c>
      <c r="B1421" s="1" t="s">
        <v>7068</v>
      </c>
      <c r="C1421" s="1" t="s">
        <v>13543</v>
      </c>
      <c r="D1421" s="7" t="s">
        <v>10</v>
      </c>
    </row>
    <row r="1422">
      <c r="A1422" s="1" t="s">
        <v>7074</v>
      </c>
      <c r="B1422" s="1" t="s">
        <v>7073</v>
      </c>
      <c r="C1422" s="1" t="s">
        <v>13544</v>
      </c>
      <c r="D1422" s="7" t="s">
        <v>10</v>
      </c>
    </row>
    <row r="1423">
      <c r="A1423" s="1" t="s">
        <v>7079</v>
      </c>
      <c r="B1423" s="1" t="s">
        <v>7078</v>
      </c>
      <c r="C1423" s="1" t="s">
        <v>13545</v>
      </c>
      <c r="D1423" s="7" t="s">
        <v>10</v>
      </c>
    </row>
    <row r="1424">
      <c r="A1424" s="1" t="s">
        <v>7084</v>
      </c>
      <c r="B1424" s="1" t="s">
        <v>7083</v>
      </c>
      <c r="C1424" s="1" t="s">
        <v>13546</v>
      </c>
      <c r="D1424" s="7" t="s">
        <v>10</v>
      </c>
    </row>
    <row r="1425">
      <c r="A1425" s="1" t="s">
        <v>7089</v>
      </c>
      <c r="B1425" s="1" t="s">
        <v>7088</v>
      </c>
      <c r="C1425" s="1" t="s">
        <v>13547</v>
      </c>
      <c r="D1425" s="7" t="s">
        <v>10</v>
      </c>
    </row>
    <row r="1426">
      <c r="A1426" s="1" t="s">
        <v>7094</v>
      </c>
      <c r="B1426" s="1" t="s">
        <v>7093</v>
      </c>
      <c r="C1426" s="1" t="s">
        <v>13548</v>
      </c>
      <c r="D1426" s="7" t="s">
        <v>10</v>
      </c>
    </row>
    <row r="1427">
      <c r="A1427" s="1" t="s">
        <v>7099</v>
      </c>
      <c r="B1427" s="1" t="s">
        <v>7098</v>
      </c>
      <c r="C1427" s="1" t="s">
        <v>13549</v>
      </c>
      <c r="D1427" s="7" t="s">
        <v>10</v>
      </c>
    </row>
    <row r="1428">
      <c r="A1428" s="1" t="s">
        <v>7104</v>
      </c>
      <c r="B1428" s="1" t="s">
        <v>7103</v>
      </c>
      <c r="C1428" s="1" t="s">
        <v>13550</v>
      </c>
      <c r="D1428" s="7" t="s">
        <v>10</v>
      </c>
    </row>
    <row r="1429">
      <c r="A1429" s="1" t="s">
        <v>7109</v>
      </c>
      <c r="B1429" s="1" t="s">
        <v>7108</v>
      </c>
      <c r="C1429" s="1" t="s">
        <v>13551</v>
      </c>
      <c r="D1429" s="7" t="s">
        <v>10</v>
      </c>
    </row>
    <row r="1430">
      <c r="A1430" s="1" t="s">
        <v>7114</v>
      </c>
      <c r="B1430" s="1" t="s">
        <v>7113</v>
      </c>
      <c r="C1430" s="1" t="s">
        <v>13552</v>
      </c>
      <c r="D1430" s="7" t="s">
        <v>10</v>
      </c>
    </row>
    <row r="1431">
      <c r="A1431" s="1" t="s">
        <v>7119</v>
      </c>
      <c r="B1431" s="1" t="s">
        <v>7118</v>
      </c>
      <c r="C1431" s="1" t="s">
        <v>13553</v>
      </c>
      <c r="D1431" s="7" t="s">
        <v>10</v>
      </c>
    </row>
    <row r="1432">
      <c r="A1432" s="1" t="s">
        <v>7124</v>
      </c>
      <c r="B1432" s="1" t="s">
        <v>7123</v>
      </c>
      <c r="C1432" s="1" t="s">
        <v>13554</v>
      </c>
      <c r="D1432" s="7" t="s">
        <v>10</v>
      </c>
    </row>
    <row r="1433">
      <c r="A1433" s="1" t="s">
        <v>7129</v>
      </c>
      <c r="B1433" s="1" t="s">
        <v>7128</v>
      </c>
      <c r="C1433" s="1" t="s">
        <v>13555</v>
      </c>
      <c r="D1433" s="7" t="s">
        <v>10</v>
      </c>
    </row>
    <row r="1434">
      <c r="A1434" s="1" t="s">
        <v>7134</v>
      </c>
      <c r="B1434" s="1" t="s">
        <v>7133</v>
      </c>
      <c r="C1434" s="1" t="s">
        <v>13556</v>
      </c>
      <c r="D1434" s="7" t="s">
        <v>10</v>
      </c>
    </row>
    <row r="1435">
      <c r="A1435" s="1" t="s">
        <v>7139</v>
      </c>
      <c r="B1435" s="1" t="s">
        <v>7138</v>
      </c>
      <c r="C1435" s="1" t="s">
        <v>13557</v>
      </c>
      <c r="D1435" s="7" t="s">
        <v>10</v>
      </c>
    </row>
    <row r="1436">
      <c r="A1436" s="1" t="s">
        <v>7144</v>
      </c>
      <c r="B1436" s="1" t="s">
        <v>7143</v>
      </c>
      <c r="C1436" s="1" t="s">
        <v>13558</v>
      </c>
      <c r="D1436" s="7" t="s">
        <v>10</v>
      </c>
    </row>
    <row r="1437">
      <c r="A1437" s="1" t="s">
        <v>7149</v>
      </c>
      <c r="B1437" s="1" t="s">
        <v>7148</v>
      </c>
      <c r="C1437" s="1" t="s">
        <v>13559</v>
      </c>
      <c r="D1437" s="7" t="s">
        <v>10</v>
      </c>
    </row>
    <row r="1438">
      <c r="A1438" s="1" t="s">
        <v>7154</v>
      </c>
      <c r="B1438" s="1" t="s">
        <v>7153</v>
      </c>
      <c r="C1438" s="1" t="s">
        <v>13560</v>
      </c>
      <c r="D1438" s="7" t="s">
        <v>10</v>
      </c>
    </row>
    <row r="1439">
      <c r="A1439" s="1" t="s">
        <v>7159</v>
      </c>
      <c r="B1439" s="1" t="s">
        <v>7158</v>
      </c>
      <c r="C1439" s="1" t="s">
        <v>13561</v>
      </c>
      <c r="D1439" s="7" t="s">
        <v>10</v>
      </c>
    </row>
    <row r="1440">
      <c r="A1440" s="1" t="s">
        <v>7164</v>
      </c>
      <c r="B1440" s="1" t="s">
        <v>7163</v>
      </c>
      <c r="C1440" s="1" t="s">
        <v>13562</v>
      </c>
      <c r="D1440" s="7" t="s">
        <v>10</v>
      </c>
    </row>
    <row r="1441">
      <c r="A1441" s="1" t="s">
        <v>7169</v>
      </c>
      <c r="B1441" s="1" t="s">
        <v>7168</v>
      </c>
      <c r="C1441" s="1" t="s">
        <v>13563</v>
      </c>
      <c r="D1441" s="7" t="s">
        <v>10</v>
      </c>
    </row>
    <row r="1442">
      <c r="A1442" s="1" t="s">
        <v>7174</v>
      </c>
      <c r="B1442" s="1" t="s">
        <v>7173</v>
      </c>
      <c r="C1442" s="1" t="s">
        <v>13564</v>
      </c>
      <c r="D1442" s="7" t="s">
        <v>10</v>
      </c>
    </row>
    <row r="1443">
      <c r="A1443" s="1" t="s">
        <v>7179</v>
      </c>
      <c r="B1443" s="1" t="s">
        <v>7178</v>
      </c>
      <c r="C1443" s="1" t="s">
        <v>13565</v>
      </c>
      <c r="D1443" s="7" t="s">
        <v>10</v>
      </c>
    </row>
    <row r="1444">
      <c r="A1444" s="1" t="s">
        <v>7184</v>
      </c>
      <c r="B1444" s="1" t="s">
        <v>7183</v>
      </c>
      <c r="C1444" s="1" t="s">
        <v>13566</v>
      </c>
      <c r="D1444" s="7" t="s">
        <v>10</v>
      </c>
    </row>
    <row r="1445">
      <c r="A1445" s="1" t="s">
        <v>7189</v>
      </c>
      <c r="B1445" s="1" t="s">
        <v>7188</v>
      </c>
      <c r="C1445" s="1" t="s">
        <v>13567</v>
      </c>
      <c r="D1445" s="7" t="s">
        <v>10</v>
      </c>
    </row>
    <row r="1446">
      <c r="A1446" s="1" t="s">
        <v>7194</v>
      </c>
      <c r="B1446" s="1" t="s">
        <v>7193</v>
      </c>
      <c r="C1446" s="1" t="s">
        <v>13568</v>
      </c>
      <c r="D1446" s="7" t="s">
        <v>10</v>
      </c>
    </row>
    <row r="1447">
      <c r="A1447" s="1" t="s">
        <v>7199</v>
      </c>
      <c r="B1447" s="1" t="s">
        <v>7198</v>
      </c>
      <c r="C1447" s="1" t="s">
        <v>13569</v>
      </c>
      <c r="D1447" s="7" t="s">
        <v>10</v>
      </c>
    </row>
    <row r="1448">
      <c r="A1448" s="1" t="s">
        <v>7204</v>
      </c>
      <c r="B1448" s="1" t="s">
        <v>7203</v>
      </c>
      <c r="C1448" s="1" t="s">
        <v>13570</v>
      </c>
      <c r="D1448" s="7" t="s">
        <v>10</v>
      </c>
    </row>
    <row r="1449">
      <c r="A1449" s="1" t="s">
        <v>7209</v>
      </c>
      <c r="B1449" s="1" t="s">
        <v>7208</v>
      </c>
      <c r="C1449" s="1" t="s">
        <v>13571</v>
      </c>
      <c r="D1449" s="7" t="s">
        <v>10</v>
      </c>
    </row>
    <row r="1450">
      <c r="A1450" s="1" t="s">
        <v>7214</v>
      </c>
      <c r="B1450" s="1" t="s">
        <v>7213</v>
      </c>
      <c r="C1450" s="1" t="s">
        <v>13572</v>
      </c>
      <c r="D1450" s="7" t="s">
        <v>10</v>
      </c>
    </row>
    <row r="1451">
      <c r="A1451" s="1" t="s">
        <v>7219</v>
      </c>
      <c r="B1451" s="1" t="s">
        <v>7218</v>
      </c>
      <c r="C1451" s="1" t="s">
        <v>13573</v>
      </c>
      <c r="D1451" s="7" t="s">
        <v>10</v>
      </c>
    </row>
    <row r="1452">
      <c r="A1452" s="1" t="s">
        <v>7224</v>
      </c>
      <c r="B1452" s="1" t="s">
        <v>7223</v>
      </c>
      <c r="C1452" s="1" t="s">
        <v>13574</v>
      </c>
      <c r="D1452" s="7" t="s">
        <v>10</v>
      </c>
    </row>
    <row r="1453">
      <c r="A1453" s="1" t="s">
        <v>7229</v>
      </c>
      <c r="B1453" s="1" t="s">
        <v>7228</v>
      </c>
      <c r="C1453" s="1" t="s">
        <v>13575</v>
      </c>
      <c r="D1453" s="7" t="s">
        <v>10</v>
      </c>
    </row>
    <row r="1454">
      <c r="A1454" s="1" t="s">
        <v>7234</v>
      </c>
      <c r="B1454" s="1" t="s">
        <v>7233</v>
      </c>
      <c r="C1454" s="1" t="s">
        <v>13576</v>
      </c>
      <c r="D1454" s="7" t="s">
        <v>10</v>
      </c>
    </row>
    <row r="1455">
      <c r="A1455" s="1" t="s">
        <v>7239</v>
      </c>
      <c r="B1455" s="1" t="s">
        <v>7238</v>
      </c>
      <c r="C1455" s="1" t="s">
        <v>13577</v>
      </c>
      <c r="D1455" s="7" t="s">
        <v>10</v>
      </c>
    </row>
    <row r="1456">
      <c r="A1456" s="1" t="s">
        <v>7244</v>
      </c>
      <c r="B1456" s="1" t="s">
        <v>7243</v>
      </c>
      <c r="C1456" s="1" t="s">
        <v>13578</v>
      </c>
      <c r="D1456" s="7" t="s">
        <v>10</v>
      </c>
    </row>
    <row r="1457">
      <c r="A1457" s="1" t="s">
        <v>7249</v>
      </c>
      <c r="B1457" s="1" t="s">
        <v>7248</v>
      </c>
      <c r="C1457" s="1" t="s">
        <v>13579</v>
      </c>
      <c r="D1457" s="7" t="s">
        <v>10</v>
      </c>
    </row>
    <row r="1458">
      <c r="A1458" s="1" t="s">
        <v>7254</v>
      </c>
      <c r="B1458" s="1" t="s">
        <v>7253</v>
      </c>
      <c r="C1458" s="1" t="s">
        <v>13580</v>
      </c>
      <c r="D1458" s="7" t="s">
        <v>10</v>
      </c>
    </row>
    <row r="1459">
      <c r="A1459" s="1" t="s">
        <v>7259</v>
      </c>
      <c r="B1459" s="1" t="s">
        <v>7258</v>
      </c>
      <c r="C1459" s="1" t="s">
        <v>13581</v>
      </c>
      <c r="D1459" s="7" t="s">
        <v>10</v>
      </c>
    </row>
    <row r="1460">
      <c r="A1460" s="1" t="s">
        <v>7264</v>
      </c>
      <c r="B1460" s="1" t="s">
        <v>7263</v>
      </c>
      <c r="C1460" s="1" t="s">
        <v>13582</v>
      </c>
      <c r="D1460" s="7" t="s">
        <v>10</v>
      </c>
    </row>
    <row r="1461">
      <c r="A1461" s="1" t="s">
        <v>7269</v>
      </c>
      <c r="B1461" s="1" t="s">
        <v>7268</v>
      </c>
      <c r="C1461" s="1" t="s">
        <v>13583</v>
      </c>
      <c r="D1461" s="7" t="s">
        <v>10</v>
      </c>
    </row>
    <row r="1462">
      <c r="A1462" s="1" t="s">
        <v>7274</v>
      </c>
      <c r="B1462" s="1" t="s">
        <v>7273</v>
      </c>
      <c r="C1462" s="1" t="s">
        <v>13584</v>
      </c>
      <c r="D1462" s="7" t="s">
        <v>10</v>
      </c>
    </row>
    <row r="1463">
      <c r="A1463" s="1" t="s">
        <v>7279</v>
      </c>
      <c r="B1463" s="1" t="s">
        <v>7278</v>
      </c>
      <c r="C1463" s="1" t="s">
        <v>13585</v>
      </c>
      <c r="D1463" s="7" t="s">
        <v>10</v>
      </c>
    </row>
    <row r="1464">
      <c r="A1464" s="1" t="s">
        <v>7284</v>
      </c>
      <c r="B1464" s="1" t="s">
        <v>7283</v>
      </c>
      <c r="C1464" s="1" t="s">
        <v>13586</v>
      </c>
      <c r="D1464" s="7" t="s">
        <v>10</v>
      </c>
    </row>
    <row r="1465">
      <c r="A1465" s="1" t="s">
        <v>7289</v>
      </c>
      <c r="B1465" s="1" t="s">
        <v>7288</v>
      </c>
      <c r="C1465" s="1" t="s">
        <v>13587</v>
      </c>
      <c r="D1465" s="7" t="s">
        <v>10</v>
      </c>
    </row>
    <row r="1466">
      <c r="A1466" s="1" t="s">
        <v>7294</v>
      </c>
      <c r="B1466" s="1" t="s">
        <v>7293</v>
      </c>
      <c r="C1466" s="1" t="s">
        <v>13588</v>
      </c>
      <c r="D1466" s="7" t="s">
        <v>10</v>
      </c>
    </row>
    <row r="1467">
      <c r="A1467" s="1" t="s">
        <v>7299</v>
      </c>
      <c r="B1467" s="1" t="s">
        <v>7298</v>
      </c>
      <c r="C1467" s="1" t="s">
        <v>13589</v>
      </c>
      <c r="D1467" s="7" t="s">
        <v>10</v>
      </c>
    </row>
    <row r="1468">
      <c r="A1468" s="1" t="s">
        <v>7304</v>
      </c>
      <c r="B1468" s="1" t="s">
        <v>7303</v>
      </c>
      <c r="C1468" s="1" t="s">
        <v>13590</v>
      </c>
      <c r="D1468" s="7" t="s">
        <v>10</v>
      </c>
    </row>
    <row r="1469">
      <c r="A1469" s="1" t="s">
        <v>7309</v>
      </c>
      <c r="B1469" s="1" t="s">
        <v>7308</v>
      </c>
      <c r="C1469" s="1" t="s">
        <v>13591</v>
      </c>
      <c r="D1469" s="7" t="s">
        <v>10</v>
      </c>
    </row>
    <row r="1470">
      <c r="A1470" s="1" t="s">
        <v>7314</v>
      </c>
      <c r="B1470" s="1" t="s">
        <v>7313</v>
      </c>
      <c r="C1470" s="1" t="s">
        <v>13592</v>
      </c>
      <c r="D1470" s="7" t="s">
        <v>10</v>
      </c>
    </row>
    <row r="1471">
      <c r="A1471" s="1" t="s">
        <v>7319</v>
      </c>
      <c r="B1471" s="1" t="s">
        <v>7318</v>
      </c>
      <c r="C1471" s="1" t="s">
        <v>13593</v>
      </c>
      <c r="D1471" s="7" t="s">
        <v>10</v>
      </c>
    </row>
    <row r="1472">
      <c r="A1472" s="1" t="s">
        <v>7324</v>
      </c>
      <c r="B1472" s="1" t="s">
        <v>7323</v>
      </c>
      <c r="C1472" s="1" t="s">
        <v>13594</v>
      </c>
      <c r="D1472" s="7" t="s">
        <v>10</v>
      </c>
    </row>
    <row r="1473">
      <c r="A1473" s="1" t="s">
        <v>7329</v>
      </c>
      <c r="B1473" s="1" t="s">
        <v>7328</v>
      </c>
      <c r="C1473" s="1" t="s">
        <v>13595</v>
      </c>
      <c r="D1473" s="7" t="s">
        <v>10</v>
      </c>
    </row>
    <row r="1474">
      <c r="A1474" s="1" t="s">
        <v>7334</v>
      </c>
      <c r="B1474" s="1" t="s">
        <v>7333</v>
      </c>
      <c r="C1474" s="1" t="s">
        <v>13596</v>
      </c>
      <c r="D1474" s="7" t="s">
        <v>10</v>
      </c>
    </row>
    <row r="1475">
      <c r="A1475" s="1" t="s">
        <v>7339</v>
      </c>
      <c r="B1475" s="1" t="s">
        <v>7338</v>
      </c>
      <c r="C1475" s="1" t="s">
        <v>13597</v>
      </c>
      <c r="D1475" s="7" t="s">
        <v>10</v>
      </c>
    </row>
    <row r="1476">
      <c r="A1476" s="1" t="s">
        <v>7344</v>
      </c>
      <c r="B1476" s="1" t="s">
        <v>7343</v>
      </c>
      <c r="C1476" s="1" t="s">
        <v>13598</v>
      </c>
      <c r="D1476" s="7" t="s">
        <v>10</v>
      </c>
    </row>
    <row r="1477">
      <c r="A1477" s="1" t="s">
        <v>7349</v>
      </c>
      <c r="B1477" s="1" t="s">
        <v>7348</v>
      </c>
      <c r="C1477" s="1" t="s">
        <v>13599</v>
      </c>
      <c r="D1477" s="7" t="s">
        <v>10</v>
      </c>
    </row>
    <row r="1478">
      <c r="A1478" s="1" t="s">
        <v>7354</v>
      </c>
      <c r="B1478" s="1" t="s">
        <v>7353</v>
      </c>
      <c r="C1478" s="1" t="s">
        <v>13600</v>
      </c>
      <c r="D1478" s="7" t="s">
        <v>10</v>
      </c>
    </row>
    <row r="1479">
      <c r="A1479" s="1" t="s">
        <v>7359</v>
      </c>
      <c r="B1479" s="1" t="s">
        <v>7358</v>
      </c>
      <c r="C1479" s="1" t="s">
        <v>13601</v>
      </c>
      <c r="D1479" s="7" t="s">
        <v>10</v>
      </c>
    </row>
    <row r="1480">
      <c r="A1480" s="1" t="s">
        <v>7364</v>
      </c>
      <c r="B1480" s="1" t="s">
        <v>7363</v>
      </c>
      <c r="C1480" s="1" t="s">
        <v>13602</v>
      </c>
      <c r="D1480" s="7" t="s">
        <v>10</v>
      </c>
    </row>
    <row r="1481">
      <c r="A1481" s="1" t="s">
        <v>7369</v>
      </c>
      <c r="B1481" s="1" t="s">
        <v>7368</v>
      </c>
      <c r="C1481" s="1" t="s">
        <v>13603</v>
      </c>
      <c r="D1481" s="7" t="s">
        <v>10</v>
      </c>
    </row>
    <row r="1482">
      <c r="A1482" s="1" t="s">
        <v>7374</v>
      </c>
      <c r="B1482" s="1" t="s">
        <v>7373</v>
      </c>
      <c r="C1482" s="1" t="s">
        <v>13604</v>
      </c>
      <c r="D1482" s="7" t="s">
        <v>10</v>
      </c>
    </row>
    <row r="1483">
      <c r="A1483" s="1" t="s">
        <v>7379</v>
      </c>
      <c r="B1483" s="1" t="s">
        <v>7378</v>
      </c>
      <c r="C1483" s="1" t="s">
        <v>13605</v>
      </c>
      <c r="D1483" s="7" t="s">
        <v>10</v>
      </c>
    </row>
    <row r="1484">
      <c r="A1484" s="1" t="s">
        <v>7384</v>
      </c>
      <c r="B1484" s="1" t="s">
        <v>7383</v>
      </c>
      <c r="C1484" s="1" t="s">
        <v>13606</v>
      </c>
      <c r="D1484" s="7" t="s">
        <v>10</v>
      </c>
    </row>
    <row r="1485">
      <c r="A1485" s="1" t="s">
        <v>7389</v>
      </c>
      <c r="B1485" s="1" t="s">
        <v>7388</v>
      </c>
      <c r="C1485" s="1" t="s">
        <v>13607</v>
      </c>
      <c r="D1485" s="7" t="s">
        <v>10</v>
      </c>
    </row>
    <row r="1486">
      <c r="A1486" s="1" t="s">
        <v>7394</v>
      </c>
      <c r="B1486" s="1" t="s">
        <v>7393</v>
      </c>
      <c r="C1486" s="1" t="s">
        <v>13608</v>
      </c>
      <c r="D1486" s="7" t="s">
        <v>10</v>
      </c>
    </row>
    <row r="1487">
      <c r="A1487" s="1" t="s">
        <v>7399</v>
      </c>
      <c r="B1487" s="1" t="s">
        <v>7398</v>
      </c>
      <c r="C1487" s="1" t="s">
        <v>13609</v>
      </c>
      <c r="D1487" s="7" t="s">
        <v>10</v>
      </c>
    </row>
    <row r="1488">
      <c r="A1488" s="1" t="s">
        <v>7404</v>
      </c>
      <c r="B1488" s="1" t="s">
        <v>7403</v>
      </c>
      <c r="C1488" s="1" t="s">
        <v>13610</v>
      </c>
      <c r="D1488" s="7" t="s">
        <v>10</v>
      </c>
    </row>
    <row r="1489">
      <c r="A1489" s="1" t="s">
        <v>7409</v>
      </c>
      <c r="B1489" s="1" t="s">
        <v>7408</v>
      </c>
      <c r="C1489" s="1" t="s">
        <v>13611</v>
      </c>
      <c r="D1489" s="7" t="s">
        <v>10</v>
      </c>
    </row>
    <row r="1490">
      <c r="A1490" s="1" t="s">
        <v>7414</v>
      </c>
      <c r="B1490" s="1" t="s">
        <v>7413</v>
      </c>
      <c r="C1490" s="1" t="s">
        <v>13612</v>
      </c>
      <c r="D1490" s="7" t="s">
        <v>10</v>
      </c>
    </row>
    <row r="1491">
      <c r="A1491" s="1" t="s">
        <v>7419</v>
      </c>
      <c r="B1491" s="1" t="s">
        <v>7418</v>
      </c>
      <c r="C1491" s="1" t="s">
        <v>13613</v>
      </c>
      <c r="D1491" s="7" t="s">
        <v>10</v>
      </c>
    </row>
    <row r="1492">
      <c r="A1492" s="1" t="s">
        <v>7424</v>
      </c>
      <c r="B1492" s="1" t="s">
        <v>7423</v>
      </c>
      <c r="C1492" s="1" t="s">
        <v>13614</v>
      </c>
      <c r="D1492" s="7" t="s">
        <v>10</v>
      </c>
    </row>
    <row r="1493">
      <c r="A1493" s="1" t="s">
        <v>7429</v>
      </c>
      <c r="B1493" s="1" t="s">
        <v>7428</v>
      </c>
      <c r="C1493" s="1" t="s">
        <v>13615</v>
      </c>
      <c r="D1493" s="7" t="s">
        <v>10</v>
      </c>
    </row>
    <row r="1494">
      <c r="A1494" s="1" t="s">
        <v>7434</v>
      </c>
      <c r="B1494" s="1" t="s">
        <v>7433</v>
      </c>
      <c r="C1494" s="1" t="s">
        <v>13616</v>
      </c>
      <c r="D1494" s="7" t="s">
        <v>10</v>
      </c>
    </row>
    <row r="1495">
      <c r="A1495" s="1" t="s">
        <v>7439</v>
      </c>
      <c r="B1495" s="1" t="s">
        <v>7438</v>
      </c>
      <c r="C1495" s="1" t="s">
        <v>13617</v>
      </c>
      <c r="D1495" s="7" t="s">
        <v>10</v>
      </c>
    </row>
    <row r="1496">
      <c r="A1496" s="1" t="s">
        <v>7444</v>
      </c>
      <c r="B1496" s="1" t="s">
        <v>7443</v>
      </c>
      <c r="C1496" s="1" t="s">
        <v>13618</v>
      </c>
      <c r="D1496" s="7" t="s">
        <v>10</v>
      </c>
    </row>
    <row r="1497">
      <c r="A1497" s="1" t="s">
        <v>7449</v>
      </c>
      <c r="B1497" s="1" t="s">
        <v>7448</v>
      </c>
      <c r="C1497" s="1" t="s">
        <v>13619</v>
      </c>
      <c r="D1497" s="7" t="s">
        <v>10</v>
      </c>
    </row>
    <row r="1498">
      <c r="A1498" s="1" t="s">
        <v>7454</v>
      </c>
      <c r="B1498" s="1" t="s">
        <v>7453</v>
      </c>
      <c r="C1498" s="1" t="s">
        <v>13620</v>
      </c>
      <c r="D1498" s="7" t="s">
        <v>10</v>
      </c>
    </row>
    <row r="1499">
      <c r="A1499" s="1" t="s">
        <v>7459</v>
      </c>
      <c r="B1499" s="1" t="s">
        <v>7458</v>
      </c>
      <c r="C1499" s="1" t="s">
        <v>13621</v>
      </c>
      <c r="D1499" s="7" t="s">
        <v>10</v>
      </c>
    </row>
    <row r="1500">
      <c r="A1500" s="1" t="s">
        <v>7464</v>
      </c>
      <c r="B1500" s="1" t="s">
        <v>7463</v>
      </c>
      <c r="C1500" s="1" t="s">
        <v>13622</v>
      </c>
      <c r="D1500" s="7" t="s">
        <v>10</v>
      </c>
    </row>
    <row r="1501">
      <c r="A1501" s="1" t="s">
        <v>7469</v>
      </c>
      <c r="B1501" s="1" t="s">
        <v>7468</v>
      </c>
      <c r="C1501" s="1" t="s">
        <v>13623</v>
      </c>
      <c r="D1501" s="7" t="s">
        <v>10</v>
      </c>
    </row>
    <row r="1502">
      <c r="A1502" s="1" t="s">
        <v>7474</v>
      </c>
      <c r="B1502" s="1" t="s">
        <v>7473</v>
      </c>
      <c r="C1502" s="1" t="s">
        <v>13624</v>
      </c>
      <c r="D1502" s="7" t="s">
        <v>10</v>
      </c>
    </row>
    <row r="1503">
      <c r="A1503" s="1" t="s">
        <v>7479</v>
      </c>
      <c r="B1503" s="1" t="s">
        <v>7478</v>
      </c>
      <c r="C1503" s="1" t="s">
        <v>13625</v>
      </c>
      <c r="D1503" s="7" t="s">
        <v>10</v>
      </c>
    </row>
    <row r="1504">
      <c r="A1504" s="1" t="s">
        <v>7484</v>
      </c>
      <c r="B1504" s="1" t="s">
        <v>7483</v>
      </c>
      <c r="C1504" s="1" t="s">
        <v>13626</v>
      </c>
      <c r="D1504" s="7" t="s">
        <v>10</v>
      </c>
    </row>
    <row r="1505">
      <c r="A1505" s="1" t="s">
        <v>7489</v>
      </c>
      <c r="B1505" s="1" t="s">
        <v>7488</v>
      </c>
      <c r="C1505" s="1" t="s">
        <v>13627</v>
      </c>
      <c r="D1505" s="7" t="s">
        <v>10</v>
      </c>
    </row>
    <row r="1506">
      <c r="A1506" s="1" t="s">
        <v>7494</v>
      </c>
      <c r="B1506" s="1" t="s">
        <v>7493</v>
      </c>
      <c r="C1506" s="1" t="s">
        <v>13628</v>
      </c>
      <c r="D1506" s="7" t="s">
        <v>10</v>
      </c>
    </row>
    <row r="1507">
      <c r="A1507" s="1" t="s">
        <v>7499</v>
      </c>
      <c r="B1507" s="1" t="s">
        <v>7498</v>
      </c>
      <c r="C1507" s="1" t="s">
        <v>13629</v>
      </c>
      <c r="D1507" s="7" t="s">
        <v>10</v>
      </c>
    </row>
    <row r="1508">
      <c r="A1508" s="1" t="s">
        <v>7504</v>
      </c>
      <c r="B1508" s="1" t="s">
        <v>7503</v>
      </c>
      <c r="C1508" s="1" t="s">
        <v>13630</v>
      </c>
      <c r="D1508" s="7" t="s">
        <v>10</v>
      </c>
    </row>
    <row r="1509">
      <c r="A1509" s="1" t="s">
        <v>7509</v>
      </c>
      <c r="B1509" s="1" t="s">
        <v>7508</v>
      </c>
      <c r="C1509" s="1" t="s">
        <v>13631</v>
      </c>
      <c r="D1509" s="7" t="s">
        <v>10</v>
      </c>
    </row>
    <row r="1510">
      <c r="A1510" s="1" t="s">
        <v>7514</v>
      </c>
      <c r="B1510" s="1" t="s">
        <v>7513</v>
      </c>
      <c r="C1510" s="1" t="s">
        <v>13632</v>
      </c>
      <c r="D1510" s="7" t="s">
        <v>10</v>
      </c>
    </row>
    <row r="1511">
      <c r="A1511" s="1" t="s">
        <v>7519</v>
      </c>
      <c r="B1511" s="1" t="s">
        <v>7518</v>
      </c>
      <c r="C1511" s="1" t="s">
        <v>13633</v>
      </c>
      <c r="D1511" s="7" t="s">
        <v>10</v>
      </c>
    </row>
    <row r="1512">
      <c r="A1512" s="1" t="s">
        <v>7524</v>
      </c>
      <c r="B1512" s="1" t="s">
        <v>7523</v>
      </c>
      <c r="C1512" s="1" t="s">
        <v>13634</v>
      </c>
      <c r="D1512" s="7" t="s">
        <v>10</v>
      </c>
    </row>
    <row r="1513">
      <c r="A1513" s="1" t="s">
        <v>7529</v>
      </c>
      <c r="B1513" s="1" t="s">
        <v>7528</v>
      </c>
      <c r="C1513" s="1" t="s">
        <v>13635</v>
      </c>
      <c r="D1513" s="7" t="s">
        <v>10</v>
      </c>
    </row>
    <row r="1514">
      <c r="A1514" s="1" t="s">
        <v>7534</v>
      </c>
      <c r="B1514" s="1" t="s">
        <v>7533</v>
      </c>
      <c r="C1514" s="1" t="s">
        <v>13636</v>
      </c>
      <c r="D1514" s="7" t="s">
        <v>10</v>
      </c>
    </row>
    <row r="1515">
      <c r="A1515" s="1" t="s">
        <v>7539</v>
      </c>
      <c r="B1515" s="1" t="s">
        <v>7538</v>
      </c>
      <c r="C1515" s="1" t="s">
        <v>13637</v>
      </c>
      <c r="D1515" s="7" t="s">
        <v>10</v>
      </c>
    </row>
    <row r="1516">
      <c r="A1516" s="1" t="s">
        <v>7544</v>
      </c>
      <c r="B1516" s="1" t="s">
        <v>7543</v>
      </c>
      <c r="C1516" s="1" t="s">
        <v>13638</v>
      </c>
      <c r="D1516" s="7" t="s">
        <v>10</v>
      </c>
    </row>
    <row r="1517">
      <c r="A1517" s="1" t="s">
        <v>7549</v>
      </c>
      <c r="B1517" s="1" t="s">
        <v>7548</v>
      </c>
      <c r="C1517" s="1" t="s">
        <v>13639</v>
      </c>
      <c r="D1517" s="7" t="s">
        <v>10</v>
      </c>
    </row>
    <row r="1518">
      <c r="A1518" s="1" t="s">
        <v>7554</v>
      </c>
      <c r="B1518" s="1" t="s">
        <v>7553</v>
      </c>
      <c r="C1518" s="1" t="s">
        <v>13640</v>
      </c>
      <c r="D1518" s="7" t="s">
        <v>10</v>
      </c>
    </row>
    <row r="1519">
      <c r="A1519" s="1" t="s">
        <v>7559</v>
      </c>
      <c r="B1519" s="1" t="s">
        <v>7558</v>
      </c>
      <c r="C1519" s="1" t="s">
        <v>13641</v>
      </c>
      <c r="D1519" s="7" t="s">
        <v>10</v>
      </c>
    </row>
    <row r="1520">
      <c r="A1520" s="1" t="s">
        <v>7564</v>
      </c>
      <c r="B1520" s="1" t="s">
        <v>7563</v>
      </c>
      <c r="C1520" s="1" t="s">
        <v>13642</v>
      </c>
      <c r="D1520" s="7" t="s">
        <v>10</v>
      </c>
    </row>
    <row r="1521">
      <c r="A1521" s="1" t="s">
        <v>7569</v>
      </c>
      <c r="B1521" s="1" t="s">
        <v>7568</v>
      </c>
      <c r="C1521" s="1" t="s">
        <v>13643</v>
      </c>
      <c r="D1521" s="7" t="s">
        <v>10</v>
      </c>
    </row>
    <row r="1522">
      <c r="A1522" s="1" t="s">
        <v>7573</v>
      </c>
      <c r="B1522" s="1" t="s">
        <v>7573</v>
      </c>
      <c r="C1522" s="1" t="s">
        <v>13644</v>
      </c>
      <c r="D1522" s="7" t="s">
        <v>10</v>
      </c>
    </row>
    <row r="1523">
      <c r="A1523" s="1" t="s">
        <v>7578</v>
      </c>
      <c r="B1523" s="1" t="s">
        <v>7577</v>
      </c>
      <c r="C1523" s="1" t="s">
        <v>13645</v>
      </c>
      <c r="D1523" s="7" t="s">
        <v>10</v>
      </c>
    </row>
    <row r="1524">
      <c r="A1524" s="1" t="s">
        <v>7583</v>
      </c>
      <c r="B1524" s="1" t="s">
        <v>7582</v>
      </c>
      <c r="C1524" s="1" t="s">
        <v>13646</v>
      </c>
      <c r="D1524" s="7" t="s">
        <v>10</v>
      </c>
    </row>
    <row r="1525">
      <c r="A1525" s="1" t="s">
        <v>7588</v>
      </c>
      <c r="B1525" s="1" t="s">
        <v>7587</v>
      </c>
      <c r="C1525" s="1" t="s">
        <v>13647</v>
      </c>
      <c r="D1525" s="7" t="s">
        <v>10</v>
      </c>
    </row>
    <row r="1526">
      <c r="A1526" s="1" t="s">
        <v>7592</v>
      </c>
      <c r="B1526" s="1" t="s">
        <v>7592</v>
      </c>
      <c r="C1526" s="1" t="s">
        <v>13648</v>
      </c>
      <c r="D1526" s="7" t="s">
        <v>10</v>
      </c>
    </row>
    <row r="1527">
      <c r="A1527" s="1" t="s">
        <v>7596</v>
      </c>
      <c r="B1527" s="1" t="s">
        <v>7596</v>
      </c>
      <c r="C1527" s="1" t="s">
        <v>13649</v>
      </c>
      <c r="D1527" s="7" t="s">
        <v>10</v>
      </c>
    </row>
    <row r="1528">
      <c r="A1528" s="1" t="s">
        <v>7600</v>
      </c>
      <c r="B1528" s="1" t="s">
        <v>7600</v>
      </c>
      <c r="C1528" s="1" t="s">
        <v>13650</v>
      </c>
      <c r="D1528" s="7" t="s">
        <v>10</v>
      </c>
    </row>
    <row r="1529">
      <c r="A1529" s="1" t="s">
        <v>7604</v>
      </c>
      <c r="B1529" s="1" t="s">
        <v>7604</v>
      </c>
      <c r="C1529" s="1" t="s">
        <v>13651</v>
      </c>
      <c r="D1529" s="7" t="s">
        <v>10</v>
      </c>
    </row>
    <row r="1530">
      <c r="A1530" s="1" t="s">
        <v>7608</v>
      </c>
      <c r="B1530" s="1" t="s">
        <v>7608</v>
      </c>
      <c r="C1530" s="1" t="s">
        <v>13652</v>
      </c>
      <c r="D1530" s="7" t="s">
        <v>10</v>
      </c>
    </row>
    <row r="1531">
      <c r="A1531" s="1" t="s">
        <v>7612</v>
      </c>
      <c r="B1531" s="1" t="s">
        <v>7612</v>
      </c>
      <c r="C1531" s="1" t="s">
        <v>13653</v>
      </c>
      <c r="D1531" s="7" t="s">
        <v>10</v>
      </c>
    </row>
    <row r="1532">
      <c r="A1532" s="1" t="s">
        <v>7616</v>
      </c>
      <c r="B1532" s="1" t="s">
        <v>7616</v>
      </c>
      <c r="C1532" s="1" t="s">
        <v>13654</v>
      </c>
      <c r="D1532" s="7" t="s">
        <v>10</v>
      </c>
    </row>
    <row r="1533">
      <c r="A1533" s="1" t="s">
        <v>7620</v>
      </c>
      <c r="B1533" s="1" t="s">
        <v>7620</v>
      </c>
      <c r="C1533" s="1" t="s">
        <v>13655</v>
      </c>
      <c r="D1533" s="7" t="s">
        <v>10</v>
      </c>
    </row>
    <row r="1534">
      <c r="A1534" s="1" t="s">
        <v>7624</v>
      </c>
      <c r="B1534" s="1" t="s">
        <v>7624</v>
      </c>
      <c r="C1534" s="1" t="s">
        <v>13656</v>
      </c>
      <c r="D1534" s="7" t="s">
        <v>10</v>
      </c>
    </row>
    <row r="1535">
      <c r="A1535" s="1" t="s">
        <v>7628</v>
      </c>
      <c r="B1535" s="1" t="s">
        <v>7628</v>
      </c>
      <c r="C1535" s="1" t="s">
        <v>13657</v>
      </c>
      <c r="D1535" s="7" t="s">
        <v>10</v>
      </c>
    </row>
    <row r="1536">
      <c r="A1536" s="1" t="s">
        <v>7632</v>
      </c>
      <c r="B1536" s="1" t="s">
        <v>7632</v>
      </c>
      <c r="C1536" s="1" t="s">
        <v>13658</v>
      </c>
      <c r="D1536" s="7" t="s">
        <v>10</v>
      </c>
    </row>
    <row r="1537">
      <c r="A1537" s="1" t="s">
        <v>7637</v>
      </c>
      <c r="B1537" s="1" t="s">
        <v>7636</v>
      </c>
      <c r="C1537" s="1" t="s">
        <v>13659</v>
      </c>
      <c r="D1537" s="7" t="s">
        <v>10</v>
      </c>
    </row>
    <row r="1538">
      <c r="A1538" s="1" t="s">
        <v>7641</v>
      </c>
      <c r="B1538" s="1" t="s">
        <v>7641</v>
      </c>
      <c r="C1538" s="1" t="s">
        <v>13660</v>
      </c>
      <c r="D1538" s="7" t="s">
        <v>10</v>
      </c>
    </row>
    <row r="1539">
      <c r="A1539" s="1" t="s">
        <v>7645</v>
      </c>
      <c r="B1539" s="1" t="s">
        <v>7645</v>
      </c>
      <c r="C1539" s="1" t="s">
        <v>13661</v>
      </c>
      <c r="D1539" s="7" t="s">
        <v>10</v>
      </c>
    </row>
    <row r="1540">
      <c r="A1540" s="1" t="s">
        <v>7649</v>
      </c>
      <c r="B1540" s="1" t="s">
        <v>7649</v>
      </c>
      <c r="C1540" s="1" t="s">
        <v>13662</v>
      </c>
      <c r="D1540" s="7" t="s">
        <v>10</v>
      </c>
    </row>
    <row r="1541">
      <c r="A1541" s="1" t="s">
        <v>7653</v>
      </c>
      <c r="B1541" s="1" t="s">
        <v>7653</v>
      </c>
      <c r="C1541" s="1" t="s">
        <v>13663</v>
      </c>
      <c r="D1541" s="7" t="s">
        <v>10</v>
      </c>
    </row>
    <row r="1542">
      <c r="A1542" s="1" t="s">
        <v>7657</v>
      </c>
      <c r="B1542" s="1" t="s">
        <v>7657</v>
      </c>
      <c r="C1542" s="1" t="s">
        <v>13664</v>
      </c>
      <c r="D1542" s="7" t="s">
        <v>10</v>
      </c>
    </row>
    <row r="1543">
      <c r="A1543" s="1" t="s">
        <v>7661</v>
      </c>
      <c r="B1543" s="1" t="s">
        <v>7661</v>
      </c>
      <c r="C1543" s="1" t="s">
        <v>13665</v>
      </c>
      <c r="D1543" s="7" t="s">
        <v>10</v>
      </c>
    </row>
    <row r="1544">
      <c r="A1544" s="1" t="s">
        <v>7665</v>
      </c>
      <c r="B1544" s="1" t="s">
        <v>7665</v>
      </c>
      <c r="C1544" s="1" t="s">
        <v>13666</v>
      </c>
      <c r="D1544" s="7" t="s">
        <v>10</v>
      </c>
    </row>
    <row r="1545">
      <c r="A1545" s="1" t="s">
        <v>7669</v>
      </c>
      <c r="B1545" s="1" t="s">
        <v>7669</v>
      </c>
      <c r="C1545" s="1" t="s">
        <v>13667</v>
      </c>
      <c r="D1545" s="7" t="s">
        <v>10</v>
      </c>
    </row>
    <row r="1546">
      <c r="A1546" s="1" t="s">
        <v>7673</v>
      </c>
      <c r="B1546" s="1" t="s">
        <v>7673</v>
      </c>
      <c r="C1546" s="1" t="s">
        <v>13668</v>
      </c>
      <c r="D1546" s="7" t="s">
        <v>10</v>
      </c>
    </row>
    <row r="1547">
      <c r="A1547" s="1" t="s">
        <v>7677</v>
      </c>
      <c r="B1547" s="1" t="s">
        <v>7677</v>
      </c>
      <c r="C1547" s="1" t="s">
        <v>13669</v>
      </c>
      <c r="D1547" s="7" t="s">
        <v>10</v>
      </c>
    </row>
    <row r="1548">
      <c r="A1548" s="1" t="s">
        <v>7681</v>
      </c>
      <c r="B1548" s="1" t="s">
        <v>7681</v>
      </c>
      <c r="C1548" s="1" t="s">
        <v>13670</v>
      </c>
      <c r="D1548" s="7" t="s">
        <v>10</v>
      </c>
    </row>
    <row r="1549">
      <c r="A1549" s="1" t="s">
        <v>7685</v>
      </c>
      <c r="B1549" s="1" t="s">
        <v>7685</v>
      </c>
      <c r="C1549" s="1" t="s">
        <v>13671</v>
      </c>
      <c r="D1549" s="7" t="s">
        <v>10</v>
      </c>
    </row>
    <row r="1550">
      <c r="A1550" s="1" t="s">
        <v>7689</v>
      </c>
      <c r="B1550" s="1" t="s">
        <v>7689</v>
      </c>
      <c r="C1550" s="1" t="s">
        <v>13672</v>
      </c>
      <c r="D1550" s="7" t="s">
        <v>10</v>
      </c>
    </row>
    <row r="1551">
      <c r="A1551" s="1" t="s">
        <v>7693</v>
      </c>
      <c r="B1551" s="1" t="s">
        <v>7693</v>
      </c>
      <c r="C1551" s="1" t="s">
        <v>13673</v>
      </c>
      <c r="D1551" s="7" t="s">
        <v>10</v>
      </c>
    </row>
    <row r="1552">
      <c r="A1552" s="1" t="s">
        <v>7697</v>
      </c>
      <c r="B1552" s="1" t="s">
        <v>7697</v>
      </c>
      <c r="C1552" s="1" t="s">
        <v>13674</v>
      </c>
      <c r="D1552" s="7" t="s">
        <v>10</v>
      </c>
    </row>
    <row r="1553">
      <c r="A1553" s="1" t="s">
        <v>7701</v>
      </c>
      <c r="B1553" s="1" t="s">
        <v>7701</v>
      </c>
      <c r="C1553" s="1" t="s">
        <v>13675</v>
      </c>
      <c r="D1553" s="7" t="s">
        <v>10</v>
      </c>
    </row>
    <row r="1554">
      <c r="A1554" s="1" t="s">
        <v>7705</v>
      </c>
      <c r="B1554" s="1" t="s">
        <v>7705</v>
      </c>
      <c r="C1554" s="1" t="s">
        <v>13676</v>
      </c>
      <c r="D1554" s="7" t="s">
        <v>10</v>
      </c>
    </row>
    <row r="1555">
      <c r="A1555" s="1" t="s">
        <v>7709</v>
      </c>
      <c r="B1555" s="1" t="s">
        <v>7709</v>
      </c>
      <c r="C1555" s="1" t="s">
        <v>13677</v>
      </c>
      <c r="D1555" s="7" t="s">
        <v>10</v>
      </c>
    </row>
    <row r="1556">
      <c r="A1556" s="1" t="s">
        <v>7713</v>
      </c>
      <c r="B1556" s="1" t="s">
        <v>7713</v>
      </c>
      <c r="C1556" s="1" t="s">
        <v>13678</v>
      </c>
      <c r="D1556" s="7" t="s">
        <v>10</v>
      </c>
    </row>
    <row r="1557">
      <c r="A1557" s="1" t="s">
        <v>7717</v>
      </c>
      <c r="B1557" s="1" t="s">
        <v>7717</v>
      </c>
      <c r="C1557" s="1" t="s">
        <v>13679</v>
      </c>
      <c r="D1557" s="7" t="s">
        <v>10</v>
      </c>
    </row>
    <row r="1558">
      <c r="A1558" s="1" t="s">
        <v>7721</v>
      </c>
      <c r="B1558" s="1" t="s">
        <v>7721</v>
      </c>
      <c r="C1558" s="1" t="s">
        <v>13680</v>
      </c>
      <c r="D1558" s="7" t="s">
        <v>10</v>
      </c>
    </row>
    <row r="1559">
      <c r="A1559" s="1" t="s">
        <v>7725</v>
      </c>
      <c r="B1559" s="1" t="s">
        <v>7725</v>
      </c>
      <c r="C1559" s="1" t="s">
        <v>13681</v>
      </c>
      <c r="D1559" s="7" t="s">
        <v>10</v>
      </c>
    </row>
    <row r="1560">
      <c r="A1560" s="1" t="s">
        <v>7729</v>
      </c>
      <c r="B1560" s="1" t="s">
        <v>7729</v>
      </c>
      <c r="C1560" s="1" t="s">
        <v>13682</v>
      </c>
      <c r="D1560" s="7" t="s">
        <v>10</v>
      </c>
    </row>
    <row r="1561">
      <c r="A1561" s="1" t="s">
        <v>7733</v>
      </c>
      <c r="B1561" s="1" t="s">
        <v>7733</v>
      </c>
      <c r="C1561" s="1" t="s">
        <v>13683</v>
      </c>
      <c r="D1561" s="7" t="s">
        <v>10</v>
      </c>
    </row>
    <row r="1562">
      <c r="A1562" s="1" t="s">
        <v>7737</v>
      </c>
      <c r="B1562" s="1" t="s">
        <v>7737</v>
      </c>
      <c r="C1562" s="1" t="s">
        <v>13684</v>
      </c>
      <c r="D1562" s="7" t="s">
        <v>10</v>
      </c>
    </row>
    <row r="1563">
      <c r="A1563" s="1" t="s">
        <v>7741</v>
      </c>
      <c r="B1563" s="1" t="s">
        <v>7741</v>
      </c>
      <c r="C1563" s="1" t="s">
        <v>13685</v>
      </c>
      <c r="D1563" s="7" t="s">
        <v>10</v>
      </c>
    </row>
    <row r="1564">
      <c r="A1564" s="1" t="s">
        <v>7745</v>
      </c>
      <c r="B1564" s="1" t="s">
        <v>7745</v>
      </c>
      <c r="C1564" s="1" t="s">
        <v>13686</v>
      </c>
      <c r="D1564" s="7" t="s">
        <v>10</v>
      </c>
    </row>
    <row r="1565">
      <c r="A1565" s="1" t="s">
        <v>7749</v>
      </c>
      <c r="B1565" s="1" t="s">
        <v>7749</v>
      </c>
      <c r="C1565" s="1" t="s">
        <v>13687</v>
      </c>
      <c r="D1565" s="7" t="s">
        <v>10</v>
      </c>
    </row>
    <row r="1566">
      <c r="A1566" s="1" t="s">
        <v>7753</v>
      </c>
      <c r="B1566" s="1" t="s">
        <v>7753</v>
      </c>
      <c r="C1566" s="1" t="s">
        <v>13688</v>
      </c>
      <c r="D1566" s="7" t="s">
        <v>10</v>
      </c>
    </row>
    <row r="1567">
      <c r="A1567" s="1" t="s">
        <v>7757</v>
      </c>
      <c r="B1567" s="1" t="s">
        <v>7757</v>
      </c>
      <c r="C1567" s="1" t="s">
        <v>13689</v>
      </c>
      <c r="D1567" s="7" t="s">
        <v>10</v>
      </c>
    </row>
    <row r="1568">
      <c r="A1568" s="1" t="s">
        <v>7761</v>
      </c>
      <c r="B1568" s="1" t="s">
        <v>7761</v>
      </c>
      <c r="C1568" s="1" t="s">
        <v>13690</v>
      </c>
      <c r="D1568" s="7" t="s">
        <v>10</v>
      </c>
    </row>
    <row r="1569">
      <c r="A1569" s="1" t="s">
        <v>7765</v>
      </c>
      <c r="B1569" s="1" t="s">
        <v>7765</v>
      </c>
      <c r="C1569" s="1" t="s">
        <v>13691</v>
      </c>
      <c r="D1569" s="7" t="s">
        <v>10</v>
      </c>
    </row>
    <row r="1570">
      <c r="A1570" s="1" t="s">
        <v>7769</v>
      </c>
      <c r="B1570" s="1" t="s">
        <v>7769</v>
      </c>
      <c r="C1570" s="1" t="s">
        <v>13692</v>
      </c>
      <c r="D1570" s="7" t="s">
        <v>10</v>
      </c>
    </row>
    <row r="1571">
      <c r="A1571" s="1" t="s">
        <v>7773</v>
      </c>
      <c r="B1571" s="1" t="s">
        <v>7773</v>
      </c>
      <c r="C1571" s="1" t="s">
        <v>13693</v>
      </c>
      <c r="D1571" s="7" t="s">
        <v>10</v>
      </c>
    </row>
    <row r="1572">
      <c r="A1572" s="1" t="s">
        <v>7777</v>
      </c>
      <c r="B1572" s="1" t="s">
        <v>7777</v>
      </c>
      <c r="C1572" s="1" t="s">
        <v>13694</v>
      </c>
      <c r="D1572" s="7" t="s">
        <v>10</v>
      </c>
    </row>
    <row r="1573">
      <c r="A1573" s="1" t="s">
        <v>7781</v>
      </c>
      <c r="B1573" s="1" t="s">
        <v>7781</v>
      </c>
      <c r="C1573" s="1" t="s">
        <v>13695</v>
      </c>
      <c r="D1573" s="7" t="s">
        <v>10</v>
      </c>
    </row>
    <row r="1574">
      <c r="A1574" s="1" t="s">
        <v>7785</v>
      </c>
      <c r="B1574" s="1" t="s">
        <v>7785</v>
      </c>
      <c r="C1574" s="1" t="s">
        <v>13696</v>
      </c>
      <c r="D1574" s="7" t="s">
        <v>10</v>
      </c>
    </row>
    <row r="1575">
      <c r="A1575" s="1" t="s">
        <v>7789</v>
      </c>
      <c r="B1575" s="1" t="s">
        <v>7789</v>
      </c>
      <c r="C1575" s="1" t="s">
        <v>13697</v>
      </c>
      <c r="D1575" s="7" t="s">
        <v>10</v>
      </c>
    </row>
    <row r="1576">
      <c r="A1576" s="1" t="s">
        <v>7793</v>
      </c>
      <c r="B1576" s="1" t="s">
        <v>7793</v>
      </c>
      <c r="C1576" s="1" t="s">
        <v>13698</v>
      </c>
      <c r="D1576" s="7" t="s">
        <v>10</v>
      </c>
    </row>
    <row r="1577">
      <c r="A1577" s="1" t="s">
        <v>7797</v>
      </c>
      <c r="B1577" s="1" t="s">
        <v>7797</v>
      </c>
      <c r="C1577" s="1" t="s">
        <v>13699</v>
      </c>
      <c r="D1577" s="7" t="s">
        <v>10</v>
      </c>
    </row>
    <row r="1578">
      <c r="A1578" s="1" t="s">
        <v>7801</v>
      </c>
      <c r="B1578" s="1" t="s">
        <v>7801</v>
      </c>
      <c r="C1578" s="1" t="s">
        <v>13700</v>
      </c>
      <c r="D1578" s="7" t="s">
        <v>10</v>
      </c>
    </row>
    <row r="1579">
      <c r="A1579" s="1" t="s">
        <v>7805</v>
      </c>
      <c r="B1579" s="1" t="s">
        <v>7805</v>
      </c>
      <c r="C1579" s="1" t="s">
        <v>13701</v>
      </c>
      <c r="D1579" s="7" t="s">
        <v>10</v>
      </c>
    </row>
    <row r="1580">
      <c r="A1580" s="1" t="s">
        <v>7809</v>
      </c>
      <c r="B1580" s="1" t="s">
        <v>7809</v>
      </c>
      <c r="C1580" s="1" t="s">
        <v>13702</v>
      </c>
      <c r="D1580" s="7" t="s">
        <v>10</v>
      </c>
    </row>
    <row r="1581">
      <c r="A1581" s="1" t="s">
        <v>7813</v>
      </c>
      <c r="B1581" s="1" t="s">
        <v>7813</v>
      </c>
      <c r="C1581" s="1" t="s">
        <v>13703</v>
      </c>
      <c r="D1581" s="7" t="s">
        <v>10</v>
      </c>
    </row>
    <row r="1582">
      <c r="A1582" s="1" t="s">
        <v>7817</v>
      </c>
      <c r="B1582" s="1" t="s">
        <v>7817</v>
      </c>
      <c r="C1582" s="1" t="s">
        <v>13704</v>
      </c>
      <c r="D1582" s="7" t="s">
        <v>10</v>
      </c>
    </row>
    <row r="1583">
      <c r="A1583" s="1" t="s">
        <v>7821</v>
      </c>
      <c r="B1583" s="1" t="s">
        <v>7821</v>
      </c>
      <c r="C1583" s="1" t="s">
        <v>13705</v>
      </c>
      <c r="D1583" s="7" t="s">
        <v>10</v>
      </c>
    </row>
    <row r="1584">
      <c r="A1584" s="1" t="s">
        <v>7825</v>
      </c>
      <c r="B1584" s="1" t="s">
        <v>7825</v>
      </c>
      <c r="C1584" s="1" t="s">
        <v>13706</v>
      </c>
      <c r="D1584" s="7" t="s">
        <v>10</v>
      </c>
    </row>
    <row r="1585">
      <c r="A1585" s="1" t="s">
        <v>7829</v>
      </c>
      <c r="B1585" s="1" t="s">
        <v>7829</v>
      </c>
      <c r="C1585" s="1" t="s">
        <v>13707</v>
      </c>
      <c r="D1585" s="7" t="s">
        <v>10</v>
      </c>
    </row>
    <row r="1586">
      <c r="A1586" s="1" t="s">
        <v>7833</v>
      </c>
      <c r="B1586" s="1" t="s">
        <v>7833</v>
      </c>
      <c r="C1586" s="1" t="s">
        <v>13708</v>
      </c>
      <c r="D1586" s="7" t="s">
        <v>10</v>
      </c>
    </row>
    <row r="1587">
      <c r="A1587" s="1" t="s">
        <v>7837</v>
      </c>
      <c r="B1587" s="1" t="s">
        <v>7837</v>
      </c>
      <c r="C1587" s="1" t="s">
        <v>13709</v>
      </c>
      <c r="D1587" s="7" t="s">
        <v>10</v>
      </c>
    </row>
    <row r="1588">
      <c r="A1588" s="1" t="s">
        <v>7841</v>
      </c>
      <c r="B1588" s="1" t="s">
        <v>7841</v>
      </c>
      <c r="C1588" s="1" t="s">
        <v>13710</v>
      </c>
      <c r="D1588" s="7" t="s">
        <v>10</v>
      </c>
    </row>
    <row r="1589">
      <c r="A1589" s="1" t="s">
        <v>7845</v>
      </c>
      <c r="B1589" s="1" t="s">
        <v>7845</v>
      </c>
      <c r="C1589" s="1" t="s">
        <v>13711</v>
      </c>
      <c r="D1589" s="7" t="s">
        <v>10</v>
      </c>
    </row>
    <row r="1590">
      <c r="A1590" s="1" t="s">
        <v>7849</v>
      </c>
      <c r="B1590" s="1" t="s">
        <v>7849</v>
      </c>
      <c r="C1590" s="1" t="s">
        <v>13712</v>
      </c>
      <c r="D1590" s="7" t="s">
        <v>10</v>
      </c>
    </row>
    <row r="1591">
      <c r="A1591" s="1" t="s">
        <v>7853</v>
      </c>
      <c r="B1591" s="1" t="s">
        <v>7853</v>
      </c>
      <c r="C1591" s="1" t="s">
        <v>13713</v>
      </c>
      <c r="D1591" s="7" t="s">
        <v>10</v>
      </c>
    </row>
    <row r="1592">
      <c r="A1592" s="1" t="s">
        <v>7857</v>
      </c>
      <c r="B1592" s="1" t="s">
        <v>7857</v>
      </c>
      <c r="C1592" s="1" t="s">
        <v>13714</v>
      </c>
      <c r="D1592" s="7" t="s">
        <v>10</v>
      </c>
    </row>
    <row r="1593">
      <c r="A1593" s="1" t="s">
        <v>7861</v>
      </c>
      <c r="B1593" s="1" t="s">
        <v>7861</v>
      </c>
      <c r="C1593" s="1" t="s">
        <v>13715</v>
      </c>
      <c r="D1593" s="7" t="s">
        <v>10</v>
      </c>
    </row>
    <row r="1594">
      <c r="A1594" s="1" t="s">
        <v>7865</v>
      </c>
      <c r="B1594" s="1" t="s">
        <v>7865</v>
      </c>
      <c r="C1594" s="1" t="s">
        <v>13716</v>
      </c>
      <c r="D1594" s="7" t="s">
        <v>10</v>
      </c>
    </row>
    <row r="1595">
      <c r="A1595" s="1" t="s">
        <v>7869</v>
      </c>
      <c r="B1595" s="1" t="s">
        <v>7869</v>
      </c>
      <c r="C1595" s="1" t="s">
        <v>13717</v>
      </c>
      <c r="D1595" s="7" t="s">
        <v>10</v>
      </c>
    </row>
    <row r="1596">
      <c r="A1596" s="1" t="s">
        <v>7873</v>
      </c>
      <c r="B1596" s="1" t="s">
        <v>7873</v>
      </c>
      <c r="C1596" s="1" t="s">
        <v>13718</v>
      </c>
      <c r="D1596" s="7" t="s">
        <v>10</v>
      </c>
    </row>
    <row r="1597">
      <c r="A1597" s="1" t="s">
        <v>7877</v>
      </c>
      <c r="B1597" s="1" t="s">
        <v>7877</v>
      </c>
      <c r="C1597" s="1" t="s">
        <v>13719</v>
      </c>
      <c r="D1597" s="7" t="s">
        <v>10</v>
      </c>
    </row>
    <row r="1598">
      <c r="A1598" s="1" t="s">
        <v>7881</v>
      </c>
      <c r="B1598" s="1" t="s">
        <v>7881</v>
      </c>
      <c r="C1598" s="1" t="s">
        <v>13720</v>
      </c>
      <c r="D1598" s="7" t="s">
        <v>10</v>
      </c>
    </row>
    <row r="1599">
      <c r="A1599" s="1" t="s">
        <v>7885</v>
      </c>
      <c r="B1599" s="1" t="s">
        <v>7885</v>
      </c>
      <c r="C1599" s="1" t="s">
        <v>13721</v>
      </c>
      <c r="D1599" s="7" t="s">
        <v>10</v>
      </c>
    </row>
    <row r="1600">
      <c r="A1600" s="1" t="s">
        <v>7890</v>
      </c>
      <c r="B1600" s="1" t="s">
        <v>7889</v>
      </c>
      <c r="C1600" s="1" t="s">
        <v>13722</v>
      </c>
      <c r="D1600" s="7" t="s">
        <v>10</v>
      </c>
    </row>
    <row r="1601">
      <c r="A1601" s="1" t="s">
        <v>7895</v>
      </c>
      <c r="B1601" s="1" t="s">
        <v>7894</v>
      </c>
      <c r="C1601" s="1" t="s">
        <v>13723</v>
      </c>
      <c r="D1601" s="7" t="s">
        <v>10</v>
      </c>
    </row>
    <row r="1602">
      <c r="A1602" s="1" t="s">
        <v>7900</v>
      </c>
      <c r="B1602" s="1" t="s">
        <v>7899</v>
      </c>
      <c r="C1602" s="1" t="s">
        <v>13724</v>
      </c>
      <c r="D1602" s="7" t="s">
        <v>10</v>
      </c>
    </row>
    <row r="1603">
      <c r="A1603" s="1" t="s">
        <v>7905</v>
      </c>
      <c r="B1603" s="1" t="s">
        <v>7904</v>
      </c>
      <c r="C1603" s="1" t="s">
        <v>13725</v>
      </c>
      <c r="D1603" s="7" t="s">
        <v>10</v>
      </c>
    </row>
    <row r="1604">
      <c r="A1604" s="1" t="s">
        <v>7910</v>
      </c>
      <c r="B1604" s="1" t="s">
        <v>7909</v>
      </c>
      <c r="C1604" s="1" t="s">
        <v>13726</v>
      </c>
      <c r="D1604" s="7" t="s">
        <v>10</v>
      </c>
    </row>
    <row r="1605">
      <c r="A1605" s="1" t="s">
        <v>7915</v>
      </c>
      <c r="B1605" s="1" t="s">
        <v>7914</v>
      </c>
      <c r="C1605" s="1" t="s">
        <v>13727</v>
      </c>
      <c r="D1605" s="7" t="s">
        <v>10</v>
      </c>
    </row>
    <row r="1606">
      <c r="A1606" s="1" t="s">
        <v>7920</v>
      </c>
      <c r="B1606" s="1" t="s">
        <v>7919</v>
      </c>
      <c r="C1606" s="1" t="s">
        <v>13728</v>
      </c>
      <c r="D1606" s="7" t="s">
        <v>10</v>
      </c>
    </row>
    <row r="1607">
      <c r="A1607" s="1" t="s">
        <v>7925</v>
      </c>
      <c r="B1607" s="1" t="s">
        <v>7924</v>
      </c>
      <c r="C1607" s="1" t="s">
        <v>13729</v>
      </c>
      <c r="D1607" s="7" t="s">
        <v>10</v>
      </c>
    </row>
    <row r="1608">
      <c r="A1608" s="1" t="s">
        <v>7930</v>
      </c>
      <c r="B1608" s="1" t="s">
        <v>7929</v>
      </c>
      <c r="C1608" s="1" t="s">
        <v>13730</v>
      </c>
      <c r="D1608" s="7" t="s">
        <v>10</v>
      </c>
    </row>
    <row r="1609">
      <c r="A1609" s="1" t="s">
        <v>7935</v>
      </c>
      <c r="B1609" s="1" t="s">
        <v>7934</v>
      </c>
      <c r="C1609" s="1" t="s">
        <v>13731</v>
      </c>
      <c r="D1609" s="7" t="s">
        <v>10</v>
      </c>
    </row>
    <row r="1610">
      <c r="A1610" s="1" t="s">
        <v>7940</v>
      </c>
      <c r="B1610" s="1" t="s">
        <v>7939</v>
      </c>
      <c r="C1610" s="1" t="s">
        <v>13732</v>
      </c>
      <c r="D1610" s="7" t="s">
        <v>10</v>
      </c>
    </row>
    <row r="1611">
      <c r="A1611" s="1" t="s">
        <v>7945</v>
      </c>
      <c r="B1611" s="1" t="s">
        <v>7944</v>
      </c>
      <c r="C1611" s="1" t="s">
        <v>13733</v>
      </c>
      <c r="D1611" s="7" t="s">
        <v>10</v>
      </c>
    </row>
    <row r="1612">
      <c r="A1612" s="1" t="s">
        <v>7950</v>
      </c>
      <c r="B1612" s="1" t="s">
        <v>7949</v>
      </c>
      <c r="C1612" s="1" t="s">
        <v>13734</v>
      </c>
      <c r="D1612" s="7" t="s">
        <v>10</v>
      </c>
    </row>
    <row r="1613">
      <c r="A1613" s="1" t="s">
        <v>7955</v>
      </c>
      <c r="B1613" s="1" t="s">
        <v>7954</v>
      </c>
      <c r="C1613" s="1" t="s">
        <v>13735</v>
      </c>
      <c r="D1613" s="7" t="s">
        <v>10</v>
      </c>
    </row>
    <row r="1614">
      <c r="A1614" s="1" t="s">
        <v>7960</v>
      </c>
      <c r="B1614" s="1" t="s">
        <v>7959</v>
      </c>
      <c r="C1614" s="1" t="s">
        <v>13736</v>
      </c>
      <c r="D1614" s="7" t="s">
        <v>10</v>
      </c>
    </row>
    <row r="1615">
      <c r="A1615" s="1" t="s">
        <v>7965</v>
      </c>
      <c r="B1615" s="1" t="s">
        <v>7964</v>
      </c>
      <c r="C1615" s="1" t="s">
        <v>13737</v>
      </c>
      <c r="D1615" s="7" t="s">
        <v>10</v>
      </c>
    </row>
    <row r="1616">
      <c r="A1616" s="1" t="s">
        <v>7970</v>
      </c>
      <c r="B1616" s="1" t="s">
        <v>7969</v>
      </c>
      <c r="C1616" s="1" t="s">
        <v>13738</v>
      </c>
      <c r="D1616" s="7" t="s">
        <v>10</v>
      </c>
    </row>
    <row r="1617">
      <c r="A1617" s="1" t="s">
        <v>7975</v>
      </c>
      <c r="B1617" s="1" t="s">
        <v>7974</v>
      </c>
      <c r="C1617" s="1" t="s">
        <v>13739</v>
      </c>
      <c r="D1617" s="7" t="s">
        <v>10</v>
      </c>
    </row>
    <row r="1618">
      <c r="A1618" s="1" t="s">
        <v>7980</v>
      </c>
      <c r="B1618" s="1" t="s">
        <v>7979</v>
      </c>
      <c r="C1618" s="1" t="s">
        <v>13740</v>
      </c>
      <c r="D1618" s="7" t="s">
        <v>10</v>
      </c>
    </row>
    <row r="1619">
      <c r="A1619" s="1" t="s">
        <v>7985</v>
      </c>
      <c r="B1619" s="1" t="s">
        <v>7984</v>
      </c>
      <c r="C1619" s="1" t="s">
        <v>13741</v>
      </c>
      <c r="D1619" s="7" t="s">
        <v>10</v>
      </c>
    </row>
    <row r="1620">
      <c r="A1620" s="1" t="s">
        <v>7990</v>
      </c>
      <c r="B1620" s="1" t="s">
        <v>7989</v>
      </c>
      <c r="C1620" s="1" t="s">
        <v>13742</v>
      </c>
      <c r="D1620" s="7" t="s">
        <v>10</v>
      </c>
    </row>
    <row r="1621">
      <c r="A1621" s="1" t="s">
        <v>7995</v>
      </c>
      <c r="B1621" s="1" t="s">
        <v>7994</v>
      </c>
      <c r="C1621" s="1" t="s">
        <v>13743</v>
      </c>
      <c r="D1621" s="7" t="s">
        <v>10</v>
      </c>
    </row>
    <row r="1622">
      <c r="A1622" s="1" t="s">
        <v>8000</v>
      </c>
      <c r="B1622" s="1" t="s">
        <v>7999</v>
      </c>
      <c r="C1622" s="1" t="s">
        <v>13744</v>
      </c>
      <c r="D1622" s="7" t="s">
        <v>10</v>
      </c>
    </row>
    <row r="1623">
      <c r="A1623" s="1" t="s">
        <v>8005</v>
      </c>
      <c r="B1623" s="1" t="s">
        <v>8004</v>
      </c>
      <c r="C1623" s="1" t="s">
        <v>13745</v>
      </c>
      <c r="D1623" s="7" t="s">
        <v>10</v>
      </c>
    </row>
    <row r="1624">
      <c r="A1624" s="1" t="s">
        <v>8010</v>
      </c>
      <c r="B1624" s="1" t="s">
        <v>8009</v>
      </c>
      <c r="C1624" s="1" t="s">
        <v>13746</v>
      </c>
      <c r="D1624" s="7" t="s">
        <v>10</v>
      </c>
    </row>
    <row r="1625">
      <c r="A1625" s="1" t="s">
        <v>8015</v>
      </c>
      <c r="B1625" s="1" t="s">
        <v>8014</v>
      </c>
      <c r="C1625" s="1" t="s">
        <v>13747</v>
      </c>
      <c r="D1625" s="7" t="s">
        <v>10</v>
      </c>
    </row>
    <row r="1626">
      <c r="A1626" s="1" t="s">
        <v>8020</v>
      </c>
      <c r="B1626" s="1" t="s">
        <v>8019</v>
      </c>
      <c r="C1626" s="1" t="s">
        <v>13748</v>
      </c>
      <c r="D1626" s="7" t="s">
        <v>10</v>
      </c>
    </row>
    <row r="1627">
      <c r="A1627" s="1" t="s">
        <v>8025</v>
      </c>
      <c r="B1627" s="1" t="s">
        <v>8024</v>
      </c>
      <c r="C1627" s="1" t="s">
        <v>13749</v>
      </c>
      <c r="D1627" s="7" t="s">
        <v>10</v>
      </c>
    </row>
    <row r="1628">
      <c r="A1628" s="1" t="s">
        <v>8030</v>
      </c>
      <c r="B1628" s="1" t="s">
        <v>8029</v>
      </c>
      <c r="C1628" s="1" t="s">
        <v>13750</v>
      </c>
      <c r="D1628" s="7" t="s">
        <v>10</v>
      </c>
    </row>
    <row r="1629">
      <c r="A1629" s="1" t="s">
        <v>8035</v>
      </c>
      <c r="B1629" s="1" t="s">
        <v>8034</v>
      </c>
      <c r="C1629" s="1" t="s">
        <v>13751</v>
      </c>
      <c r="D1629" s="7" t="s">
        <v>10</v>
      </c>
    </row>
    <row r="1630">
      <c r="A1630" s="1" t="s">
        <v>8040</v>
      </c>
      <c r="B1630" s="1" t="s">
        <v>8039</v>
      </c>
      <c r="C1630" s="1" t="s">
        <v>13752</v>
      </c>
      <c r="D1630" s="7" t="s">
        <v>10</v>
      </c>
    </row>
    <row r="1631">
      <c r="A1631" s="1" t="s">
        <v>8045</v>
      </c>
      <c r="B1631" s="1" t="s">
        <v>8044</v>
      </c>
      <c r="C1631" s="1" t="s">
        <v>13753</v>
      </c>
      <c r="D1631" s="7" t="s">
        <v>10</v>
      </c>
    </row>
    <row r="1632">
      <c r="A1632" s="1" t="s">
        <v>8050</v>
      </c>
      <c r="B1632" s="1" t="s">
        <v>8049</v>
      </c>
      <c r="C1632" s="1" t="s">
        <v>13754</v>
      </c>
      <c r="D1632" s="7" t="s">
        <v>10</v>
      </c>
    </row>
    <row r="1633">
      <c r="A1633" s="1" t="s">
        <v>8055</v>
      </c>
      <c r="B1633" s="1" t="s">
        <v>8054</v>
      </c>
      <c r="C1633" s="1" t="s">
        <v>13755</v>
      </c>
      <c r="D1633" s="7" t="s">
        <v>10</v>
      </c>
    </row>
    <row r="1634">
      <c r="A1634" s="1" t="s">
        <v>8060</v>
      </c>
      <c r="B1634" s="1" t="s">
        <v>8059</v>
      </c>
      <c r="C1634" s="1" t="s">
        <v>13756</v>
      </c>
      <c r="D1634" s="7" t="s">
        <v>10</v>
      </c>
    </row>
    <row r="1635">
      <c r="A1635" s="1" t="s">
        <v>8065</v>
      </c>
      <c r="B1635" s="1" t="s">
        <v>8064</v>
      </c>
      <c r="C1635" s="1" t="s">
        <v>13757</v>
      </c>
      <c r="D1635" s="7" t="s">
        <v>10</v>
      </c>
    </row>
    <row r="1636">
      <c r="A1636" s="1" t="s">
        <v>8070</v>
      </c>
      <c r="B1636" s="1" t="s">
        <v>8069</v>
      </c>
      <c r="C1636" s="1" t="s">
        <v>13758</v>
      </c>
      <c r="D1636" s="7" t="s">
        <v>10</v>
      </c>
    </row>
    <row r="1637">
      <c r="A1637" s="1" t="s">
        <v>8075</v>
      </c>
      <c r="B1637" s="1" t="s">
        <v>8074</v>
      </c>
      <c r="C1637" s="1" t="s">
        <v>13759</v>
      </c>
      <c r="D1637" s="7" t="s">
        <v>10</v>
      </c>
    </row>
    <row r="1638">
      <c r="A1638" s="1" t="s">
        <v>8080</v>
      </c>
      <c r="B1638" s="1" t="s">
        <v>8079</v>
      </c>
      <c r="C1638" s="1" t="s">
        <v>13760</v>
      </c>
      <c r="D1638" s="7" t="s">
        <v>10</v>
      </c>
    </row>
    <row r="1639">
      <c r="A1639" s="1" t="s">
        <v>8085</v>
      </c>
      <c r="B1639" s="1" t="s">
        <v>8084</v>
      </c>
      <c r="C1639" s="1" t="s">
        <v>13761</v>
      </c>
      <c r="D1639" s="7" t="s">
        <v>10</v>
      </c>
    </row>
    <row r="1640">
      <c r="A1640" s="1" t="s">
        <v>8090</v>
      </c>
      <c r="B1640" s="1" t="s">
        <v>8089</v>
      </c>
      <c r="C1640" s="1" t="s">
        <v>13762</v>
      </c>
      <c r="D1640" s="7" t="s">
        <v>10</v>
      </c>
    </row>
    <row r="1641">
      <c r="A1641" s="1" t="s">
        <v>8095</v>
      </c>
      <c r="B1641" s="1" t="s">
        <v>8094</v>
      </c>
      <c r="C1641" s="1" t="s">
        <v>13763</v>
      </c>
      <c r="D1641" s="7" t="s">
        <v>10</v>
      </c>
    </row>
    <row r="1642">
      <c r="A1642" s="1" t="s">
        <v>8100</v>
      </c>
      <c r="B1642" s="1" t="s">
        <v>8099</v>
      </c>
      <c r="C1642" s="1" t="s">
        <v>13764</v>
      </c>
      <c r="D1642" s="7" t="s">
        <v>10</v>
      </c>
    </row>
    <row r="1643">
      <c r="A1643" s="1" t="s">
        <v>8105</v>
      </c>
      <c r="B1643" s="1" t="s">
        <v>8104</v>
      </c>
      <c r="C1643" s="1" t="s">
        <v>13765</v>
      </c>
      <c r="D1643" s="7" t="s">
        <v>10</v>
      </c>
    </row>
    <row r="1644">
      <c r="A1644" s="1" t="s">
        <v>8110</v>
      </c>
      <c r="B1644" s="1" t="s">
        <v>8109</v>
      </c>
      <c r="C1644" s="1" t="s">
        <v>13766</v>
      </c>
      <c r="D1644" s="7" t="s">
        <v>10</v>
      </c>
    </row>
    <row r="1645">
      <c r="A1645" s="1" t="s">
        <v>8115</v>
      </c>
      <c r="B1645" s="1" t="s">
        <v>8114</v>
      </c>
      <c r="C1645" s="1" t="s">
        <v>13767</v>
      </c>
      <c r="D1645" s="7" t="s">
        <v>10</v>
      </c>
    </row>
    <row r="1646">
      <c r="A1646" s="1" t="s">
        <v>8120</v>
      </c>
      <c r="B1646" s="1" t="s">
        <v>8119</v>
      </c>
      <c r="C1646" s="1" t="s">
        <v>13768</v>
      </c>
      <c r="D1646" s="7" t="s">
        <v>10</v>
      </c>
    </row>
    <row r="1647">
      <c r="A1647" s="1" t="s">
        <v>8125</v>
      </c>
      <c r="B1647" s="1" t="s">
        <v>8124</v>
      </c>
      <c r="C1647" s="1" t="s">
        <v>13769</v>
      </c>
      <c r="D1647" s="7" t="s">
        <v>10</v>
      </c>
    </row>
    <row r="1648">
      <c r="A1648" s="1" t="s">
        <v>8130</v>
      </c>
      <c r="B1648" s="1" t="s">
        <v>8129</v>
      </c>
      <c r="C1648" s="1" t="s">
        <v>13770</v>
      </c>
      <c r="D1648" s="7" t="s">
        <v>10</v>
      </c>
    </row>
    <row r="1649">
      <c r="A1649" s="1" t="s">
        <v>8135</v>
      </c>
      <c r="B1649" s="1" t="s">
        <v>8134</v>
      </c>
      <c r="C1649" s="1" t="s">
        <v>13771</v>
      </c>
      <c r="D1649" s="7" t="s">
        <v>10</v>
      </c>
    </row>
    <row r="1650">
      <c r="A1650" s="1" t="s">
        <v>8140</v>
      </c>
      <c r="B1650" s="1" t="s">
        <v>8139</v>
      </c>
      <c r="C1650" s="1" t="s">
        <v>13772</v>
      </c>
      <c r="D1650" s="7" t="s">
        <v>10</v>
      </c>
    </row>
    <row r="1651">
      <c r="A1651" s="1" t="s">
        <v>8145</v>
      </c>
      <c r="B1651" s="1" t="s">
        <v>8144</v>
      </c>
      <c r="C1651" s="1" t="s">
        <v>13773</v>
      </c>
      <c r="D1651" s="7" t="s">
        <v>10</v>
      </c>
    </row>
    <row r="1652">
      <c r="A1652" s="1" t="s">
        <v>8150</v>
      </c>
      <c r="B1652" s="1" t="s">
        <v>8149</v>
      </c>
      <c r="C1652" s="1" t="s">
        <v>13774</v>
      </c>
      <c r="D1652" s="7" t="s">
        <v>10</v>
      </c>
    </row>
    <row r="1653">
      <c r="A1653" s="1" t="s">
        <v>8155</v>
      </c>
      <c r="B1653" s="1" t="s">
        <v>8154</v>
      </c>
      <c r="C1653" s="1" t="s">
        <v>13775</v>
      </c>
      <c r="D1653" s="7" t="s">
        <v>10</v>
      </c>
    </row>
    <row r="1654">
      <c r="A1654" s="1" t="s">
        <v>8160</v>
      </c>
      <c r="B1654" s="1" t="s">
        <v>8159</v>
      </c>
      <c r="C1654" s="1" t="s">
        <v>13776</v>
      </c>
      <c r="D1654" s="7" t="s">
        <v>10</v>
      </c>
    </row>
    <row r="1655">
      <c r="A1655" s="1" t="s">
        <v>8165</v>
      </c>
      <c r="B1655" s="1" t="s">
        <v>8164</v>
      </c>
      <c r="C1655" s="1" t="s">
        <v>13777</v>
      </c>
      <c r="D1655" s="7" t="s">
        <v>10</v>
      </c>
    </row>
    <row r="1656">
      <c r="A1656" s="1" t="s">
        <v>8170</v>
      </c>
      <c r="B1656" s="1" t="s">
        <v>8169</v>
      </c>
      <c r="C1656" s="1" t="s">
        <v>13778</v>
      </c>
      <c r="D1656" s="7" t="s">
        <v>10</v>
      </c>
    </row>
    <row r="1657">
      <c r="A1657" s="1" t="s">
        <v>8175</v>
      </c>
      <c r="B1657" s="1" t="s">
        <v>8174</v>
      </c>
      <c r="C1657" s="1" t="s">
        <v>13779</v>
      </c>
      <c r="D1657" s="7" t="s">
        <v>10</v>
      </c>
    </row>
    <row r="1658">
      <c r="A1658" s="1" t="s">
        <v>8180</v>
      </c>
      <c r="B1658" s="1" t="s">
        <v>8179</v>
      </c>
      <c r="C1658" s="1" t="s">
        <v>13780</v>
      </c>
      <c r="D1658" s="7" t="s">
        <v>10</v>
      </c>
    </row>
    <row r="1659">
      <c r="A1659" s="1" t="s">
        <v>8185</v>
      </c>
      <c r="B1659" s="1" t="s">
        <v>8184</v>
      </c>
      <c r="C1659" s="1" t="s">
        <v>13781</v>
      </c>
      <c r="D1659" s="7" t="s">
        <v>10</v>
      </c>
    </row>
    <row r="1660">
      <c r="A1660" s="1" t="s">
        <v>8190</v>
      </c>
      <c r="B1660" s="1" t="s">
        <v>8189</v>
      </c>
      <c r="C1660" s="1" t="s">
        <v>13782</v>
      </c>
      <c r="D1660" s="7" t="s">
        <v>10</v>
      </c>
    </row>
    <row r="1661">
      <c r="A1661" s="1" t="s">
        <v>8195</v>
      </c>
      <c r="B1661" s="1" t="s">
        <v>8194</v>
      </c>
      <c r="C1661" s="1" t="s">
        <v>13783</v>
      </c>
      <c r="D1661" s="7" t="s">
        <v>10</v>
      </c>
    </row>
    <row r="1662">
      <c r="A1662" s="1" t="s">
        <v>8200</v>
      </c>
      <c r="B1662" s="1" t="s">
        <v>8199</v>
      </c>
      <c r="C1662" s="1" t="s">
        <v>13784</v>
      </c>
      <c r="D1662" s="7" t="s">
        <v>10</v>
      </c>
    </row>
    <row r="1663">
      <c r="A1663" s="1" t="s">
        <v>8205</v>
      </c>
      <c r="B1663" s="1" t="s">
        <v>8204</v>
      </c>
      <c r="C1663" s="1" t="s">
        <v>13785</v>
      </c>
      <c r="D1663" s="7" t="s">
        <v>10</v>
      </c>
    </row>
    <row r="1664">
      <c r="A1664" s="1" t="s">
        <v>8210</v>
      </c>
      <c r="B1664" s="1" t="s">
        <v>8209</v>
      </c>
      <c r="C1664" s="1" t="s">
        <v>13786</v>
      </c>
      <c r="D1664" s="7" t="s">
        <v>10</v>
      </c>
    </row>
    <row r="1665">
      <c r="A1665" s="1" t="s">
        <v>8215</v>
      </c>
      <c r="B1665" s="1" t="s">
        <v>8214</v>
      </c>
      <c r="C1665" s="1" t="s">
        <v>13787</v>
      </c>
      <c r="D1665" s="7" t="s">
        <v>10</v>
      </c>
    </row>
    <row r="1666">
      <c r="A1666" s="1" t="s">
        <v>8220</v>
      </c>
      <c r="B1666" s="1" t="s">
        <v>8219</v>
      </c>
      <c r="C1666" s="1" t="s">
        <v>13788</v>
      </c>
      <c r="D1666" s="7" t="s">
        <v>10</v>
      </c>
    </row>
    <row r="1667">
      <c r="A1667" s="1" t="s">
        <v>8225</v>
      </c>
      <c r="B1667" s="1" t="s">
        <v>8224</v>
      </c>
      <c r="C1667" s="1" t="s">
        <v>13789</v>
      </c>
      <c r="D1667" s="7" t="s">
        <v>10</v>
      </c>
    </row>
    <row r="1668">
      <c r="A1668" s="1" t="s">
        <v>8230</v>
      </c>
      <c r="B1668" s="1" t="s">
        <v>8229</v>
      </c>
      <c r="C1668" s="1" t="s">
        <v>13790</v>
      </c>
      <c r="D1668" s="7" t="s">
        <v>10</v>
      </c>
    </row>
    <row r="1669">
      <c r="A1669" s="1" t="s">
        <v>8235</v>
      </c>
      <c r="B1669" s="1" t="s">
        <v>8234</v>
      </c>
      <c r="C1669" s="1" t="s">
        <v>13791</v>
      </c>
      <c r="D1669" s="7" t="s">
        <v>10</v>
      </c>
    </row>
    <row r="1670">
      <c r="A1670" s="1" t="s">
        <v>8240</v>
      </c>
      <c r="B1670" s="1" t="s">
        <v>8239</v>
      </c>
      <c r="C1670" s="1" t="s">
        <v>13792</v>
      </c>
      <c r="D1670" s="7" t="s">
        <v>10</v>
      </c>
    </row>
    <row r="1671">
      <c r="A1671" s="1" t="s">
        <v>8245</v>
      </c>
      <c r="B1671" s="1" t="s">
        <v>8244</v>
      </c>
      <c r="C1671" s="1" t="s">
        <v>13793</v>
      </c>
      <c r="D1671" s="7" t="s">
        <v>10</v>
      </c>
    </row>
    <row r="1672">
      <c r="A1672" s="1" t="s">
        <v>8250</v>
      </c>
      <c r="B1672" s="1" t="s">
        <v>8249</v>
      </c>
      <c r="C1672" s="1" t="s">
        <v>13794</v>
      </c>
      <c r="D1672" s="7" t="s">
        <v>10</v>
      </c>
    </row>
    <row r="1673">
      <c r="A1673" s="1" t="s">
        <v>8255</v>
      </c>
      <c r="B1673" s="1" t="s">
        <v>8254</v>
      </c>
      <c r="C1673" s="1" t="s">
        <v>13795</v>
      </c>
      <c r="D1673" s="7" t="s">
        <v>10</v>
      </c>
    </row>
    <row r="1674">
      <c r="A1674" s="1" t="s">
        <v>8260</v>
      </c>
      <c r="B1674" s="1" t="s">
        <v>8259</v>
      </c>
      <c r="C1674" s="1" t="s">
        <v>13796</v>
      </c>
      <c r="D1674" s="7" t="s">
        <v>10</v>
      </c>
    </row>
    <row r="1675">
      <c r="A1675" s="1" t="s">
        <v>8265</v>
      </c>
      <c r="B1675" s="1" t="s">
        <v>8264</v>
      </c>
      <c r="C1675" s="1" t="s">
        <v>13797</v>
      </c>
      <c r="D1675" s="7" t="s">
        <v>10</v>
      </c>
    </row>
    <row r="1676">
      <c r="A1676" s="1" t="s">
        <v>8270</v>
      </c>
      <c r="B1676" s="1" t="s">
        <v>8269</v>
      </c>
      <c r="C1676" s="1" t="s">
        <v>13798</v>
      </c>
      <c r="D1676" s="7" t="s">
        <v>10</v>
      </c>
    </row>
    <row r="1677">
      <c r="A1677" s="1" t="s">
        <v>8275</v>
      </c>
      <c r="B1677" s="1" t="s">
        <v>8274</v>
      </c>
      <c r="C1677" s="1" t="s">
        <v>13799</v>
      </c>
      <c r="D1677" s="7" t="s">
        <v>10</v>
      </c>
    </row>
    <row r="1678">
      <c r="A1678" s="1" t="s">
        <v>8280</v>
      </c>
      <c r="B1678" s="1" t="s">
        <v>8279</v>
      </c>
      <c r="C1678" s="1" t="s">
        <v>13800</v>
      </c>
      <c r="D1678" s="7" t="s">
        <v>10</v>
      </c>
    </row>
    <row r="1679">
      <c r="A1679" s="1" t="s">
        <v>8285</v>
      </c>
      <c r="B1679" s="1" t="s">
        <v>8284</v>
      </c>
      <c r="C1679" s="1" t="s">
        <v>13801</v>
      </c>
      <c r="D1679" s="7" t="s">
        <v>10</v>
      </c>
    </row>
    <row r="1680">
      <c r="A1680" s="1" t="s">
        <v>8290</v>
      </c>
      <c r="B1680" s="1" t="s">
        <v>8289</v>
      </c>
      <c r="C1680" s="1" t="s">
        <v>13802</v>
      </c>
      <c r="D1680" s="7" t="s">
        <v>10</v>
      </c>
    </row>
    <row r="1681">
      <c r="A1681" s="1" t="s">
        <v>8295</v>
      </c>
      <c r="B1681" s="1" t="s">
        <v>8294</v>
      </c>
      <c r="C1681" s="1" t="s">
        <v>13803</v>
      </c>
      <c r="D1681" s="7" t="s">
        <v>10</v>
      </c>
    </row>
    <row r="1682">
      <c r="A1682" s="1" t="s">
        <v>8300</v>
      </c>
      <c r="B1682" s="1" t="s">
        <v>8299</v>
      </c>
      <c r="C1682" s="1" t="s">
        <v>13804</v>
      </c>
      <c r="D1682" s="7" t="s">
        <v>10</v>
      </c>
    </row>
    <row r="1683">
      <c r="A1683" s="1" t="s">
        <v>8305</v>
      </c>
      <c r="B1683" s="1" t="s">
        <v>8304</v>
      </c>
      <c r="C1683" s="1" t="s">
        <v>13805</v>
      </c>
      <c r="D1683" s="7" t="s">
        <v>10</v>
      </c>
    </row>
    <row r="1684">
      <c r="A1684" s="1" t="s">
        <v>8310</v>
      </c>
      <c r="B1684" s="1" t="s">
        <v>8309</v>
      </c>
      <c r="C1684" s="1" t="s">
        <v>13806</v>
      </c>
      <c r="D1684" s="7" t="s">
        <v>10</v>
      </c>
    </row>
    <row r="1685">
      <c r="A1685" s="1" t="s">
        <v>8315</v>
      </c>
      <c r="B1685" s="1" t="s">
        <v>8314</v>
      </c>
      <c r="C1685" s="1" t="s">
        <v>13807</v>
      </c>
      <c r="D1685" s="7" t="s">
        <v>10</v>
      </c>
    </row>
    <row r="1686">
      <c r="A1686" s="1" t="s">
        <v>8320</v>
      </c>
      <c r="B1686" s="1" t="s">
        <v>8319</v>
      </c>
      <c r="C1686" s="1" t="s">
        <v>13808</v>
      </c>
      <c r="D1686" s="7" t="s">
        <v>10</v>
      </c>
    </row>
    <row r="1687">
      <c r="A1687" s="1" t="s">
        <v>8325</v>
      </c>
      <c r="B1687" s="1" t="s">
        <v>8324</v>
      </c>
      <c r="C1687" s="1" t="s">
        <v>13809</v>
      </c>
      <c r="D1687" s="7" t="s">
        <v>10</v>
      </c>
    </row>
    <row r="1688">
      <c r="A1688" s="1" t="s">
        <v>8330</v>
      </c>
      <c r="B1688" s="1" t="s">
        <v>8329</v>
      </c>
      <c r="C1688" s="1" t="s">
        <v>13810</v>
      </c>
      <c r="D1688" s="7" t="s">
        <v>10</v>
      </c>
    </row>
    <row r="1689">
      <c r="A1689" s="1" t="s">
        <v>8335</v>
      </c>
      <c r="B1689" s="1" t="s">
        <v>8334</v>
      </c>
      <c r="C1689" s="1" t="s">
        <v>13811</v>
      </c>
      <c r="D1689" s="7" t="s">
        <v>10</v>
      </c>
    </row>
    <row r="1690">
      <c r="A1690" s="1" t="s">
        <v>8340</v>
      </c>
      <c r="B1690" s="1" t="s">
        <v>8339</v>
      </c>
      <c r="C1690" s="1" t="s">
        <v>13812</v>
      </c>
      <c r="D1690" s="7" t="s">
        <v>10</v>
      </c>
    </row>
    <row r="1691">
      <c r="A1691" s="1" t="s">
        <v>8345</v>
      </c>
      <c r="B1691" s="1" t="s">
        <v>8344</v>
      </c>
      <c r="C1691" s="1" t="s">
        <v>13813</v>
      </c>
      <c r="D1691" s="7" t="s">
        <v>10</v>
      </c>
    </row>
    <row r="1692">
      <c r="A1692" s="1" t="s">
        <v>8350</v>
      </c>
      <c r="B1692" s="1" t="s">
        <v>8349</v>
      </c>
      <c r="C1692" s="1" t="s">
        <v>13814</v>
      </c>
      <c r="D1692" s="7" t="s">
        <v>10</v>
      </c>
    </row>
    <row r="1693">
      <c r="A1693" s="1" t="s">
        <v>8355</v>
      </c>
      <c r="B1693" s="1" t="s">
        <v>8354</v>
      </c>
      <c r="C1693" s="1" t="s">
        <v>13815</v>
      </c>
      <c r="D1693" s="7" t="s">
        <v>10</v>
      </c>
    </row>
    <row r="1694">
      <c r="A1694" s="1" t="s">
        <v>8360</v>
      </c>
      <c r="B1694" s="1" t="s">
        <v>8359</v>
      </c>
      <c r="C1694" s="1" t="s">
        <v>13816</v>
      </c>
      <c r="D1694" s="7" t="s">
        <v>10</v>
      </c>
    </row>
    <row r="1695">
      <c r="A1695" s="1" t="s">
        <v>8365</v>
      </c>
      <c r="B1695" s="1" t="s">
        <v>8364</v>
      </c>
      <c r="C1695" s="1" t="s">
        <v>13817</v>
      </c>
      <c r="D1695" s="7" t="s">
        <v>10</v>
      </c>
    </row>
    <row r="1696">
      <c r="A1696" s="1" t="s">
        <v>8369</v>
      </c>
      <c r="B1696" s="1" t="s">
        <v>8369</v>
      </c>
      <c r="C1696" s="1" t="s">
        <v>13818</v>
      </c>
      <c r="D1696" s="7" t="s">
        <v>10</v>
      </c>
    </row>
    <row r="1697">
      <c r="A1697" s="1" t="s">
        <v>8374</v>
      </c>
      <c r="B1697" s="1" t="s">
        <v>8373</v>
      </c>
      <c r="C1697" s="1" t="s">
        <v>13819</v>
      </c>
      <c r="D1697" s="7" t="s">
        <v>10</v>
      </c>
    </row>
    <row r="1698">
      <c r="A1698" s="1" t="s">
        <v>8379</v>
      </c>
      <c r="B1698" s="1" t="s">
        <v>8378</v>
      </c>
      <c r="C1698" s="1" t="s">
        <v>13820</v>
      </c>
      <c r="D1698" s="7" t="s">
        <v>10</v>
      </c>
    </row>
    <row r="1699">
      <c r="A1699" s="1" t="s">
        <v>8384</v>
      </c>
      <c r="B1699" s="1" t="s">
        <v>8383</v>
      </c>
      <c r="C1699" s="1" t="s">
        <v>13821</v>
      </c>
      <c r="D1699" s="7" t="s">
        <v>10</v>
      </c>
    </row>
    <row r="1700">
      <c r="A1700" s="1" t="s">
        <v>8389</v>
      </c>
      <c r="B1700" s="1" t="s">
        <v>8388</v>
      </c>
      <c r="C1700" s="1" t="s">
        <v>13822</v>
      </c>
      <c r="D1700" s="7" t="s">
        <v>10</v>
      </c>
    </row>
    <row r="1701">
      <c r="A1701" s="1" t="s">
        <v>8394</v>
      </c>
      <c r="B1701" s="1" t="s">
        <v>8393</v>
      </c>
      <c r="C1701" s="1" t="s">
        <v>13823</v>
      </c>
      <c r="D1701" s="7" t="s">
        <v>10</v>
      </c>
    </row>
    <row r="1702">
      <c r="A1702" s="1" t="s">
        <v>8399</v>
      </c>
      <c r="B1702" s="1" t="s">
        <v>8398</v>
      </c>
      <c r="C1702" s="1" t="s">
        <v>13824</v>
      </c>
      <c r="D1702" s="7" t="s">
        <v>10</v>
      </c>
    </row>
    <row r="1703">
      <c r="A1703" s="1" t="s">
        <v>8404</v>
      </c>
      <c r="B1703" s="1" t="s">
        <v>8403</v>
      </c>
      <c r="C1703" s="1" t="s">
        <v>13825</v>
      </c>
      <c r="D1703" s="7" t="s">
        <v>10</v>
      </c>
    </row>
    <row r="1704">
      <c r="A1704" s="1" t="s">
        <v>8409</v>
      </c>
      <c r="B1704" s="1" t="s">
        <v>8408</v>
      </c>
      <c r="C1704" s="1" t="s">
        <v>13826</v>
      </c>
      <c r="D1704" s="7" t="s">
        <v>10</v>
      </c>
    </row>
    <row r="1705">
      <c r="A1705" s="1" t="s">
        <v>8414</v>
      </c>
      <c r="B1705" s="1" t="s">
        <v>8413</v>
      </c>
      <c r="C1705" s="1" t="s">
        <v>13827</v>
      </c>
      <c r="D1705" s="7" t="s">
        <v>10</v>
      </c>
    </row>
    <row r="1706">
      <c r="A1706" s="1" t="s">
        <v>8419</v>
      </c>
      <c r="B1706" s="1" t="s">
        <v>8418</v>
      </c>
      <c r="C1706" s="1" t="s">
        <v>13828</v>
      </c>
      <c r="D1706" s="7" t="s">
        <v>10</v>
      </c>
    </row>
    <row r="1707">
      <c r="A1707" s="1" t="s">
        <v>8424</v>
      </c>
      <c r="B1707" s="1" t="s">
        <v>8423</v>
      </c>
      <c r="C1707" s="1" t="s">
        <v>13829</v>
      </c>
      <c r="D1707" s="7" t="s">
        <v>10</v>
      </c>
    </row>
    <row r="1708">
      <c r="A1708" s="1" t="s">
        <v>8429</v>
      </c>
      <c r="B1708" s="1" t="s">
        <v>8428</v>
      </c>
      <c r="C1708" s="1" t="s">
        <v>13830</v>
      </c>
      <c r="D1708" s="7" t="s">
        <v>10</v>
      </c>
    </row>
    <row r="1709">
      <c r="A1709" s="1" t="s">
        <v>8434</v>
      </c>
      <c r="B1709" s="1" t="s">
        <v>8433</v>
      </c>
      <c r="C1709" s="1" t="s">
        <v>13831</v>
      </c>
      <c r="D1709" s="7" t="s">
        <v>10</v>
      </c>
    </row>
    <row r="1710">
      <c r="A1710" s="1" t="s">
        <v>8439</v>
      </c>
      <c r="B1710" s="1" t="s">
        <v>8438</v>
      </c>
      <c r="C1710" s="1" t="s">
        <v>13832</v>
      </c>
      <c r="D1710" s="7" t="s">
        <v>10</v>
      </c>
    </row>
    <row r="1711">
      <c r="A1711" s="1" t="s">
        <v>8444</v>
      </c>
      <c r="B1711" s="1" t="s">
        <v>8443</v>
      </c>
      <c r="C1711" s="1" t="s">
        <v>13833</v>
      </c>
      <c r="D1711" s="7" t="s">
        <v>10</v>
      </c>
    </row>
    <row r="1712">
      <c r="A1712" s="1" t="s">
        <v>8449</v>
      </c>
      <c r="B1712" s="1" t="s">
        <v>8448</v>
      </c>
      <c r="C1712" s="1" t="s">
        <v>13834</v>
      </c>
      <c r="D1712" s="7" t="s">
        <v>10</v>
      </c>
    </row>
    <row r="1713">
      <c r="A1713" s="1" t="s">
        <v>8454</v>
      </c>
      <c r="B1713" s="1" t="s">
        <v>8453</v>
      </c>
      <c r="C1713" s="1" t="s">
        <v>13835</v>
      </c>
      <c r="D1713" s="7" t="s">
        <v>10</v>
      </c>
    </row>
    <row r="1714">
      <c r="A1714" s="1" t="s">
        <v>8459</v>
      </c>
      <c r="B1714" s="1" t="s">
        <v>8458</v>
      </c>
      <c r="C1714" s="1" t="s">
        <v>13836</v>
      </c>
      <c r="D1714" s="7" t="s">
        <v>10</v>
      </c>
    </row>
    <row r="1715">
      <c r="A1715" s="1" t="s">
        <v>8464</v>
      </c>
      <c r="B1715" s="1" t="s">
        <v>8463</v>
      </c>
      <c r="C1715" s="1" t="s">
        <v>13837</v>
      </c>
      <c r="D1715" s="7" t="s">
        <v>10</v>
      </c>
    </row>
    <row r="1716">
      <c r="A1716" s="1" t="s">
        <v>8469</v>
      </c>
      <c r="B1716" s="1" t="s">
        <v>8468</v>
      </c>
      <c r="C1716" s="1" t="s">
        <v>13838</v>
      </c>
      <c r="D1716" s="7" t="s">
        <v>10</v>
      </c>
    </row>
    <row r="1717">
      <c r="A1717" s="1" t="s">
        <v>8474</v>
      </c>
      <c r="B1717" s="1" t="s">
        <v>8473</v>
      </c>
      <c r="C1717" s="1" t="s">
        <v>13839</v>
      </c>
      <c r="D1717" s="7" t="s">
        <v>10</v>
      </c>
    </row>
    <row r="1718">
      <c r="A1718" s="1" t="s">
        <v>8479</v>
      </c>
      <c r="B1718" s="1" t="s">
        <v>8478</v>
      </c>
      <c r="C1718" s="1" t="s">
        <v>13840</v>
      </c>
      <c r="D1718" s="7" t="s">
        <v>10</v>
      </c>
    </row>
    <row r="1719">
      <c r="A1719" s="1" t="s">
        <v>8484</v>
      </c>
      <c r="B1719" s="1" t="s">
        <v>8483</v>
      </c>
      <c r="C1719" s="1" t="s">
        <v>13841</v>
      </c>
      <c r="D1719" s="7" t="s">
        <v>10</v>
      </c>
    </row>
    <row r="1720">
      <c r="A1720" s="1" t="s">
        <v>8489</v>
      </c>
      <c r="B1720" s="1" t="s">
        <v>8488</v>
      </c>
      <c r="C1720" s="1" t="s">
        <v>13842</v>
      </c>
      <c r="D1720" s="7" t="s">
        <v>10</v>
      </c>
    </row>
    <row r="1721">
      <c r="A1721" s="1" t="s">
        <v>8494</v>
      </c>
      <c r="B1721" s="1" t="s">
        <v>8493</v>
      </c>
      <c r="C1721" s="1" t="s">
        <v>13843</v>
      </c>
      <c r="D1721" s="7" t="s">
        <v>10</v>
      </c>
    </row>
    <row r="1722">
      <c r="A1722" s="1" t="s">
        <v>8499</v>
      </c>
      <c r="B1722" s="1" t="s">
        <v>8498</v>
      </c>
      <c r="C1722" s="1" t="s">
        <v>13844</v>
      </c>
      <c r="D1722" s="7" t="s">
        <v>10</v>
      </c>
    </row>
    <row r="1723">
      <c r="A1723" s="1" t="s">
        <v>8504</v>
      </c>
      <c r="B1723" s="1" t="s">
        <v>8503</v>
      </c>
      <c r="C1723" s="1" t="s">
        <v>13845</v>
      </c>
      <c r="D1723" s="7" t="s">
        <v>10</v>
      </c>
    </row>
    <row r="1724">
      <c r="A1724" s="1" t="s">
        <v>8509</v>
      </c>
      <c r="B1724" s="1" t="s">
        <v>8508</v>
      </c>
      <c r="C1724" s="1" t="s">
        <v>13846</v>
      </c>
      <c r="D1724" s="7" t="s">
        <v>10</v>
      </c>
    </row>
    <row r="1725">
      <c r="A1725" s="1" t="s">
        <v>8514</v>
      </c>
      <c r="B1725" s="1" t="s">
        <v>8513</v>
      </c>
      <c r="C1725" s="1" t="s">
        <v>13847</v>
      </c>
      <c r="D1725" s="7" t="s">
        <v>10</v>
      </c>
    </row>
    <row r="1726">
      <c r="A1726" s="1" t="s">
        <v>8519</v>
      </c>
      <c r="B1726" s="1" t="s">
        <v>8518</v>
      </c>
      <c r="C1726" s="1" t="s">
        <v>13848</v>
      </c>
      <c r="D1726" s="7" t="s">
        <v>10</v>
      </c>
    </row>
    <row r="1727">
      <c r="A1727" s="1" t="s">
        <v>8524</v>
      </c>
      <c r="B1727" s="1" t="s">
        <v>8523</v>
      </c>
      <c r="C1727" s="1" t="s">
        <v>13849</v>
      </c>
      <c r="D1727" s="7" t="s">
        <v>10</v>
      </c>
    </row>
    <row r="1728">
      <c r="A1728" s="1" t="s">
        <v>8529</v>
      </c>
      <c r="B1728" s="1" t="s">
        <v>8528</v>
      </c>
      <c r="C1728" s="1" t="s">
        <v>13850</v>
      </c>
      <c r="D1728" s="7" t="s">
        <v>10</v>
      </c>
    </row>
    <row r="1729">
      <c r="A1729" s="1" t="s">
        <v>8534</v>
      </c>
      <c r="B1729" s="1" t="s">
        <v>8533</v>
      </c>
      <c r="C1729" s="1" t="s">
        <v>13851</v>
      </c>
      <c r="D1729" s="7" t="s">
        <v>10</v>
      </c>
    </row>
    <row r="1730">
      <c r="A1730" s="1" t="s">
        <v>8539</v>
      </c>
      <c r="B1730" s="1" t="s">
        <v>8538</v>
      </c>
      <c r="C1730" s="1" t="s">
        <v>13852</v>
      </c>
      <c r="D1730" s="7" t="s">
        <v>10</v>
      </c>
    </row>
    <row r="1731">
      <c r="A1731" s="1" t="s">
        <v>8544</v>
      </c>
      <c r="B1731" s="1" t="s">
        <v>8543</v>
      </c>
      <c r="C1731" s="1" t="s">
        <v>13853</v>
      </c>
      <c r="D1731" s="7" t="s">
        <v>10</v>
      </c>
    </row>
    <row r="1732">
      <c r="A1732" s="1" t="s">
        <v>8549</v>
      </c>
      <c r="B1732" s="1" t="s">
        <v>8548</v>
      </c>
      <c r="C1732" s="1" t="s">
        <v>13854</v>
      </c>
      <c r="D1732" s="7" t="s">
        <v>10</v>
      </c>
    </row>
    <row r="1733">
      <c r="A1733" s="1" t="s">
        <v>8554</v>
      </c>
      <c r="B1733" s="1" t="s">
        <v>8553</v>
      </c>
      <c r="C1733" s="1" t="s">
        <v>13855</v>
      </c>
      <c r="D1733" s="7" t="s">
        <v>10</v>
      </c>
    </row>
    <row r="1734">
      <c r="A1734" s="1" t="s">
        <v>8559</v>
      </c>
      <c r="B1734" s="1" t="s">
        <v>8558</v>
      </c>
      <c r="C1734" s="1" t="s">
        <v>13856</v>
      </c>
      <c r="D1734" s="7" t="s">
        <v>10</v>
      </c>
    </row>
    <row r="1735">
      <c r="A1735" s="1" t="s">
        <v>8564</v>
      </c>
      <c r="B1735" s="1" t="s">
        <v>8563</v>
      </c>
      <c r="C1735" s="1" t="s">
        <v>13857</v>
      </c>
      <c r="D1735" s="7" t="s">
        <v>10</v>
      </c>
    </row>
    <row r="1736">
      <c r="A1736" s="1" t="s">
        <v>8569</v>
      </c>
      <c r="B1736" s="1" t="s">
        <v>8568</v>
      </c>
      <c r="C1736" s="1" t="s">
        <v>13858</v>
      </c>
      <c r="D1736" s="7" t="s">
        <v>10</v>
      </c>
    </row>
    <row r="1737">
      <c r="A1737" s="1" t="s">
        <v>8574</v>
      </c>
      <c r="B1737" s="1" t="s">
        <v>8573</v>
      </c>
      <c r="C1737" s="1" t="s">
        <v>13859</v>
      </c>
      <c r="D1737" s="7" t="s">
        <v>10</v>
      </c>
    </row>
    <row r="1738">
      <c r="A1738" s="1" t="s">
        <v>8579</v>
      </c>
      <c r="B1738" s="1" t="s">
        <v>8578</v>
      </c>
      <c r="C1738" s="1" t="s">
        <v>13860</v>
      </c>
      <c r="D1738" s="7" t="s">
        <v>10</v>
      </c>
    </row>
    <row r="1739">
      <c r="A1739" s="1" t="s">
        <v>8583</v>
      </c>
      <c r="B1739" s="1" t="s">
        <v>8583</v>
      </c>
      <c r="C1739" s="1" t="s">
        <v>13861</v>
      </c>
      <c r="D1739" s="7" t="s">
        <v>10</v>
      </c>
    </row>
    <row r="1740">
      <c r="A1740" s="1" t="s">
        <v>8588</v>
      </c>
      <c r="B1740" s="1" t="s">
        <v>8587</v>
      </c>
      <c r="C1740" s="1" t="s">
        <v>13862</v>
      </c>
      <c r="D1740" s="7" t="s">
        <v>10</v>
      </c>
    </row>
    <row r="1741">
      <c r="A1741" s="1" t="s">
        <v>8593</v>
      </c>
      <c r="B1741" s="1" t="s">
        <v>8592</v>
      </c>
      <c r="C1741" s="1" t="s">
        <v>13863</v>
      </c>
      <c r="D1741" s="7" t="s">
        <v>10</v>
      </c>
    </row>
    <row r="1742">
      <c r="A1742" s="1" t="s">
        <v>8597</v>
      </c>
      <c r="B1742" s="1" t="s">
        <v>8597</v>
      </c>
      <c r="C1742" s="1" t="s">
        <v>13864</v>
      </c>
      <c r="D1742" s="7" t="s">
        <v>10</v>
      </c>
    </row>
    <row r="1743">
      <c r="A1743" s="1" t="s">
        <v>8602</v>
      </c>
      <c r="B1743" s="1" t="s">
        <v>8601</v>
      </c>
      <c r="C1743" s="1" t="s">
        <v>13865</v>
      </c>
      <c r="D1743" s="7" t="s">
        <v>10</v>
      </c>
    </row>
    <row r="1744">
      <c r="A1744" s="1" t="s">
        <v>8607</v>
      </c>
      <c r="B1744" s="1" t="s">
        <v>8606</v>
      </c>
      <c r="C1744" s="1" t="s">
        <v>13866</v>
      </c>
      <c r="D1744" s="7" t="s">
        <v>10</v>
      </c>
    </row>
    <row r="1745">
      <c r="A1745" s="1" t="s">
        <v>8612</v>
      </c>
      <c r="B1745" s="1" t="s">
        <v>8611</v>
      </c>
      <c r="C1745" s="1" t="s">
        <v>13867</v>
      </c>
      <c r="D1745" s="7" t="s">
        <v>10</v>
      </c>
    </row>
    <row r="1746">
      <c r="A1746" s="1" t="s">
        <v>8617</v>
      </c>
      <c r="B1746" s="1" t="s">
        <v>8616</v>
      </c>
      <c r="C1746" s="1" t="s">
        <v>13868</v>
      </c>
      <c r="D1746" s="7" t="s">
        <v>10</v>
      </c>
    </row>
    <row r="1747">
      <c r="A1747" s="1" t="s">
        <v>8622</v>
      </c>
      <c r="B1747" s="1" t="s">
        <v>8621</v>
      </c>
      <c r="C1747" s="1" t="s">
        <v>13869</v>
      </c>
      <c r="D1747" s="7" t="s">
        <v>10</v>
      </c>
    </row>
    <row r="1748">
      <c r="A1748" s="1" t="s">
        <v>8627</v>
      </c>
      <c r="B1748" s="1" t="s">
        <v>8626</v>
      </c>
      <c r="C1748" s="1" t="s">
        <v>13870</v>
      </c>
      <c r="D1748" s="7" t="s">
        <v>10</v>
      </c>
    </row>
    <row r="1749">
      <c r="A1749" s="1" t="s">
        <v>8632</v>
      </c>
      <c r="B1749" s="1" t="s">
        <v>8631</v>
      </c>
      <c r="C1749" s="1" t="s">
        <v>13871</v>
      </c>
      <c r="D1749" s="7" t="s">
        <v>10</v>
      </c>
    </row>
    <row r="1750">
      <c r="A1750" s="1" t="s">
        <v>8637</v>
      </c>
      <c r="B1750" s="1" t="s">
        <v>8636</v>
      </c>
      <c r="C1750" s="1" t="s">
        <v>13872</v>
      </c>
      <c r="D1750" s="7" t="s">
        <v>10</v>
      </c>
    </row>
    <row r="1751">
      <c r="A1751" s="1" t="s">
        <v>8642</v>
      </c>
      <c r="B1751" s="1" t="s">
        <v>8641</v>
      </c>
      <c r="C1751" s="1" t="s">
        <v>13873</v>
      </c>
      <c r="D1751" s="7" t="s">
        <v>10</v>
      </c>
    </row>
    <row r="1752">
      <c r="A1752" s="1" t="s">
        <v>8647</v>
      </c>
      <c r="B1752" s="1" t="s">
        <v>8646</v>
      </c>
      <c r="C1752" s="1" t="s">
        <v>13874</v>
      </c>
      <c r="D1752" s="7" t="s">
        <v>10</v>
      </c>
    </row>
    <row r="1753">
      <c r="A1753" s="1" t="s">
        <v>8652</v>
      </c>
      <c r="B1753" s="1" t="s">
        <v>8651</v>
      </c>
      <c r="C1753" s="1" t="s">
        <v>13875</v>
      </c>
      <c r="D1753" s="7" t="s">
        <v>10</v>
      </c>
    </row>
    <row r="1754">
      <c r="A1754" s="1" t="s">
        <v>8657</v>
      </c>
      <c r="B1754" s="1" t="s">
        <v>8656</v>
      </c>
      <c r="C1754" s="1" t="s">
        <v>13876</v>
      </c>
      <c r="D1754" s="7" t="s">
        <v>10</v>
      </c>
    </row>
    <row r="1755">
      <c r="A1755" s="1" t="s">
        <v>8662</v>
      </c>
      <c r="B1755" s="1" t="s">
        <v>8661</v>
      </c>
      <c r="C1755" s="1" t="s">
        <v>13877</v>
      </c>
      <c r="D1755" s="7" t="s">
        <v>10</v>
      </c>
    </row>
    <row r="1756">
      <c r="A1756" s="1" t="s">
        <v>8667</v>
      </c>
      <c r="B1756" s="1" t="s">
        <v>8666</v>
      </c>
      <c r="C1756" s="1" t="s">
        <v>13878</v>
      </c>
      <c r="D1756" s="7" t="s">
        <v>10</v>
      </c>
    </row>
    <row r="1757">
      <c r="A1757" s="1" t="s">
        <v>8672</v>
      </c>
      <c r="B1757" s="1" t="s">
        <v>8671</v>
      </c>
      <c r="C1757" s="1" t="s">
        <v>13879</v>
      </c>
      <c r="D1757" s="7" t="s">
        <v>10</v>
      </c>
    </row>
    <row r="1758">
      <c r="A1758" s="1" t="s">
        <v>8677</v>
      </c>
      <c r="B1758" s="1" t="s">
        <v>8676</v>
      </c>
      <c r="C1758" s="1" t="s">
        <v>13880</v>
      </c>
      <c r="D1758" s="7" t="s">
        <v>10</v>
      </c>
    </row>
    <row r="1759">
      <c r="A1759" s="1" t="s">
        <v>8682</v>
      </c>
      <c r="B1759" s="1" t="s">
        <v>8681</v>
      </c>
      <c r="C1759" s="1" t="s">
        <v>13881</v>
      </c>
      <c r="D1759" s="7" t="s">
        <v>10</v>
      </c>
    </row>
    <row r="1760">
      <c r="A1760" s="1" t="s">
        <v>8687</v>
      </c>
      <c r="B1760" s="1" t="s">
        <v>8686</v>
      </c>
      <c r="C1760" s="1" t="s">
        <v>13882</v>
      </c>
      <c r="D1760" s="7" t="s">
        <v>10</v>
      </c>
    </row>
    <row r="1761">
      <c r="A1761" s="1" t="s">
        <v>8692</v>
      </c>
      <c r="B1761" s="1" t="s">
        <v>8691</v>
      </c>
      <c r="C1761" s="1" t="s">
        <v>13883</v>
      </c>
      <c r="D1761" s="7" t="s">
        <v>10</v>
      </c>
    </row>
    <row r="1762">
      <c r="A1762" s="1" t="s">
        <v>8697</v>
      </c>
      <c r="B1762" s="1" t="s">
        <v>8696</v>
      </c>
      <c r="C1762" s="1" t="s">
        <v>13884</v>
      </c>
      <c r="D1762" s="7" t="s">
        <v>10</v>
      </c>
    </row>
    <row r="1763">
      <c r="A1763" s="1" t="s">
        <v>8702</v>
      </c>
      <c r="B1763" s="1" t="s">
        <v>8701</v>
      </c>
      <c r="C1763" s="1" t="s">
        <v>13885</v>
      </c>
      <c r="D1763" s="7" t="s">
        <v>10</v>
      </c>
    </row>
    <row r="1764">
      <c r="A1764" s="1" t="s">
        <v>8707</v>
      </c>
      <c r="B1764" s="1" t="s">
        <v>8706</v>
      </c>
      <c r="C1764" s="1" t="s">
        <v>13886</v>
      </c>
      <c r="D1764" s="7" t="s">
        <v>10</v>
      </c>
    </row>
    <row r="1765">
      <c r="A1765" s="1" t="s">
        <v>8712</v>
      </c>
      <c r="B1765" s="1" t="s">
        <v>8711</v>
      </c>
      <c r="C1765" s="1" t="s">
        <v>13887</v>
      </c>
      <c r="D1765" s="7" t="s">
        <v>10</v>
      </c>
    </row>
    <row r="1766">
      <c r="A1766" s="1" t="s">
        <v>8717</v>
      </c>
      <c r="B1766" s="1" t="s">
        <v>8716</v>
      </c>
      <c r="C1766" s="1" t="s">
        <v>13888</v>
      </c>
      <c r="D1766" s="7" t="s">
        <v>10</v>
      </c>
    </row>
    <row r="1767">
      <c r="A1767" s="1" t="s">
        <v>8722</v>
      </c>
      <c r="B1767" s="1" t="s">
        <v>8721</v>
      </c>
      <c r="C1767" s="1" t="s">
        <v>13889</v>
      </c>
      <c r="D1767" s="7" t="s">
        <v>10</v>
      </c>
    </row>
    <row r="1768">
      <c r="A1768" s="1" t="s">
        <v>8727</v>
      </c>
      <c r="B1768" s="1" t="s">
        <v>8726</v>
      </c>
      <c r="C1768" s="1" t="s">
        <v>13890</v>
      </c>
      <c r="D1768" s="7" t="s">
        <v>10</v>
      </c>
    </row>
    <row r="1769">
      <c r="A1769" s="1" t="s">
        <v>8732</v>
      </c>
      <c r="B1769" s="1" t="s">
        <v>8731</v>
      </c>
      <c r="C1769" s="1" t="s">
        <v>13891</v>
      </c>
      <c r="D1769" s="7" t="s">
        <v>10</v>
      </c>
    </row>
    <row r="1770">
      <c r="A1770" s="1" t="s">
        <v>8737</v>
      </c>
      <c r="B1770" s="1" t="s">
        <v>8736</v>
      </c>
      <c r="C1770" s="1" t="s">
        <v>13892</v>
      </c>
      <c r="D1770" s="7" t="s">
        <v>10</v>
      </c>
    </row>
    <row r="1771">
      <c r="A1771" s="1" t="s">
        <v>8742</v>
      </c>
      <c r="B1771" s="1" t="s">
        <v>8741</v>
      </c>
      <c r="C1771" s="1" t="s">
        <v>13893</v>
      </c>
      <c r="D1771" s="7" t="s">
        <v>10</v>
      </c>
    </row>
    <row r="1772">
      <c r="A1772" s="1" t="s">
        <v>8747</v>
      </c>
      <c r="B1772" s="1" t="s">
        <v>8746</v>
      </c>
      <c r="C1772" s="1" t="s">
        <v>13894</v>
      </c>
      <c r="D1772" s="7" t="s">
        <v>10</v>
      </c>
    </row>
    <row r="1773">
      <c r="A1773" s="1" t="s">
        <v>8752</v>
      </c>
      <c r="B1773" s="1" t="s">
        <v>8751</v>
      </c>
      <c r="C1773" s="1" t="s">
        <v>13895</v>
      </c>
      <c r="D1773" s="7" t="s">
        <v>10</v>
      </c>
    </row>
    <row r="1774">
      <c r="A1774" s="1" t="s">
        <v>8757</v>
      </c>
      <c r="B1774" s="1" t="s">
        <v>8756</v>
      </c>
      <c r="C1774" s="1" t="s">
        <v>13896</v>
      </c>
      <c r="D1774" s="7" t="s">
        <v>10</v>
      </c>
    </row>
    <row r="1775">
      <c r="A1775" s="1" t="s">
        <v>8762</v>
      </c>
      <c r="B1775" s="1" t="s">
        <v>8761</v>
      </c>
      <c r="C1775" s="1" t="s">
        <v>13897</v>
      </c>
      <c r="D1775" s="7" t="s">
        <v>10</v>
      </c>
    </row>
    <row r="1776">
      <c r="A1776" s="1" t="s">
        <v>8767</v>
      </c>
      <c r="B1776" s="1" t="s">
        <v>8766</v>
      </c>
      <c r="C1776" s="1" t="s">
        <v>13898</v>
      </c>
      <c r="D1776" s="7" t="s">
        <v>10</v>
      </c>
    </row>
    <row r="1777">
      <c r="A1777" s="1" t="s">
        <v>8772</v>
      </c>
      <c r="B1777" s="1" t="s">
        <v>8771</v>
      </c>
      <c r="C1777" s="1" t="s">
        <v>13899</v>
      </c>
      <c r="D1777" s="7" t="s">
        <v>10</v>
      </c>
    </row>
    <row r="1778">
      <c r="A1778" s="1" t="s">
        <v>8777</v>
      </c>
      <c r="B1778" s="1" t="s">
        <v>8776</v>
      </c>
      <c r="C1778" s="1" t="s">
        <v>13900</v>
      </c>
      <c r="D1778" s="7" t="s">
        <v>10</v>
      </c>
    </row>
    <row r="1779">
      <c r="A1779" s="1" t="s">
        <v>8782</v>
      </c>
      <c r="B1779" s="1" t="s">
        <v>8781</v>
      </c>
      <c r="C1779" s="1" t="s">
        <v>13901</v>
      </c>
      <c r="D1779" s="7" t="s">
        <v>10</v>
      </c>
    </row>
    <row r="1780">
      <c r="A1780" s="1" t="s">
        <v>8787</v>
      </c>
      <c r="B1780" s="1" t="s">
        <v>8786</v>
      </c>
      <c r="C1780" s="1" t="s">
        <v>13902</v>
      </c>
      <c r="D1780" s="7" t="s">
        <v>10</v>
      </c>
    </row>
    <row r="1781">
      <c r="A1781" s="1" t="s">
        <v>8792</v>
      </c>
      <c r="B1781" s="1" t="s">
        <v>8791</v>
      </c>
      <c r="C1781" s="1" t="s">
        <v>13903</v>
      </c>
      <c r="D1781" s="7" t="s">
        <v>10</v>
      </c>
    </row>
    <row r="1782">
      <c r="A1782" s="1" t="s">
        <v>8797</v>
      </c>
      <c r="B1782" s="1" t="s">
        <v>8796</v>
      </c>
      <c r="C1782" s="1" t="s">
        <v>13904</v>
      </c>
      <c r="D1782" s="7" t="s">
        <v>10</v>
      </c>
    </row>
    <row r="1783">
      <c r="A1783" s="1" t="s">
        <v>8802</v>
      </c>
      <c r="B1783" s="1" t="s">
        <v>8801</v>
      </c>
      <c r="C1783" s="1" t="s">
        <v>13905</v>
      </c>
      <c r="D1783" s="7" t="s">
        <v>10</v>
      </c>
    </row>
    <row r="1784">
      <c r="A1784" s="1" t="s">
        <v>8807</v>
      </c>
      <c r="B1784" s="1" t="s">
        <v>8806</v>
      </c>
      <c r="C1784" s="1" t="s">
        <v>13906</v>
      </c>
      <c r="D1784" s="7" t="s">
        <v>10</v>
      </c>
    </row>
    <row r="1785">
      <c r="A1785" s="1" t="s">
        <v>8812</v>
      </c>
      <c r="B1785" s="1" t="s">
        <v>8811</v>
      </c>
      <c r="C1785" s="1" t="s">
        <v>13907</v>
      </c>
      <c r="D1785" s="7" t="s">
        <v>10</v>
      </c>
    </row>
    <row r="1786">
      <c r="A1786" s="1" t="s">
        <v>8817</v>
      </c>
      <c r="B1786" s="1" t="s">
        <v>8816</v>
      </c>
      <c r="C1786" s="1" t="s">
        <v>13908</v>
      </c>
      <c r="D1786" s="7" t="s">
        <v>10</v>
      </c>
    </row>
    <row r="1787">
      <c r="A1787" s="1" t="s">
        <v>8822</v>
      </c>
      <c r="B1787" s="1" t="s">
        <v>8821</v>
      </c>
      <c r="C1787" s="1" t="s">
        <v>13909</v>
      </c>
      <c r="D1787" s="7" t="s">
        <v>10</v>
      </c>
    </row>
    <row r="1788">
      <c r="A1788" s="1" t="s">
        <v>8827</v>
      </c>
      <c r="B1788" s="1" t="s">
        <v>8826</v>
      </c>
      <c r="C1788" s="1" t="s">
        <v>13910</v>
      </c>
      <c r="D1788" s="7" t="s">
        <v>10</v>
      </c>
    </row>
    <row r="1789">
      <c r="A1789" s="1" t="s">
        <v>8832</v>
      </c>
      <c r="B1789" s="1" t="s">
        <v>8831</v>
      </c>
      <c r="C1789" s="1" t="s">
        <v>13911</v>
      </c>
      <c r="D1789" s="7" t="s">
        <v>10</v>
      </c>
    </row>
    <row r="1790">
      <c r="A1790" s="1" t="s">
        <v>8837</v>
      </c>
      <c r="B1790" s="1" t="s">
        <v>8836</v>
      </c>
      <c r="C1790" s="1" t="s">
        <v>13912</v>
      </c>
      <c r="D1790" s="7" t="s">
        <v>10</v>
      </c>
    </row>
    <row r="1791">
      <c r="A1791" s="1" t="s">
        <v>8842</v>
      </c>
      <c r="B1791" s="1" t="s">
        <v>8841</v>
      </c>
      <c r="C1791" s="1" t="s">
        <v>13913</v>
      </c>
      <c r="D1791" s="7" t="s">
        <v>10</v>
      </c>
    </row>
    <row r="1792">
      <c r="A1792" s="1" t="s">
        <v>8847</v>
      </c>
      <c r="B1792" s="1" t="s">
        <v>8846</v>
      </c>
      <c r="C1792" s="1" t="s">
        <v>13914</v>
      </c>
      <c r="D1792" s="7" t="s">
        <v>10</v>
      </c>
    </row>
    <row r="1793">
      <c r="A1793" s="1" t="s">
        <v>8852</v>
      </c>
      <c r="B1793" s="1" t="s">
        <v>8851</v>
      </c>
      <c r="C1793" s="1" t="s">
        <v>13915</v>
      </c>
      <c r="D1793" s="7" t="s">
        <v>10</v>
      </c>
    </row>
    <row r="1794">
      <c r="A1794" s="1" t="s">
        <v>8857</v>
      </c>
      <c r="B1794" s="1" t="s">
        <v>8856</v>
      </c>
      <c r="C1794" s="1" t="s">
        <v>13916</v>
      </c>
      <c r="D1794" s="7" t="s">
        <v>10</v>
      </c>
    </row>
    <row r="1795">
      <c r="A1795" s="1" t="s">
        <v>8862</v>
      </c>
      <c r="B1795" s="1" t="s">
        <v>8861</v>
      </c>
      <c r="C1795" s="1" t="s">
        <v>13917</v>
      </c>
      <c r="D1795" s="7" t="s">
        <v>10</v>
      </c>
    </row>
    <row r="1796">
      <c r="A1796" s="1" t="s">
        <v>8867</v>
      </c>
      <c r="B1796" s="1" t="s">
        <v>8866</v>
      </c>
      <c r="C1796" s="1" t="s">
        <v>13918</v>
      </c>
      <c r="D1796" s="7" t="s">
        <v>10</v>
      </c>
    </row>
    <row r="1797">
      <c r="A1797" s="1" t="s">
        <v>8872</v>
      </c>
      <c r="B1797" s="1" t="s">
        <v>8871</v>
      </c>
      <c r="C1797" s="1" t="s">
        <v>13919</v>
      </c>
      <c r="D1797" s="7" t="s">
        <v>10</v>
      </c>
    </row>
    <row r="1798">
      <c r="A1798" s="1" t="s">
        <v>8877</v>
      </c>
      <c r="B1798" s="1" t="s">
        <v>8876</v>
      </c>
      <c r="C1798" s="1" t="s">
        <v>13920</v>
      </c>
      <c r="D1798" s="7" t="s">
        <v>10</v>
      </c>
    </row>
    <row r="1799">
      <c r="A1799" s="1" t="s">
        <v>8882</v>
      </c>
      <c r="B1799" s="1" t="s">
        <v>8881</v>
      </c>
      <c r="C1799" s="1" t="s">
        <v>13921</v>
      </c>
      <c r="D1799" s="7" t="s">
        <v>10</v>
      </c>
    </row>
    <row r="1800">
      <c r="A1800" s="1" t="s">
        <v>8887</v>
      </c>
      <c r="B1800" s="1" t="s">
        <v>8886</v>
      </c>
      <c r="C1800" s="1" t="s">
        <v>13922</v>
      </c>
      <c r="D1800" s="7" t="s">
        <v>10</v>
      </c>
    </row>
    <row r="1801">
      <c r="A1801" s="1" t="s">
        <v>8892</v>
      </c>
      <c r="B1801" s="1" t="s">
        <v>8891</v>
      </c>
      <c r="C1801" s="1" t="s">
        <v>13923</v>
      </c>
      <c r="D1801" s="7" t="s">
        <v>10</v>
      </c>
    </row>
    <row r="1802">
      <c r="A1802" s="1" t="s">
        <v>8897</v>
      </c>
      <c r="B1802" s="1" t="s">
        <v>8896</v>
      </c>
      <c r="C1802" s="1" t="s">
        <v>13924</v>
      </c>
      <c r="D1802" s="7" t="s">
        <v>10</v>
      </c>
    </row>
    <row r="1803">
      <c r="A1803" s="1" t="s">
        <v>8902</v>
      </c>
      <c r="B1803" s="1" t="s">
        <v>8901</v>
      </c>
      <c r="C1803" s="1" t="s">
        <v>13925</v>
      </c>
      <c r="D1803" s="7" t="s">
        <v>10</v>
      </c>
    </row>
    <row r="1804">
      <c r="A1804" s="1" t="s">
        <v>8907</v>
      </c>
      <c r="B1804" s="1" t="s">
        <v>8906</v>
      </c>
      <c r="C1804" s="1" t="s">
        <v>13926</v>
      </c>
      <c r="D1804" s="7" t="s">
        <v>10</v>
      </c>
    </row>
    <row r="1805">
      <c r="A1805" s="1" t="s">
        <v>8912</v>
      </c>
      <c r="B1805" s="1" t="s">
        <v>8911</v>
      </c>
      <c r="C1805" s="1" t="s">
        <v>13927</v>
      </c>
      <c r="D1805" s="7" t="s">
        <v>10</v>
      </c>
    </row>
    <row r="1806">
      <c r="A1806" s="1" t="s">
        <v>8917</v>
      </c>
      <c r="B1806" s="1" t="s">
        <v>8916</v>
      </c>
      <c r="C1806" s="1" t="s">
        <v>13928</v>
      </c>
      <c r="D1806" s="7" t="s">
        <v>10</v>
      </c>
    </row>
    <row r="1807">
      <c r="A1807" s="1" t="s">
        <v>8922</v>
      </c>
      <c r="B1807" s="1" t="s">
        <v>8921</v>
      </c>
      <c r="C1807" s="1" t="s">
        <v>13929</v>
      </c>
      <c r="D1807" s="7" t="s">
        <v>10</v>
      </c>
    </row>
    <row r="1808">
      <c r="A1808" s="1" t="s">
        <v>8927</v>
      </c>
      <c r="B1808" s="1" t="s">
        <v>8926</v>
      </c>
      <c r="C1808" s="1" t="s">
        <v>13930</v>
      </c>
      <c r="D1808" s="7" t="s">
        <v>10</v>
      </c>
    </row>
    <row r="1809">
      <c r="A1809" s="1" t="s">
        <v>8931</v>
      </c>
      <c r="B1809" s="1" t="s">
        <v>8931</v>
      </c>
      <c r="C1809" s="1" t="s">
        <v>13931</v>
      </c>
      <c r="D1809" s="7" t="s">
        <v>10</v>
      </c>
    </row>
    <row r="1810">
      <c r="A1810" s="1" t="s">
        <v>8936</v>
      </c>
      <c r="B1810" s="1" t="s">
        <v>8935</v>
      </c>
      <c r="C1810" s="1" t="s">
        <v>13932</v>
      </c>
      <c r="D1810" s="7" t="s">
        <v>10</v>
      </c>
    </row>
    <row r="1811">
      <c r="A1811" s="1" t="s">
        <v>8941</v>
      </c>
      <c r="B1811" s="1" t="s">
        <v>8940</v>
      </c>
      <c r="C1811" s="1" t="s">
        <v>13933</v>
      </c>
      <c r="D1811" s="7" t="s">
        <v>10</v>
      </c>
    </row>
    <row r="1812">
      <c r="A1812" s="1" t="s">
        <v>8946</v>
      </c>
      <c r="B1812" s="1" t="s">
        <v>8945</v>
      </c>
      <c r="C1812" s="1" t="s">
        <v>13934</v>
      </c>
      <c r="D1812" s="7" t="s">
        <v>10</v>
      </c>
    </row>
    <row r="1813">
      <c r="A1813" s="1" t="s">
        <v>8951</v>
      </c>
      <c r="B1813" s="1" t="s">
        <v>8950</v>
      </c>
      <c r="C1813" s="1" t="s">
        <v>13935</v>
      </c>
      <c r="D1813" s="7" t="s">
        <v>10</v>
      </c>
    </row>
    <row r="1814">
      <c r="A1814" s="1" t="s">
        <v>8956</v>
      </c>
      <c r="B1814" s="1" t="s">
        <v>8955</v>
      </c>
      <c r="C1814" s="1" t="s">
        <v>13936</v>
      </c>
      <c r="D1814" s="7" t="s">
        <v>10</v>
      </c>
    </row>
    <row r="1815">
      <c r="A1815" s="1" t="s">
        <v>8961</v>
      </c>
      <c r="B1815" s="1" t="s">
        <v>8960</v>
      </c>
      <c r="C1815" s="1" t="s">
        <v>13937</v>
      </c>
      <c r="D1815" s="7" t="s">
        <v>10</v>
      </c>
    </row>
    <row r="1816">
      <c r="A1816" s="1" t="s">
        <v>8966</v>
      </c>
      <c r="B1816" s="1" t="s">
        <v>8965</v>
      </c>
      <c r="C1816" s="1" t="s">
        <v>13938</v>
      </c>
      <c r="D1816" s="7" t="s">
        <v>10</v>
      </c>
    </row>
    <row r="1817">
      <c r="A1817" s="1" t="s">
        <v>8971</v>
      </c>
      <c r="B1817" s="1" t="s">
        <v>8970</v>
      </c>
      <c r="C1817" s="1" t="s">
        <v>13939</v>
      </c>
      <c r="D1817" s="7" t="s">
        <v>10</v>
      </c>
    </row>
    <row r="1818">
      <c r="A1818" s="1" t="s">
        <v>8976</v>
      </c>
      <c r="B1818" s="1" t="s">
        <v>8975</v>
      </c>
      <c r="C1818" s="1" t="s">
        <v>13940</v>
      </c>
      <c r="D1818" s="7" t="s">
        <v>10</v>
      </c>
    </row>
    <row r="1819">
      <c r="A1819" s="1" t="s">
        <v>8981</v>
      </c>
      <c r="B1819" s="1" t="s">
        <v>8980</v>
      </c>
      <c r="C1819" s="1" t="s">
        <v>13941</v>
      </c>
      <c r="D1819" s="7" t="s">
        <v>10</v>
      </c>
    </row>
    <row r="1820">
      <c r="A1820" s="1" t="s">
        <v>8986</v>
      </c>
      <c r="B1820" s="1" t="s">
        <v>8985</v>
      </c>
      <c r="C1820" s="1" t="s">
        <v>13942</v>
      </c>
      <c r="D1820" s="7" t="s">
        <v>10</v>
      </c>
    </row>
    <row r="1821">
      <c r="A1821" s="1" t="s">
        <v>8991</v>
      </c>
      <c r="B1821" s="1" t="s">
        <v>8990</v>
      </c>
      <c r="C1821" s="1" t="s">
        <v>13943</v>
      </c>
      <c r="D1821" s="7" t="s">
        <v>10</v>
      </c>
    </row>
    <row r="1822">
      <c r="A1822" s="1" t="s">
        <v>8996</v>
      </c>
      <c r="B1822" s="1" t="s">
        <v>8995</v>
      </c>
      <c r="C1822" s="1" t="s">
        <v>13944</v>
      </c>
      <c r="D1822" s="7" t="s">
        <v>10</v>
      </c>
    </row>
    <row r="1823">
      <c r="A1823" s="1" t="s">
        <v>9001</v>
      </c>
      <c r="B1823" s="1" t="s">
        <v>9000</v>
      </c>
      <c r="C1823" s="1" t="s">
        <v>13945</v>
      </c>
      <c r="D1823" s="7" t="s">
        <v>10</v>
      </c>
    </row>
    <row r="1824">
      <c r="A1824" s="1" t="s">
        <v>9006</v>
      </c>
      <c r="B1824" s="1" t="s">
        <v>9005</v>
      </c>
      <c r="C1824" s="1" t="s">
        <v>13946</v>
      </c>
      <c r="D1824" s="7" t="s">
        <v>10</v>
      </c>
    </row>
    <row r="1825">
      <c r="A1825" s="1" t="s">
        <v>9011</v>
      </c>
      <c r="B1825" s="1" t="s">
        <v>9010</v>
      </c>
      <c r="C1825" s="1" t="s">
        <v>13947</v>
      </c>
      <c r="D1825" s="7" t="s">
        <v>10</v>
      </c>
    </row>
    <row r="1826">
      <c r="A1826" s="1" t="s">
        <v>9016</v>
      </c>
      <c r="B1826" s="1" t="s">
        <v>9015</v>
      </c>
      <c r="C1826" s="1" t="s">
        <v>13948</v>
      </c>
      <c r="D1826" s="7" t="s">
        <v>10</v>
      </c>
    </row>
    <row r="1827">
      <c r="A1827" s="1" t="s">
        <v>9021</v>
      </c>
      <c r="B1827" s="1" t="s">
        <v>9020</v>
      </c>
      <c r="C1827" s="1" t="s">
        <v>13949</v>
      </c>
      <c r="D1827" s="7" t="s">
        <v>10</v>
      </c>
    </row>
    <row r="1828">
      <c r="A1828" s="1" t="s">
        <v>9026</v>
      </c>
      <c r="B1828" s="1" t="s">
        <v>9025</v>
      </c>
      <c r="C1828" s="1" t="s">
        <v>13950</v>
      </c>
      <c r="D1828" s="7" t="s">
        <v>10</v>
      </c>
    </row>
    <row r="1829">
      <c r="A1829" s="1" t="s">
        <v>9031</v>
      </c>
      <c r="B1829" s="1" t="s">
        <v>9030</v>
      </c>
      <c r="C1829" s="1" t="s">
        <v>13951</v>
      </c>
      <c r="D1829" s="7" t="s">
        <v>10</v>
      </c>
    </row>
    <row r="1830">
      <c r="A1830" s="1" t="s">
        <v>9036</v>
      </c>
      <c r="B1830" s="1" t="s">
        <v>9035</v>
      </c>
      <c r="C1830" s="1" t="s">
        <v>13952</v>
      </c>
      <c r="D1830" s="7" t="s">
        <v>10</v>
      </c>
    </row>
    <row r="1831">
      <c r="A1831" s="1" t="s">
        <v>9041</v>
      </c>
      <c r="B1831" s="1" t="s">
        <v>9040</v>
      </c>
      <c r="C1831" s="1" t="s">
        <v>13953</v>
      </c>
      <c r="D1831" s="7" t="s">
        <v>10</v>
      </c>
    </row>
    <row r="1832">
      <c r="A1832" s="1" t="s">
        <v>9046</v>
      </c>
      <c r="B1832" s="1" t="s">
        <v>9045</v>
      </c>
      <c r="C1832" s="1" t="s">
        <v>13954</v>
      </c>
      <c r="D1832" s="7" t="s">
        <v>10</v>
      </c>
    </row>
    <row r="1833">
      <c r="A1833" s="1" t="s">
        <v>9051</v>
      </c>
      <c r="B1833" s="1" t="s">
        <v>9050</v>
      </c>
      <c r="C1833" s="1" t="s">
        <v>13955</v>
      </c>
      <c r="D1833" s="7" t="s">
        <v>10</v>
      </c>
    </row>
    <row r="1834">
      <c r="A1834" s="1" t="s">
        <v>9056</v>
      </c>
      <c r="B1834" s="1" t="s">
        <v>9055</v>
      </c>
      <c r="C1834" s="1" t="s">
        <v>13956</v>
      </c>
      <c r="D1834" s="7" t="s">
        <v>10</v>
      </c>
    </row>
    <row r="1835">
      <c r="A1835" s="1" t="s">
        <v>9061</v>
      </c>
      <c r="B1835" s="1" t="s">
        <v>9060</v>
      </c>
      <c r="C1835" s="1" t="s">
        <v>13957</v>
      </c>
      <c r="D1835" s="7" t="s">
        <v>10</v>
      </c>
    </row>
    <row r="1836">
      <c r="A1836" s="1" t="s">
        <v>9066</v>
      </c>
      <c r="B1836" s="1" t="s">
        <v>9065</v>
      </c>
      <c r="C1836" s="1" t="s">
        <v>13958</v>
      </c>
      <c r="D1836" s="7" t="s">
        <v>10</v>
      </c>
    </row>
    <row r="1837">
      <c r="A1837" s="1" t="s">
        <v>9071</v>
      </c>
      <c r="B1837" s="1" t="s">
        <v>9070</v>
      </c>
      <c r="C1837" s="1" t="s">
        <v>13959</v>
      </c>
      <c r="D1837" s="7" t="s">
        <v>10</v>
      </c>
    </row>
    <row r="1838">
      <c r="A1838" s="1" t="s">
        <v>9076</v>
      </c>
      <c r="B1838" s="1" t="s">
        <v>9075</v>
      </c>
      <c r="C1838" s="1" t="s">
        <v>13960</v>
      </c>
      <c r="D1838" s="7" t="s">
        <v>10</v>
      </c>
    </row>
    <row r="1839">
      <c r="A1839" s="1" t="s">
        <v>9081</v>
      </c>
      <c r="B1839" s="1" t="s">
        <v>9080</v>
      </c>
      <c r="C1839" s="1" t="s">
        <v>13961</v>
      </c>
      <c r="D1839" s="7" t="s">
        <v>10</v>
      </c>
    </row>
    <row r="1840">
      <c r="A1840" s="1" t="s">
        <v>9086</v>
      </c>
      <c r="B1840" s="1" t="s">
        <v>9085</v>
      </c>
      <c r="C1840" s="1" t="s">
        <v>13962</v>
      </c>
      <c r="D1840" s="7" t="s">
        <v>10</v>
      </c>
    </row>
    <row r="1841">
      <c r="A1841" s="1" t="s">
        <v>9091</v>
      </c>
      <c r="B1841" s="1" t="s">
        <v>9090</v>
      </c>
      <c r="C1841" s="1" t="s">
        <v>13963</v>
      </c>
      <c r="D1841" s="7" t="s">
        <v>10</v>
      </c>
    </row>
    <row r="1842">
      <c r="A1842" s="1" t="s">
        <v>9096</v>
      </c>
      <c r="B1842" s="1" t="s">
        <v>9095</v>
      </c>
      <c r="C1842" s="1" t="s">
        <v>13964</v>
      </c>
      <c r="D1842" s="7" t="s">
        <v>10</v>
      </c>
    </row>
    <row r="1843">
      <c r="A1843" s="1" t="s">
        <v>9101</v>
      </c>
      <c r="B1843" s="1" t="s">
        <v>9100</v>
      </c>
      <c r="C1843" s="1" t="s">
        <v>13965</v>
      </c>
      <c r="D1843" s="7" t="s">
        <v>10</v>
      </c>
    </row>
    <row r="1844">
      <c r="A1844" s="1" t="s">
        <v>9106</v>
      </c>
      <c r="B1844" s="1" t="s">
        <v>9105</v>
      </c>
      <c r="C1844" s="1" t="s">
        <v>13966</v>
      </c>
      <c r="D1844" s="7" t="s">
        <v>10</v>
      </c>
    </row>
    <row r="1845">
      <c r="A1845" s="1" t="s">
        <v>9111</v>
      </c>
      <c r="B1845" s="1" t="s">
        <v>9110</v>
      </c>
      <c r="C1845" s="1" t="s">
        <v>13967</v>
      </c>
      <c r="D1845" s="7" t="s">
        <v>10</v>
      </c>
    </row>
    <row r="1846">
      <c r="A1846" s="1" t="s">
        <v>9116</v>
      </c>
      <c r="B1846" s="1" t="s">
        <v>9115</v>
      </c>
      <c r="C1846" s="1" t="s">
        <v>13968</v>
      </c>
      <c r="D1846" s="7" t="s">
        <v>10</v>
      </c>
    </row>
    <row r="1847">
      <c r="A1847" s="1" t="s">
        <v>9121</v>
      </c>
      <c r="B1847" s="1" t="s">
        <v>9120</v>
      </c>
      <c r="C1847" s="1" t="s">
        <v>13969</v>
      </c>
      <c r="D1847" s="7" t="s">
        <v>10</v>
      </c>
    </row>
    <row r="1848">
      <c r="A1848" s="1" t="s">
        <v>9126</v>
      </c>
      <c r="B1848" s="1" t="s">
        <v>9125</v>
      </c>
      <c r="C1848" s="1" t="s">
        <v>13970</v>
      </c>
      <c r="D1848" s="7" t="s">
        <v>10</v>
      </c>
    </row>
    <row r="1849">
      <c r="A1849" s="1" t="s">
        <v>9131</v>
      </c>
      <c r="B1849" s="1" t="s">
        <v>9130</v>
      </c>
      <c r="C1849" s="1" t="s">
        <v>13971</v>
      </c>
      <c r="D1849" s="7" t="s">
        <v>10</v>
      </c>
    </row>
    <row r="1850">
      <c r="A1850" s="1" t="s">
        <v>9136</v>
      </c>
      <c r="B1850" s="1" t="s">
        <v>9135</v>
      </c>
      <c r="C1850" s="1" t="s">
        <v>13972</v>
      </c>
      <c r="D1850" s="7" t="s">
        <v>10</v>
      </c>
    </row>
    <row r="1851">
      <c r="A1851" s="1" t="s">
        <v>9141</v>
      </c>
      <c r="B1851" s="1" t="s">
        <v>9140</v>
      </c>
      <c r="C1851" s="1" t="s">
        <v>13973</v>
      </c>
      <c r="D1851" s="7" t="s">
        <v>10</v>
      </c>
    </row>
    <row r="1852">
      <c r="A1852" s="1" t="s">
        <v>9146</v>
      </c>
      <c r="B1852" s="1" t="s">
        <v>9145</v>
      </c>
      <c r="C1852" s="1" t="s">
        <v>13974</v>
      </c>
      <c r="D1852" s="7" t="s">
        <v>10</v>
      </c>
    </row>
    <row r="1853">
      <c r="A1853" s="1" t="s">
        <v>9151</v>
      </c>
      <c r="B1853" s="1" t="s">
        <v>9150</v>
      </c>
      <c r="C1853" s="1" t="s">
        <v>13975</v>
      </c>
      <c r="D1853" s="7" t="s">
        <v>10</v>
      </c>
    </row>
    <row r="1854">
      <c r="A1854" s="1" t="s">
        <v>9156</v>
      </c>
      <c r="B1854" s="1" t="s">
        <v>9155</v>
      </c>
      <c r="C1854" s="1" t="s">
        <v>13976</v>
      </c>
      <c r="D1854" s="7" t="s">
        <v>10</v>
      </c>
    </row>
    <row r="1855">
      <c r="A1855" s="1" t="s">
        <v>9161</v>
      </c>
      <c r="B1855" s="1" t="s">
        <v>9160</v>
      </c>
      <c r="C1855" s="1" t="s">
        <v>13977</v>
      </c>
      <c r="D1855" s="7" t="s">
        <v>10</v>
      </c>
    </row>
    <row r="1856">
      <c r="A1856" s="1" t="s">
        <v>9166</v>
      </c>
      <c r="B1856" s="1" t="s">
        <v>9165</v>
      </c>
      <c r="C1856" s="1" t="s">
        <v>13978</v>
      </c>
      <c r="D1856" s="7" t="s">
        <v>10</v>
      </c>
    </row>
    <row r="1857">
      <c r="A1857" s="1" t="s">
        <v>9171</v>
      </c>
      <c r="B1857" s="1" t="s">
        <v>9170</v>
      </c>
      <c r="C1857" s="1" t="s">
        <v>13979</v>
      </c>
      <c r="D1857" s="7" t="s">
        <v>10</v>
      </c>
    </row>
    <row r="1858">
      <c r="A1858" s="1" t="s">
        <v>9176</v>
      </c>
      <c r="B1858" s="1" t="s">
        <v>9175</v>
      </c>
      <c r="C1858" s="1" t="s">
        <v>13980</v>
      </c>
      <c r="D1858" s="7" t="s">
        <v>10</v>
      </c>
    </row>
    <row r="1859">
      <c r="A1859" s="1" t="s">
        <v>9181</v>
      </c>
      <c r="B1859" s="1" t="s">
        <v>9180</v>
      </c>
      <c r="C1859" s="1" t="s">
        <v>13981</v>
      </c>
      <c r="D1859" s="7" t="s">
        <v>10</v>
      </c>
    </row>
    <row r="1860">
      <c r="A1860" s="1" t="s">
        <v>9186</v>
      </c>
      <c r="B1860" s="1" t="s">
        <v>9185</v>
      </c>
      <c r="C1860" s="1" t="s">
        <v>13982</v>
      </c>
      <c r="D1860" s="7" t="s">
        <v>10</v>
      </c>
    </row>
    <row r="1861">
      <c r="A1861" s="1" t="s">
        <v>9191</v>
      </c>
      <c r="B1861" s="1" t="s">
        <v>9190</v>
      </c>
      <c r="C1861" s="1" t="s">
        <v>13983</v>
      </c>
      <c r="D1861" s="7" t="s">
        <v>10</v>
      </c>
    </row>
    <row r="1862">
      <c r="A1862" s="1" t="s">
        <v>9196</v>
      </c>
      <c r="B1862" s="1" t="s">
        <v>9195</v>
      </c>
      <c r="C1862" s="1" t="s">
        <v>13984</v>
      </c>
      <c r="D1862" s="7" t="s">
        <v>10</v>
      </c>
    </row>
    <row r="1863">
      <c r="A1863" s="1" t="s">
        <v>9201</v>
      </c>
      <c r="B1863" s="1" t="s">
        <v>9200</v>
      </c>
      <c r="C1863" s="1" t="s">
        <v>13985</v>
      </c>
      <c r="D1863" s="7" t="s">
        <v>10</v>
      </c>
    </row>
    <row r="1864">
      <c r="A1864" s="1" t="s">
        <v>9206</v>
      </c>
      <c r="B1864" s="1" t="s">
        <v>9205</v>
      </c>
      <c r="C1864" s="1" t="s">
        <v>13986</v>
      </c>
      <c r="D1864" s="7" t="s">
        <v>10</v>
      </c>
    </row>
    <row r="1865">
      <c r="A1865" s="1" t="s">
        <v>9211</v>
      </c>
      <c r="B1865" s="1" t="s">
        <v>9210</v>
      </c>
      <c r="C1865" s="1" t="s">
        <v>13987</v>
      </c>
      <c r="D1865" s="7" t="s">
        <v>10</v>
      </c>
    </row>
    <row r="1866">
      <c r="A1866" s="1" t="s">
        <v>9216</v>
      </c>
      <c r="B1866" s="1" t="s">
        <v>9215</v>
      </c>
      <c r="C1866" s="1" t="s">
        <v>13988</v>
      </c>
      <c r="D1866" s="7" t="s">
        <v>10</v>
      </c>
    </row>
    <row r="1867">
      <c r="A1867" s="1" t="s">
        <v>9221</v>
      </c>
      <c r="B1867" s="1" t="s">
        <v>9220</v>
      </c>
      <c r="C1867" s="1" t="s">
        <v>13989</v>
      </c>
      <c r="D1867" s="7" t="s">
        <v>10</v>
      </c>
    </row>
    <row r="1868">
      <c r="A1868" s="1" t="s">
        <v>9226</v>
      </c>
      <c r="B1868" s="1" t="s">
        <v>9225</v>
      </c>
      <c r="C1868" s="1" t="s">
        <v>13990</v>
      </c>
      <c r="D1868" s="7" t="s">
        <v>10</v>
      </c>
    </row>
    <row r="1869">
      <c r="A1869" s="1" t="s">
        <v>9231</v>
      </c>
      <c r="B1869" s="1" t="s">
        <v>9230</v>
      </c>
      <c r="C1869" s="1" t="s">
        <v>13991</v>
      </c>
      <c r="D1869" s="7" t="s">
        <v>10</v>
      </c>
    </row>
    <row r="1870">
      <c r="A1870" s="1" t="s">
        <v>9236</v>
      </c>
      <c r="B1870" s="1" t="s">
        <v>9235</v>
      </c>
      <c r="C1870" s="1" t="s">
        <v>13992</v>
      </c>
      <c r="D1870" s="7" t="s">
        <v>10</v>
      </c>
    </row>
    <row r="1871">
      <c r="A1871" s="1" t="s">
        <v>9241</v>
      </c>
      <c r="B1871" s="1" t="s">
        <v>9240</v>
      </c>
      <c r="C1871" s="1" t="s">
        <v>13993</v>
      </c>
      <c r="D1871" s="7" t="s">
        <v>10</v>
      </c>
    </row>
    <row r="1872">
      <c r="A1872" s="1" t="s">
        <v>9246</v>
      </c>
      <c r="B1872" s="1" t="s">
        <v>9245</v>
      </c>
      <c r="C1872" s="1" t="s">
        <v>13994</v>
      </c>
      <c r="D1872" s="7" t="s">
        <v>10</v>
      </c>
    </row>
    <row r="1873">
      <c r="A1873" s="1" t="s">
        <v>9251</v>
      </c>
      <c r="B1873" s="1" t="s">
        <v>9250</v>
      </c>
      <c r="C1873" s="1" t="s">
        <v>13995</v>
      </c>
      <c r="D1873" s="7" t="s">
        <v>10</v>
      </c>
    </row>
    <row r="1874">
      <c r="A1874" s="1" t="s">
        <v>9256</v>
      </c>
      <c r="B1874" s="1" t="s">
        <v>9255</v>
      </c>
      <c r="C1874" s="1" t="s">
        <v>13996</v>
      </c>
      <c r="D1874" s="7" t="s">
        <v>10</v>
      </c>
    </row>
    <row r="1875">
      <c r="A1875" s="1" t="s">
        <v>9261</v>
      </c>
      <c r="B1875" s="1" t="s">
        <v>9260</v>
      </c>
      <c r="C1875" s="1" t="s">
        <v>13997</v>
      </c>
      <c r="D1875" s="7" t="s">
        <v>10</v>
      </c>
    </row>
    <row r="1876">
      <c r="A1876" s="1" t="s">
        <v>9266</v>
      </c>
      <c r="B1876" s="1" t="s">
        <v>9265</v>
      </c>
      <c r="C1876" s="1" t="s">
        <v>13998</v>
      </c>
      <c r="D1876" s="7" t="s">
        <v>10</v>
      </c>
    </row>
    <row r="1877">
      <c r="A1877" s="1" t="s">
        <v>9271</v>
      </c>
      <c r="B1877" s="1" t="s">
        <v>9270</v>
      </c>
      <c r="C1877" s="1" t="s">
        <v>13999</v>
      </c>
      <c r="D1877" s="7" t="s">
        <v>10</v>
      </c>
    </row>
    <row r="1878">
      <c r="A1878" s="1" t="s">
        <v>9276</v>
      </c>
      <c r="B1878" s="1" t="s">
        <v>9275</v>
      </c>
      <c r="C1878" s="1" t="s">
        <v>14000</v>
      </c>
      <c r="D1878" s="7" t="s">
        <v>10</v>
      </c>
    </row>
    <row r="1879">
      <c r="A1879" s="1" t="s">
        <v>9281</v>
      </c>
      <c r="B1879" s="1" t="s">
        <v>9280</v>
      </c>
      <c r="C1879" s="1" t="s">
        <v>14001</v>
      </c>
      <c r="D1879" s="7" t="s">
        <v>10</v>
      </c>
    </row>
    <row r="1880">
      <c r="A1880" s="1" t="s">
        <v>9286</v>
      </c>
      <c r="B1880" s="1" t="s">
        <v>9285</v>
      </c>
      <c r="C1880" s="1" t="s">
        <v>14002</v>
      </c>
      <c r="D1880" s="7" t="s">
        <v>10</v>
      </c>
    </row>
    <row r="1881">
      <c r="A1881" s="1" t="s">
        <v>9291</v>
      </c>
      <c r="B1881" s="1" t="s">
        <v>9290</v>
      </c>
      <c r="C1881" s="1" t="s">
        <v>14003</v>
      </c>
      <c r="D1881" s="7" t="s">
        <v>10</v>
      </c>
    </row>
    <row r="1882">
      <c r="A1882" s="1" t="s">
        <v>9296</v>
      </c>
      <c r="B1882" s="1" t="s">
        <v>9295</v>
      </c>
      <c r="C1882" s="1" t="s">
        <v>14004</v>
      </c>
      <c r="D1882" s="7" t="s">
        <v>10</v>
      </c>
    </row>
    <row r="1883">
      <c r="A1883" s="1" t="s">
        <v>9301</v>
      </c>
      <c r="B1883" s="1" t="s">
        <v>9300</v>
      </c>
      <c r="C1883" s="1" t="s">
        <v>14005</v>
      </c>
      <c r="D1883" s="7" t="s">
        <v>10</v>
      </c>
    </row>
    <row r="1884">
      <c r="A1884" s="1" t="s">
        <v>9306</v>
      </c>
      <c r="B1884" s="1" t="s">
        <v>9305</v>
      </c>
      <c r="C1884" s="1" t="s">
        <v>14006</v>
      </c>
      <c r="D1884" s="7" t="s">
        <v>10</v>
      </c>
    </row>
    <row r="1885">
      <c r="A1885" s="1" t="s">
        <v>9311</v>
      </c>
      <c r="B1885" s="1" t="s">
        <v>9310</v>
      </c>
      <c r="C1885" s="1" t="s">
        <v>14007</v>
      </c>
      <c r="D1885" s="7" t="s">
        <v>10</v>
      </c>
    </row>
    <row r="1886">
      <c r="A1886" s="1" t="s">
        <v>9316</v>
      </c>
      <c r="B1886" s="1" t="s">
        <v>9315</v>
      </c>
      <c r="C1886" s="1" t="s">
        <v>14008</v>
      </c>
      <c r="D1886" s="7" t="s">
        <v>10</v>
      </c>
    </row>
    <row r="1887">
      <c r="A1887" s="1" t="s">
        <v>9321</v>
      </c>
      <c r="B1887" s="1" t="s">
        <v>9320</v>
      </c>
      <c r="C1887" s="1" t="s">
        <v>14009</v>
      </c>
      <c r="D1887" s="7" t="s">
        <v>10</v>
      </c>
    </row>
    <row r="1888">
      <c r="A1888" s="1" t="s">
        <v>9326</v>
      </c>
      <c r="B1888" s="1" t="s">
        <v>9325</v>
      </c>
      <c r="C1888" s="1" t="s">
        <v>14010</v>
      </c>
      <c r="D1888" s="7" t="s">
        <v>10</v>
      </c>
    </row>
    <row r="1889">
      <c r="A1889" s="1" t="s">
        <v>9331</v>
      </c>
      <c r="B1889" s="1" t="s">
        <v>9330</v>
      </c>
      <c r="C1889" s="1" t="s">
        <v>14011</v>
      </c>
      <c r="D1889" s="7" t="s">
        <v>10</v>
      </c>
    </row>
    <row r="1890">
      <c r="A1890" s="1" t="s">
        <v>9336</v>
      </c>
      <c r="B1890" s="1" t="s">
        <v>9335</v>
      </c>
      <c r="C1890" s="1" t="s">
        <v>14012</v>
      </c>
      <c r="D1890" s="7" t="s">
        <v>10</v>
      </c>
    </row>
    <row r="1891">
      <c r="A1891" s="1" t="s">
        <v>9341</v>
      </c>
      <c r="B1891" s="1" t="s">
        <v>9340</v>
      </c>
      <c r="C1891" s="1" t="s">
        <v>14013</v>
      </c>
      <c r="D1891" s="7" t="s">
        <v>10</v>
      </c>
    </row>
    <row r="1892">
      <c r="A1892" s="1" t="s">
        <v>9346</v>
      </c>
      <c r="B1892" s="1" t="s">
        <v>9345</v>
      </c>
      <c r="C1892" s="1" t="s">
        <v>14014</v>
      </c>
      <c r="D1892" s="7" t="s">
        <v>10</v>
      </c>
    </row>
    <row r="1893">
      <c r="A1893" s="1" t="s">
        <v>9351</v>
      </c>
      <c r="B1893" s="1" t="s">
        <v>9350</v>
      </c>
      <c r="C1893" s="1" t="s">
        <v>14015</v>
      </c>
      <c r="D1893" s="7" t="s">
        <v>10</v>
      </c>
    </row>
    <row r="1894">
      <c r="A1894" s="1" t="s">
        <v>9356</v>
      </c>
      <c r="B1894" s="1" t="s">
        <v>9355</v>
      </c>
      <c r="C1894" s="1" t="s">
        <v>14016</v>
      </c>
      <c r="D1894" s="7" t="s">
        <v>10</v>
      </c>
    </row>
    <row r="1895">
      <c r="A1895" s="1" t="s">
        <v>9361</v>
      </c>
      <c r="B1895" s="1" t="s">
        <v>9360</v>
      </c>
      <c r="C1895" s="1" t="s">
        <v>14017</v>
      </c>
      <c r="D1895" s="7" t="s">
        <v>10</v>
      </c>
    </row>
    <row r="1896">
      <c r="A1896" s="1" t="s">
        <v>9366</v>
      </c>
      <c r="B1896" s="1" t="s">
        <v>9365</v>
      </c>
      <c r="C1896" s="1" t="s">
        <v>14018</v>
      </c>
      <c r="D1896" s="7" t="s">
        <v>10</v>
      </c>
    </row>
    <row r="1897">
      <c r="A1897" s="1" t="s">
        <v>9371</v>
      </c>
      <c r="B1897" s="1" t="s">
        <v>9370</v>
      </c>
      <c r="C1897" s="1" t="s">
        <v>14019</v>
      </c>
      <c r="D1897" s="7" t="s">
        <v>10</v>
      </c>
    </row>
    <row r="1898">
      <c r="A1898" s="1" t="s">
        <v>9376</v>
      </c>
      <c r="B1898" s="1" t="s">
        <v>9375</v>
      </c>
      <c r="C1898" s="1" t="s">
        <v>14020</v>
      </c>
      <c r="D1898" s="7" t="s">
        <v>10</v>
      </c>
    </row>
    <row r="1899">
      <c r="A1899" s="1" t="s">
        <v>9381</v>
      </c>
      <c r="B1899" s="1" t="s">
        <v>9380</v>
      </c>
      <c r="C1899" s="1" t="s">
        <v>14021</v>
      </c>
      <c r="D1899" s="7" t="s">
        <v>10</v>
      </c>
    </row>
    <row r="1900">
      <c r="A1900" s="1" t="s">
        <v>9386</v>
      </c>
      <c r="B1900" s="1" t="s">
        <v>9385</v>
      </c>
      <c r="C1900" s="1" t="s">
        <v>14022</v>
      </c>
      <c r="D1900" s="7" t="s">
        <v>10</v>
      </c>
    </row>
    <row r="1901">
      <c r="A1901" s="1" t="s">
        <v>9391</v>
      </c>
      <c r="B1901" s="1" t="s">
        <v>9390</v>
      </c>
      <c r="C1901" s="1" t="s">
        <v>14023</v>
      </c>
      <c r="D1901" s="7" t="s">
        <v>10</v>
      </c>
    </row>
    <row r="1902">
      <c r="A1902" s="1" t="s">
        <v>9396</v>
      </c>
      <c r="B1902" s="1" t="s">
        <v>9395</v>
      </c>
      <c r="C1902" s="1" t="s">
        <v>14024</v>
      </c>
      <c r="D1902" s="7" t="s">
        <v>10</v>
      </c>
    </row>
    <row r="1903">
      <c r="A1903" s="1" t="s">
        <v>9401</v>
      </c>
      <c r="B1903" s="1" t="s">
        <v>9400</v>
      </c>
      <c r="C1903" s="1" t="s">
        <v>14025</v>
      </c>
      <c r="D1903" s="7" t="s">
        <v>10</v>
      </c>
    </row>
    <row r="1904">
      <c r="A1904" s="1" t="s">
        <v>9406</v>
      </c>
      <c r="B1904" s="1" t="s">
        <v>9405</v>
      </c>
      <c r="C1904" s="1" t="s">
        <v>14026</v>
      </c>
      <c r="D1904" s="7" t="s">
        <v>10</v>
      </c>
    </row>
    <row r="1905">
      <c r="A1905" s="1" t="s">
        <v>9411</v>
      </c>
      <c r="B1905" s="1" t="s">
        <v>9410</v>
      </c>
      <c r="C1905" s="1" t="s">
        <v>14027</v>
      </c>
      <c r="D1905" s="7" t="s">
        <v>10</v>
      </c>
    </row>
    <row r="1906">
      <c r="A1906" s="1" t="s">
        <v>9416</v>
      </c>
      <c r="B1906" s="1" t="s">
        <v>9415</v>
      </c>
      <c r="C1906" s="1" t="s">
        <v>14028</v>
      </c>
      <c r="D1906" s="7" t="s">
        <v>10</v>
      </c>
    </row>
    <row r="1907">
      <c r="A1907" s="1" t="s">
        <v>9421</v>
      </c>
      <c r="B1907" s="1" t="s">
        <v>9420</v>
      </c>
      <c r="C1907" s="1" t="s">
        <v>14029</v>
      </c>
      <c r="D1907" s="7" t="s">
        <v>10</v>
      </c>
    </row>
    <row r="1908">
      <c r="A1908" s="1" t="s">
        <v>9426</v>
      </c>
      <c r="B1908" s="1" t="s">
        <v>9425</v>
      </c>
      <c r="C1908" s="1" t="s">
        <v>14030</v>
      </c>
      <c r="D1908" s="7" t="s">
        <v>10</v>
      </c>
    </row>
    <row r="1909">
      <c r="A1909" s="1" t="s">
        <v>9431</v>
      </c>
      <c r="B1909" s="1" t="s">
        <v>9430</v>
      </c>
      <c r="C1909" s="1" t="s">
        <v>14031</v>
      </c>
      <c r="D1909" s="7" t="s">
        <v>10</v>
      </c>
    </row>
    <row r="1910">
      <c r="A1910" s="1" t="s">
        <v>9436</v>
      </c>
      <c r="B1910" s="1" t="s">
        <v>9435</v>
      </c>
      <c r="C1910" s="1" t="s">
        <v>14032</v>
      </c>
      <c r="D1910" s="7" t="s">
        <v>10</v>
      </c>
    </row>
    <row r="1911">
      <c r="A1911" s="1" t="s">
        <v>9441</v>
      </c>
      <c r="B1911" s="1" t="s">
        <v>9440</v>
      </c>
      <c r="C1911" s="1" t="s">
        <v>14033</v>
      </c>
      <c r="D1911" s="7" t="s">
        <v>10</v>
      </c>
    </row>
    <row r="1912">
      <c r="A1912" s="1" t="s">
        <v>9446</v>
      </c>
      <c r="B1912" s="1" t="s">
        <v>9445</v>
      </c>
      <c r="C1912" s="1" t="s">
        <v>14034</v>
      </c>
      <c r="D1912" s="7" t="s">
        <v>10</v>
      </c>
    </row>
    <row r="1913">
      <c r="A1913" s="1" t="s">
        <v>9451</v>
      </c>
      <c r="B1913" s="1" t="s">
        <v>9450</v>
      </c>
      <c r="C1913" s="1" t="s">
        <v>14035</v>
      </c>
      <c r="D1913" s="7" t="s">
        <v>10</v>
      </c>
    </row>
    <row r="1914">
      <c r="A1914" s="1" t="s">
        <v>9456</v>
      </c>
      <c r="B1914" s="1" t="s">
        <v>9455</v>
      </c>
      <c r="C1914" s="1" t="s">
        <v>14036</v>
      </c>
      <c r="D1914" s="7" t="s">
        <v>10</v>
      </c>
    </row>
    <row r="1915">
      <c r="A1915" s="1" t="s">
        <v>9461</v>
      </c>
      <c r="B1915" s="1" t="s">
        <v>9460</v>
      </c>
      <c r="C1915" s="1" t="s">
        <v>14037</v>
      </c>
      <c r="D1915" s="7" t="s">
        <v>10</v>
      </c>
    </row>
    <row r="1916">
      <c r="A1916" s="1" t="s">
        <v>9466</v>
      </c>
      <c r="B1916" s="1" t="s">
        <v>9465</v>
      </c>
      <c r="C1916" s="1" t="s">
        <v>14038</v>
      </c>
      <c r="D1916" s="7" t="s">
        <v>10</v>
      </c>
    </row>
    <row r="1917">
      <c r="A1917" s="1" t="s">
        <v>9471</v>
      </c>
      <c r="B1917" s="1" t="s">
        <v>9470</v>
      </c>
      <c r="C1917" s="1" t="s">
        <v>14039</v>
      </c>
      <c r="D1917" s="7" t="s">
        <v>10</v>
      </c>
    </row>
    <row r="1918">
      <c r="A1918" s="1" t="s">
        <v>9475</v>
      </c>
      <c r="B1918" s="1" t="s">
        <v>9475</v>
      </c>
      <c r="C1918" s="1" t="s">
        <v>14040</v>
      </c>
      <c r="D1918" s="7" t="s">
        <v>10</v>
      </c>
    </row>
    <row r="1919">
      <c r="A1919" s="1" t="s">
        <v>9480</v>
      </c>
      <c r="B1919" s="1" t="s">
        <v>9479</v>
      </c>
      <c r="C1919" s="1" t="s">
        <v>14041</v>
      </c>
      <c r="D1919" s="7" t="s">
        <v>10</v>
      </c>
    </row>
    <row r="1920">
      <c r="A1920" s="1" t="s">
        <v>9485</v>
      </c>
      <c r="B1920" s="1" t="s">
        <v>9484</v>
      </c>
      <c r="C1920" s="1" t="s">
        <v>14042</v>
      </c>
      <c r="D1920" s="7" t="s">
        <v>10</v>
      </c>
    </row>
    <row r="1921">
      <c r="A1921" s="1" t="s">
        <v>9490</v>
      </c>
      <c r="B1921" s="1" t="s">
        <v>9489</v>
      </c>
      <c r="C1921" s="1" t="s">
        <v>14043</v>
      </c>
      <c r="D1921" s="7" t="s">
        <v>10</v>
      </c>
    </row>
    <row r="1922">
      <c r="A1922" s="1" t="s">
        <v>9495</v>
      </c>
      <c r="B1922" s="1" t="s">
        <v>9494</v>
      </c>
      <c r="C1922" s="1" t="s">
        <v>14044</v>
      </c>
      <c r="D1922" s="7" t="s">
        <v>10</v>
      </c>
    </row>
    <row r="1923">
      <c r="A1923" s="1" t="s">
        <v>9500</v>
      </c>
      <c r="B1923" s="1" t="s">
        <v>9499</v>
      </c>
      <c r="C1923" s="1" t="s">
        <v>14045</v>
      </c>
      <c r="D1923" s="7" t="s">
        <v>10</v>
      </c>
    </row>
    <row r="1924">
      <c r="A1924" s="1" t="s">
        <v>9505</v>
      </c>
      <c r="B1924" s="1" t="s">
        <v>9504</v>
      </c>
      <c r="C1924" s="1" t="s">
        <v>14046</v>
      </c>
      <c r="D1924" s="7" t="s">
        <v>10</v>
      </c>
    </row>
    <row r="1925">
      <c r="A1925" s="1" t="s">
        <v>9510</v>
      </c>
      <c r="B1925" s="1" t="s">
        <v>9509</v>
      </c>
      <c r="C1925" s="1" t="s">
        <v>14047</v>
      </c>
      <c r="D1925" s="7" t="s">
        <v>10</v>
      </c>
    </row>
    <row r="1926">
      <c r="A1926" s="1" t="s">
        <v>9515</v>
      </c>
      <c r="B1926" s="1" t="s">
        <v>9514</v>
      </c>
      <c r="C1926" s="1" t="s">
        <v>14048</v>
      </c>
      <c r="D1926" s="7" t="s">
        <v>10</v>
      </c>
    </row>
    <row r="1927">
      <c r="A1927" s="1" t="s">
        <v>9520</v>
      </c>
      <c r="B1927" s="1" t="s">
        <v>9519</v>
      </c>
      <c r="C1927" s="1" t="s">
        <v>14049</v>
      </c>
      <c r="D1927" s="7" t="s">
        <v>10</v>
      </c>
    </row>
    <row r="1928">
      <c r="A1928" s="1" t="s">
        <v>9525</v>
      </c>
      <c r="B1928" s="1" t="s">
        <v>9524</v>
      </c>
      <c r="C1928" s="1" t="s">
        <v>14050</v>
      </c>
      <c r="D1928" s="7" t="s">
        <v>10</v>
      </c>
    </row>
    <row r="1929">
      <c r="A1929" s="1" t="s">
        <v>9530</v>
      </c>
      <c r="B1929" s="1" t="s">
        <v>9529</v>
      </c>
      <c r="C1929" s="1" t="s">
        <v>14051</v>
      </c>
      <c r="D1929" s="7" t="s">
        <v>10</v>
      </c>
    </row>
    <row r="1930">
      <c r="A1930" s="1" t="s">
        <v>9535</v>
      </c>
      <c r="B1930" s="1" t="s">
        <v>9534</v>
      </c>
      <c r="C1930" s="1" t="s">
        <v>14052</v>
      </c>
      <c r="D1930" s="7" t="s">
        <v>10</v>
      </c>
    </row>
    <row r="1931">
      <c r="A1931" s="1" t="s">
        <v>9540</v>
      </c>
      <c r="B1931" s="1" t="s">
        <v>9539</v>
      </c>
      <c r="C1931" s="1" t="s">
        <v>14053</v>
      </c>
      <c r="D1931" s="7" t="s">
        <v>10</v>
      </c>
    </row>
    <row r="1932">
      <c r="A1932" s="1" t="s">
        <v>9545</v>
      </c>
      <c r="B1932" s="1" t="s">
        <v>9544</v>
      </c>
      <c r="C1932" s="1" t="s">
        <v>14054</v>
      </c>
      <c r="D1932" s="7" t="s">
        <v>10</v>
      </c>
    </row>
    <row r="1933">
      <c r="A1933" s="1" t="s">
        <v>9550</v>
      </c>
      <c r="B1933" s="1" t="s">
        <v>9549</v>
      </c>
      <c r="C1933" s="1" t="s">
        <v>14055</v>
      </c>
      <c r="D1933" s="7" t="s">
        <v>10</v>
      </c>
    </row>
    <row r="1934">
      <c r="A1934" s="1" t="s">
        <v>9555</v>
      </c>
      <c r="B1934" s="1" t="s">
        <v>9554</v>
      </c>
      <c r="C1934" s="1" t="s">
        <v>14056</v>
      </c>
      <c r="D1934" s="7" t="s">
        <v>10</v>
      </c>
    </row>
    <row r="1935">
      <c r="A1935" s="1" t="s">
        <v>9560</v>
      </c>
      <c r="B1935" s="1" t="s">
        <v>9559</v>
      </c>
      <c r="C1935" s="1" t="s">
        <v>14057</v>
      </c>
      <c r="D1935" s="7" t="s">
        <v>10</v>
      </c>
    </row>
    <row r="1936">
      <c r="A1936" s="1" t="s">
        <v>9565</v>
      </c>
      <c r="B1936" s="1" t="s">
        <v>9564</v>
      </c>
      <c r="C1936" s="1" t="s">
        <v>14058</v>
      </c>
      <c r="D1936" s="7" t="s">
        <v>10</v>
      </c>
    </row>
    <row r="1937">
      <c r="A1937" s="1" t="s">
        <v>9570</v>
      </c>
      <c r="B1937" s="1" t="s">
        <v>9569</v>
      </c>
      <c r="C1937" s="1" t="s">
        <v>14059</v>
      </c>
      <c r="D1937" s="7" t="s">
        <v>10</v>
      </c>
    </row>
    <row r="1938">
      <c r="A1938" s="1" t="s">
        <v>9575</v>
      </c>
      <c r="B1938" s="1" t="s">
        <v>9574</v>
      </c>
      <c r="C1938" s="1" t="s">
        <v>14060</v>
      </c>
      <c r="D1938" s="7" t="s">
        <v>10</v>
      </c>
    </row>
    <row r="1939">
      <c r="A1939" s="1" t="s">
        <v>9580</v>
      </c>
      <c r="B1939" s="1" t="s">
        <v>9579</v>
      </c>
      <c r="C1939" s="1" t="s">
        <v>14061</v>
      </c>
      <c r="D1939" s="7" t="s">
        <v>10</v>
      </c>
    </row>
    <row r="1940">
      <c r="A1940" s="1" t="s">
        <v>9585</v>
      </c>
      <c r="B1940" s="1" t="s">
        <v>9584</v>
      </c>
      <c r="C1940" s="1" t="s">
        <v>14062</v>
      </c>
      <c r="D1940" s="7" t="s">
        <v>10</v>
      </c>
    </row>
    <row r="1941">
      <c r="A1941" s="1" t="s">
        <v>9590</v>
      </c>
      <c r="B1941" s="1" t="s">
        <v>9589</v>
      </c>
      <c r="C1941" s="1" t="s">
        <v>14063</v>
      </c>
      <c r="D1941" s="7" t="s">
        <v>10</v>
      </c>
    </row>
    <row r="1942">
      <c r="A1942" s="1" t="s">
        <v>9595</v>
      </c>
      <c r="B1942" s="1" t="s">
        <v>9594</v>
      </c>
      <c r="C1942" s="1" t="s">
        <v>14064</v>
      </c>
      <c r="D1942" s="7" t="s">
        <v>10</v>
      </c>
    </row>
    <row r="1943">
      <c r="A1943" s="1" t="s">
        <v>9600</v>
      </c>
      <c r="B1943" s="1" t="s">
        <v>9599</v>
      </c>
      <c r="C1943" s="1" t="s">
        <v>14065</v>
      </c>
      <c r="D1943" s="7" t="s">
        <v>10</v>
      </c>
    </row>
    <row r="1944">
      <c r="A1944" s="1" t="s">
        <v>9605</v>
      </c>
      <c r="B1944" s="1" t="s">
        <v>9604</v>
      </c>
      <c r="C1944" s="1" t="s">
        <v>14066</v>
      </c>
      <c r="D1944" s="7" t="s">
        <v>10</v>
      </c>
    </row>
    <row r="1945">
      <c r="A1945" s="1" t="s">
        <v>9610</v>
      </c>
      <c r="B1945" s="1" t="s">
        <v>9609</v>
      </c>
      <c r="C1945" s="1" t="s">
        <v>14067</v>
      </c>
      <c r="D1945" s="7" t="s">
        <v>10</v>
      </c>
    </row>
    <row r="1946">
      <c r="A1946" s="1" t="s">
        <v>9615</v>
      </c>
      <c r="B1946" s="1" t="s">
        <v>9614</v>
      </c>
      <c r="C1946" s="1" t="s">
        <v>14068</v>
      </c>
      <c r="D1946" s="7" t="s">
        <v>10</v>
      </c>
    </row>
    <row r="1947">
      <c r="A1947" s="1" t="s">
        <v>9620</v>
      </c>
      <c r="B1947" s="1" t="s">
        <v>9619</v>
      </c>
      <c r="C1947" s="1" t="s">
        <v>14069</v>
      </c>
      <c r="D1947" s="7" t="s">
        <v>10</v>
      </c>
    </row>
    <row r="1948">
      <c r="A1948" s="1" t="s">
        <v>9625</v>
      </c>
      <c r="B1948" s="1" t="s">
        <v>9624</v>
      </c>
      <c r="C1948" s="1" t="s">
        <v>14070</v>
      </c>
      <c r="D1948" s="7" t="s">
        <v>10</v>
      </c>
    </row>
    <row r="1949">
      <c r="A1949" s="1" t="s">
        <v>9630</v>
      </c>
      <c r="B1949" s="1" t="s">
        <v>9629</v>
      </c>
      <c r="C1949" s="1" t="s">
        <v>14071</v>
      </c>
      <c r="D1949" s="7" t="s">
        <v>10</v>
      </c>
    </row>
    <row r="1950">
      <c r="A1950" s="1" t="s">
        <v>9635</v>
      </c>
      <c r="B1950" s="1" t="s">
        <v>9634</v>
      </c>
      <c r="C1950" s="1" t="s">
        <v>14072</v>
      </c>
      <c r="D1950" s="7" t="s">
        <v>10</v>
      </c>
    </row>
    <row r="1951">
      <c r="A1951" s="1" t="s">
        <v>9640</v>
      </c>
      <c r="B1951" s="1" t="s">
        <v>9639</v>
      </c>
      <c r="C1951" s="1" t="s">
        <v>14073</v>
      </c>
      <c r="D1951" s="7" t="s">
        <v>10</v>
      </c>
    </row>
    <row r="1952">
      <c r="A1952" s="1" t="s">
        <v>9645</v>
      </c>
      <c r="B1952" s="1" t="s">
        <v>9644</v>
      </c>
      <c r="C1952" s="1" t="s">
        <v>14074</v>
      </c>
      <c r="D1952" s="7" t="s">
        <v>10</v>
      </c>
    </row>
    <row r="1953">
      <c r="A1953" s="1" t="s">
        <v>9650</v>
      </c>
      <c r="B1953" s="1" t="s">
        <v>9649</v>
      </c>
      <c r="C1953" s="1" t="s">
        <v>14075</v>
      </c>
      <c r="D1953" s="7" t="s">
        <v>10</v>
      </c>
    </row>
    <row r="1954">
      <c r="A1954" s="1" t="s">
        <v>9655</v>
      </c>
      <c r="B1954" s="1" t="s">
        <v>9654</v>
      </c>
      <c r="C1954" s="1" t="s">
        <v>14076</v>
      </c>
      <c r="D1954" s="7" t="s">
        <v>10</v>
      </c>
    </row>
    <row r="1955">
      <c r="A1955" s="1" t="s">
        <v>9660</v>
      </c>
      <c r="B1955" s="1" t="s">
        <v>9659</v>
      </c>
      <c r="C1955" s="1" t="s">
        <v>14077</v>
      </c>
      <c r="D1955" s="7" t="s">
        <v>10</v>
      </c>
    </row>
    <row r="1956">
      <c r="A1956" s="1" t="s">
        <v>9665</v>
      </c>
      <c r="B1956" s="1" t="s">
        <v>9664</v>
      </c>
      <c r="C1956" s="1" t="s">
        <v>14078</v>
      </c>
      <c r="D1956" s="7" t="s">
        <v>10</v>
      </c>
    </row>
    <row r="1957">
      <c r="A1957" s="1" t="s">
        <v>9670</v>
      </c>
      <c r="B1957" s="1" t="s">
        <v>9669</v>
      </c>
      <c r="C1957" s="1" t="s">
        <v>14079</v>
      </c>
      <c r="D1957" s="7" t="s">
        <v>10</v>
      </c>
    </row>
    <row r="1958">
      <c r="A1958" s="1" t="s">
        <v>9675</v>
      </c>
      <c r="B1958" s="1" t="s">
        <v>9674</v>
      </c>
      <c r="C1958" s="1" t="s">
        <v>14080</v>
      </c>
      <c r="D1958" s="7" t="s">
        <v>10</v>
      </c>
    </row>
    <row r="1959">
      <c r="A1959" s="1" t="s">
        <v>9680</v>
      </c>
      <c r="B1959" s="1" t="s">
        <v>9679</v>
      </c>
      <c r="C1959" s="1" t="s">
        <v>14081</v>
      </c>
      <c r="D1959" s="7" t="s">
        <v>10</v>
      </c>
    </row>
    <row r="1960">
      <c r="A1960" s="1" t="s">
        <v>9685</v>
      </c>
      <c r="B1960" s="1" t="s">
        <v>9684</v>
      </c>
      <c r="C1960" s="1" t="s">
        <v>14082</v>
      </c>
      <c r="D1960" s="7" t="s">
        <v>10</v>
      </c>
    </row>
    <row r="1961">
      <c r="A1961" s="1" t="s">
        <v>9690</v>
      </c>
      <c r="B1961" s="1" t="s">
        <v>9689</v>
      </c>
      <c r="C1961" s="1" t="s">
        <v>14083</v>
      </c>
      <c r="D1961" s="7" t="s">
        <v>10</v>
      </c>
    </row>
    <row r="1962">
      <c r="A1962" s="1" t="s">
        <v>9695</v>
      </c>
      <c r="B1962" s="1" t="s">
        <v>9694</v>
      </c>
      <c r="C1962" s="1" t="s">
        <v>14084</v>
      </c>
      <c r="D1962" s="7" t="s">
        <v>10</v>
      </c>
    </row>
    <row r="1963">
      <c r="A1963" s="1" t="s">
        <v>9700</v>
      </c>
      <c r="B1963" s="1" t="s">
        <v>9699</v>
      </c>
      <c r="C1963" s="1" t="s">
        <v>14085</v>
      </c>
      <c r="D1963" s="7" t="s">
        <v>10</v>
      </c>
    </row>
    <row r="1964">
      <c r="A1964" s="1" t="s">
        <v>9705</v>
      </c>
      <c r="B1964" s="1" t="s">
        <v>9704</v>
      </c>
      <c r="C1964" s="1" t="s">
        <v>14086</v>
      </c>
      <c r="D1964" s="7" t="s">
        <v>10</v>
      </c>
    </row>
    <row r="1965">
      <c r="A1965" s="1" t="s">
        <v>9710</v>
      </c>
      <c r="B1965" s="1" t="s">
        <v>9709</v>
      </c>
      <c r="C1965" s="1" t="s">
        <v>14087</v>
      </c>
      <c r="D1965" s="7" t="s">
        <v>10</v>
      </c>
    </row>
    <row r="1966">
      <c r="A1966" s="1" t="s">
        <v>9715</v>
      </c>
      <c r="B1966" s="1" t="s">
        <v>9714</v>
      </c>
      <c r="C1966" s="1" t="s">
        <v>14088</v>
      </c>
      <c r="D1966" s="7" t="s">
        <v>10</v>
      </c>
    </row>
    <row r="1967">
      <c r="A1967" s="1" t="s">
        <v>9720</v>
      </c>
      <c r="B1967" s="1" t="s">
        <v>9719</v>
      </c>
      <c r="C1967" s="1" t="s">
        <v>14089</v>
      </c>
      <c r="D1967" s="7" t="s">
        <v>10</v>
      </c>
    </row>
    <row r="1968">
      <c r="A1968" s="1" t="s">
        <v>9725</v>
      </c>
      <c r="B1968" s="1" t="s">
        <v>9724</v>
      </c>
      <c r="C1968" s="1" t="s">
        <v>14090</v>
      </c>
      <c r="D1968" s="7" t="s">
        <v>10</v>
      </c>
    </row>
    <row r="1969">
      <c r="A1969" s="1" t="s">
        <v>9730</v>
      </c>
      <c r="B1969" s="1" t="s">
        <v>9729</v>
      </c>
      <c r="C1969" s="1" t="s">
        <v>14091</v>
      </c>
      <c r="D1969" s="7" t="s">
        <v>10</v>
      </c>
    </row>
    <row r="1970">
      <c r="A1970" s="1" t="s">
        <v>9735</v>
      </c>
      <c r="B1970" s="1" t="s">
        <v>9734</v>
      </c>
      <c r="C1970" s="1" t="s">
        <v>14092</v>
      </c>
      <c r="D1970" s="7" t="s">
        <v>10</v>
      </c>
    </row>
    <row r="1971">
      <c r="A1971" s="1" t="s">
        <v>9740</v>
      </c>
      <c r="B1971" s="1" t="s">
        <v>9739</v>
      </c>
      <c r="C1971" s="1" t="s">
        <v>14093</v>
      </c>
      <c r="D1971" s="7" t="s">
        <v>10</v>
      </c>
    </row>
    <row r="1972">
      <c r="A1972" s="1" t="s">
        <v>9745</v>
      </c>
      <c r="B1972" s="1" t="s">
        <v>9744</v>
      </c>
      <c r="C1972" s="1" t="s">
        <v>14094</v>
      </c>
      <c r="D1972" s="7" t="s">
        <v>10</v>
      </c>
    </row>
    <row r="1973">
      <c r="A1973" s="1" t="s">
        <v>9750</v>
      </c>
      <c r="B1973" s="1" t="s">
        <v>9749</v>
      </c>
      <c r="C1973" s="1" t="s">
        <v>14095</v>
      </c>
      <c r="D1973" s="7" t="s">
        <v>10</v>
      </c>
    </row>
    <row r="1974">
      <c r="A1974" s="1" t="s">
        <v>9755</v>
      </c>
      <c r="B1974" s="1" t="s">
        <v>9754</v>
      </c>
      <c r="C1974" s="1" t="s">
        <v>14096</v>
      </c>
      <c r="D1974" s="7" t="s">
        <v>10</v>
      </c>
    </row>
    <row r="1975">
      <c r="A1975" s="1" t="s">
        <v>9760</v>
      </c>
      <c r="B1975" s="1" t="s">
        <v>9759</v>
      </c>
      <c r="C1975" s="1" t="s">
        <v>14097</v>
      </c>
      <c r="D1975" s="7" t="s">
        <v>10</v>
      </c>
    </row>
    <row r="1976">
      <c r="A1976" s="1" t="s">
        <v>9765</v>
      </c>
      <c r="B1976" s="1" t="s">
        <v>9764</v>
      </c>
      <c r="C1976" s="1" t="s">
        <v>14098</v>
      </c>
      <c r="D1976" s="7" t="s">
        <v>10</v>
      </c>
    </row>
    <row r="1977">
      <c r="A1977" s="1" t="s">
        <v>9770</v>
      </c>
      <c r="B1977" s="1" t="s">
        <v>9769</v>
      </c>
      <c r="C1977" s="1" t="s">
        <v>14099</v>
      </c>
      <c r="D1977" s="7" t="s">
        <v>10</v>
      </c>
    </row>
    <row r="1978">
      <c r="A1978" s="1" t="s">
        <v>9775</v>
      </c>
      <c r="B1978" s="1" t="s">
        <v>9774</v>
      </c>
      <c r="C1978" s="1" t="s">
        <v>14100</v>
      </c>
      <c r="D1978" s="7" t="s">
        <v>10</v>
      </c>
    </row>
    <row r="1979">
      <c r="A1979" s="1" t="s">
        <v>9780</v>
      </c>
      <c r="B1979" s="1" t="s">
        <v>9779</v>
      </c>
      <c r="C1979" s="1" t="s">
        <v>14101</v>
      </c>
      <c r="D1979" s="7" t="s">
        <v>10</v>
      </c>
    </row>
    <row r="1980">
      <c r="A1980" s="1" t="s">
        <v>9785</v>
      </c>
      <c r="B1980" s="1" t="s">
        <v>9784</v>
      </c>
      <c r="C1980" s="1" t="s">
        <v>14102</v>
      </c>
      <c r="D1980" s="7" t="s">
        <v>10</v>
      </c>
    </row>
    <row r="1981">
      <c r="A1981" s="1" t="s">
        <v>9790</v>
      </c>
      <c r="B1981" s="1" t="s">
        <v>9789</v>
      </c>
      <c r="C1981" s="1" t="s">
        <v>14103</v>
      </c>
      <c r="D1981" s="7" t="s">
        <v>10</v>
      </c>
    </row>
    <row r="1982">
      <c r="A1982" s="1" t="s">
        <v>9795</v>
      </c>
      <c r="B1982" s="1" t="s">
        <v>9794</v>
      </c>
      <c r="C1982" s="1" t="s">
        <v>14104</v>
      </c>
      <c r="D1982" s="7" t="s">
        <v>10</v>
      </c>
    </row>
    <row r="1983">
      <c r="A1983" s="1" t="s">
        <v>9800</v>
      </c>
      <c r="B1983" s="1" t="s">
        <v>9799</v>
      </c>
      <c r="C1983" s="1" t="s">
        <v>14105</v>
      </c>
      <c r="D1983" s="7" t="s">
        <v>10</v>
      </c>
    </row>
    <row r="1984">
      <c r="A1984" s="1" t="s">
        <v>9805</v>
      </c>
      <c r="B1984" s="1" t="s">
        <v>9804</v>
      </c>
      <c r="C1984" s="1" t="s">
        <v>14106</v>
      </c>
      <c r="D1984" s="7" t="s">
        <v>10</v>
      </c>
    </row>
    <row r="1985">
      <c r="A1985" s="1" t="s">
        <v>9809</v>
      </c>
      <c r="B1985" s="1" t="s">
        <v>9809</v>
      </c>
      <c r="C1985" s="1" t="s">
        <v>14107</v>
      </c>
      <c r="D1985" s="7" t="s">
        <v>10</v>
      </c>
    </row>
    <row r="1986">
      <c r="A1986" s="1" t="s">
        <v>9814</v>
      </c>
      <c r="B1986" s="1" t="s">
        <v>9813</v>
      </c>
      <c r="C1986" s="1" t="s">
        <v>14108</v>
      </c>
      <c r="D1986" s="7" t="s">
        <v>10</v>
      </c>
    </row>
    <row r="1987">
      <c r="A1987" s="1" t="s">
        <v>9819</v>
      </c>
      <c r="B1987" s="1" t="s">
        <v>9818</v>
      </c>
      <c r="C1987" s="1" t="s">
        <v>14109</v>
      </c>
      <c r="D1987" s="7" t="s">
        <v>10</v>
      </c>
    </row>
    <row r="1988">
      <c r="A1988" s="1" t="s">
        <v>9824</v>
      </c>
      <c r="B1988" s="1" t="s">
        <v>9823</v>
      </c>
      <c r="C1988" s="1" t="s">
        <v>14110</v>
      </c>
      <c r="D1988" s="7" t="s">
        <v>10</v>
      </c>
    </row>
    <row r="1989">
      <c r="A1989" s="1" t="s">
        <v>9829</v>
      </c>
      <c r="B1989" s="1" t="s">
        <v>9828</v>
      </c>
      <c r="C1989" s="1" t="s">
        <v>14111</v>
      </c>
      <c r="D1989" s="7" t="s">
        <v>10</v>
      </c>
    </row>
    <row r="1990">
      <c r="A1990" s="1" t="s">
        <v>9834</v>
      </c>
      <c r="B1990" s="1" t="s">
        <v>9833</v>
      </c>
      <c r="C1990" s="1" t="s">
        <v>14112</v>
      </c>
      <c r="D1990" s="7" t="s">
        <v>10</v>
      </c>
    </row>
    <row r="1991">
      <c r="A1991" s="1" t="s">
        <v>9839</v>
      </c>
      <c r="B1991" s="1" t="s">
        <v>9838</v>
      </c>
      <c r="C1991" s="1" t="s">
        <v>14113</v>
      </c>
      <c r="D1991" s="7" t="s">
        <v>10</v>
      </c>
    </row>
    <row r="1992">
      <c r="A1992" s="1" t="s">
        <v>9844</v>
      </c>
      <c r="B1992" s="1" t="s">
        <v>9843</v>
      </c>
      <c r="C1992" s="1" t="s">
        <v>14114</v>
      </c>
      <c r="D1992" s="7" t="s">
        <v>10</v>
      </c>
    </row>
    <row r="1993">
      <c r="A1993" s="1" t="s">
        <v>9849</v>
      </c>
      <c r="B1993" s="1" t="s">
        <v>9848</v>
      </c>
      <c r="C1993" s="1" t="s">
        <v>14115</v>
      </c>
      <c r="D1993" s="7" t="s">
        <v>10</v>
      </c>
    </row>
    <row r="1994">
      <c r="A1994" s="1" t="s">
        <v>9854</v>
      </c>
      <c r="B1994" s="1" t="s">
        <v>9853</v>
      </c>
      <c r="C1994" s="1" t="s">
        <v>14116</v>
      </c>
      <c r="D1994" s="7" t="s">
        <v>10</v>
      </c>
    </row>
    <row r="1995">
      <c r="A1995" s="1" t="s">
        <v>9859</v>
      </c>
      <c r="B1995" s="1" t="s">
        <v>9858</v>
      </c>
      <c r="C1995" s="1" t="s">
        <v>14117</v>
      </c>
      <c r="D1995" s="7" t="s">
        <v>10</v>
      </c>
    </row>
    <row r="1996">
      <c r="A1996" s="1" t="s">
        <v>9864</v>
      </c>
      <c r="B1996" s="1" t="s">
        <v>9863</v>
      </c>
      <c r="C1996" s="1" t="s">
        <v>14118</v>
      </c>
      <c r="D1996" s="7" t="s">
        <v>10</v>
      </c>
    </row>
    <row r="1997">
      <c r="A1997" s="1" t="s">
        <v>9869</v>
      </c>
      <c r="B1997" s="1" t="s">
        <v>9868</v>
      </c>
      <c r="C1997" s="1" t="s">
        <v>14119</v>
      </c>
      <c r="D1997" s="7" t="s">
        <v>10</v>
      </c>
    </row>
    <row r="1998">
      <c r="A1998" s="1" t="s">
        <v>9874</v>
      </c>
      <c r="B1998" s="1" t="s">
        <v>9873</v>
      </c>
      <c r="C1998" s="1" t="s">
        <v>14120</v>
      </c>
      <c r="D1998" s="7" t="s">
        <v>10</v>
      </c>
    </row>
    <row r="1999">
      <c r="A1999" s="1" t="s">
        <v>9879</v>
      </c>
      <c r="B1999" s="1" t="s">
        <v>9878</v>
      </c>
      <c r="C1999" s="1" t="s">
        <v>14121</v>
      </c>
      <c r="D1999" s="7" t="s">
        <v>10</v>
      </c>
    </row>
    <row r="2000">
      <c r="A2000" s="1" t="s">
        <v>9884</v>
      </c>
      <c r="B2000" s="1" t="s">
        <v>9883</v>
      </c>
      <c r="C2000" s="1" t="s">
        <v>14122</v>
      </c>
      <c r="D2000" s="7" t="s">
        <v>10</v>
      </c>
    </row>
    <row r="2001">
      <c r="A2001" s="1" t="s">
        <v>9889</v>
      </c>
      <c r="B2001" s="1" t="s">
        <v>9888</v>
      </c>
      <c r="C2001" s="1" t="s">
        <v>14123</v>
      </c>
      <c r="D2001" s="7" t="s">
        <v>10</v>
      </c>
    </row>
    <row r="2002">
      <c r="A2002" s="1" t="s">
        <v>9894</v>
      </c>
      <c r="B2002" s="1" t="s">
        <v>9893</v>
      </c>
      <c r="C2002" s="1" t="s">
        <v>14124</v>
      </c>
      <c r="D2002" s="7" t="s">
        <v>10</v>
      </c>
    </row>
    <row r="2003">
      <c r="A2003" s="1" t="s">
        <v>9899</v>
      </c>
      <c r="B2003" s="1" t="s">
        <v>9898</v>
      </c>
      <c r="C2003" s="1" t="s">
        <v>14125</v>
      </c>
      <c r="D2003" s="7" t="s">
        <v>10</v>
      </c>
    </row>
    <row r="2004">
      <c r="A2004" s="1" t="s">
        <v>9904</v>
      </c>
      <c r="B2004" s="1" t="s">
        <v>9903</v>
      </c>
      <c r="C2004" s="1" t="s">
        <v>14126</v>
      </c>
      <c r="D2004" s="7" t="s">
        <v>10</v>
      </c>
    </row>
    <row r="2005">
      <c r="A2005" s="1" t="s">
        <v>9909</v>
      </c>
      <c r="B2005" s="1" t="s">
        <v>9908</v>
      </c>
      <c r="C2005" s="1" t="s">
        <v>14127</v>
      </c>
      <c r="D2005" s="7" t="s">
        <v>10</v>
      </c>
    </row>
    <row r="2006">
      <c r="A2006" s="1" t="s">
        <v>9914</v>
      </c>
      <c r="B2006" s="1" t="s">
        <v>9913</v>
      </c>
      <c r="C2006" s="1" t="s">
        <v>14128</v>
      </c>
      <c r="D2006" s="7" t="s">
        <v>10</v>
      </c>
    </row>
    <row r="2007">
      <c r="A2007" s="1" t="s">
        <v>9919</v>
      </c>
      <c r="B2007" s="1" t="s">
        <v>9918</v>
      </c>
      <c r="C2007" s="1" t="s">
        <v>14129</v>
      </c>
      <c r="D2007" s="7" t="s">
        <v>10</v>
      </c>
    </row>
    <row r="2008">
      <c r="A2008" s="1" t="s">
        <v>9924</v>
      </c>
      <c r="B2008" s="1" t="s">
        <v>9923</v>
      </c>
      <c r="C2008" s="1" t="s">
        <v>14130</v>
      </c>
      <c r="D2008" s="7" t="s">
        <v>10</v>
      </c>
    </row>
    <row r="2009">
      <c r="A2009" s="1" t="s">
        <v>9929</v>
      </c>
      <c r="B2009" s="1" t="s">
        <v>9928</v>
      </c>
      <c r="C2009" s="1" t="s">
        <v>14131</v>
      </c>
      <c r="D2009" s="7" t="s">
        <v>10</v>
      </c>
    </row>
    <row r="2010">
      <c r="A2010" s="1" t="s">
        <v>9934</v>
      </c>
      <c r="B2010" s="1" t="s">
        <v>9933</v>
      </c>
      <c r="C2010" s="1" t="s">
        <v>14132</v>
      </c>
      <c r="D2010" s="7" t="s">
        <v>10</v>
      </c>
    </row>
    <row r="2011">
      <c r="A2011" s="1" t="s">
        <v>9939</v>
      </c>
      <c r="B2011" s="1" t="s">
        <v>9938</v>
      </c>
      <c r="C2011" s="1" t="s">
        <v>14133</v>
      </c>
      <c r="D2011" s="7" t="s">
        <v>10</v>
      </c>
    </row>
    <row r="2012">
      <c r="A2012" s="1" t="s">
        <v>9944</v>
      </c>
      <c r="B2012" s="1" t="s">
        <v>9943</v>
      </c>
      <c r="C2012" s="1" t="s">
        <v>14134</v>
      </c>
      <c r="D2012" s="7" t="s">
        <v>10</v>
      </c>
    </row>
    <row r="2013">
      <c r="A2013" s="1" t="s">
        <v>9949</v>
      </c>
      <c r="B2013" s="1" t="s">
        <v>9948</v>
      </c>
      <c r="C2013" s="1" t="s">
        <v>14135</v>
      </c>
      <c r="D2013" s="7" t="s">
        <v>10</v>
      </c>
    </row>
    <row r="2014">
      <c r="A2014" s="1" t="s">
        <v>9954</v>
      </c>
      <c r="B2014" s="1" t="s">
        <v>9953</v>
      </c>
      <c r="C2014" s="1" t="s">
        <v>14136</v>
      </c>
      <c r="D2014" s="7" t="s">
        <v>10</v>
      </c>
    </row>
    <row r="2015">
      <c r="A2015" s="1" t="s">
        <v>9959</v>
      </c>
      <c r="B2015" s="1" t="s">
        <v>9958</v>
      </c>
      <c r="C2015" s="1" t="s">
        <v>14137</v>
      </c>
      <c r="D2015" s="7" t="s">
        <v>10</v>
      </c>
    </row>
    <row r="2016">
      <c r="A2016" s="1" t="s">
        <v>9964</v>
      </c>
      <c r="B2016" s="1" t="s">
        <v>9963</v>
      </c>
      <c r="C2016" s="1" t="s">
        <v>14138</v>
      </c>
      <c r="D2016" s="7" t="s">
        <v>10</v>
      </c>
    </row>
    <row r="2017">
      <c r="A2017" s="1" t="s">
        <v>9969</v>
      </c>
      <c r="B2017" s="1" t="s">
        <v>9968</v>
      </c>
      <c r="C2017" s="1" t="s">
        <v>14139</v>
      </c>
      <c r="D2017" s="7" t="s">
        <v>10</v>
      </c>
    </row>
    <row r="2018">
      <c r="A2018" s="1" t="s">
        <v>9974</v>
      </c>
      <c r="B2018" s="1" t="s">
        <v>9973</v>
      </c>
      <c r="C2018" s="1" t="s">
        <v>14140</v>
      </c>
      <c r="D2018" s="7" t="s">
        <v>10</v>
      </c>
    </row>
    <row r="2019">
      <c r="A2019" s="1" t="s">
        <v>9979</v>
      </c>
      <c r="B2019" s="1" t="s">
        <v>9978</v>
      </c>
      <c r="C2019" s="1" t="s">
        <v>14141</v>
      </c>
      <c r="D2019" s="7" t="s">
        <v>10</v>
      </c>
    </row>
    <row r="2020">
      <c r="A2020" s="1" t="s">
        <v>9984</v>
      </c>
      <c r="B2020" s="1" t="s">
        <v>9983</v>
      </c>
      <c r="C2020" s="1" t="s">
        <v>14142</v>
      </c>
      <c r="D2020" s="7" t="s">
        <v>10</v>
      </c>
    </row>
    <row r="2021">
      <c r="A2021" s="1" t="s">
        <v>9989</v>
      </c>
      <c r="B2021" s="1" t="s">
        <v>9988</v>
      </c>
      <c r="C2021" s="1" t="s">
        <v>14143</v>
      </c>
      <c r="D2021" s="7" t="s">
        <v>10</v>
      </c>
    </row>
    <row r="2022">
      <c r="A2022" s="1" t="s">
        <v>9994</v>
      </c>
      <c r="B2022" s="1" t="s">
        <v>9993</v>
      </c>
      <c r="C2022" s="1" t="s">
        <v>14144</v>
      </c>
      <c r="D2022" s="7" t="s">
        <v>10</v>
      </c>
    </row>
    <row r="2023">
      <c r="A2023" s="1" t="s">
        <v>9999</v>
      </c>
      <c r="B2023" s="1" t="s">
        <v>9998</v>
      </c>
      <c r="C2023" s="1" t="s">
        <v>14145</v>
      </c>
      <c r="D2023" s="7" t="s">
        <v>10</v>
      </c>
    </row>
    <row r="2024">
      <c r="A2024" s="1" t="s">
        <v>10004</v>
      </c>
      <c r="B2024" s="1" t="s">
        <v>10003</v>
      </c>
      <c r="C2024" s="1" t="s">
        <v>14146</v>
      </c>
      <c r="D2024" s="7" t="s">
        <v>10</v>
      </c>
    </row>
    <row r="2025">
      <c r="A2025" s="1" t="s">
        <v>10009</v>
      </c>
      <c r="B2025" s="1" t="s">
        <v>10008</v>
      </c>
      <c r="C2025" s="1" t="s">
        <v>14147</v>
      </c>
      <c r="D2025" s="7" t="s">
        <v>10</v>
      </c>
    </row>
    <row r="2026">
      <c r="A2026" s="1" t="s">
        <v>10014</v>
      </c>
      <c r="B2026" s="1" t="s">
        <v>10013</v>
      </c>
      <c r="C2026" s="1" t="s">
        <v>14148</v>
      </c>
      <c r="D2026" s="7" t="s">
        <v>10</v>
      </c>
    </row>
    <row r="2027">
      <c r="A2027" s="1" t="s">
        <v>10019</v>
      </c>
      <c r="B2027" s="1" t="s">
        <v>10018</v>
      </c>
      <c r="C2027" s="1" t="s">
        <v>14149</v>
      </c>
      <c r="D2027" s="7" t="s">
        <v>10</v>
      </c>
    </row>
    <row r="2028">
      <c r="A2028" s="1" t="s">
        <v>10024</v>
      </c>
      <c r="B2028" s="1" t="s">
        <v>10023</v>
      </c>
      <c r="C2028" s="1" t="s">
        <v>14150</v>
      </c>
      <c r="D2028" s="7" t="s">
        <v>10</v>
      </c>
    </row>
    <row r="2029">
      <c r="A2029" s="1" t="s">
        <v>10029</v>
      </c>
      <c r="B2029" s="1" t="s">
        <v>10028</v>
      </c>
      <c r="C2029" s="1" t="s">
        <v>14151</v>
      </c>
      <c r="D2029" s="7" t="s">
        <v>10</v>
      </c>
    </row>
    <row r="2030">
      <c r="A2030" s="1" t="s">
        <v>10034</v>
      </c>
      <c r="B2030" s="1" t="s">
        <v>10033</v>
      </c>
      <c r="C2030" s="1" t="s">
        <v>14152</v>
      </c>
      <c r="D2030" s="7" t="s">
        <v>10</v>
      </c>
    </row>
    <row r="2031">
      <c r="A2031" s="1" t="s">
        <v>10039</v>
      </c>
      <c r="B2031" s="1" t="s">
        <v>10038</v>
      </c>
      <c r="C2031" s="1" t="s">
        <v>14153</v>
      </c>
      <c r="D2031" s="7" t="s">
        <v>10</v>
      </c>
    </row>
    <row r="2032">
      <c r="A2032" s="1" t="s">
        <v>10044</v>
      </c>
      <c r="B2032" s="1" t="s">
        <v>10043</v>
      </c>
      <c r="C2032" s="1" t="s">
        <v>14154</v>
      </c>
      <c r="D2032" s="7" t="s">
        <v>10</v>
      </c>
    </row>
    <row r="2033">
      <c r="A2033" s="1" t="s">
        <v>10049</v>
      </c>
      <c r="B2033" s="1" t="s">
        <v>10048</v>
      </c>
      <c r="C2033" s="1" t="s">
        <v>14155</v>
      </c>
      <c r="D2033" s="7" t="s">
        <v>10</v>
      </c>
    </row>
    <row r="2034">
      <c r="A2034" s="1" t="s">
        <v>10054</v>
      </c>
      <c r="B2034" s="1" t="s">
        <v>10053</v>
      </c>
      <c r="C2034" s="1" t="s">
        <v>14156</v>
      </c>
      <c r="D2034" s="7" t="s">
        <v>10</v>
      </c>
    </row>
    <row r="2035">
      <c r="A2035" s="1" t="s">
        <v>10059</v>
      </c>
      <c r="B2035" s="1" t="s">
        <v>10058</v>
      </c>
      <c r="C2035" s="1" t="s">
        <v>14157</v>
      </c>
      <c r="D2035" s="7" t="s">
        <v>10</v>
      </c>
    </row>
    <row r="2036">
      <c r="A2036" s="1" t="s">
        <v>10064</v>
      </c>
      <c r="B2036" s="1" t="s">
        <v>10063</v>
      </c>
      <c r="C2036" s="1" t="s">
        <v>14158</v>
      </c>
      <c r="D2036" s="7" t="s">
        <v>10</v>
      </c>
    </row>
    <row r="2037">
      <c r="A2037" s="1" t="s">
        <v>10069</v>
      </c>
      <c r="B2037" s="1" t="s">
        <v>10068</v>
      </c>
      <c r="C2037" s="1" t="s">
        <v>14159</v>
      </c>
      <c r="D2037" s="7" t="s">
        <v>10</v>
      </c>
    </row>
    <row r="2038">
      <c r="A2038" s="1" t="s">
        <v>10074</v>
      </c>
      <c r="B2038" s="1" t="s">
        <v>10073</v>
      </c>
      <c r="C2038" s="1" t="s">
        <v>14160</v>
      </c>
      <c r="D2038" s="7" t="s">
        <v>10</v>
      </c>
    </row>
    <row r="2039">
      <c r="A2039" s="1" t="s">
        <v>10079</v>
      </c>
      <c r="B2039" s="1" t="s">
        <v>10078</v>
      </c>
      <c r="C2039" s="1" t="s">
        <v>14161</v>
      </c>
      <c r="D2039" s="7" t="s">
        <v>10</v>
      </c>
    </row>
    <row r="2040">
      <c r="A2040" s="1" t="s">
        <v>10084</v>
      </c>
      <c r="B2040" s="1" t="s">
        <v>10083</v>
      </c>
      <c r="C2040" s="1" t="s">
        <v>14162</v>
      </c>
      <c r="D2040" s="7" t="s">
        <v>10</v>
      </c>
    </row>
    <row r="2041">
      <c r="A2041" s="1" t="s">
        <v>10089</v>
      </c>
      <c r="B2041" s="1" t="s">
        <v>10088</v>
      </c>
      <c r="C2041" s="1" t="s">
        <v>14163</v>
      </c>
      <c r="D2041" s="7" t="s">
        <v>10</v>
      </c>
    </row>
    <row r="2042">
      <c r="A2042" s="1" t="s">
        <v>10094</v>
      </c>
      <c r="B2042" s="1" t="s">
        <v>10093</v>
      </c>
      <c r="C2042" s="1" t="s">
        <v>14164</v>
      </c>
      <c r="D2042" s="7" t="s">
        <v>10</v>
      </c>
    </row>
    <row r="2043">
      <c r="A2043" s="1" t="s">
        <v>10099</v>
      </c>
      <c r="B2043" s="1" t="s">
        <v>10098</v>
      </c>
      <c r="C2043" s="1" t="s">
        <v>14165</v>
      </c>
      <c r="D2043" s="7" t="s">
        <v>10</v>
      </c>
    </row>
    <row r="2044">
      <c r="A2044" s="1" t="s">
        <v>10104</v>
      </c>
      <c r="B2044" s="1" t="s">
        <v>10103</v>
      </c>
      <c r="C2044" s="1" t="s">
        <v>14166</v>
      </c>
      <c r="D2044" s="7" t="s">
        <v>10</v>
      </c>
    </row>
    <row r="2045">
      <c r="A2045" s="1" t="s">
        <v>10109</v>
      </c>
      <c r="B2045" s="1" t="s">
        <v>10108</v>
      </c>
      <c r="C2045" s="1" t="s">
        <v>14167</v>
      </c>
      <c r="D2045" s="7" t="s">
        <v>10</v>
      </c>
    </row>
    <row r="2046">
      <c r="A2046" s="1" t="s">
        <v>10114</v>
      </c>
      <c r="B2046" s="1" t="s">
        <v>10113</v>
      </c>
      <c r="C2046" s="1" t="s">
        <v>14168</v>
      </c>
      <c r="D2046" s="7" t="s">
        <v>10</v>
      </c>
    </row>
    <row r="2047">
      <c r="A2047" s="1" t="s">
        <v>10119</v>
      </c>
      <c r="B2047" s="1" t="s">
        <v>10118</v>
      </c>
      <c r="C2047" s="1" t="s">
        <v>14169</v>
      </c>
      <c r="D2047" s="7" t="s">
        <v>10</v>
      </c>
    </row>
    <row r="2048">
      <c r="A2048" s="1" t="s">
        <v>10124</v>
      </c>
      <c r="B2048" s="1" t="s">
        <v>10123</v>
      </c>
      <c r="C2048" s="1" t="s">
        <v>14170</v>
      </c>
      <c r="D2048" s="7" t="s">
        <v>10</v>
      </c>
    </row>
    <row r="2049">
      <c r="A2049" s="1" t="s">
        <v>10129</v>
      </c>
      <c r="B2049" s="1" t="s">
        <v>10128</v>
      </c>
      <c r="C2049" s="1" t="s">
        <v>14171</v>
      </c>
      <c r="D2049" s="7" t="s">
        <v>10</v>
      </c>
    </row>
    <row r="2050">
      <c r="A2050" s="1" t="s">
        <v>10134</v>
      </c>
      <c r="B2050" s="1" t="s">
        <v>10133</v>
      </c>
      <c r="C2050" s="1" t="s">
        <v>14172</v>
      </c>
      <c r="D2050" s="7" t="s">
        <v>10</v>
      </c>
    </row>
    <row r="2051">
      <c r="A2051" s="1" t="s">
        <v>10139</v>
      </c>
      <c r="B2051" s="1" t="s">
        <v>10138</v>
      </c>
      <c r="C2051" s="1" t="s">
        <v>14173</v>
      </c>
      <c r="D2051" s="7" t="s">
        <v>10</v>
      </c>
    </row>
    <row r="2052">
      <c r="A2052" s="1" t="s">
        <v>10144</v>
      </c>
      <c r="B2052" s="1" t="s">
        <v>10143</v>
      </c>
      <c r="C2052" s="1" t="s">
        <v>14174</v>
      </c>
      <c r="D2052" s="7" t="s">
        <v>10</v>
      </c>
    </row>
    <row r="2053">
      <c r="A2053" s="1" t="s">
        <v>10149</v>
      </c>
      <c r="B2053" s="1" t="s">
        <v>10148</v>
      </c>
      <c r="C2053" s="1" t="s">
        <v>14175</v>
      </c>
      <c r="D2053" s="7" t="s">
        <v>10</v>
      </c>
    </row>
    <row r="2054">
      <c r="A2054" s="1" t="s">
        <v>10154</v>
      </c>
      <c r="B2054" s="1" t="s">
        <v>10153</v>
      </c>
      <c r="C2054" s="1" t="s">
        <v>14176</v>
      </c>
      <c r="D2054" s="7" t="s">
        <v>10</v>
      </c>
    </row>
    <row r="2055">
      <c r="A2055" s="1" t="s">
        <v>10159</v>
      </c>
      <c r="B2055" s="1" t="s">
        <v>10158</v>
      </c>
      <c r="C2055" s="1" t="s">
        <v>14177</v>
      </c>
      <c r="D2055" s="7" t="s">
        <v>10</v>
      </c>
    </row>
    <row r="2056">
      <c r="A2056" s="1" t="s">
        <v>10164</v>
      </c>
      <c r="B2056" s="1" t="s">
        <v>10163</v>
      </c>
      <c r="C2056" s="1" t="s">
        <v>14178</v>
      </c>
      <c r="D2056" s="7" t="s">
        <v>10</v>
      </c>
    </row>
    <row r="2057">
      <c r="A2057" s="1" t="s">
        <v>10169</v>
      </c>
      <c r="B2057" s="1" t="s">
        <v>10168</v>
      </c>
      <c r="C2057" s="1" t="s">
        <v>14179</v>
      </c>
      <c r="D2057" s="7" t="s">
        <v>10</v>
      </c>
    </row>
    <row r="2058">
      <c r="A2058" s="1" t="s">
        <v>10174</v>
      </c>
      <c r="B2058" s="1" t="s">
        <v>10173</v>
      </c>
      <c r="C2058" s="1" t="s">
        <v>14180</v>
      </c>
      <c r="D2058" s="7" t="s">
        <v>10</v>
      </c>
    </row>
    <row r="2059">
      <c r="A2059" s="1" t="s">
        <v>10179</v>
      </c>
      <c r="B2059" s="1" t="s">
        <v>10178</v>
      </c>
      <c r="C2059" s="1" t="s">
        <v>14181</v>
      </c>
      <c r="D2059" s="7" t="s">
        <v>10</v>
      </c>
    </row>
    <row r="2060">
      <c r="A2060" s="1" t="s">
        <v>10184</v>
      </c>
      <c r="B2060" s="1" t="s">
        <v>10183</v>
      </c>
      <c r="C2060" s="1" t="s">
        <v>14182</v>
      </c>
      <c r="D2060" s="7" t="s">
        <v>10</v>
      </c>
    </row>
    <row r="2061">
      <c r="A2061" s="1" t="s">
        <v>10189</v>
      </c>
      <c r="B2061" s="1" t="s">
        <v>10188</v>
      </c>
      <c r="C2061" s="1" t="s">
        <v>14183</v>
      </c>
      <c r="D2061" s="7" t="s">
        <v>10</v>
      </c>
    </row>
    <row r="2062">
      <c r="A2062" s="1" t="s">
        <v>10194</v>
      </c>
      <c r="B2062" s="1" t="s">
        <v>10193</v>
      </c>
      <c r="C2062" s="1" t="s">
        <v>14184</v>
      </c>
      <c r="D2062" s="7" t="s">
        <v>10</v>
      </c>
    </row>
    <row r="2063">
      <c r="A2063" s="1" t="s">
        <v>10199</v>
      </c>
      <c r="B2063" s="1" t="s">
        <v>10198</v>
      </c>
      <c r="C2063" s="1" t="s">
        <v>14185</v>
      </c>
      <c r="D2063" s="7" t="s">
        <v>10</v>
      </c>
    </row>
    <row r="2064">
      <c r="A2064" s="1" t="s">
        <v>10204</v>
      </c>
      <c r="B2064" s="1" t="s">
        <v>10203</v>
      </c>
      <c r="C2064" s="1" t="s">
        <v>14186</v>
      </c>
      <c r="D2064" s="7" t="s">
        <v>10</v>
      </c>
    </row>
    <row r="2065">
      <c r="A2065" s="1" t="s">
        <v>10209</v>
      </c>
      <c r="B2065" s="1" t="s">
        <v>10208</v>
      </c>
      <c r="C2065" s="1" t="s">
        <v>14187</v>
      </c>
      <c r="D2065" s="7" t="s">
        <v>10</v>
      </c>
    </row>
    <row r="2066">
      <c r="A2066" s="1" t="s">
        <v>10214</v>
      </c>
      <c r="B2066" s="1" t="s">
        <v>10213</v>
      </c>
      <c r="C2066" s="1" t="s">
        <v>14188</v>
      </c>
      <c r="D2066" s="7" t="s">
        <v>10</v>
      </c>
    </row>
    <row r="2067">
      <c r="A2067" s="1" t="s">
        <v>10219</v>
      </c>
      <c r="B2067" s="1" t="s">
        <v>10218</v>
      </c>
      <c r="C2067" s="1" t="s">
        <v>14189</v>
      </c>
      <c r="D2067" s="7" t="s">
        <v>10</v>
      </c>
    </row>
    <row r="2068">
      <c r="A2068" s="1" t="s">
        <v>10224</v>
      </c>
      <c r="B2068" s="1" t="s">
        <v>10223</v>
      </c>
      <c r="C2068" s="1" t="s">
        <v>14190</v>
      </c>
      <c r="D2068" s="7" t="s">
        <v>10</v>
      </c>
    </row>
    <row r="2069">
      <c r="A2069" s="1" t="s">
        <v>10229</v>
      </c>
      <c r="B2069" s="1" t="s">
        <v>10228</v>
      </c>
      <c r="C2069" s="1" t="s">
        <v>14191</v>
      </c>
      <c r="D2069" s="7" t="s">
        <v>10</v>
      </c>
    </row>
    <row r="2070">
      <c r="A2070" s="1" t="s">
        <v>10234</v>
      </c>
      <c r="B2070" s="1" t="s">
        <v>10233</v>
      </c>
      <c r="C2070" s="1" t="s">
        <v>14192</v>
      </c>
      <c r="D2070" s="7" t="s">
        <v>10</v>
      </c>
    </row>
    <row r="2071">
      <c r="A2071" s="1" t="s">
        <v>10239</v>
      </c>
      <c r="B2071" s="1" t="s">
        <v>10238</v>
      </c>
      <c r="C2071" s="1" t="s">
        <v>14193</v>
      </c>
      <c r="D2071" s="7" t="s">
        <v>10</v>
      </c>
    </row>
    <row r="2072">
      <c r="A2072" s="1" t="s">
        <v>10244</v>
      </c>
      <c r="B2072" s="1" t="s">
        <v>10243</v>
      </c>
      <c r="C2072" s="1" t="s">
        <v>14194</v>
      </c>
      <c r="D2072" s="7" t="s">
        <v>10</v>
      </c>
    </row>
    <row r="2073">
      <c r="A2073" s="1" t="s">
        <v>10249</v>
      </c>
      <c r="B2073" s="1" t="s">
        <v>10248</v>
      </c>
      <c r="C2073" s="1" t="s">
        <v>14195</v>
      </c>
      <c r="D2073" s="7" t="s">
        <v>10</v>
      </c>
    </row>
    <row r="2074">
      <c r="A2074" s="1" t="s">
        <v>10254</v>
      </c>
      <c r="B2074" s="1" t="s">
        <v>10253</v>
      </c>
      <c r="C2074" s="1" t="s">
        <v>14196</v>
      </c>
      <c r="D2074" s="7" t="s">
        <v>10</v>
      </c>
    </row>
    <row r="2075">
      <c r="A2075" s="1" t="s">
        <v>10259</v>
      </c>
      <c r="B2075" s="1" t="s">
        <v>10258</v>
      </c>
      <c r="C2075" s="1" t="s">
        <v>14197</v>
      </c>
      <c r="D2075" s="7" t="s">
        <v>10</v>
      </c>
    </row>
    <row r="2076">
      <c r="A2076" s="1" t="s">
        <v>10263</v>
      </c>
      <c r="B2076" s="1" t="s">
        <v>10263</v>
      </c>
      <c r="C2076" s="1" t="s">
        <v>14198</v>
      </c>
      <c r="D2076" s="7" t="s">
        <v>10</v>
      </c>
    </row>
    <row r="2077">
      <c r="A2077" s="1" t="s">
        <v>10268</v>
      </c>
      <c r="B2077" s="1" t="s">
        <v>10267</v>
      </c>
      <c r="C2077" s="1" t="s">
        <v>14199</v>
      </c>
      <c r="D2077" s="7" t="s">
        <v>10</v>
      </c>
    </row>
    <row r="2078">
      <c r="A2078" s="1" t="s">
        <v>10273</v>
      </c>
      <c r="B2078" s="1" t="s">
        <v>10272</v>
      </c>
      <c r="C2078" s="1" t="s">
        <v>14200</v>
      </c>
      <c r="D2078" s="7" t="s">
        <v>10</v>
      </c>
    </row>
    <row r="2079">
      <c r="A2079" s="1" t="s">
        <v>10278</v>
      </c>
      <c r="B2079" s="1" t="s">
        <v>10277</v>
      </c>
      <c r="C2079" s="1" t="s">
        <v>14201</v>
      </c>
      <c r="D2079" s="7" t="s">
        <v>10</v>
      </c>
    </row>
    <row r="2080">
      <c r="A2080" s="1" t="s">
        <v>10283</v>
      </c>
      <c r="B2080" s="1" t="s">
        <v>10282</v>
      </c>
      <c r="C2080" s="1" t="s">
        <v>14202</v>
      </c>
      <c r="D2080" s="7" t="s">
        <v>10</v>
      </c>
    </row>
    <row r="2081">
      <c r="A2081" s="1" t="s">
        <v>10288</v>
      </c>
      <c r="B2081" s="1" t="s">
        <v>10287</v>
      </c>
      <c r="C2081" s="1" t="s">
        <v>14203</v>
      </c>
      <c r="D2081" s="7" t="s">
        <v>10</v>
      </c>
    </row>
    <row r="2082">
      <c r="A2082" s="1" t="s">
        <v>10293</v>
      </c>
      <c r="B2082" s="1" t="s">
        <v>10292</v>
      </c>
      <c r="C2082" s="1" t="s">
        <v>14204</v>
      </c>
      <c r="D2082" s="7" t="s">
        <v>10</v>
      </c>
    </row>
    <row r="2083">
      <c r="A2083" s="1" t="s">
        <v>10298</v>
      </c>
      <c r="B2083" s="1" t="s">
        <v>10297</v>
      </c>
      <c r="C2083" s="1" t="s">
        <v>14205</v>
      </c>
      <c r="D2083" s="7" t="s">
        <v>10</v>
      </c>
    </row>
    <row r="2084">
      <c r="A2084" s="1" t="s">
        <v>10303</v>
      </c>
      <c r="B2084" s="1" t="s">
        <v>10302</v>
      </c>
      <c r="C2084" s="1" t="s">
        <v>14206</v>
      </c>
      <c r="D2084" s="7" t="s">
        <v>10</v>
      </c>
    </row>
    <row r="2085">
      <c r="A2085" s="1" t="s">
        <v>10308</v>
      </c>
      <c r="B2085" s="1" t="s">
        <v>10307</v>
      </c>
      <c r="C2085" s="1" t="s">
        <v>14207</v>
      </c>
      <c r="D2085" s="7" t="s">
        <v>10</v>
      </c>
    </row>
    <row r="2086">
      <c r="A2086" s="1" t="s">
        <v>10313</v>
      </c>
      <c r="B2086" s="1" t="s">
        <v>10312</v>
      </c>
      <c r="C2086" s="1" t="s">
        <v>14208</v>
      </c>
      <c r="D2086" s="7" t="s">
        <v>10</v>
      </c>
    </row>
    <row r="2087">
      <c r="A2087" s="1" t="s">
        <v>10318</v>
      </c>
      <c r="B2087" s="1" t="s">
        <v>10317</v>
      </c>
      <c r="C2087" s="1" t="s">
        <v>14209</v>
      </c>
      <c r="D2087" s="7" t="s">
        <v>10</v>
      </c>
    </row>
    <row r="2088">
      <c r="A2088" s="1" t="s">
        <v>10323</v>
      </c>
      <c r="B2088" s="1" t="s">
        <v>10322</v>
      </c>
      <c r="C2088" s="1" t="s">
        <v>14210</v>
      </c>
      <c r="D2088" s="7" t="s">
        <v>10</v>
      </c>
    </row>
    <row r="2089">
      <c r="A2089" s="1" t="s">
        <v>10328</v>
      </c>
      <c r="B2089" s="1" t="s">
        <v>10327</v>
      </c>
      <c r="C2089" s="1" t="s">
        <v>14211</v>
      </c>
      <c r="D2089" s="7" t="s">
        <v>10</v>
      </c>
    </row>
    <row r="2090">
      <c r="A2090" s="1" t="s">
        <v>10333</v>
      </c>
      <c r="B2090" s="1" t="s">
        <v>10332</v>
      </c>
      <c r="C2090" s="1" t="s">
        <v>14212</v>
      </c>
      <c r="D2090" s="7" t="s">
        <v>10</v>
      </c>
    </row>
    <row r="2091">
      <c r="A2091" s="1" t="s">
        <v>10338</v>
      </c>
      <c r="B2091" s="1" t="s">
        <v>10337</v>
      </c>
      <c r="C2091" s="1" t="s">
        <v>14213</v>
      </c>
      <c r="D2091" s="7" t="s">
        <v>10</v>
      </c>
    </row>
    <row r="2092">
      <c r="A2092" s="1" t="s">
        <v>10343</v>
      </c>
      <c r="B2092" s="1" t="s">
        <v>10342</v>
      </c>
      <c r="C2092" s="1" t="s">
        <v>14214</v>
      </c>
      <c r="D2092" s="7" t="s">
        <v>10</v>
      </c>
    </row>
    <row r="2093">
      <c r="A2093" s="1" t="s">
        <v>10348</v>
      </c>
      <c r="B2093" s="1" t="s">
        <v>10347</v>
      </c>
      <c r="C2093" s="1" t="s">
        <v>14215</v>
      </c>
      <c r="D2093" s="7" t="s">
        <v>10</v>
      </c>
    </row>
    <row r="2094">
      <c r="A2094" s="1" t="s">
        <v>10353</v>
      </c>
      <c r="B2094" s="1" t="s">
        <v>10352</v>
      </c>
      <c r="C2094" s="1" t="s">
        <v>14216</v>
      </c>
      <c r="D2094" s="7" t="s">
        <v>10</v>
      </c>
    </row>
    <row r="2095">
      <c r="A2095" s="1" t="s">
        <v>10358</v>
      </c>
      <c r="B2095" s="1" t="s">
        <v>10357</v>
      </c>
      <c r="C2095" s="1" t="s">
        <v>14217</v>
      </c>
      <c r="D2095" s="7" t="s">
        <v>10</v>
      </c>
    </row>
    <row r="2096">
      <c r="A2096" s="1" t="s">
        <v>10363</v>
      </c>
      <c r="B2096" s="1" t="s">
        <v>10362</v>
      </c>
      <c r="C2096" s="1" t="s">
        <v>14218</v>
      </c>
      <c r="D2096" s="7" t="s">
        <v>10</v>
      </c>
    </row>
    <row r="2097">
      <c r="A2097" s="1" t="s">
        <v>10368</v>
      </c>
      <c r="B2097" s="1" t="s">
        <v>10367</v>
      </c>
      <c r="C2097" s="1" t="s">
        <v>14219</v>
      </c>
      <c r="D2097" s="7" t="s">
        <v>10</v>
      </c>
    </row>
    <row r="2098">
      <c r="A2098" s="1" t="s">
        <v>10373</v>
      </c>
      <c r="B2098" s="1" t="s">
        <v>10372</v>
      </c>
      <c r="C2098" s="1" t="s">
        <v>14220</v>
      </c>
      <c r="D2098" s="7" t="s">
        <v>10</v>
      </c>
    </row>
    <row r="2099">
      <c r="A2099" s="1" t="s">
        <v>10378</v>
      </c>
      <c r="B2099" s="1" t="s">
        <v>10377</v>
      </c>
      <c r="C2099" s="1" t="s">
        <v>14221</v>
      </c>
      <c r="D2099" s="7" t="s">
        <v>10</v>
      </c>
    </row>
    <row r="2100">
      <c r="A2100" s="1" t="s">
        <v>10383</v>
      </c>
      <c r="B2100" s="1" t="s">
        <v>10382</v>
      </c>
      <c r="C2100" s="1" t="s">
        <v>14222</v>
      </c>
      <c r="D2100" s="7" t="s">
        <v>10</v>
      </c>
    </row>
    <row r="2101">
      <c r="A2101" s="1" t="s">
        <v>10388</v>
      </c>
      <c r="B2101" s="1" t="s">
        <v>10387</v>
      </c>
      <c r="C2101" s="1" t="s">
        <v>14223</v>
      </c>
      <c r="D2101" s="7" t="s">
        <v>10</v>
      </c>
    </row>
    <row r="2102">
      <c r="A2102" s="1" t="s">
        <v>10393</v>
      </c>
      <c r="B2102" s="1" t="s">
        <v>10392</v>
      </c>
      <c r="C2102" s="1" t="s">
        <v>14224</v>
      </c>
      <c r="D2102" s="7" t="s">
        <v>10</v>
      </c>
    </row>
    <row r="2103">
      <c r="A2103" s="1" t="s">
        <v>10398</v>
      </c>
      <c r="B2103" s="1" t="s">
        <v>10397</v>
      </c>
      <c r="C2103" s="1" t="s">
        <v>14225</v>
      </c>
      <c r="D2103" s="7" t="s">
        <v>10</v>
      </c>
    </row>
    <row r="2104">
      <c r="A2104" s="1" t="s">
        <v>10403</v>
      </c>
      <c r="B2104" s="1" t="s">
        <v>10402</v>
      </c>
      <c r="C2104" s="1" t="s">
        <v>14226</v>
      </c>
      <c r="D2104" s="7" t="s">
        <v>10</v>
      </c>
    </row>
    <row r="2105">
      <c r="A2105" s="1" t="s">
        <v>10408</v>
      </c>
      <c r="B2105" s="1" t="s">
        <v>10407</v>
      </c>
      <c r="C2105" s="1" t="s">
        <v>14227</v>
      </c>
      <c r="D2105" s="7" t="s">
        <v>10</v>
      </c>
    </row>
    <row r="2106">
      <c r="A2106" s="1" t="s">
        <v>10413</v>
      </c>
      <c r="B2106" s="1" t="s">
        <v>10412</v>
      </c>
      <c r="C2106" s="1" t="s">
        <v>14228</v>
      </c>
      <c r="D2106" s="7" t="s">
        <v>10</v>
      </c>
    </row>
    <row r="2107">
      <c r="A2107" s="1" t="s">
        <v>10418</v>
      </c>
      <c r="B2107" s="1" t="s">
        <v>10417</v>
      </c>
      <c r="C2107" s="1" t="s">
        <v>14229</v>
      </c>
      <c r="D2107" s="7" t="s">
        <v>10</v>
      </c>
    </row>
    <row r="2108">
      <c r="A2108" s="1" t="s">
        <v>10423</v>
      </c>
      <c r="B2108" s="1" t="s">
        <v>10422</v>
      </c>
      <c r="C2108" s="1" t="s">
        <v>14230</v>
      </c>
      <c r="D2108" s="7" t="s">
        <v>10</v>
      </c>
    </row>
    <row r="2109">
      <c r="A2109" s="1" t="s">
        <v>10428</v>
      </c>
      <c r="B2109" s="1" t="s">
        <v>10427</v>
      </c>
      <c r="C2109" s="1" t="s">
        <v>14231</v>
      </c>
      <c r="D2109" s="7" t="s">
        <v>10</v>
      </c>
    </row>
    <row r="2110">
      <c r="A2110" s="1" t="s">
        <v>10433</v>
      </c>
      <c r="B2110" s="1" t="s">
        <v>10432</v>
      </c>
      <c r="C2110" s="1" t="s">
        <v>14232</v>
      </c>
      <c r="D2110" s="7" t="s">
        <v>10</v>
      </c>
    </row>
    <row r="2111">
      <c r="A2111" s="1" t="s">
        <v>10438</v>
      </c>
      <c r="B2111" s="1" t="s">
        <v>10437</v>
      </c>
      <c r="C2111" s="1" t="s">
        <v>14233</v>
      </c>
      <c r="D2111" s="7" t="s">
        <v>10</v>
      </c>
    </row>
    <row r="2112">
      <c r="A2112" s="1" t="s">
        <v>10443</v>
      </c>
      <c r="B2112" s="1" t="s">
        <v>10442</v>
      </c>
      <c r="C2112" s="1" t="s">
        <v>14234</v>
      </c>
      <c r="D2112" s="7" t="s">
        <v>10</v>
      </c>
    </row>
    <row r="2113">
      <c r="A2113" s="1" t="s">
        <v>10448</v>
      </c>
      <c r="B2113" s="1" t="s">
        <v>10447</v>
      </c>
      <c r="C2113" s="1" t="s">
        <v>14235</v>
      </c>
      <c r="D2113" s="7" t="s">
        <v>10</v>
      </c>
    </row>
    <row r="2114">
      <c r="A2114" s="1" t="s">
        <v>10453</v>
      </c>
      <c r="B2114" s="1" t="s">
        <v>10452</v>
      </c>
      <c r="C2114" s="1" t="s">
        <v>14236</v>
      </c>
      <c r="D2114" s="7" t="s">
        <v>10</v>
      </c>
    </row>
    <row r="2115">
      <c r="A2115" s="1" t="s">
        <v>10458</v>
      </c>
      <c r="B2115" s="1" t="s">
        <v>10457</v>
      </c>
      <c r="C2115" s="1" t="s">
        <v>14237</v>
      </c>
      <c r="D2115" s="7" t="s">
        <v>10</v>
      </c>
    </row>
    <row r="2116">
      <c r="A2116" s="1" t="s">
        <v>10463</v>
      </c>
      <c r="B2116" s="1" t="s">
        <v>10462</v>
      </c>
      <c r="C2116" s="1" t="s">
        <v>14238</v>
      </c>
      <c r="D2116" s="7" t="s">
        <v>10</v>
      </c>
    </row>
    <row r="2117">
      <c r="A2117" s="1" t="s">
        <v>10468</v>
      </c>
      <c r="B2117" s="1" t="s">
        <v>10467</v>
      </c>
      <c r="C2117" s="1" t="s">
        <v>14239</v>
      </c>
      <c r="D2117" s="7" t="s">
        <v>10</v>
      </c>
    </row>
    <row r="2118">
      <c r="A2118" s="1" t="s">
        <v>10473</v>
      </c>
      <c r="B2118" s="1" t="s">
        <v>10472</v>
      </c>
      <c r="C2118" s="1" t="s">
        <v>14240</v>
      </c>
      <c r="D2118" s="7" t="s">
        <v>10</v>
      </c>
    </row>
    <row r="2119">
      <c r="A2119" s="1" t="s">
        <v>10478</v>
      </c>
      <c r="B2119" s="1" t="s">
        <v>10477</v>
      </c>
      <c r="C2119" s="1" t="s">
        <v>14241</v>
      </c>
      <c r="D2119" s="7" t="s">
        <v>10</v>
      </c>
    </row>
    <row r="2120">
      <c r="A2120" s="1" t="s">
        <v>10483</v>
      </c>
      <c r="B2120" s="1" t="s">
        <v>10482</v>
      </c>
      <c r="C2120" s="1" t="s">
        <v>14242</v>
      </c>
      <c r="D2120" s="7" t="s">
        <v>10</v>
      </c>
    </row>
    <row r="2121">
      <c r="A2121" s="1" t="s">
        <v>10488</v>
      </c>
      <c r="B2121" s="1" t="s">
        <v>10487</v>
      </c>
      <c r="C2121" s="1" t="s">
        <v>14243</v>
      </c>
      <c r="D2121" s="7" t="s">
        <v>10</v>
      </c>
    </row>
    <row r="2122">
      <c r="A2122" s="1" t="s">
        <v>10493</v>
      </c>
      <c r="B2122" s="1" t="s">
        <v>10492</v>
      </c>
      <c r="C2122" s="1" t="s">
        <v>14244</v>
      </c>
      <c r="D2122" s="7" t="s">
        <v>10</v>
      </c>
    </row>
    <row r="2123">
      <c r="A2123" s="1" t="s">
        <v>10498</v>
      </c>
      <c r="B2123" s="1" t="s">
        <v>10497</v>
      </c>
      <c r="C2123" s="1" t="s">
        <v>14245</v>
      </c>
      <c r="D2123" s="7" t="s">
        <v>10</v>
      </c>
    </row>
    <row r="2124">
      <c r="A2124" s="1" t="s">
        <v>10503</v>
      </c>
      <c r="B2124" s="1" t="s">
        <v>10502</v>
      </c>
      <c r="C2124" s="1" t="s">
        <v>14246</v>
      </c>
      <c r="D2124" s="7" t="s">
        <v>10</v>
      </c>
    </row>
    <row r="2125">
      <c r="A2125" s="1" t="s">
        <v>10508</v>
      </c>
      <c r="B2125" s="1" t="s">
        <v>10507</v>
      </c>
      <c r="C2125" s="1" t="s">
        <v>14247</v>
      </c>
      <c r="D2125" s="7" t="s">
        <v>10</v>
      </c>
    </row>
    <row r="2126">
      <c r="A2126" s="1" t="s">
        <v>10513</v>
      </c>
      <c r="B2126" s="1" t="s">
        <v>10512</v>
      </c>
      <c r="C2126" s="1" t="s">
        <v>14248</v>
      </c>
      <c r="D2126" s="7" t="s">
        <v>10</v>
      </c>
    </row>
    <row r="2127">
      <c r="A2127" s="1" t="s">
        <v>10518</v>
      </c>
      <c r="B2127" s="1" t="s">
        <v>10517</v>
      </c>
      <c r="C2127" s="1" t="s">
        <v>14249</v>
      </c>
      <c r="D2127" s="7" t="s">
        <v>10</v>
      </c>
    </row>
    <row r="2128">
      <c r="A2128" s="1" t="s">
        <v>10523</v>
      </c>
      <c r="B2128" s="1" t="s">
        <v>10522</v>
      </c>
      <c r="C2128" s="1" t="s">
        <v>14250</v>
      </c>
      <c r="D2128" s="7" t="s">
        <v>10</v>
      </c>
    </row>
    <row r="2129">
      <c r="A2129" s="1" t="s">
        <v>10528</v>
      </c>
      <c r="B2129" s="1" t="s">
        <v>10527</v>
      </c>
      <c r="C2129" s="1" t="s">
        <v>14251</v>
      </c>
      <c r="D2129" s="7" t="s">
        <v>10</v>
      </c>
    </row>
    <row r="2130">
      <c r="A2130" s="1" t="s">
        <v>10533</v>
      </c>
      <c r="B2130" s="1" t="s">
        <v>10532</v>
      </c>
      <c r="C2130" s="1" t="s">
        <v>14252</v>
      </c>
      <c r="D2130" s="7" t="s">
        <v>10</v>
      </c>
    </row>
    <row r="2131">
      <c r="A2131" s="1" t="s">
        <v>10538</v>
      </c>
      <c r="B2131" s="1" t="s">
        <v>10537</v>
      </c>
      <c r="C2131" s="1" t="s">
        <v>14253</v>
      </c>
      <c r="D2131" s="7" t="s">
        <v>10</v>
      </c>
    </row>
    <row r="2132">
      <c r="A2132" s="1" t="s">
        <v>10543</v>
      </c>
      <c r="B2132" s="1" t="s">
        <v>10542</v>
      </c>
      <c r="C2132" s="1" t="s">
        <v>14254</v>
      </c>
      <c r="D2132" s="7" t="s">
        <v>10</v>
      </c>
    </row>
    <row r="2133">
      <c r="A2133" s="1" t="s">
        <v>10548</v>
      </c>
      <c r="B2133" s="1" t="s">
        <v>10547</v>
      </c>
      <c r="C2133" s="1" t="s">
        <v>14255</v>
      </c>
      <c r="D2133" s="7" t="s">
        <v>10</v>
      </c>
    </row>
    <row r="2134">
      <c r="A2134" s="1" t="s">
        <v>10553</v>
      </c>
      <c r="B2134" s="1" t="s">
        <v>10552</v>
      </c>
      <c r="C2134" s="1" t="s">
        <v>14256</v>
      </c>
      <c r="D2134" s="7" t="s">
        <v>10</v>
      </c>
    </row>
    <row r="2135">
      <c r="A2135" s="1" t="s">
        <v>10557</v>
      </c>
      <c r="B2135" s="1" t="s">
        <v>10557</v>
      </c>
      <c r="C2135" s="1" t="s">
        <v>14257</v>
      </c>
      <c r="D2135" s="7" t="s">
        <v>10</v>
      </c>
    </row>
    <row r="2136">
      <c r="A2136" s="1" t="s">
        <v>10562</v>
      </c>
      <c r="B2136" s="1" t="s">
        <v>10561</v>
      </c>
      <c r="C2136" s="1" t="s">
        <v>14258</v>
      </c>
      <c r="D2136" s="7" t="s">
        <v>10</v>
      </c>
    </row>
    <row r="2137">
      <c r="A2137" s="1" t="s">
        <v>10567</v>
      </c>
      <c r="B2137" s="1" t="s">
        <v>10566</v>
      </c>
      <c r="C2137" s="1" t="s">
        <v>14259</v>
      </c>
      <c r="D2137" s="7" t="s">
        <v>10</v>
      </c>
    </row>
    <row r="2138">
      <c r="A2138" s="1" t="s">
        <v>10572</v>
      </c>
      <c r="B2138" s="1" t="s">
        <v>10571</v>
      </c>
      <c r="C2138" s="1" t="s">
        <v>14260</v>
      </c>
      <c r="D2138" s="7" t="s">
        <v>10</v>
      </c>
    </row>
    <row r="2139">
      <c r="A2139" s="1" t="s">
        <v>10577</v>
      </c>
      <c r="B2139" s="1" t="s">
        <v>10576</v>
      </c>
      <c r="C2139" s="1" t="s">
        <v>14261</v>
      </c>
      <c r="D2139" s="7" t="s">
        <v>10</v>
      </c>
    </row>
    <row r="2140">
      <c r="A2140" s="1" t="s">
        <v>10582</v>
      </c>
      <c r="B2140" s="1" t="s">
        <v>10581</v>
      </c>
      <c r="C2140" s="1" t="s">
        <v>14262</v>
      </c>
      <c r="D2140" s="7" t="s">
        <v>10</v>
      </c>
    </row>
    <row r="2141">
      <c r="A2141" s="1" t="s">
        <v>10587</v>
      </c>
      <c r="B2141" s="1" t="s">
        <v>10586</v>
      </c>
      <c r="C2141" s="1" t="s">
        <v>14263</v>
      </c>
      <c r="D2141" s="7" t="s">
        <v>10</v>
      </c>
    </row>
    <row r="2142">
      <c r="A2142" s="1" t="s">
        <v>10592</v>
      </c>
      <c r="B2142" s="1" t="s">
        <v>10591</v>
      </c>
      <c r="C2142" s="1" t="s">
        <v>14264</v>
      </c>
      <c r="D2142" s="7" t="s">
        <v>10</v>
      </c>
    </row>
    <row r="2143">
      <c r="A2143" s="1" t="s">
        <v>10597</v>
      </c>
      <c r="B2143" s="1" t="s">
        <v>10596</v>
      </c>
      <c r="C2143" s="1" t="s">
        <v>14265</v>
      </c>
      <c r="D2143" s="7" t="s">
        <v>10</v>
      </c>
    </row>
    <row r="2144">
      <c r="A2144" s="1" t="s">
        <v>10602</v>
      </c>
      <c r="B2144" s="1" t="s">
        <v>10601</v>
      </c>
      <c r="C2144" s="1" t="s">
        <v>14266</v>
      </c>
      <c r="D2144" s="7" t="s">
        <v>10</v>
      </c>
    </row>
    <row r="2145">
      <c r="A2145" s="1" t="s">
        <v>10607</v>
      </c>
      <c r="B2145" s="1" t="s">
        <v>10606</v>
      </c>
      <c r="C2145" s="1" t="s">
        <v>14267</v>
      </c>
      <c r="D2145" s="7" t="s">
        <v>10</v>
      </c>
    </row>
    <row r="2146">
      <c r="A2146" s="1" t="s">
        <v>10612</v>
      </c>
      <c r="B2146" s="1" t="s">
        <v>10611</v>
      </c>
      <c r="C2146" s="1" t="s">
        <v>14268</v>
      </c>
      <c r="D2146" s="7" t="s">
        <v>10</v>
      </c>
    </row>
    <row r="2147">
      <c r="A2147" s="1" t="s">
        <v>10617</v>
      </c>
      <c r="B2147" s="1" t="s">
        <v>10616</v>
      </c>
      <c r="C2147" s="1" t="s">
        <v>14269</v>
      </c>
      <c r="D2147" s="7" t="s">
        <v>10</v>
      </c>
    </row>
    <row r="2148">
      <c r="A2148" s="1" t="s">
        <v>10622</v>
      </c>
      <c r="B2148" s="1" t="s">
        <v>10621</v>
      </c>
      <c r="C2148" s="1" t="s">
        <v>14270</v>
      </c>
      <c r="D2148" s="7" t="s">
        <v>10</v>
      </c>
    </row>
    <row r="2149">
      <c r="A2149" s="1" t="s">
        <v>10627</v>
      </c>
      <c r="B2149" s="1" t="s">
        <v>10626</v>
      </c>
      <c r="C2149" s="1" t="s">
        <v>14271</v>
      </c>
      <c r="D2149" s="7" t="s">
        <v>10</v>
      </c>
    </row>
    <row r="2150">
      <c r="A2150" s="1" t="s">
        <v>10632</v>
      </c>
      <c r="B2150" s="1" t="s">
        <v>10631</v>
      </c>
      <c r="C2150" s="1" t="s">
        <v>14272</v>
      </c>
      <c r="D2150" s="7" t="s">
        <v>10</v>
      </c>
    </row>
    <row r="2151">
      <c r="A2151" s="1" t="s">
        <v>10637</v>
      </c>
      <c r="B2151" s="1" t="s">
        <v>10636</v>
      </c>
      <c r="C2151" s="1" t="s">
        <v>14273</v>
      </c>
      <c r="D2151" s="7" t="s">
        <v>10</v>
      </c>
    </row>
    <row r="2152">
      <c r="A2152" s="1" t="s">
        <v>10642</v>
      </c>
      <c r="B2152" s="1" t="s">
        <v>10641</v>
      </c>
      <c r="C2152" s="1" t="s">
        <v>14274</v>
      </c>
      <c r="D2152" s="7" t="s">
        <v>10</v>
      </c>
    </row>
    <row r="2153">
      <c r="A2153" s="1" t="s">
        <v>10647</v>
      </c>
      <c r="B2153" s="1" t="s">
        <v>10646</v>
      </c>
      <c r="C2153" s="1" t="s">
        <v>14275</v>
      </c>
      <c r="D2153" s="7" t="s">
        <v>10</v>
      </c>
    </row>
    <row r="2154">
      <c r="A2154" s="1" t="s">
        <v>10652</v>
      </c>
      <c r="B2154" s="1" t="s">
        <v>10651</v>
      </c>
      <c r="C2154" s="1" t="s">
        <v>14276</v>
      </c>
      <c r="D2154" s="7" t="s">
        <v>10</v>
      </c>
    </row>
    <row r="2155">
      <c r="A2155" s="1" t="s">
        <v>10657</v>
      </c>
      <c r="B2155" s="1" t="s">
        <v>10656</v>
      </c>
      <c r="C2155" s="1" t="s">
        <v>14277</v>
      </c>
      <c r="D2155" s="7" t="s">
        <v>10</v>
      </c>
    </row>
    <row r="2156">
      <c r="A2156" s="1" t="s">
        <v>10662</v>
      </c>
      <c r="B2156" s="1" t="s">
        <v>10661</v>
      </c>
      <c r="C2156" s="1" t="s">
        <v>14278</v>
      </c>
      <c r="D2156" s="7" t="s">
        <v>10</v>
      </c>
    </row>
    <row r="2157">
      <c r="A2157" s="1" t="s">
        <v>10667</v>
      </c>
      <c r="B2157" s="1" t="s">
        <v>10666</v>
      </c>
      <c r="C2157" s="1" t="s">
        <v>14279</v>
      </c>
      <c r="D2157" s="7" t="s">
        <v>10</v>
      </c>
    </row>
    <row r="2158">
      <c r="A2158" s="1" t="s">
        <v>10672</v>
      </c>
      <c r="B2158" s="1" t="s">
        <v>10671</v>
      </c>
      <c r="C2158" s="1" t="s">
        <v>14280</v>
      </c>
      <c r="D2158" s="7" t="s">
        <v>10</v>
      </c>
    </row>
    <row r="2159">
      <c r="A2159" s="1" t="s">
        <v>10677</v>
      </c>
      <c r="B2159" s="1" t="s">
        <v>10676</v>
      </c>
      <c r="C2159" s="1" t="s">
        <v>14281</v>
      </c>
      <c r="D2159" s="7" t="s">
        <v>10</v>
      </c>
    </row>
    <row r="2160">
      <c r="A2160" s="1" t="s">
        <v>10682</v>
      </c>
      <c r="B2160" s="1" t="s">
        <v>10681</v>
      </c>
      <c r="C2160" s="1" t="s">
        <v>14282</v>
      </c>
      <c r="D2160" s="7" t="s">
        <v>10</v>
      </c>
    </row>
    <row r="2161">
      <c r="A2161" s="1" t="s">
        <v>10687</v>
      </c>
      <c r="B2161" s="1" t="s">
        <v>10686</v>
      </c>
      <c r="C2161" s="1" t="s">
        <v>14283</v>
      </c>
      <c r="D2161" s="7" t="s">
        <v>10</v>
      </c>
    </row>
    <row r="2162">
      <c r="A2162" s="1" t="s">
        <v>10692</v>
      </c>
      <c r="B2162" s="1" t="s">
        <v>10691</v>
      </c>
      <c r="C2162" s="1" t="s">
        <v>14284</v>
      </c>
      <c r="D2162" s="7" t="s">
        <v>10</v>
      </c>
    </row>
    <row r="2163">
      <c r="A2163" s="1" t="s">
        <v>10697</v>
      </c>
      <c r="B2163" s="1" t="s">
        <v>10696</v>
      </c>
      <c r="C2163" s="1" t="s">
        <v>14285</v>
      </c>
      <c r="D2163" s="7" t="s">
        <v>10</v>
      </c>
    </row>
    <row r="2164">
      <c r="A2164" s="1" t="s">
        <v>10702</v>
      </c>
      <c r="B2164" s="1" t="s">
        <v>10701</v>
      </c>
      <c r="C2164" s="1" t="s">
        <v>14286</v>
      </c>
      <c r="D2164" s="7" t="s">
        <v>10</v>
      </c>
    </row>
    <row r="2165">
      <c r="A2165" s="1" t="s">
        <v>10707</v>
      </c>
      <c r="B2165" s="1" t="s">
        <v>10706</v>
      </c>
      <c r="C2165" s="1" t="s">
        <v>14287</v>
      </c>
      <c r="D2165" s="7" t="s">
        <v>10</v>
      </c>
    </row>
    <row r="2166">
      <c r="A2166" s="1" t="s">
        <v>10712</v>
      </c>
      <c r="B2166" s="1" t="s">
        <v>10711</v>
      </c>
      <c r="C2166" s="1" t="s">
        <v>14288</v>
      </c>
      <c r="D2166" s="7" t="s">
        <v>10</v>
      </c>
    </row>
    <row r="2167">
      <c r="A2167" s="1" t="s">
        <v>10717</v>
      </c>
      <c r="B2167" s="1" t="s">
        <v>10716</v>
      </c>
      <c r="C2167" s="1" t="s">
        <v>14289</v>
      </c>
      <c r="D2167" s="7" t="s">
        <v>10</v>
      </c>
    </row>
    <row r="2168">
      <c r="A2168" s="1" t="s">
        <v>10722</v>
      </c>
      <c r="B2168" s="1" t="s">
        <v>10721</v>
      </c>
      <c r="C2168" s="1" t="s">
        <v>14290</v>
      </c>
      <c r="D2168" s="7" t="s">
        <v>10</v>
      </c>
    </row>
    <row r="2169">
      <c r="A2169" s="1" t="s">
        <v>10727</v>
      </c>
      <c r="B2169" s="1" t="s">
        <v>10726</v>
      </c>
      <c r="C2169" s="1" t="s">
        <v>14291</v>
      </c>
      <c r="D2169" s="7" t="s">
        <v>10</v>
      </c>
    </row>
    <row r="2170">
      <c r="A2170" s="1" t="s">
        <v>10732</v>
      </c>
      <c r="B2170" s="1" t="s">
        <v>10731</v>
      </c>
      <c r="C2170" s="1" t="s">
        <v>14292</v>
      </c>
      <c r="D2170" s="7" t="s">
        <v>10</v>
      </c>
    </row>
    <row r="2171">
      <c r="A2171" s="1" t="s">
        <v>10737</v>
      </c>
      <c r="B2171" s="1" t="s">
        <v>10736</v>
      </c>
      <c r="C2171" s="1" t="s">
        <v>14293</v>
      </c>
      <c r="D2171" s="7" t="s">
        <v>10</v>
      </c>
    </row>
    <row r="2172">
      <c r="A2172" s="1" t="s">
        <v>10742</v>
      </c>
      <c r="B2172" s="1" t="s">
        <v>10741</v>
      </c>
      <c r="C2172" s="1" t="s">
        <v>14294</v>
      </c>
      <c r="D2172" s="7" t="s">
        <v>10</v>
      </c>
    </row>
    <row r="2173">
      <c r="A2173" s="1" t="s">
        <v>10747</v>
      </c>
      <c r="B2173" s="1" t="s">
        <v>10746</v>
      </c>
      <c r="C2173" s="1" t="s">
        <v>14295</v>
      </c>
      <c r="D2173" s="7" t="s">
        <v>10</v>
      </c>
    </row>
    <row r="2174">
      <c r="A2174" s="1" t="s">
        <v>10752</v>
      </c>
      <c r="B2174" s="1" t="s">
        <v>10751</v>
      </c>
      <c r="C2174" s="1" t="s">
        <v>14296</v>
      </c>
      <c r="D2174" s="7" t="s">
        <v>10</v>
      </c>
    </row>
    <row r="2175">
      <c r="A2175" s="1" t="s">
        <v>10757</v>
      </c>
      <c r="B2175" s="1" t="s">
        <v>10756</v>
      </c>
      <c r="C2175" s="1" t="s">
        <v>14297</v>
      </c>
      <c r="D2175" s="7" t="s">
        <v>10</v>
      </c>
    </row>
    <row r="2176">
      <c r="A2176" s="1" t="s">
        <v>10762</v>
      </c>
      <c r="B2176" s="1" t="s">
        <v>10761</v>
      </c>
      <c r="C2176" s="1" t="s">
        <v>14298</v>
      </c>
      <c r="D2176" s="7" t="s">
        <v>10</v>
      </c>
    </row>
    <row r="2177">
      <c r="A2177" s="1" t="s">
        <v>10767</v>
      </c>
      <c r="B2177" s="1" t="s">
        <v>10766</v>
      </c>
      <c r="C2177" s="1" t="s">
        <v>14299</v>
      </c>
      <c r="D2177" s="7" t="s">
        <v>10</v>
      </c>
    </row>
    <row r="2178">
      <c r="A2178" s="1" t="s">
        <v>10772</v>
      </c>
      <c r="B2178" s="1" t="s">
        <v>10771</v>
      </c>
      <c r="C2178" s="1" t="s">
        <v>14300</v>
      </c>
      <c r="D2178" s="7" t="s">
        <v>10</v>
      </c>
    </row>
    <row r="2179">
      <c r="A2179" s="1" t="s">
        <v>10777</v>
      </c>
      <c r="B2179" s="1" t="s">
        <v>10776</v>
      </c>
      <c r="C2179" s="1" t="s">
        <v>14301</v>
      </c>
      <c r="D2179" s="7" t="s">
        <v>10</v>
      </c>
    </row>
    <row r="2180">
      <c r="A2180" s="1" t="s">
        <v>10782</v>
      </c>
      <c r="B2180" s="1" t="s">
        <v>10781</v>
      </c>
      <c r="C2180" s="1" t="s">
        <v>14302</v>
      </c>
      <c r="D2180" s="7" t="s">
        <v>10</v>
      </c>
    </row>
    <row r="2181">
      <c r="A2181" s="1" t="s">
        <v>10787</v>
      </c>
      <c r="B2181" s="1" t="s">
        <v>10786</v>
      </c>
      <c r="C2181" s="1" t="s">
        <v>14303</v>
      </c>
      <c r="D2181" s="7" t="s">
        <v>10</v>
      </c>
    </row>
    <row r="2182">
      <c r="A2182" s="1" t="s">
        <v>10792</v>
      </c>
      <c r="B2182" s="1" t="s">
        <v>10791</v>
      </c>
      <c r="C2182" s="1" t="s">
        <v>14304</v>
      </c>
      <c r="D2182" s="7" t="s">
        <v>10</v>
      </c>
    </row>
    <row r="2183">
      <c r="A2183" s="1" t="s">
        <v>10797</v>
      </c>
      <c r="B2183" s="1" t="s">
        <v>10796</v>
      </c>
      <c r="C2183" s="1" t="s">
        <v>14305</v>
      </c>
      <c r="D2183" s="7" t="s">
        <v>10</v>
      </c>
    </row>
    <row r="2184">
      <c r="A2184" s="1" t="s">
        <v>10802</v>
      </c>
      <c r="B2184" s="1" t="s">
        <v>10801</v>
      </c>
      <c r="C2184" s="1" t="s">
        <v>14306</v>
      </c>
      <c r="D2184" s="7" t="s">
        <v>10</v>
      </c>
    </row>
    <row r="2185">
      <c r="A2185" s="1" t="s">
        <v>10807</v>
      </c>
      <c r="B2185" s="1" t="s">
        <v>10806</v>
      </c>
      <c r="C2185" s="1" t="s">
        <v>14307</v>
      </c>
      <c r="D2185" s="7" t="s">
        <v>10</v>
      </c>
    </row>
    <row r="2186">
      <c r="A2186" s="1" t="s">
        <v>10812</v>
      </c>
      <c r="B2186" s="1" t="s">
        <v>10811</v>
      </c>
      <c r="C2186" s="1" t="s">
        <v>14308</v>
      </c>
      <c r="D2186" s="7" t="s">
        <v>10</v>
      </c>
    </row>
    <row r="2187">
      <c r="A2187" s="1" t="s">
        <v>10817</v>
      </c>
      <c r="B2187" s="1" t="s">
        <v>10816</v>
      </c>
      <c r="C2187" s="1" t="s">
        <v>14309</v>
      </c>
      <c r="D2187" s="7" t="s">
        <v>10</v>
      </c>
    </row>
    <row r="2188">
      <c r="A2188" s="1" t="s">
        <v>10822</v>
      </c>
      <c r="B2188" s="1" t="s">
        <v>10821</v>
      </c>
      <c r="C2188" s="1" t="s">
        <v>14310</v>
      </c>
      <c r="D2188" s="7" t="s">
        <v>10</v>
      </c>
    </row>
    <row r="2189">
      <c r="A2189" s="1" t="s">
        <v>10827</v>
      </c>
      <c r="B2189" s="1" t="s">
        <v>10826</v>
      </c>
      <c r="C2189" s="1" t="s">
        <v>14311</v>
      </c>
      <c r="D2189" s="7" t="s">
        <v>10</v>
      </c>
    </row>
    <row r="2190">
      <c r="A2190" s="1" t="s">
        <v>10832</v>
      </c>
      <c r="B2190" s="1" t="s">
        <v>10831</v>
      </c>
      <c r="C2190" s="1" t="s">
        <v>14312</v>
      </c>
      <c r="D2190" s="7" t="s">
        <v>10</v>
      </c>
    </row>
    <row r="2191">
      <c r="A2191" s="1" t="s">
        <v>10837</v>
      </c>
      <c r="B2191" s="1" t="s">
        <v>10836</v>
      </c>
      <c r="C2191" s="1" t="s">
        <v>14313</v>
      </c>
      <c r="D2191" s="7" t="s">
        <v>10</v>
      </c>
    </row>
    <row r="2192">
      <c r="A2192" s="1" t="s">
        <v>10842</v>
      </c>
      <c r="B2192" s="1" t="s">
        <v>10841</v>
      </c>
      <c r="C2192" s="1" t="s">
        <v>14314</v>
      </c>
      <c r="D2192" s="7" t="s">
        <v>10</v>
      </c>
    </row>
    <row r="2193">
      <c r="A2193" s="1" t="s">
        <v>10847</v>
      </c>
      <c r="B2193" s="1" t="s">
        <v>10846</v>
      </c>
      <c r="C2193" s="1" t="s">
        <v>14315</v>
      </c>
      <c r="D2193" s="7" t="s">
        <v>10</v>
      </c>
    </row>
    <row r="2194">
      <c r="A2194" s="1" t="s">
        <v>10852</v>
      </c>
      <c r="B2194" s="1" t="s">
        <v>10851</v>
      </c>
      <c r="C2194" s="1" t="s">
        <v>14316</v>
      </c>
      <c r="D2194" s="7" t="s">
        <v>10</v>
      </c>
    </row>
    <row r="2195">
      <c r="A2195" s="1" t="s">
        <v>10857</v>
      </c>
      <c r="B2195" s="1" t="s">
        <v>10856</v>
      </c>
      <c r="C2195" s="1" t="s">
        <v>14317</v>
      </c>
      <c r="D2195" s="7" t="s">
        <v>10</v>
      </c>
    </row>
    <row r="2196">
      <c r="A2196" s="1" t="s">
        <v>10862</v>
      </c>
      <c r="B2196" s="1" t="s">
        <v>10861</v>
      </c>
      <c r="C2196" s="1" t="s">
        <v>14318</v>
      </c>
      <c r="D2196" s="7" t="s">
        <v>10</v>
      </c>
    </row>
    <row r="2197">
      <c r="A2197" s="1" t="s">
        <v>10867</v>
      </c>
      <c r="B2197" s="1" t="s">
        <v>10866</v>
      </c>
      <c r="C2197" s="1" t="s">
        <v>14319</v>
      </c>
      <c r="D2197" s="7" t="s">
        <v>10</v>
      </c>
    </row>
    <row r="2198">
      <c r="A2198" s="1" t="s">
        <v>10872</v>
      </c>
      <c r="B2198" s="1" t="s">
        <v>10871</v>
      </c>
      <c r="C2198" s="1" t="s">
        <v>14320</v>
      </c>
      <c r="D2198" s="7" t="s">
        <v>10</v>
      </c>
    </row>
    <row r="2199">
      <c r="A2199" s="1" t="s">
        <v>10877</v>
      </c>
      <c r="B2199" s="1" t="s">
        <v>10876</v>
      </c>
      <c r="C2199" s="1" t="s">
        <v>14321</v>
      </c>
      <c r="D2199" s="7" t="s">
        <v>10</v>
      </c>
    </row>
    <row r="2200">
      <c r="A2200" s="1" t="s">
        <v>10882</v>
      </c>
      <c r="B2200" s="1" t="s">
        <v>10881</v>
      </c>
      <c r="C2200" s="1" t="s">
        <v>14322</v>
      </c>
      <c r="D2200" s="7" t="s">
        <v>10</v>
      </c>
    </row>
    <row r="2201">
      <c r="A2201" s="1" t="s">
        <v>10887</v>
      </c>
      <c r="B2201" s="1" t="s">
        <v>10886</v>
      </c>
      <c r="C2201" s="1" t="s">
        <v>14323</v>
      </c>
      <c r="D2201" s="7" t="s">
        <v>10</v>
      </c>
    </row>
    <row r="2202">
      <c r="A2202" s="1" t="s">
        <v>10892</v>
      </c>
      <c r="B2202" s="1" t="s">
        <v>10891</v>
      </c>
      <c r="C2202" s="1" t="s">
        <v>14324</v>
      </c>
      <c r="D2202" s="7" t="s">
        <v>10</v>
      </c>
    </row>
    <row r="2203">
      <c r="A2203" s="1" t="s">
        <v>10897</v>
      </c>
      <c r="B2203" s="1" t="s">
        <v>10896</v>
      </c>
      <c r="C2203" s="1" t="s">
        <v>14325</v>
      </c>
      <c r="D2203" s="7" t="s">
        <v>10</v>
      </c>
    </row>
    <row r="2204">
      <c r="A2204" s="1" t="s">
        <v>10902</v>
      </c>
      <c r="B2204" s="1" t="s">
        <v>10901</v>
      </c>
      <c r="C2204" s="1" t="s">
        <v>14326</v>
      </c>
      <c r="D2204" s="7" t="s">
        <v>10</v>
      </c>
    </row>
    <row r="2205">
      <c r="A2205" s="1" t="s">
        <v>10907</v>
      </c>
      <c r="B2205" s="1" t="s">
        <v>10906</v>
      </c>
      <c r="C2205" s="1" t="s">
        <v>14327</v>
      </c>
      <c r="D2205" s="7" t="s">
        <v>10</v>
      </c>
    </row>
    <row r="2206">
      <c r="A2206" s="1" t="s">
        <v>10912</v>
      </c>
      <c r="B2206" s="1" t="s">
        <v>10911</v>
      </c>
      <c r="C2206" s="1" t="s">
        <v>14328</v>
      </c>
      <c r="D2206" s="7" t="s">
        <v>10</v>
      </c>
    </row>
    <row r="2207">
      <c r="A2207" s="1" t="s">
        <v>10917</v>
      </c>
      <c r="B2207" s="1" t="s">
        <v>10916</v>
      </c>
      <c r="C2207" s="1" t="s">
        <v>14329</v>
      </c>
      <c r="D2207" s="7" t="s">
        <v>10</v>
      </c>
    </row>
    <row r="2208">
      <c r="A2208" s="1" t="s">
        <v>10922</v>
      </c>
      <c r="B2208" s="1" t="s">
        <v>10921</v>
      </c>
      <c r="C2208" s="1" t="s">
        <v>14330</v>
      </c>
      <c r="D2208" s="7" t="s">
        <v>10</v>
      </c>
    </row>
    <row r="2209">
      <c r="A2209" s="1" t="s">
        <v>10927</v>
      </c>
      <c r="B2209" s="1" t="s">
        <v>10926</v>
      </c>
      <c r="C2209" s="1" t="s">
        <v>14331</v>
      </c>
      <c r="D2209" s="7" t="s">
        <v>10</v>
      </c>
    </row>
    <row r="2210">
      <c r="A2210" s="1" t="s">
        <v>10932</v>
      </c>
      <c r="B2210" s="1" t="s">
        <v>10931</v>
      </c>
      <c r="C2210" s="1" t="s">
        <v>14332</v>
      </c>
      <c r="D2210" s="7" t="s">
        <v>10</v>
      </c>
    </row>
    <row r="2211">
      <c r="A2211" s="1" t="s">
        <v>10937</v>
      </c>
      <c r="B2211" s="1" t="s">
        <v>10936</v>
      </c>
      <c r="C2211" s="1" t="s">
        <v>14333</v>
      </c>
      <c r="D2211" s="7" t="s">
        <v>10</v>
      </c>
    </row>
    <row r="2212">
      <c r="A2212" s="1" t="s">
        <v>10942</v>
      </c>
      <c r="B2212" s="1" t="s">
        <v>10941</v>
      </c>
      <c r="C2212" s="1" t="s">
        <v>14334</v>
      </c>
      <c r="D2212" s="7" t="s">
        <v>10</v>
      </c>
    </row>
    <row r="2213">
      <c r="A2213" s="1" t="s">
        <v>10947</v>
      </c>
      <c r="B2213" s="1" t="s">
        <v>10946</v>
      </c>
      <c r="C2213" s="1" t="s">
        <v>14335</v>
      </c>
      <c r="D2213" s="7" t="s">
        <v>10</v>
      </c>
    </row>
    <row r="2214">
      <c r="A2214" s="1" t="s">
        <v>10952</v>
      </c>
      <c r="B2214" s="1" t="s">
        <v>10951</v>
      </c>
      <c r="C2214" s="1" t="s">
        <v>14336</v>
      </c>
      <c r="D2214" s="7" t="s">
        <v>10</v>
      </c>
    </row>
    <row r="2215">
      <c r="A2215" s="1" t="s">
        <v>10957</v>
      </c>
      <c r="B2215" s="1" t="s">
        <v>10956</v>
      </c>
      <c r="C2215" s="1" t="s">
        <v>14337</v>
      </c>
      <c r="D2215" s="7" t="s">
        <v>10</v>
      </c>
    </row>
    <row r="2216">
      <c r="A2216" s="1" t="s">
        <v>10962</v>
      </c>
      <c r="B2216" s="1" t="s">
        <v>10961</v>
      </c>
      <c r="C2216" s="1" t="s">
        <v>14338</v>
      </c>
      <c r="D2216" s="7" t="s">
        <v>10</v>
      </c>
    </row>
    <row r="2217">
      <c r="A2217" s="1" t="s">
        <v>10967</v>
      </c>
      <c r="B2217" s="1" t="s">
        <v>10966</v>
      </c>
      <c r="C2217" s="1" t="s">
        <v>14339</v>
      </c>
      <c r="D2217" s="7" t="s">
        <v>10</v>
      </c>
    </row>
    <row r="2218">
      <c r="A2218" s="1" t="s">
        <v>10972</v>
      </c>
      <c r="B2218" s="1" t="s">
        <v>10971</v>
      </c>
      <c r="C2218" s="1" t="s">
        <v>14340</v>
      </c>
      <c r="D2218" s="7" t="s">
        <v>10</v>
      </c>
    </row>
    <row r="2219">
      <c r="A2219" s="1" t="s">
        <v>10977</v>
      </c>
      <c r="B2219" s="1" t="s">
        <v>10976</v>
      </c>
      <c r="C2219" s="1" t="s">
        <v>14341</v>
      </c>
      <c r="D2219" s="7" t="s">
        <v>10</v>
      </c>
    </row>
    <row r="2220">
      <c r="A2220" s="1" t="s">
        <v>10982</v>
      </c>
      <c r="B2220" s="1" t="s">
        <v>10981</v>
      </c>
      <c r="C2220" s="1" t="s">
        <v>14342</v>
      </c>
      <c r="D2220" s="7" t="s">
        <v>10</v>
      </c>
    </row>
    <row r="2221">
      <c r="A2221" s="1" t="s">
        <v>10987</v>
      </c>
      <c r="B2221" s="1" t="s">
        <v>10986</v>
      </c>
      <c r="C2221" s="1" t="s">
        <v>14343</v>
      </c>
      <c r="D2221" s="7" t="s">
        <v>10</v>
      </c>
    </row>
    <row r="2222">
      <c r="A2222" s="1" t="s">
        <v>10992</v>
      </c>
      <c r="B2222" s="1" t="s">
        <v>10991</v>
      </c>
      <c r="C2222" s="1" t="s">
        <v>14344</v>
      </c>
      <c r="D2222" s="7" t="s">
        <v>10</v>
      </c>
    </row>
    <row r="2223">
      <c r="A2223" s="1" t="s">
        <v>10997</v>
      </c>
      <c r="B2223" s="1" t="s">
        <v>10996</v>
      </c>
      <c r="C2223" s="1" t="s">
        <v>14345</v>
      </c>
      <c r="D2223" s="7" t="s">
        <v>10</v>
      </c>
    </row>
    <row r="2224">
      <c r="A2224" s="1" t="s">
        <v>11002</v>
      </c>
      <c r="B2224" s="1" t="s">
        <v>11001</v>
      </c>
      <c r="C2224" s="1" t="s">
        <v>14346</v>
      </c>
      <c r="D2224" s="7" t="s">
        <v>10</v>
      </c>
    </row>
    <row r="2225">
      <c r="A2225" s="1" t="s">
        <v>11007</v>
      </c>
      <c r="B2225" s="1" t="s">
        <v>11006</v>
      </c>
      <c r="C2225" s="1" t="s">
        <v>14347</v>
      </c>
      <c r="D2225" s="7" t="s">
        <v>10</v>
      </c>
    </row>
    <row r="2226">
      <c r="A2226" s="1" t="s">
        <v>11012</v>
      </c>
      <c r="B2226" s="1" t="s">
        <v>11011</v>
      </c>
      <c r="C2226" s="1" t="s">
        <v>14348</v>
      </c>
      <c r="D2226" s="7" t="s">
        <v>10</v>
      </c>
    </row>
    <row r="2227">
      <c r="A2227" s="1" t="s">
        <v>11017</v>
      </c>
      <c r="B2227" s="1" t="s">
        <v>11016</v>
      </c>
      <c r="C2227" s="1" t="s">
        <v>14349</v>
      </c>
      <c r="D2227" s="7" t="s">
        <v>10</v>
      </c>
    </row>
    <row r="2228">
      <c r="A2228" s="1" t="s">
        <v>11022</v>
      </c>
      <c r="B2228" s="1" t="s">
        <v>11021</v>
      </c>
      <c r="C2228" s="1" t="s">
        <v>14350</v>
      </c>
      <c r="D2228" s="7" t="s">
        <v>10</v>
      </c>
    </row>
    <row r="2229">
      <c r="A2229" s="1" t="s">
        <v>11027</v>
      </c>
      <c r="B2229" s="1" t="s">
        <v>11026</v>
      </c>
      <c r="C2229" s="1" t="s">
        <v>14351</v>
      </c>
      <c r="D2229" s="7" t="s">
        <v>10</v>
      </c>
    </row>
    <row r="2230">
      <c r="A2230" s="1" t="s">
        <v>11032</v>
      </c>
      <c r="B2230" s="1" t="s">
        <v>11031</v>
      </c>
      <c r="C2230" s="1" t="s">
        <v>14352</v>
      </c>
      <c r="D2230" s="7" t="s">
        <v>10</v>
      </c>
    </row>
    <row r="2231">
      <c r="A2231" s="1" t="s">
        <v>11037</v>
      </c>
      <c r="B2231" s="1" t="s">
        <v>11036</v>
      </c>
      <c r="C2231" s="1" t="s">
        <v>14353</v>
      </c>
      <c r="D2231" s="7" t="s">
        <v>10</v>
      </c>
    </row>
    <row r="2232">
      <c r="A2232" s="1" t="s">
        <v>11042</v>
      </c>
      <c r="B2232" s="1" t="s">
        <v>11041</v>
      </c>
      <c r="C2232" s="1" t="s">
        <v>14354</v>
      </c>
      <c r="D2232" s="7" t="s">
        <v>10</v>
      </c>
    </row>
    <row r="2233">
      <c r="A2233" s="1" t="s">
        <v>11047</v>
      </c>
      <c r="B2233" s="1" t="s">
        <v>11046</v>
      </c>
      <c r="C2233" s="1" t="s">
        <v>14355</v>
      </c>
      <c r="D2233" s="7" t="s">
        <v>10</v>
      </c>
    </row>
    <row r="2234">
      <c r="A2234" s="1" t="s">
        <v>11052</v>
      </c>
      <c r="B2234" s="1" t="s">
        <v>11051</v>
      </c>
      <c r="C2234" s="1" t="s">
        <v>14356</v>
      </c>
      <c r="D2234" s="7" t="s">
        <v>10</v>
      </c>
    </row>
    <row r="2235">
      <c r="A2235" s="1" t="s">
        <v>11057</v>
      </c>
      <c r="B2235" s="1" t="s">
        <v>11056</v>
      </c>
      <c r="C2235" s="1" t="s">
        <v>14357</v>
      </c>
      <c r="D2235" s="7" t="s">
        <v>10</v>
      </c>
    </row>
    <row r="2236">
      <c r="A2236" s="1" t="s">
        <v>11062</v>
      </c>
      <c r="B2236" s="1" t="s">
        <v>11061</v>
      </c>
      <c r="C2236" s="1" t="s">
        <v>14358</v>
      </c>
      <c r="D2236" s="7" t="s">
        <v>10</v>
      </c>
    </row>
    <row r="2237">
      <c r="A2237" s="1" t="s">
        <v>11066</v>
      </c>
      <c r="B2237" s="1" t="s">
        <v>11065</v>
      </c>
      <c r="C2237" s="1" t="s">
        <v>14359</v>
      </c>
      <c r="D2237" s="7" t="s">
        <v>10</v>
      </c>
    </row>
    <row r="2238">
      <c r="A2238" s="1" t="s">
        <v>11070</v>
      </c>
      <c r="B2238" s="1" t="s">
        <v>11069</v>
      </c>
      <c r="C2238" s="1" t="s">
        <v>14360</v>
      </c>
      <c r="D2238" s="7" t="s">
        <v>10</v>
      </c>
    </row>
    <row r="2239">
      <c r="A2239" s="1" t="s">
        <v>11074</v>
      </c>
      <c r="B2239" s="1" t="s">
        <v>11073</v>
      </c>
      <c r="C2239" s="1" t="s">
        <v>14361</v>
      </c>
      <c r="D2239" s="7" t="s">
        <v>10</v>
      </c>
    </row>
    <row r="2240">
      <c r="A2240" s="1" t="s">
        <v>11078</v>
      </c>
      <c r="B2240" s="1" t="s">
        <v>11077</v>
      </c>
      <c r="C2240" s="1" t="s">
        <v>14362</v>
      </c>
      <c r="D2240" s="7" t="s">
        <v>10</v>
      </c>
    </row>
    <row r="2241">
      <c r="A2241" s="1" t="s">
        <v>11082</v>
      </c>
      <c r="B2241" s="1" t="s">
        <v>11081</v>
      </c>
      <c r="C2241" s="1" t="s">
        <v>14363</v>
      </c>
      <c r="D2241" s="7" t="s">
        <v>10</v>
      </c>
    </row>
    <row r="2242">
      <c r="A2242" s="1" t="s">
        <v>11086</v>
      </c>
      <c r="B2242" s="1" t="s">
        <v>11085</v>
      </c>
      <c r="C2242" s="1" t="s">
        <v>14364</v>
      </c>
      <c r="D2242" s="7" t="s">
        <v>10</v>
      </c>
    </row>
    <row r="2243">
      <c r="A2243" s="1" t="s">
        <v>11090</v>
      </c>
      <c r="B2243" s="1" t="s">
        <v>11089</v>
      </c>
      <c r="C2243" s="1" t="s">
        <v>14365</v>
      </c>
      <c r="D2243" s="7" t="s">
        <v>10</v>
      </c>
    </row>
    <row r="2244">
      <c r="A2244" s="1" t="s">
        <v>11094</v>
      </c>
      <c r="B2244" s="1" t="s">
        <v>11093</v>
      </c>
      <c r="C2244" s="1" t="s">
        <v>14366</v>
      </c>
      <c r="D2244" s="7" t="s">
        <v>10</v>
      </c>
    </row>
    <row r="2245">
      <c r="A2245" s="1" t="s">
        <v>11098</v>
      </c>
      <c r="B2245" s="1" t="s">
        <v>11097</v>
      </c>
      <c r="C2245" s="1" t="s">
        <v>14367</v>
      </c>
      <c r="D2245" s="7" t="s">
        <v>10</v>
      </c>
    </row>
    <row r="2246">
      <c r="A2246" s="1" t="s">
        <v>11102</v>
      </c>
      <c r="B2246" s="1" t="s">
        <v>11101</v>
      </c>
      <c r="C2246" s="1" t="s">
        <v>14368</v>
      </c>
      <c r="D2246" s="7" t="s">
        <v>10</v>
      </c>
    </row>
    <row r="2247">
      <c r="A2247" s="1" t="s">
        <v>11106</v>
      </c>
      <c r="B2247" s="1" t="s">
        <v>11105</v>
      </c>
      <c r="C2247" s="1" t="s">
        <v>14369</v>
      </c>
      <c r="D2247" s="7" t="s">
        <v>10</v>
      </c>
    </row>
    <row r="2248">
      <c r="A2248" s="1" t="s">
        <v>11110</v>
      </c>
      <c r="B2248" s="1" t="s">
        <v>11109</v>
      </c>
      <c r="C2248" s="1" t="s">
        <v>14370</v>
      </c>
      <c r="D2248" s="7" t="s">
        <v>10</v>
      </c>
    </row>
    <row r="2249">
      <c r="A2249" s="1" t="s">
        <v>11114</v>
      </c>
      <c r="B2249" s="1" t="s">
        <v>11113</v>
      </c>
      <c r="C2249" s="1" t="s">
        <v>14371</v>
      </c>
      <c r="D2249" s="7" t="s">
        <v>10</v>
      </c>
    </row>
    <row r="2250">
      <c r="A2250" s="1" t="s">
        <v>11118</v>
      </c>
      <c r="B2250" s="1" t="s">
        <v>11117</v>
      </c>
      <c r="C2250" s="1" t="s">
        <v>14372</v>
      </c>
      <c r="D2250" s="7" t="s">
        <v>10</v>
      </c>
    </row>
    <row r="2251">
      <c r="A2251" s="1" t="s">
        <v>11122</v>
      </c>
      <c r="B2251" s="1" t="s">
        <v>11121</v>
      </c>
      <c r="C2251" s="1" t="s">
        <v>14373</v>
      </c>
      <c r="D2251" s="7" t="s">
        <v>10</v>
      </c>
    </row>
    <row r="2252">
      <c r="A2252" s="1" t="s">
        <v>11126</v>
      </c>
      <c r="B2252" s="1" t="s">
        <v>11125</v>
      </c>
      <c r="C2252" s="1" t="s">
        <v>14374</v>
      </c>
      <c r="D2252" s="7" t="s">
        <v>10</v>
      </c>
    </row>
    <row r="2253">
      <c r="A2253" s="1" t="s">
        <v>11130</v>
      </c>
      <c r="B2253" s="1" t="s">
        <v>11129</v>
      </c>
      <c r="C2253" s="1" t="s">
        <v>14375</v>
      </c>
      <c r="D2253" s="7" t="s">
        <v>10</v>
      </c>
    </row>
    <row r="2254">
      <c r="A2254" s="1" t="s">
        <v>11134</v>
      </c>
      <c r="B2254" s="1" t="s">
        <v>11133</v>
      </c>
      <c r="C2254" s="1" t="s">
        <v>14376</v>
      </c>
      <c r="D2254" s="7" t="s">
        <v>10</v>
      </c>
    </row>
    <row r="2255">
      <c r="A2255" s="1" t="s">
        <v>11138</v>
      </c>
      <c r="B2255" s="1" t="s">
        <v>11137</v>
      </c>
      <c r="C2255" s="1" t="s">
        <v>14377</v>
      </c>
      <c r="D2255" s="7" t="s">
        <v>10</v>
      </c>
    </row>
    <row r="2256">
      <c r="A2256" s="1" t="s">
        <v>11142</v>
      </c>
      <c r="B2256" s="1" t="s">
        <v>11141</v>
      </c>
      <c r="C2256" s="1" t="s">
        <v>14378</v>
      </c>
      <c r="D2256" s="7" t="s">
        <v>10</v>
      </c>
    </row>
    <row r="2257">
      <c r="A2257" s="1" t="s">
        <v>11146</v>
      </c>
      <c r="B2257" s="1" t="s">
        <v>11145</v>
      </c>
      <c r="C2257" s="1" t="s">
        <v>14379</v>
      </c>
      <c r="D2257" s="7" t="s">
        <v>10</v>
      </c>
    </row>
    <row r="2258">
      <c r="A2258" s="1" t="s">
        <v>11150</v>
      </c>
      <c r="B2258" s="1" t="s">
        <v>11149</v>
      </c>
      <c r="C2258" s="1" t="s">
        <v>14380</v>
      </c>
      <c r="D2258" s="7" t="s">
        <v>10</v>
      </c>
    </row>
    <row r="2259">
      <c r="A2259" s="1" t="s">
        <v>11154</v>
      </c>
      <c r="B2259" s="1" t="s">
        <v>11153</v>
      </c>
      <c r="C2259" s="1" t="s">
        <v>14381</v>
      </c>
      <c r="D2259" s="7" t="s">
        <v>10</v>
      </c>
    </row>
    <row r="2260">
      <c r="A2260" s="1" t="s">
        <v>11158</v>
      </c>
      <c r="B2260" s="1" t="s">
        <v>11157</v>
      </c>
      <c r="C2260" s="1" t="s">
        <v>14382</v>
      </c>
      <c r="D2260" s="7" t="s">
        <v>10</v>
      </c>
    </row>
    <row r="2261">
      <c r="A2261" s="1" t="s">
        <v>11162</v>
      </c>
      <c r="B2261" s="1" t="s">
        <v>11161</v>
      </c>
      <c r="C2261" s="1" t="s">
        <v>14383</v>
      </c>
      <c r="D2261" s="7" t="s">
        <v>10</v>
      </c>
    </row>
    <row r="2262">
      <c r="A2262" s="1" t="s">
        <v>11166</v>
      </c>
      <c r="B2262" s="1" t="s">
        <v>11165</v>
      </c>
      <c r="C2262" s="1" t="s">
        <v>14384</v>
      </c>
      <c r="D2262" s="7" t="s">
        <v>10</v>
      </c>
    </row>
    <row r="2263">
      <c r="A2263" s="1" t="s">
        <v>11170</v>
      </c>
      <c r="B2263" s="1" t="s">
        <v>11169</v>
      </c>
      <c r="C2263" s="1" t="s">
        <v>14385</v>
      </c>
      <c r="D2263" s="7" t="s">
        <v>10</v>
      </c>
    </row>
    <row r="2264">
      <c r="A2264" s="1" t="s">
        <v>11174</v>
      </c>
      <c r="B2264" s="1" t="s">
        <v>11173</v>
      </c>
      <c r="C2264" s="1" t="s">
        <v>14386</v>
      </c>
      <c r="D2264" s="7" t="s">
        <v>10</v>
      </c>
    </row>
    <row r="2265">
      <c r="A2265" s="1" t="s">
        <v>11178</v>
      </c>
      <c r="B2265" s="1" t="s">
        <v>11177</v>
      </c>
      <c r="C2265" s="1" t="s">
        <v>14387</v>
      </c>
      <c r="D2265" s="7" t="s">
        <v>10</v>
      </c>
    </row>
    <row r="2266">
      <c r="A2266" s="1" t="s">
        <v>11182</v>
      </c>
      <c r="B2266" s="1" t="s">
        <v>11181</v>
      </c>
      <c r="C2266" s="1" t="s">
        <v>14388</v>
      </c>
      <c r="D2266" s="7" t="s">
        <v>10</v>
      </c>
    </row>
    <row r="2267">
      <c r="A2267" s="1" t="s">
        <v>11186</v>
      </c>
      <c r="B2267" s="1" t="s">
        <v>11185</v>
      </c>
      <c r="C2267" s="1" t="s">
        <v>14389</v>
      </c>
      <c r="D2267" s="7" t="s">
        <v>10</v>
      </c>
    </row>
    <row r="2268">
      <c r="A2268" s="1" t="s">
        <v>11190</v>
      </c>
      <c r="B2268" s="1" t="s">
        <v>11189</v>
      </c>
      <c r="C2268" s="1" t="s">
        <v>14390</v>
      </c>
      <c r="D2268" s="7" t="s">
        <v>10</v>
      </c>
    </row>
    <row r="2269">
      <c r="A2269" s="1" t="s">
        <v>11194</v>
      </c>
      <c r="B2269" s="1" t="s">
        <v>11193</v>
      </c>
      <c r="C2269" s="1" t="s">
        <v>14391</v>
      </c>
      <c r="D2269" s="7" t="s">
        <v>10</v>
      </c>
    </row>
    <row r="2270">
      <c r="A2270" s="1" t="s">
        <v>11198</v>
      </c>
      <c r="B2270" s="1" t="s">
        <v>11197</v>
      </c>
      <c r="C2270" s="1" t="s">
        <v>14392</v>
      </c>
      <c r="D2270" s="7" t="s">
        <v>10</v>
      </c>
    </row>
    <row r="2271">
      <c r="A2271" s="1" t="s">
        <v>11202</v>
      </c>
      <c r="B2271" s="1" t="s">
        <v>11201</v>
      </c>
      <c r="C2271" s="1" t="s">
        <v>14393</v>
      </c>
      <c r="D2271" s="7" t="s">
        <v>10</v>
      </c>
    </row>
    <row r="2272">
      <c r="A2272" s="1" t="s">
        <v>11206</v>
      </c>
      <c r="B2272" s="1" t="s">
        <v>11205</v>
      </c>
      <c r="C2272" s="1" t="s">
        <v>14394</v>
      </c>
      <c r="D2272" s="7" t="s">
        <v>10</v>
      </c>
    </row>
    <row r="2273">
      <c r="A2273" s="1" t="s">
        <v>11210</v>
      </c>
      <c r="B2273" s="1" t="s">
        <v>11209</v>
      </c>
      <c r="C2273" s="1" t="s">
        <v>14395</v>
      </c>
      <c r="D2273" s="7" t="s">
        <v>10</v>
      </c>
    </row>
    <row r="2274">
      <c r="A2274" s="1" t="s">
        <v>11214</v>
      </c>
      <c r="B2274" s="1" t="s">
        <v>11213</v>
      </c>
      <c r="C2274" s="1" t="s">
        <v>14396</v>
      </c>
      <c r="D2274" s="7" t="s">
        <v>10</v>
      </c>
    </row>
    <row r="2275">
      <c r="A2275" s="1" t="s">
        <v>11218</v>
      </c>
      <c r="B2275" s="1" t="s">
        <v>11217</v>
      </c>
      <c r="C2275" s="1" t="s">
        <v>14397</v>
      </c>
      <c r="D2275" s="7" t="s">
        <v>10</v>
      </c>
    </row>
    <row r="2276">
      <c r="A2276" s="1" t="s">
        <v>11222</v>
      </c>
      <c r="B2276" s="1" t="s">
        <v>11221</v>
      </c>
      <c r="C2276" s="1" t="s">
        <v>14398</v>
      </c>
      <c r="D2276" s="7" t="s">
        <v>10</v>
      </c>
    </row>
    <row r="2277">
      <c r="A2277" s="1" t="s">
        <v>11226</v>
      </c>
      <c r="B2277" s="1" t="s">
        <v>11225</v>
      </c>
      <c r="C2277" s="1" t="s">
        <v>14399</v>
      </c>
      <c r="D2277" s="7" t="s">
        <v>10</v>
      </c>
    </row>
    <row r="2278">
      <c r="A2278" s="1" t="s">
        <v>11230</v>
      </c>
      <c r="B2278" s="1" t="s">
        <v>11229</v>
      </c>
      <c r="C2278" s="1" t="s">
        <v>14400</v>
      </c>
      <c r="D2278" s="7" t="s">
        <v>10</v>
      </c>
    </row>
    <row r="2279">
      <c r="A2279" s="1" t="s">
        <v>11234</v>
      </c>
      <c r="B2279" s="1" t="s">
        <v>11233</v>
      </c>
      <c r="C2279" s="1" t="s">
        <v>14401</v>
      </c>
      <c r="D2279" s="7" t="s">
        <v>10</v>
      </c>
    </row>
    <row r="2280">
      <c r="A2280" s="1" t="s">
        <v>11238</v>
      </c>
      <c r="B2280" s="1" t="s">
        <v>11237</v>
      </c>
      <c r="C2280" s="1" t="s">
        <v>14402</v>
      </c>
      <c r="D2280" s="7" t="s">
        <v>10</v>
      </c>
    </row>
    <row r="2281">
      <c r="A2281" s="1" t="s">
        <v>11242</v>
      </c>
      <c r="B2281" s="1" t="s">
        <v>11241</v>
      </c>
      <c r="C2281" s="1" t="s">
        <v>14403</v>
      </c>
      <c r="D2281" s="7" t="s">
        <v>10</v>
      </c>
    </row>
    <row r="2282">
      <c r="A2282" s="1" t="s">
        <v>11246</v>
      </c>
      <c r="B2282" s="1" t="s">
        <v>11245</v>
      </c>
      <c r="C2282" s="1" t="s">
        <v>14404</v>
      </c>
      <c r="D2282" s="7" t="s">
        <v>10</v>
      </c>
    </row>
    <row r="2283">
      <c r="A2283" s="1" t="s">
        <v>11250</v>
      </c>
      <c r="B2283" s="1" t="s">
        <v>11249</v>
      </c>
      <c r="C2283" s="1" t="s">
        <v>14405</v>
      </c>
      <c r="D2283" s="7" t="s">
        <v>10</v>
      </c>
    </row>
    <row r="2284">
      <c r="A2284" s="1" t="s">
        <v>11254</v>
      </c>
      <c r="B2284" s="1" t="s">
        <v>11253</v>
      </c>
      <c r="C2284" s="1" t="s">
        <v>14406</v>
      </c>
      <c r="D2284" s="7" t="s">
        <v>10</v>
      </c>
    </row>
    <row r="2285">
      <c r="A2285" s="1" t="s">
        <v>11258</v>
      </c>
      <c r="B2285" s="1" t="s">
        <v>11257</v>
      </c>
      <c r="C2285" s="1" t="s">
        <v>14407</v>
      </c>
      <c r="D2285" s="7" t="s">
        <v>10</v>
      </c>
    </row>
    <row r="2286">
      <c r="A2286" s="1" t="s">
        <v>11262</v>
      </c>
      <c r="B2286" s="1" t="s">
        <v>11261</v>
      </c>
      <c r="C2286" s="1" t="s">
        <v>14408</v>
      </c>
      <c r="D2286" s="7" t="s">
        <v>10</v>
      </c>
    </row>
    <row r="2287">
      <c r="A2287" s="1" t="s">
        <v>11265</v>
      </c>
      <c r="B2287" s="1" t="s">
        <v>11265</v>
      </c>
      <c r="C2287" s="1" t="s">
        <v>14409</v>
      </c>
      <c r="D2287" s="7" t="s">
        <v>10</v>
      </c>
    </row>
    <row r="2288">
      <c r="A2288" s="1" t="s">
        <v>11269</v>
      </c>
      <c r="B2288" s="1" t="s">
        <v>11268</v>
      </c>
      <c r="C2288" s="1" t="s">
        <v>14410</v>
      </c>
      <c r="D2288" s="7" t="s">
        <v>10</v>
      </c>
    </row>
    <row r="2289">
      <c r="A2289" s="1" t="s">
        <v>11273</v>
      </c>
      <c r="B2289" s="1" t="s">
        <v>11272</v>
      </c>
      <c r="C2289" s="1" t="s">
        <v>14411</v>
      </c>
      <c r="D2289" s="7" t="s">
        <v>10</v>
      </c>
    </row>
    <row r="2290">
      <c r="A2290" s="1" t="s">
        <v>11277</v>
      </c>
      <c r="B2290" s="1" t="s">
        <v>11276</v>
      </c>
      <c r="C2290" s="1" t="s">
        <v>14412</v>
      </c>
      <c r="D2290" s="7" t="s">
        <v>10</v>
      </c>
    </row>
    <row r="2291">
      <c r="A2291" s="1" t="s">
        <v>11281</v>
      </c>
      <c r="B2291" s="1" t="s">
        <v>11280</v>
      </c>
      <c r="C2291" s="1" t="s">
        <v>14413</v>
      </c>
      <c r="D2291" s="7" t="s">
        <v>10</v>
      </c>
    </row>
    <row r="2292">
      <c r="A2292" s="1" t="s">
        <v>11285</v>
      </c>
      <c r="B2292" s="1" t="s">
        <v>11284</v>
      </c>
      <c r="C2292" s="1" t="s">
        <v>14414</v>
      </c>
      <c r="D2292" s="7" t="s">
        <v>10</v>
      </c>
    </row>
    <row r="2293">
      <c r="A2293" s="1" t="s">
        <v>11289</v>
      </c>
      <c r="B2293" s="1" t="s">
        <v>11288</v>
      </c>
      <c r="C2293" s="1" t="s">
        <v>14415</v>
      </c>
      <c r="D2293" s="7" t="s">
        <v>10</v>
      </c>
    </row>
    <row r="2294">
      <c r="A2294" s="1" t="s">
        <v>11293</v>
      </c>
      <c r="B2294" s="1" t="s">
        <v>11292</v>
      </c>
      <c r="C2294" s="1" t="s">
        <v>14416</v>
      </c>
      <c r="D2294" s="7" t="s">
        <v>10</v>
      </c>
    </row>
    <row r="2295">
      <c r="A2295" s="1" t="s">
        <v>11297</v>
      </c>
      <c r="B2295" s="1" t="s">
        <v>11296</v>
      </c>
      <c r="C2295" s="1" t="s">
        <v>14417</v>
      </c>
      <c r="D2295" s="7" t="s">
        <v>10</v>
      </c>
    </row>
    <row r="2296">
      <c r="A2296" s="1" t="s">
        <v>11301</v>
      </c>
      <c r="B2296" s="1" t="s">
        <v>11300</v>
      </c>
      <c r="C2296" s="1" t="s">
        <v>14418</v>
      </c>
      <c r="D2296" s="7" t="s">
        <v>10</v>
      </c>
    </row>
    <row r="2297">
      <c r="A2297" s="1" t="s">
        <v>11305</v>
      </c>
      <c r="B2297" s="1" t="s">
        <v>11304</v>
      </c>
      <c r="C2297" s="1" t="s">
        <v>14419</v>
      </c>
      <c r="D2297" s="7" t="s">
        <v>10</v>
      </c>
    </row>
    <row r="2298">
      <c r="A2298" s="1" t="s">
        <v>11309</v>
      </c>
      <c r="B2298" s="1" t="s">
        <v>11308</v>
      </c>
      <c r="C2298" s="1" t="s">
        <v>14420</v>
      </c>
      <c r="D2298" s="7" t="s">
        <v>10</v>
      </c>
    </row>
    <row r="2299">
      <c r="A2299" s="1" t="s">
        <v>11313</v>
      </c>
      <c r="B2299" s="1" t="s">
        <v>11312</v>
      </c>
      <c r="C2299" s="1" t="s">
        <v>14421</v>
      </c>
      <c r="D2299" s="7" t="s">
        <v>10</v>
      </c>
    </row>
    <row r="2300">
      <c r="A2300" s="1" t="s">
        <v>11317</v>
      </c>
      <c r="B2300" s="1" t="s">
        <v>11316</v>
      </c>
      <c r="C2300" s="1" t="s">
        <v>14422</v>
      </c>
      <c r="D2300" s="7" t="s">
        <v>10</v>
      </c>
    </row>
    <row r="2301">
      <c r="A2301" s="1" t="s">
        <v>11321</v>
      </c>
      <c r="B2301" s="1" t="s">
        <v>11320</v>
      </c>
      <c r="C2301" s="1" t="s">
        <v>14423</v>
      </c>
      <c r="D2301" s="7" t="s">
        <v>10</v>
      </c>
    </row>
    <row r="2302">
      <c r="A2302" s="1" t="s">
        <v>11325</v>
      </c>
      <c r="B2302" s="1" t="s">
        <v>11324</v>
      </c>
      <c r="C2302" s="1" t="s">
        <v>14424</v>
      </c>
      <c r="D2302" s="7" t="s">
        <v>10</v>
      </c>
    </row>
    <row r="2303">
      <c r="A2303" s="1" t="s">
        <v>11329</v>
      </c>
      <c r="B2303" s="1" t="s">
        <v>11328</v>
      </c>
      <c r="C2303" s="1" t="s">
        <v>14425</v>
      </c>
      <c r="D2303" s="7" t="s">
        <v>10</v>
      </c>
    </row>
    <row r="2304">
      <c r="A2304" s="1" t="s">
        <v>11333</v>
      </c>
      <c r="B2304" s="1" t="s">
        <v>11332</v>
      </c>
      <c r="C2304" s="1" t="s">
        <v>14426</v>
      </c>
      <c r="D2304" s="7" t="s">
        <v>10</v>
      </c>
    </row>
    <row r="2305">
      <c r="A2305" s="1" t="s">
        <v>11337</v>
      </c>
      <c r="B2305" s="1" t="s">
        <v>11336</v>
      </c>
      <c r="C2305" s="1" t="s">
        <v>14427</v>
      </c>
      <c r="D2305" s="7" t="s">
        <v>10</v>
      </c>
    </row>
    <row r="2306">
      <c r="A2306" s="1" t="s">
        <v>11341</v>
      </c>
      <c r="B2306" s="1" t="s">
        <v>11340</v>
      </c>
      <c r="C2306" s="1" t="s">
        <v>14428</v>
      </c>
      <c r="D2306" s="7" t="s">
        <v>10</v>
      </c>
    </row>
    <row r="2307">
      <c r="A2307" s="1" t="s">
        <v>11345</v>
      </c>
      <c r="B2307" s="1" t="s">
        <v>11344</v>
      </c>
      <c r="C2307" s="1" t="s">
        <v>14429</v>
      </c>
      <c r="D2307" s="7" t="s">
        <v>10</v>
      </c>
    </row>
    <row r="2308">
      <c r="A2308" s="1" t="s">
        <v>11349</v>
      </c>
      <c r="B2308" s="1" t="s">
        <v>11348</v>
      </c>
      <c r="C2308" s="1" t="s">
        <v>14430</v>
      </c>
      <c r="D2308" s="7" t="s">
        <v>10</v>
      </c>
    </row>
    <row r="2309">
      <c r="A2309" s="1" t="s">
        <v>11353</v>
      </c>
      <c r="B2309" s="1" t="s">
        <v>11352</v>
      </c>
      <c r="C2309" s="1" t="s">
        <v>14431</v>
      </c>
      <c r="D2309" s="7" t="s">
        <v>10</v>
      </c>
    </row>
    <row r="2310">
      <c r="A2310" s="1" t="s">
        <v>11357</v>
      </c>
      <c r="B2310" s="1" t="s">
        <v>11356</v>
      </c>
      <c r="C2310" s="1" t="s">
        <v>14432</v>
      </c>
      <c r="D2310" s="7" t="s">
        <v>10</v>
      </c>
    </row>
    <row r="2311">
      <c r="A2311" s="1" t="s">
        <v>11361</v>
      </c>
      <c r="B2311" s="1" t="s">
        <v>11360</v>
      </c>
      <c r="C2311" s="1" t="s">
        <v>14433</v>
      </c>
      <c r="D2311" s="7" t="s">
        <v>10</v>
      </c>
    </row>
    <row r="2312">
      <c r="A2312" s="1" t="s">
        <v>11365</v>
      </c>
      <c r="B2312" s="1" t="s">
        <v>11364</v>
      </c>
      <c r="C2312" s="1" t="s">
        <v>14434</v>
      </c>
      <c r="D2312" s="7" t="s">
        <v>10</v>
      </c>
    </row>
    <row r="2313">
      <c r="A2313" s="1" t="s">
        <v>11369</v>
      </c>
      <c r="B2313" s="1" t="s">
        <v>11368</v>
      </c>
      <c r="C2313" s="1" t="s">
        <v>14435</v>
      </c>
      <c r="D2313" s="7" t="s">
        <v>10</v>
      </c>
    </row>
    <row r="2314">
      <c r="A2314" s="1" t="s">
        <v>11373</v>
      </c>
      <c r="B2314" s="1" t="s">
        <v>11372</v>
      </c>
      <c r="C2314" s="1" t="s">
        <v>14436</v>
      </c>
      <c r="D2314" s="7" t="s">
        <v>10</v>
      </c>
    </row>
    <row r="2315">
      <c r="A2315" s="1" t="s">
        <v>11377</v>
      </c>
      <c r="B2315" s="1" t="s">
        <v>11376</v>
      </c>
      <c r="C2315" s="1" t="s">
        <v>14437</v>
      </c>
      <c r="D2315" s="7" t="s">
        <v>10</v>
      </c>
    </row>
    <row r="2316">
      <c r="A2316" s="1" t="s">
        <v>11381</v>
      </c>
      <c r="B2316" s="1" t="s">
        <v>11380</v>
      </c>
      <c r="C2316" s="1" t="s">
        <v>14438</v>
      </c>
      <c r="D2316" s="7" t="s">
        <v>10</v>
      </c>
    </row>
    <row r="2317">
      <c r="A2317" s="1" t="s">
        <v>11385</v>
      </c>
      <c r="B2317" s="1" t="s">
        <v>11384</v>
      </c>
      <c r="C2317" s="1" t="s">
        <v>14439</v>
      </c>
      <c r="D2317" s="7" t="s">
        <v>10</v>
      </c>
    </row>
    <row r="2318">
      <c r="A2318" s="1" t="s">
        <v>11389</v>
      </c>
      <c r="B2318" s="1" t="s">
        <v>11388</v>
      </c>
      <c r="C2318" s="1" t="s">
        <v>14440</v>
      </c>
      <c r="D2318" s="7" t="s">
        <v>10</v>
      </c>
    </row>
    <row r="2319">
      <c r="A2319" s="1" t="s">
        <v>11393</v>
      </c>
      <c r="B2319" s="1" t="s">
        <v>11392</v>
      </c>
      <c r="C2319" s="1" t="s">
        <v>14441</v>
      </c>
      <c r="D2319" s="7" t="s">
        <v>10</v>
      </c>
    </row>
    <row r="2320">
      <c r="A2320" s="1" t="s">
        <v>11397</v>
      </c>
      <c r="B2320" s="1" t="s">
        <v>11396</v>
      </c>
      <c r="C2320" s="1" t="s">
        <v>14442</v>
      </c>
      <c r="D2320" s="7" t="s">
        <v>10</v>
      </c>
    </row>
    <row r="2321">
      <c r="A2321" s="1" t="s">
        <v>11401</v>
      </c>
      <c r="B2321" s="1" t="s">
        <v>11400</v>
      </c>
      <c r="C2321" s="1" t="s">
        <v>14443</v>
      </c>
      <c r="D2321" s="7" t="s">
        <v>10</v>
      </c>
    </row>
    <row r="2322">
      <c r="A2322" s="1" t="s">
        <v>11405</v>
      </c>
      <c r="B2322" s="1" t="s">
        <v>11404</v>
      </c>
      <c r="C2322" s="1" t="s">
        <v>14444</v>
      </c>
      <c r="D2322" s="7" t="s">
        <v>10</v>
      </c>
    </row>
    <row r="2323">
      <c r="A2323" s="1" t="s">
        <v>11409</v>
      </c>
      <c r="B2323" s="1" t="s">
        <v>11408</v>
      </c>
      <c r="C2323" s="1" t="s">
        <v>14445</v>
      </c>
      <c r="D2323" s="7" t="s">
        <v>10</v>
      </c>
    </row>
    <row r="2324">
      <c r="A2324" s="1" t="s">
        <v>11413</v>
      </c>
      <c r="B2324" s="1" t="s">
        <v>11412</v>
      </c>
      <c r="C2324" s="1" t="s">
        <v>14446</v>
      </c>
      <c r="D2324" s="7" t="s">
        <v>10</v>
      </c>
    </row>
    <row r="2325">
      <c r="A2325" s="1" t="s">
        <v>11417</v>
      </c>
      <c r="B2325" s="1" t="s">
        <v>11416</v>
      </c>
      <c r="C2325" s="1" t="s">
        <v>14447</v>
      </c>
      <c r="D2325" s="7" t="s">
        <v>10</v>
      </c>
    </row>
    <row r="2326">
      <c r="A2326" s="1" t="s">
        <v>11421</v>
      </c>
      <c r="B2326" s="1" t="s">
        <v>11420</v>
      </c>
      <c r="C2326" s="1" t="s">
        <v>14448</v>
      </c>
      <c r="D2326" s="7" t="s">
        <v>10</v>
      </c>
    </row>
    <row r="2327">
      <c r="A2327" s="1" t="s">
        <v>11425</v>
      </c>
      <c r="B2327" s="1" t="s">
        <v>11424</v>
      </c>
      <c r="C2327" s="1" t="s">
        <v>14449</v>
      </c>
      <c r="D2327" s="7" t="s">
        <v>10</v>
      </c>
    </row>
    <row r="2328">
      <c r="A2328" s="1" t="s">
        <v>11429</v>
      </c>
      <c r="B2328" s="1" t="s">
        <v>11428</v>
      </c>
      <c r="C2328" s="1" t="s">
        <v>14450</v>
      </c>
      <c r="D2328" s="7" t="s">
        <v>10</v>
      </c>
    </row>
    <row r="2329">
      <c r="A2329" s="1" t="s">
        <v>11433</v>
      </c>
      <c r="B2329" s="1" t="s">
        <v>11432</v>
      </c>
      <c r="C2329" s="1" t="s">
        <v>14451</v>
      </c>
      <c r="D2329" s="7" t="s">
        <v>10</v>
      </c>
    </row>
    <row r="2330">
      <c r="A2330" s="1" t="s">
        <v>11437</v>
      </c>
      <c r="B2330" s="1" t="s">
        <v>11436</v>
      </c>
      <c r="C2330" s="1" t="s">
        <v>14452</v>
      </c>
      <c r="D2330" s="7" t="s">
        <v>10</v>
      </c>
    </row>
    <row r="2331">
      <c r="A2331" s="1" t="s">
        <v>11441</v>
      </c>
      <c r="B2331" s="1" t="s">
        <v>11440</v>
      </c>
      <c r="C2331" s="1" t="s">
        <v>14453</v>
      </c>
      <c r="D2331" s="7" t="s">
        <v>10</v>
      </c>
    </row>
    <row r="2332">
      <c r="A2332" s="1" t="s">
        <v>11445</v>
      </c>
      <c r="B2332" s="1" t="s">
        <v>11444</v>
      </c>
      <c r="C2332" s="1" t="s">
        <v>14454</v>
      </c>
      <c r="D2332" s="7" t="s">
        <v>10</v>
      </c>
    </row>
    <row r="2333">
      <c r="A2333" s="1" t="s">
        <v>11449</v>
      </c>
      <c r="B2333" s="1" t="s">
        <v>11448</v>
      </c>
      <c r="C2333" s="1" t="s">
        <v>14455</v>
      </c>
      <c r="D2333" s="7" t="s">
        <v>10</v>
      </c>
    </row>
    <row r="2334">
      <c r="A2334" s="1" t="s">
        <v>11453</v>
      </c>
      <c r="B2334" s="1" t="s">
        <v>11452</v>
      </c>
      <c r="C2334" s="1" t="s">
        <v>14456</v>
      </c>
      <c r="D2334" s="7" t="s">
        <v>10</v>
      </c>
    </row>
    <row r="2335">
      <c r="A2335" s="1" t="s">
        <v>11457</v>
      </c>
      <c r="B2335" s="1" t="s">
        <v>11456</v>
      </c>
      <c r="C2335" s="1" t="s">
        <v>14457</v>
      </c>
      <c r="D2335" s="7" t="s">
        <v>10</v>
      </c>
    </row>
    <row r="2336">
      <c r="A2336" s="1" t="s">
        <v>11461</v>
      </c>
      <c r="B2336" s="1" t="s">
        <v>11460</v>
      </c>
      <c r="C2336" s="1" t="s">
        <v>14458</v>
      </c>
      <c r="D2336" s="7" t="s">
        <v>10</v>
      </c>
    </row>
    <row r="2337">
      <c r="A2337" s="1" t="s">
        <v>11465</v>
      </c>
      <c r="B2337" s="1" t="s">
        <v>11464</v>
      </c>
      <c r="C2337" s="1" t="s">
        <v>14459</v>
      </c>
      <c r="D2337" s="7" t="s">
        <v>10</v>
      </c>
    </row>
    <row r="2338">
      <c r="A2338" s="1" t="s">
        <v>11469</v>
      </c>
      <c r="B2338" s="1" t="s">
        <v>11468</v>
      </c>
      <c r="C2338" s="1" t="s">
        <v>14460</v>
      </c>
      <c r="D2338" s="7" t="s">
        <v>10</v>
      </c>
    </row>
    <row r="2339">
      <c r="A2339" s="1" t="s">
        <v>11473</v>
      </c>
      <c r="B2339" s="1" t="s">
        <v>11472</v>
      </c>
      <c r="C2339" s="1" t="s">
        <v>14461</v>
      </c>
      <c r="D2339" s="7" t="s">
        <v>10</v>
      </c>
    </row>
    <row r="2340">
      <c r="A2340" s="1" t="s">
        <v>11477</v>
      </c>
      <c r="B2340" s="1" t="s">
        <v>11476</v>
      </c>
      <c r="C2340" s="1" t="s">
        <v>14462</v>
      </c>
      <c r="D2340" s="7" t="s">
        <v>10</v>
      </c>
    </row>
    <row r="2341">
      <c r="A2341" s="1" t="s">
        <v>11481</v>
      </c>
      <c r="B2341" s="1" t="s">
        <v>11480</v>
      </c>
      <c r="C2341" s="1" t="s">
        <v>14463</v>
      </c>
      <c r="D2341" s="7" t="s">
        <v>10</v>
      </c>
    </row>
    <row r="2342">
      <c r="A2342" s="1" t="s">
        <v>11485</v>
      </c>
      <c r="B2342" s="1" t="s">
        <v>11484</v>
      </c>
      <c r="C2342" s="1" t="s">
        <v>14464</v>
      </c>
      <c r="D2342" s="7" t="s">
        <v>10</v>
      </c>
    </row>
    <row r="2343">
      <c r="A2343" s="1" t="s">
        <v>11489</v>
      </c>
      <c r="B2343" s="1" t="s">
        <v>11488</v>
      </c>
      <c r="C2343" s="1" t="s">
        <v>14465</v>
      </c>
      <c r="D2343" s="7" t="s">
        <v>10</v>
      </c>
    </row>
    <row r="2344">
      <c r="A2344" s="1" t="s">
        <v>11493</v>
      </c>
      <c r="B2344" s="1" t="s">
        <v>11492</v>
      </c>
      <c r="C2344" s="1" t="s">
        <v>14466</v>
      </c>
      <c r="D2344" s="7" t="s">
        <v>10</v>
      </c>
    </row>
    <row r="2345">
      <c r="A2345" s="1" t="s">
        <v>11497</v>
      </c>
      <c r="B2345" s="1" t="s">
        <v>11496</v>
      </c>
      <c r="C2345" s="1" t="s">
        <v>14467</v>
      </c>
      <c r="D2345" s="7" t="s">
        <v>10</v>
      </c>
    </row>
    <row r="2346">
      <c r="A2346" s="1" t="s">
        <v>11501</v>
      </c>
      <c r="B2346" s="1" t="s">
        <v>11500</v>
      </c>
      <c r="C2346" s="1" t="s">
        <v>14468</v>
      </c>
      <c r="D2346" s="7" t="s">
        <v>10</v>
      </c>
    </row>
    <row r="2347">
      <c r="A2347" s="1" t="s">
        <v>11505</v>
      </c>
      <c r="B2347" s="1" t="s">
        <v>11504</v>
      </c>
      <c r="C2347" s="1" t="s">
        <v>14469</v>
      </c>
      <c r="D2347" s="7" t="s">
        <v>10</v>
      </c>
    </row>
    <row r="2348">
      <c r="A2348" s="1" t="s">
        <v>11509</v>
      </c>
      <c r="B2348" s="1" t="s">
        <v>11508</v>
      </c>
      <c r="C2348" s="1" t="s">
        <v>14470</v>
      </c>
      <c r="D2348" s="7" t="s">
        <v>10</v>
      </c>
    </row>
    <row r="2349">
      <c r="A2349" s="1" t="s">
        <v>11513</v>
      </c>
      <c r="B2349" s="1" t="s">
        <v>11512</v>
      </c>
      <c r="C2349" s="1" t="s">
        <v>14471</v>
      </c>
      <c r="D2349" s="7" t="s">
        <v>10</v>
      </c>
    </row>
    <row r="2350">
      <c r="A2350" s="1" t="s">
        <v>11517</v>
      </c>
      <c r="B2350" s="1" t="s">
        <v>11516</v>
      </c>
      <c r="C2350" s="1" t="s">
        <v>14472</v>
      </c>
      <c r="D2350" s="7" t="s">
        <v>10</v>
      </c>
    </row>
    <row r="2351">
      <c r="A2351" s="1" t="s">
        <v>11521</v>
      </c>
      <c r="B2351" s="1" t="s">
        <v>11520</v>
      </c>
      <c r="C2351" s="1" t="s">
        <v>14473</v>
      </c>
      <c r="D2351" s="7" t="s">
        <v>10</v>
      </c>
    </row>
    <row r="2352">
      <c r="A2352" s="1" t="s">
        <v>11525</v>
      </c>
      <c r="B2352" s="1" t="s">
        <v>11524</v>
      </c>
      <c r="C2352" s="1" t="s">
        <v>14474</v>
      </c>
      <c r="D2352" s="7" t="s">
        <v>10</v>
      </c>
    </row>
    <row r="2353">
      <c r="A2353" s="1" t="s">
        <v>11529</v>
      </c>
      <c r="B2353" s="1" t="s">
        <v>11528</v>
      </c>
      <c r="C2353" s="1" t="s">
        <v>14475</v>
      </c>
      <c r="D2353" s="7" t="s">
        <v>10</v>
      </c>
    </row>
    <row r="2354">
      <c r="A2354" s="1" t="s">
        <v>11533</v>
      </c>
      <c r="B2354" s="1" t="s">
        <v>11532</v>
      </c>
      <c r="C2354" s="1" t="s">
        <v>14476</v>
      </c>
      <c r="D2354" s="7" t="s">
        <v>10</v>
      </c>
    </row>
    <row r="2355">
      <c r="A2355" s="1" t="s">
        <v>11537</v>
      </c>
      <c r="B2355" s="1" t="s">
        <v>11536</v>
      </c>
      <c r="C2355" s="1" t="s">
        <v>14477</v>
      </c>
      <c r="D2355" s="7" t="s">
        <v>10</v>
      </c>
    </row>
    <row r="2356">
      <c r="A2356" s="1" t="s">
        <v>11541</v>
      </c>
      <c r="B2356" s="1" t="s">
        <v>11540</v>
      </c>
      <c r="C2356" s="1" t="s">
        <v>14478</v>
      </c>
      <c r="D2356" s="7" t="s">
        <v>10</v>
      </c>
    </row>
    <row r="2357">
      <c r="A2357" s="1" t="s">
        <v>11545</v>
      </c>
      <c r="B2357" s="1" t="s">
        <v>11544</v>
      </c>
      <c r="C2357" s="1" t="s">
        <v>14479</v>
      </c>
      <c r="D2357" s="7" t="s">
        <v>10</v>
      </c>
    </row>
    <row r="2358">
      <c r="A2358" s="1" t="s">
        <v>11549</v>
      </c>
      <c r="B2358" s="1" t="s">
        <v>11548</v>
      </c>
      <c r="C2358" s="1" t="s">
        <v>14480</v>
      </c>
      <c r="D2358" s="7" t="s">
        <v>10</v>
      </c>
    </row>
    <row r="2359">
      <c r="A2359" s="1" t="s">
        <v>11553</v>
      </c>
      <c r="B2359" s="1" t="s">
        <v>11552</v>
      </c>
      <c r="C2359" s="1" t="s">
        <v>14481</v>
      </c>
      <c r="D2359" s="7" t="s">
        <v>10</v>
      </c>
    </row>
    <row r="2360">
      <c r="A2360" s="1" t="s">
        <v>11557</v>
      </c>
      <c r="B2360" s="1" t="s">
        <v>11556</v>
      </c>
      <c r="C2360" s="1" t="s">
        <v>14482</v>
      </c>
      <c r="D2360" s="7" t="s">
        <v>10</v>
      </c>
    </row>
    <row r="2361">
      <c r="A2361" s="1" t="s">
        <v>11561</v>
      </c>
      <c r="B2361" s="1" t="s">
        <v>11560</v>
      </c>
      <c r="C2361" s="1" t="s">
        <v>14483</v>
      </c>
      <c r="D2361" s="7" t="s">
        <v>10</v>
      </c>
    </row>
    <row r="2362">
      <c r="A2362" s="1" t="s">
        <v>11565</v>
      </c>
      <c r="B2362" s="1" t="s">
        <v>11564</v>
      </c>
      <c r="C2362" s="1" t="s">
        <v>14484</v>
      </c>
      <c r="D2362" s="7" t="s">
        <v>10</v>
      </c>
    </row>
    <row r="2363">
      <c r="A2363" s="1" t="s">
        <v>11569</v>
      </c>
      <c r="B2363" s="1" t="s">
        <v>11568</v>
      </c>
      <c r="C2363" s="1" t="s">
        <v>14485</v>
      </c>
      <c r="D2363" s="7" t="s">
        <v>10</v>
      </c>
    </row>
    <row r="2364">
      <c r="A2364" s="1" t="s">
        <v>11573</v>
      </c>
      <c r="B2364" s="1" t="s">
        <v>11572</v>
      </c>
      <c r="C2364" s="1" t="s">
        <v>14486</v>
      </c>
      <c r="D2364" s="7" t="s">
        <v>10</v>
      </c>
    </row>
    <row r="2365">
      <c r="A2365" s="1" t="s">
        <v>11577</v>
      </c>
      <c r="B2365" s="1" t="s">
        <v>11576</v>
      </c>
      <c r="C2365" s="1" t="s">
        <v>14487</v>
      </c>
      <c r="D2365" s="7" t="s">
        <v>10</v>
      </c>
    </row>
    <row r="2366">
      <c r="A2366" s="1" t="s">
        <v>11581</v>
      </c>
      <c r="B2366" s="1" t="s">
        <v>11580</v>
      </c>
      <c r="C2366" s="1" t="s">
        <v>14488</v>
      </c>
      <c r="D2366" s="7" t="s">
        <v>10</v>
      </c>
    </row>
    <row r="2367">
      <c r="A2367" s="1" t="s">
        <v>11585</v>
      </c>
      <c r="B2367" s="1" t="s">
        <v>11584</v>
      </c>
      <c r="C2367" s="1" t="s">
        <v>14489</v>
      </c>
      <c r="D2367" s="7" t="s">
        <v>10</v>
      </c>
    </row>
    <row r="2368">
      <c r="A2368" s="1" t="s">
        <v>11589</v>
      </c>
      <c r="B2368" s="1" t="s">
        <v>11588</v>
      </c>
      <c r="C2368" s="1" t="s">
        <v>14490</v>
      </c>
      <c r="D2368" s="7" t="s">
        <v>10</v>
      </c>
    </row>
    <row r="2369">
      <c r="A2369" s="1" t="s">
        <v>11593</v>
      </c>
      <c r="B2369" s="1" t="s">
        <v>11592</v>
      </c>
      <c r="C2369" s="1" t="s">
        <v>14491</v>
      </c>
      <c r="D2369" s="7" t="s">
        <v>10</v>
      </c>
    </row>
    <row r="2370">
      <c r="A2370" s="1" t="s">
        <v>11597</v>
      </c>
      <c r="B2370" s="1" t="s">
        <v>11596</v>
      </c>
      <c r="C2370" s="1" t="s">
        <v>14492</v>
      </c>
      <c r="D2370" s="7" t="s">
        <v>10</v>
      </c>
    </row>
    <row r="2371">
      <c r="A2371" s="1" t="s">
        <v>11601</v>
      </c>
      <c r="B2371" s="1" t="s">
        <v>11600</v>
      </c>
      <c r="C2371" s="1" t="s">
        <v>14493</v>
      </c>
      <c r="D2371" s="7" t="s">
        <v>10</v>
      </c>
    </row>
    <row r="2372">
      <c r="A2372" s="1" t="s">
        <v>11605</v>
      </c>
      <c r="B2372" s="1" t="s">
        <v>11604</v>
      </c>
      <c r="C2372" s="1" t="s">
        <v>14494</v>
      </c>
      <c r="D2372" s="7" t="s">
        <v>10</v>
      </c>
    </row>
    <row r="2373">
      <c r="A2373" s="1" t="s">
        <v>11609</v>
      </c>
      <c r="B2373" s="1" t="s">
        <v>11608</v>
      </c>
      <c r="C2373" s="1" t="s">
        <v>14495</v>
      </c>
      <c r="D2373" s="7" t="s">
        <v>10</v>
      </c>
    </row>
    <row r="2374">
      <c r="A2374" s="1" t="s">
        <v>11613</v>
      </c>
      <c r="B2374" s="1" t="s">
        <v>11612</v>
      </c>
      <c r="C2374" s="1" t="s">
        <v>14496</v>
      </c>
      <c r="D2374" s="7" t="s">
        <v>10</v>
      </c>
    </row>
    <row r="2375">
      <c r="A2375" s="1" t="s">
        <v>11617</v>
      </c>
      <c r="B2375" s="1" t="s">
        <v>11616</v>
      </c>
      <c r="C2375" s="1" t="s">
        <v>14497</v>
      </c>
      <c r="D2375" s="7" t="s">
        <v>10</v>
      </c>
    </row>
    <row r="2376">
      <c r="A2376" s="1" t="s">
        <v>11621</v>
      </c>
      <c r="B2376" s="1" t="s">
        <v>11620</v>
      </c>
      <c r="C2376" s="1" t="s">
        <v>14498</v>
      </c>
      <c r="D2376" s="7" t="s">
        <v>10</v>
      </c>
    </row>
    <row r="2377">
      <c r="A2377" s="1" t="s">
        <v>11625</v>
      </c>
      <c r="B2377" s="1" t="s">
        <v>11624</v>
      </c>
      <c r="C2377" s="1" t="s">
        <v>14499</v>
      </c>
      <c r="D2377" s="7" t="s">
        <v>10</v>
      </c>
    </row>
    <row r="2378">
      <c r="A2378" s="1" t="s">
        <v>11629</v>
      </c>
      <c r="B2378" s="1" t="s">
        <v>11628</v>
      </c>
      <c r="C2378" s="1" t="s">
        <v>14500</v>
      </c>
      <c r="D2378" s="7" t="s">
        <v>10</v>
      </c>
    </row>
    <row r="2379">
      <c r="A2379" s="1" t="s">
        <v>11633</v>
      </c>
      <c r="B2379" s="1" t="s">
        <v>11632</v>
      </c>
      <c r="C2379" s="1" t="s">
        <v>14501</v>
      </c>
      <c r="D2379" s="7" t="s">
        <v>10</v>
      </c>
    </row>
    <row r="2380">
      <c r="A2380" s="1" t="s">
        <v>11637</v>
      </c>
      <c r="B2380" s="1" t="s">
        <v>11636</v>
      </c>
      <c r="C2380" s="1" t="s">
        <v>14502</v>
      </c>
      <c r="D2380" s="7" t="s">
        <v>10</v>
      </c>
    </row>
    <row r="2381">
      <c r="A2381" s="1" t="s">
        <v>11641</v>
      </c>
      <c r="B2381" s="1" t="s">
        <v>11640</v>
      </c>
      <c r="C2381" s="1" t="s">
        <v>14503</v>
      </c>
      <c r="D2381" s="7" t="s">
        <v>10</v>
      </c>
    </row>
    <row r="2382">
      <c r="A2382" s="1" t="s">
        <v>11645</v>
      </c>
      <c r="B2382" s="1" t="s">
        <v>11644</v>
      </c>
      <c r="C2382" s="1" t="s">
        <v>14504</v>
      </c>
      <c r="D2382" s="7" t="s">
        <v>10</v>
      </c>
    </row>
    <row r="2383">
      <c r="A2383" s="1" t="s">
        <v>11649</v>
      </c>
      <c r="B2383" s="1" t="s">
        <v>11648</v>
      </c>
      <c r="C2383" s="1" t="s">
        <v>14505</v>
      </c>
      <c r="D2383" s="7" t="s">
        <v>10</v>
      </c>
    </row>
    <row r="2384">
      <c r="A2384" s="1" t="s">
        <v>11653</v>
      </c>
      <c r="B2384" s="1" t="s">
        <v>11652</v>
      </c>
      <c r="C2384" s="1" t="s">
        <v>14506</v>
      </c>
      <c r="D2384" s="7" t="s">
        <v>10</v>
      </c>
    </row>
    <row r="2385">
      <c r="A2385" s="1" t="s">
        <v>11657</v>
      </c>
      <c r="B2385" s="1" t="s">
        <v>11656</v>
      </c>
      <c r="C2385" s="1" t="s">
        <v>14507</v>
      </c>
      <c r="D2385" s="7" t="s">
        <v>10</v>
      </c>
    </row>
    <row r="2386">
      <c r="A2386" s="1" t="s">
        <v>11661</v>
      </c>
      <c r="B2386" s="1" t="s">
        <v>11660</v>
      </c>
      <c r="C2386" s="1" t="s">
        <v>14508</v>
      </c>
      <c r="D2386" s="7" t="s">
        <v>10</v>
      </c>
    </row>
    <row r="2387">
      <c r="A2387" s="1" t="s">
        <v>11665</v>
      </c>
      <c r="B2387" s="1" t="s">
        <v>11664</v>
      </c>
      <c r="C2387" s="1" t="s">
        <v>14509</v>
      </c>
      <c r="D2387" s="7" t="s">
        <v>10</v>
      </c>
    </row>
    <row r="2388">
      <c r="A2388" s="1" t="s">
        <v>11669</v>
      </c>
      <c r="B2388" s="1" t="s">
        <v>11668</v>
      </c>
      <c r="C2388" s="1" t="s">
        <v>14510</v>
      </c>
      <c r="D2388" s="7" t="s">
        <v>10</v>
      </c>
    </row>
    <row r="2389">
      <c r="A2389" s="1" t="s">
        <v>11673</v>
      </c>
      <c r="B2389" s="1" t="s">
        <v>11672</v>
      </c>
      <c r="C2389" s="1" t="s">
        <v>14511</v>
      </c>
      <c r="D2389" s="7" t="s">
        <v>10</v>
      </c>
    </row>
    <row r="2390">
      <c r="A2390" s="1" t="s">
        <v>11677</v>
      </c>
      <c r="B2390" s="1" t="s">
        <v>11676</v>
      </c>
      <c r="C2390" s="1" t="s">
        <v>14512</v>
      </c>
      <c r="D2390" s="7" t="s">
        <v>10</v>
      </c>
    </row>
    <row r="2391">
      <c r="A2391" s="1" t="s">
        <v>11681</v>
      </c>
      <c r="B2391" s="1" t="s">
        <v>11680</v>
      </c>
      <c r="C2391" s="1" t="s">
        <v>14513</v>
      </c>
      <c r="D2391" s="7" t="s">
        <v>10</v>
      </c>
    </row>
    <row r="2392">
      <c r="A2392" s="1" t="s">
        <v>11685</v>
      </c>
      <c r="B2392" s="1" t="s">
        <v>11684</v>
      </c>
      <c r="C2392" s="1" t="s">
        <v>14514</v>
      </c>
      <c r="D2392" s="7" t="s">
        <v>10</v>
      </c>
    </row>
    <row r="2393">
      <c r="A2393" s="1" t="s">
        <v>11689</v>
      </c>
      <c r="B2393" s="1" t="s">
        <v>11688</v>
      </c>
      <c r="C2393" s="1" t="s">
        <v>14515</v>
      </c>
      <c r="D2393" s="7" t="s">
        <v>10</v>
      </c>
    </row>
    <row r="2394">
      <c r="A2394" s="1" t="s">
        <v>11693</v>
      </c>
      <c r="B2394" s="1" t="s">
        <v>11692</v>
      </c>
      <c r="C2394" s="1" t="s">
        <v>14516</v>
      </c>
      <c r="D2394" s="7" t="s">
        <v>10</v>
      </c>
    </row>
    <row r="2395">
      <c r="A2395" s="1" t="s">
        <v>11697</v>
      </c>
      <c r="B2395" s="1" t="s">
        <v>11696</v>
      </c>
      <c r="C2395" s="1" t="s">
        <v>14517</v>
      </c>
      <c r="D2395" s="7" t="s">
        <v>10</v>
      </c>
    </row>
    <row r="2396">
      <c r="A2396" s="1" t="s">
        <v>11701</v>
      </c>
      <c r="B2396" s="1" t="s">
        <v>11700</v>
      </c>
      <c r="C2396" s="1" t="s">
        <v>14518</v>
      </c>
      <c r="D2396" s="7" t="s">
        <v>10</v>
      </c>
    </row>
    <row r="2397">
      <c r="A2397" s="1" t="s">
        <v>11705</v>
      </c>
      <c r="B2397" s="1" t="s">
        <v>11704</v>
      </c>
      <c r="C2397" s="1" t="s">
        <v>14519</v>
      </c>
      <c r="D2397" s="7" t="s">
        <v>10</v>
      </c>
    </row>
    <row r="2398">
      <c r="A2398" s="1" t="s">
        <v>11709</v>
      </c>
      <c r="B2398" s="1" t="s">
        <v>11708</v>
      </c>
      <c r="C2398" s="1" t="s">
        <v>14520</v>
      </c>
      <c r="D2398" s="7" t="s">
        <v>10</v>
      </c>
    </row>
    <row r="2399">
      <c r="A2399" s="1" t="s">
        <v>11713</v>
      </c>
      <c r="B2399" s="1" t="s">
        <v>11712</v>
      </c>
      <c r="C2399" s="1" t="s">
        <v>14521</v>
      </c>
      <c r="D2399" s="7" t="s">
        <v>10</v>
      </c>
    </row>
    <row r="2400">
      <c r="A2400" s="1" t="s">
        <v>11717</v>
      </c>
      <c r="B2400" s="1" t="s">
        <v>11716</v>
      </c>
      <c r="C2400" s="1" t="s">
        <v>14522</v>
      </c>
      <c r="D2400" s="7" t="s">
        <v>10</v>
      </c>
    </row>
    <row r="2401">
      <c r="A2401" s="1" t="s">
        <v>11721</v>
      </c>
      <c r="B2401" s="1" t="s">
        <v>11720</v>
      </c>
      <c r="C2401" s="1" t="s">
        <v>14523</v>
      </c>
      <c r="D2401" s="7" t="s">
        <v>10</v>
      </c>
    </row>
    <row r="2402">
      <c r="A2402" s="1" t="s">
        <v>11725</v>
      </c>
      <c r="B2402" s="1" t="s">
        <v>11724</v>
      </c>
      <c r="C2402" s="1" t="s">
        <v>14524</v>
      </c>
      <c r="D2402" s="7" t="s">
        <v>10</v>
      </c>
    </row>
    <row r="2403">
      <c r="A2403" s="1" t="s">
        <v>11729</v>
      </c>
      <c r="B2403" s="1" t="s">
        <v>11728</v>
      </c>
      <c r="C2403" s="1" t="s">
        <v>14525</v>
      </c>
      <c r="D2403" s="7" t="s">
        <v>10</v>
      </c>
    </row>
    <row r="2404">
      <c r="A2404" s="1" t="s">
        <v>11733</v>
      </c>
      <c r="B2404" s="1" t="s">
        <v>11732</v>
      </c>
      <c r="C2404" s="1" t="s">
        <v>14526</v>
      </c>
      <c r="D2404" s="7" t="s">
        <v>10</v>
      </c>
    </row>
    <row r="2405">
      <c r="A2405" s="1" t="s">
        <v>11737</v>
      </c>
      <c r="B2405" s="1" t="s">
        <v>11736</v>
      </c>
      <c r="C2405" s="1" t="s">
        <v>14527</v>
      </c>
      <c r="D2405" s="7" t="s">
        <v>10</v>
      </c>
    </row>
    <row r="2406">
      <c r="A2406" s="1" t="s">
        <v>11741</v>
      </c>
      <c r="B2406" s="1" t="s">
        <v>11740</v>
      </c>
      <c r="C2406" s="1" t="s">
        <v>14528</v>
      </c>
      <c r="D2406" s="7" t="s">
        <v>10</v>
      </c>
    </row>
    <row r="2407">
      <c r="A2407" s="1" t="s">
        <v>11745</v>
      </c>
      <c r="B2407" s="1" t="s">
        <v>11744</v>
      </c>
      <c r="C2407" s="1" t="s">
        <v>14529</v>
      </c>
      <c r="D2407" s="7" t="s">
        <v>10</v>
      </c>
    </row>
    <row r="2408">
      <c r="A2408" s="1" t="s">
        <v>11749</v>
      </c>
      <c r="B2408" s="1" t="s">
        <v>11748</v>
      </c>
      <c r="C2408" s="1" t="s">
        <v>14530</v>
      </c>
      <c r="D2408" s="7" t="s">
        <v>10</v>
      </c>
    </row>
    <row r="2409">
      <c r="A2409" s="1" t="s">
        <v>11753</v>
      </c>
      <c r="B2409" s="1" t="s">
        <v>11752</v>
      </c>
      <c r="C2409" s="1" t="s">
        <v>14531</v>
      </c>
      <c r="D2409" s="7" t="s">
        <v>10</v>
      </c>
    </row>
    <row r="2410">
      <c r="A2410" s="1" t="s">
        <v>11757</v>
      </c>
      <c r="B2410" s="1" t="s">
        <v>11756</v>
      </c>
      <c r="C2410" s="1" t="s">
        <v>14532</v>
      </c>
      <c r="D2410" s="7" t="s">
        <v>10</v>
      </c>
    </row>
    <row r="2411">
      <c r="A2411" s="1" t="s">
        <v>11761</v>
      </c>
      <c r="B2411" s="1" t="s">
        <v>11760</v>
      </c>
      <c r="C2411" s="1" t="s">
        <v>14533</v>
      </c>
      <c r="D2411" s="7" t="s">
        <v>10</v>
      </c>
    </row>
    <row r="2412">
      <c r="A2412" s="1" t="s">
        <v>11765</v>
      </c>
      <c r="B2412" s="1" t="s">
        <v>11764</v>
      </c>
      <c r="C2412" s="1" t="s">
        <v>14534</v>
      </c>
      <c r="D2412" s="7" t="s">
        <v>10</v>
      </c>
    </row>
    <row r="2413">
      <c r="A2413" s="1" t="s">
        <v>11769</v>
      </c>
      <c r="B2413" s="1" t="s">
        <v>11768</v>
      </c>
      <c r="C2413" s="1" t="s">
        <v>14535</v>
      </c>
      <c r="D2413" s="7" t="s">
        <v>10</v>
      </c>
    </row>
    <row r="2414">
      <c r="A2414" s="1" t="s">
        <v>11773</v>
      </c>
      <c r="B2414" s="1" t="s">
        <v>11772</v>
      </c>
      <c r="C2414" s="1" t="s">
        <v>14536</v>
      </c>
      <c r="D2414" s="7" t="s">
        <v>10</v>
      </c>
    </row>
    <row r="2415">
      <c r="A2415" s="1" t="s">
        <v>11777</v>
      </c>
      <c r="B2415" s="1" t="s">
        <v>11776</v>
      </c>
      <c r="C2415" s="1" t="s">
        <v>14537</v>
      </c>
      <c r="D2415" s="7" t="s">
        <v>10</v>
      </c>
    </row>
    <row r="2416">
      <c r="A2416" s="1" t="s">
        <v>11781</v>
      </c>
      <c r="B2416" s="1" t="s">
        <v>11780</v>
      </c>
      <c r="C2416" s="1" t="s">
        <v>14538</v>
      </c>
      <c r="D2416" s="7" t="s">
        <v>10</v>
      </c>
    </row>
    <row r="2417">
      <c r="A2417" s="1" t="s">
        <v>11785</v>
      </c>
      <c r="B2417" s="1" t="s">
        <v>11784</v>
      </c>
      <c r="C2417" s="1" t="s">
        <v>14539</v>
      </c>
      <c r="D2417" s="7" t="s">
        <v>10</v>
      </c>
    </row>
    <row r="2418">
      <c r="A2418" s="1" t="s">
        <v>11789</v>
      </c>
      <c r="B2418" s="1" t="s">
        <v>11788</v>
      </c>
      <c r="C2418" s="1" t="s">
        <v>14540</v>
      </c>
      <c r="D2418" s="7" t="s">
        <v>10</v>
      </c>
    </row>
    <row r="2419">
      <c r="A2419" s="1" t="s">
        <v>11793</v>
      </c>
      <c r="B2419" s="1" t="s">
        <v>11792</v>
      </c>
      <c r="C2419" s="1" t="s">
        <v>14541</v>
      </c>
      <c r="D2419" s="7" t="s">
        <v>10</v>
      </c>
    </row>
    <row r="2420">
      <c r="A2420" s="1" t="s">
        <v>11797</v>
      </c>
      <c r="B2420" s="1" t="s">
        <v>11796</v>
      </c>
      <c r="C2420" s="1" t="s">
        <v>14542</v>
      </c>
      <c r="D2420" s="7" t="s">
        <v>10</v>
      </c>
    </row>
    <row r="2421">
      <c r="A2421" s="1" t="s">
        <v>11801</v>
      </c>
      <c r="B2421" s="1" t="s">
        <v>11800</v>
      </c>
      <c r="C2421" s="1" t="s">
        <v>14543</v>
      </c>
      <c r="D2421" s="7" t="s">
        <v>10</v>
      </c>
    </row>
    <row r="2422">
      <c r="A2422" s="1" t="s">
        <v>11805</v>
      </c>
      <c r="B2422" s="1" t="s">
        <v>11804</v>
      </c>
      <c r="C2422" s="1" t="s">
        <v>14544</v>
      </c>
      <c r="D2422" s="7" t="s">
        <v>10</v>
      </c>
    </row>
    <row r="2423">
      <c r="A2423" s="1" t="s">
        <v>11809</v>
      </c>
      <c r="B2423" s="1" t="s">
        <v>11808</v>
      </c>
      <c r="C2423" s="1" t="s">
        <v>14545</v>
      </c>
      <c r="D2423" s="7" t="s">
        <v>10</v>
      </c>
    </row>
    <row r="2424">
      <c r="A2424" s="1" t="s">
        <v>11813</v>
      </c>
      <c r="B2424" s="1" t="s">
        <v>11812</v>
      </c>
      <c r="C2424" s="1" t="s">
        <v>14546</v>
      </c>
      <c r="D2424" s="7" t="s">
        <v>10</v>
      </c>
    </row>
    <row r="2425">
      <c r="A2425" s="1" t="s">
        <v>11817</v>
      </c>
      <c r="B2425" s="1" t="s">
        <v>11816</v>
      </c>
      <c r="C2425" s="1" t="s">
        <v>14547</v>
      </c>
      <c r="D2425" s="7" t="s">
        <v>10</v>
      </c>
    </row>
    <row r="2426">
      <c r="A2426" s="1" t="s">
        <v>11821</v>
      </c>
      <c r="B2426" s="1" t="s">
        <v>11820</v>
      </c>
      <c r="C2426" s="1" t="s">
        <v>14548</v>
      </c>
      <c r="D2426" s="7" t="s">
        <v>10</v>
      </c>
    </row>
    <row r="2427">
      <c r="A2427" s="1" t="s">
        <v>11825</v>
      </c>
      <c r="B2427" s="1" t="s">
        <v>11824</v>
      </c>
      <c r="C2427" s="1" t="s">
        <v>14549</v>
      </c>
      <c r="D2427" s="7" t="s">
        <v>10</v>
      </c>
    </row>
    <row r="2428">
      <c r="A2428" s="1" t="s">
        <v>11829</v>
      </c>
      <c r="B2428" s="1" t="s">
        <v>11828</v>
      </c>
      <c r="C2428" s="1" t="s">
        <v>14550</v>
      </c>
      <c r="D2428" s="7" t="s">
        <v>10</v>
      </c>
    </row>
    <row r="2429">
      <c r="A2429" s="1" t="s">
        <v>11833</v>
      </c>
      <c r="B2429" s="1" t="s">
        <v>11832</v>
      </c>
      <c r="C2429" s="1" t="s">
        <v>14551</v>
      </c>
      <c r="D2429" s="7" t="s">
        <v>10</v>
      </c>
    </row>
    <row r="2430">
      <c r="A2430" s="1" t="s">
        <v>11837</v>
      </c>
      <c r="B2430" s="1" t="s">
        <v>11836</v>
      </c>
      <c r="C2430" s="1" t="s">
        <v>14552</v>
      </c>
      <c r="D2430" s="7" t="s">
        <v>10</v>
      </c>
    </row>
    <row r="2431">
      <c r="A2431" s="1" t="s">
        <v>11841</v>
      </c>
      <c r="B2431" s="1" t="s">
        <v>11840</v>
      </c>
      <c r="C2431" s="1" t="s">
        <v>14553</v>
      </c>
      <c r="D2431" s="7" t="s">
        <v>10</v>
      </c>
    </row>
    <row r="2432">
      <c r="A2432" s="1" t="s">
        <v>11845</v>
      </c>
      <c r="B2432" s="1" t="s">
        <v>11844</v>
      </c>
      <c r="C2432" s="1" t="s">
        <v>14554</v>
      </c>
      <c r="D2432" s="7" t="s">
        <v>10</v>
      </c>
    </row>
    <row r="2433">
      <c r="A2433" s="1" t="s">
        <v>11849</v>
      </c>
      <c r="B2433" s="1" t="s">
        <v>11848</v>
      </c>
      <c r="C2433" s="1" t="s">
        <v>14555</v>
      </c>
      <c r="D2433" s="7" t="s">
        <v>10</v>
      </c>
    </row>
    <row r="2434">
      <c r="A2434" s="1" t="s">
        <v>11853</v>
      </c>
      <c r="B2434" s="1" t="s">
        <v>11852</v>
      </c>
      <c r="C2434" s="1" t="s">
        <v>14556</v>
      </c>
      <c r="D2434" s="7" t="s">
        <v>10</v>
      </c>
    </row>
    <row r="2435">
      <c r="A2435" s="1" t="s">
        <v>11857</v>
      </c>
      <c r="B2435" s="1" t="s">
        <v>11856</v>
      </c>
      <c r="C2435" s="1" t="s">
        <v>14557</v>
      </c>
      <c r="D2435" s="7" t="s">
        <v>10</v>
      </c>
    </row>
    <row r="2436">
      <c r="A2436" s="1" t="s">
        <v>11861</v>
      </c>
      <c r="B2436" s="1" t="s">
        <v>11860</v>
      </c>
      <c r="C2436" s="1" t="s">
        <v>14558</v>
      </c>
      <c r="D2436" s="7" t="s">
        <v>10</v>
      </c>
    </row>
    <row r="2437">
      <c r="A2437" s="1" t="s">
        <v>11865</v>
      </c>
      <c r="B2437" s="1" t="s">
        <v>11864</v>
      </c>
      <c r="C2437" s="1" t="s">
        <v>14559</v>
      </c>
      <c r="D2437" s="7" t="s">
        <v>10</v>
      </c>
    </row>
    <row r="2438">
      <c r="A2438" s="1" t="s">
        <v>11869</v>
      </c>
      <c r="B2438" s="1" t="s">
        <v>11868</v>
      </c>
      <c r="C2438" s="1" t="s">
        <v>14560</v>
      </c>
      <c r="D2438" s="7" t="s">
        <v>10</v>
      </c>
    </row>
    <row r="2439">
      <c r="A2439" s="1" t="s">
        <v>11873</v>
      </c>
      <c r="B2439" s="1" t="s">
        <v>11872</v>
      </c>
      <c r="C2439" s="1" t="s">
        <v>14561</v>
      </c>
      <c r="D2439" s="7" t="s">
        <v>10</v>
      </c>
    </row>
    <row r="2440">
      <c r="A2440" s="1" t="s">
        <v>11877</v>
      </c>
      <c r="B2440" s="1" t="s">
        <v>11876</v>
      </c>
      <c r="C2440" s="1" t="s">
        <v>14562</v>
      </c>
      <c r="D2440" s="7" t="s">
        <v>10</v>
      </c>
    </row>
    <row r="2441">
      <c r="A2441" s="1" t="s">
        <v>11881</v>
      </c>
      <c r="B2441" s="1" t="s">
        <v>11880</v>
      </c>
      <c r="C2441" s="1" t="s">
        <v>14563</v>
      </c>
      <c r="D2441" s="7" t="s">
        <v>10</v>
      </c>
    </row>
    <row r="2442">
      <c r="A2442" s="1" t="s">
        <v>11885</v>
      </c>
      <c r="B2442" s="1" t="s">
        <v>11884</v>
      </c>
      <c r="C2442" s="1" t="s">
        <v>14564</v>
      </c>
      <c r="D2442" s="7" t="s">
        <v>10</v>
      </c>
    </row>
    <row r="2443">
      <c r="A2443" s="1" t="s">
        <v>11889</v>
      </c>
      <c r="B2443" s="1" t="s">
        <v>11888</v>
      </c>
      <c r="C2443" s="1" t="s">
        <v>14565</v>
      </c>
      <c r="D2443" s="7" t="s">
        <v>10</v>
      </c>
    </row>
    <row r="2444">
      <c r="A2444" s="1" t="s">
        <v>11893</v>
      </c>
      <c r="B2444" s="1" t="s">
        <v>11892</v>
      </c>
      <c r="C2444" s="1" t="s">
        <v>14566</v>
      </c>
      <c r="D2444" s="7" t="s">
        <v>10</v>
      </c>
    </row>
    <row r="2445">
      <c r="A2445" s="1" t="s">
        <v>11897</v>
      </c>
      <c r="B2445" s="1" t="s">
        <v>11896</v>
      </c>
      <c r="C2445" s="1" t="s">
        <v>14567</v>
      </c>
      <c r="D2445" s="7" t="s">
        <v>10</v>
      </c>
    </row>
    <row r="2446">
      <c r="A2446" s="1" t="s">
        <v>11901</v>
      </c>
      <c r="B2446" s="1" t="s">
        <v>11900</v>
      </c>
      <c r="C2446" s="1" t="s">
        <v>14568</v>
      </c>
      <c r="D2446" s="7" t="s">
        <v>10</v>
      </c>
    </row>
    <row r="2447">
      <c r="A2447" s="1" t="s">
        <v>11905</v>
      </c>
      <c r="B2447" s="1" t="s">
        <v>11904</v>
      </c>
      <c r="C2447" s="1" t="s">
        <v>14569</v>
      </c>
      <c r="D2447" s="7" t="s">
        <v>10</v>
      </c>
    </row>
    <row r="2448">
      <c r="A2448" s="1" t="s">
        <v>11909</v>
      </c>
      <c r="B2448" s="1" t="s">
        <v>11908</v>
      </c>
      <c r="C2448" s="1" t="s">
        <v>14570</v>
      </c>
      <c r="D2448" s="7" t="s">
        <v>10</v>
      </c>
    </row>
    <row r="2449">
      <c r="A2449" s="1" t="s">
        <v>11913</v>
      </c>
      <c r="B2449" s="1" t="s">
        <v>11912</v>
      </c>
      <c r="C2449" s="1" t="s">
        <v>14571</v>
      </c>
      <c r="D2449" s="7" t="s">
        <v>10</v>
      </c>
    </row>
    <row r="2450">
      <c r="A2450" s="1" t="s">
        <v>11917</v>
      </c>
      <c r="B2450" s="1" t="s">
        <v>11916</v>
      </c>
      <c r="C2450" s="1" t="s">
        <v>14572</v>
      </c>
      <c r="D2450" s="7" t="s">
        <v>10</v>
      </c>
    </row>
    <row r="2451">
      <c r="A2451" s="1" t="s">
        <v>11921</v>
      </c>
      <c r="B2451" s="1" t="s">
        <v>11920</v>
      </c>
      <c r="C2451" s="1" t="s">
        <v>14573</v>
      </c>
      <c r="D2451" s="7" t="s">
        <v>10</v>
      </c>
    </row>
    <row r="2452">
      <c r="A2452" s="1" t="s">
        <v>11925</v>
      </c>
      <c r="B2452" s="1" t="s">
        <v>11924</v>
      </c>
      <c r="C2452" s="1" t="s">
        <v>14574</v>
      </c>
      <c r="D2452" s="7" t="s">
        <v>10</v>
      </c>
    </row>
    <row r="2453">
      <c r="A2453" s="1" t="s">
        <v>11929</v>
      </c>
      <c r="B2453" s="1" t="s">
        <v>11928</v>
      </c>
      <c r="C2453" s="1" t="s">
        <v>14575</v>
      </c>
      <c r="D2453" s="7" t="s">
        <v>10</v>
      </c>
    </row>
    <row r="2454">
      <c r="A2454" s="1" t="s">
        <v>11933</v>
      </c>
      <c r="B2454" s="1" t="s">
        <v>11932</v>
      </c>
      <c r="C2454" s="1" t="s">
        <v>14576</v>
      </c>
      <c r="D2454" s="7" t="s">
        <v>10</v>
      </c>
    </row>
    <row r="2455">
      <c r="A2455" s="1" t="s">
        <v>11937</v>
      </c>
      <c r="B2455" s="1" t="s">
        <v>11936</v>
      </c>
      <c r="C2455" s="1" t="s">
        <v>14577</v>
      </c>
      <c r="D2455" s="7" t="s">
        <v>10</v>
      </c>
    </row>
    <row r="2456">
      <c r="A2456" s="1" t="s">
        <v>11941</v>
      </c>
      <c r="B2456" s="1" t="s">
        <v>11940</v>
      </c>
      <c r="C2456" s="1" t="s">
        <v>14578</v>
      </c>
      <c r="D2456" s="7" t="s">
        <v>10</v>
      </c>
    </row>
    <row r="2457">
      <c r="A2457" s="1" t="s">
        <v>11945</v>
      </c>
      <c r="B2457" s="1" t="s">
        <v>11944</v>
      </c>
      <c r="C2457" s="1" t="s">
        <v>14579</v>
      </c>
      <c r="D2457" s="7" t="s">
        <v>10</v>
      </c>
    </row>
    <row r="2458">
      <c r="A2458" s="1" t="s">
        <v>11949</v>
      </c>
      <c r="B2458" s="1" t="s">
        <v>11948</v>
      </c>
      <c r="C2458" s="1" t="s">
        <v>14580</v>
      </c>
      <c r="D2458" s="7" t="s">
        <v>10</v>
      </c>
    </row>
    <row r="2459">
      <c r="A2459" s="1" t="s">
        <v>11953</v>
      </c>
      <c r="B2459" s="1" t="s">
        <v>11952</v>
      </c>
      <c r="C2459" s="1" t="s">
        <v>14581</v>
      </c>
      <c r="D2459" s="7" t="s">
        <v>10</v>
      </c>
    </row>
    <row r="2460">
      <c r="A2460" s="1" t="s">
        <v>11957</v>
      </c>
      <c r="B2460" s="1" t="s">
        <v>11956</v>
      </c>
      <c r="C2460" s="1" t="s">
        <v>14582</v>
      </c>
      <c r="D2460" s="7" t="s">
        <v>10</v>
      </c>
    </row>
    <row r="2461">
      <c r="A2461" s="1" t="s">
        <v>11961</v>
      </c>
      <c r="B2461" s="1" t="s">
        <v>11960</v>
      </c>
      <c r="C2461" s="1" t="s">
        <v>14583</v>
      </c>
      <c r="D2461" s="7" t="s">
        <v>10</v>
      </c>
    </row>
    <row r="2462">
      <c r="A2462" s="1" t="s">
        <v>11965</v>
      </c>
      <c r="B2462" s="1" t="s">
        <v>11964</v>
      </c>
      <c r="C2462" s="1" t="s">
        <v>14584</v>
      </c>
      <c r="D2462" s="7" t="s">
        <v>10</v>
      </c>
    </row>
    <row r="2463">
      <c r="A2463" s="1" t="s">
        <v>11969</v>
      </c>
      <c r="B2463" s="1" t="s">
        <v>11968</v>
      </c>
      <c r="C2463" s="1" t="s">
        <v>14585</v>
      </c>
      <c r="D2463" s="7" t="s">
        <v>10</v>
      </c>
    </row>
    <row r="2464">
      <c r="A2464" s="1" t="s">
        <v>11973</v>
      </c>
      <c r="B2464" s="1" t="s">
        <v>11972</v>
      </c>
      <c r="C2464" s="1" t="s">
        <v>14586</v>
      </c>
      <c r="D2464" s="7" t="s">
        <v>10</v>
      </c>
    </row>
    <row r="2465">
      <c r="A2465" s="1" t="s">
        <v>11977</v>
      </c>
      <c r="B2465" s="1" t="s">
        <v>11976</v>
      </c>
      <c r="C2465" s="1" t="s">
        <v>14587</v>
      </c>
      <c r="D2465" s="7" t="s">
        <v>10</v>
      </c>
    </row>
    <row r="2466">
      <c r="A2466" s="1" t="s">
        <v>11981</v>
      </c>
      <c r="B2466" s="1" t="s">
        <v>11980</v>
      </c>
      <c r="C2466" s="1" t="s">
        <v>14588</v>
      </c>
      <c r="D2466" s="7" t="s">
        <v>10</v>
      </c>
    </row>
    <row r="2467">
      <c r="A2467" s="1" t="s">
        <v>11985</v>
      </c>
      <c r="B2467" s="1" t="s">
        <v>11984</v>
      </c>
      <c r="C2467" s="1" t="s">
        <v>14589</v>
      </c>
      <c r="D2467" s="7" t="s">
        <v>10</v>
      </c>
    </row>
    <row r="2468">
      <c r="A2468" s="1" t="s">
        <v>11989</v>
      </c>
      <c r="B2468" s="1" t="s">
        <v>11988</v>
      </c>
      <c r="C2468" s="1" t="s">
        <v>14590</v>
      </c>
      <c r="D2468" s="7" t="s">
        <v>10</v>
      </c>
    </row>
    <row r="2469">
      <c r="A2469" s="1" t="s">
        <v>11993</v>
      </c>
      <c r="B2469" s="1" t="s">
        <v>11992</v>
      </c>
      <c r="C2469" s="1" t="s">
        <v>14591</v>
      </c>
      <c r="D2469" s="7" t="s">
        <v>10</v>
      </c>
    </row>
    <row r="2470">
      <c r="A2470" s="1" t="s">
        <v>11997</v>
      </c>
      <c r="B2470" s="1" t="s">
        <v>11996</v>
      </c>
      <c r="C2470" s="1" t="s">
        <v>14592</v>
      </c>
      <c r="D2470" s="7" t="s">
        <v>10</v>
      </c>
    </row>
    <row r="2471">
      <c r="A2471" s="1" t="s">
        <v>12001</v>
      </c>
      <c r="B2471" s="1" t="s">
        <v>12000</v>
      </c>
      <c r="C2471" s="1" t="s">
        <v>14593</v>
      </c>
      <c r="D2471" s="7" t="s">
        <v>10</v>
      </c>
    </row>
    <row r="2472">
      <c r="A2472" s="1" t="s">
        <v>12005</v>
      </c>
      <c r="B2472" s="1" t="s">
        <v>12004</v>
      </c>
      <c r="C2472" s="1" t="s">
        <v>14594</v>
      </c>
      <c r="D2472" s="7" t="s">
        <v>10</v>
      </c>
    </row>
    <row r="2473">
      <c r="A2473" s="1" t="s">
        <v>12009</v>
      </c>
      <c r="B2473" s="1" t="s">
        <v>12008</v>
      </c>
      <c r="C2473" s="1" t="s">
        <v>14595</v>
      </c>
      <c r="D2473" s="7" t="s">
        <v>10</v>
      </c>
    </row>
    <row r="2474">
      <c r="A2474" s="1" t="s">
        <v>12013</v>
      </c>
      <c r="B2474" s="1" t="s">
        <v>12012</v>
      </c>
      <c r="C2474" s="1" t="s">
        <v>14596</v>
      </c>
      <c r="D2474" s="7" t="s">
        <v>10</v>
      </c>
    </row>
    <row r="2475">
      <c r="A2475" s="1" t="s">
        <v>12017</v>
      </c>
      <c r="B2475" s="1" t="s">
        <v>12016</v>
      </c>
      <c r="C2475" s="1" t="s">
        <v>14597</v>
      </c>
      <c r="D2475" s="7" t="s">
        <v>10</v>
      </c>
    </row>
    <row r="2476">
      <c r="A2476" s="1" t="s">
        <v>12021</v>
      </c>
      <c r="B2476" s="1" t="s">
        <v>12020</v>
      </c>
      <c r="C2476" s="1" t="s">
        <v>14598</v>
      </c>
      <c r="D2476" s="7" t="s">
        <v>10</v>
      </c>
    </row>
    <row r="2477">
      <c r="A2477" s="1" t="s">
        <v>12025</v>
      </c>
      <c r="B2477" s="1" t="s">
        <v>12024</v>
      </c>
      <c r="C2477" s="1" t="s">
        <v>14599</v>
      </c>
      <c r="D2477" s="7" t="s">
        <v>10</v>
      </c>
    </row>
    <row r="2478">
      <c r="A2478" s="1" t="s">
        <v>12029</v>
      </c>
      <c r="B2478" s="1" t="s">
        <v>12028</v>
      </c>
      <c r="C2478" s="1" t="s">
        <v>14600</v>
      </c>
      <c r="D2478" s="7" t="s">
        <v>10</v>
      </c>
    </row>
    <row r="2479">
      <c r="A2479" s="1" t="s">
        <v>12033</v>
      </c>
      <c r="B2479" s="1" t="s">
        <v>12032</v>
      </c>
      <c r="C2479" s="1" t="s">
        <v>14601</v>
      </c>
      <c r="D2479" s="7" t="s">
        <v>10</v>
      </c>
    </row>
    <row r="2480">
      <c r="A2480" s="1" t="s">
        <v>12037</v>
      </c>
      <c r="B2480" s="1" t="s">
        <v>12036</v>
      </c>
      <c r="C2480" s="1" t="s">
        <v>14602</v>
      </c>
      <c r="D2480" s="7" t="s">
        <v>10</v>
      </c>
    </row>
    <row r="2481">
      <c r="A2481" s="1" t="s">
        <v>12041</v>
      </c>
      <c r="B2481" s="1" t="s">
        <v>12040</v>
      </c>
      <c r="C2481" s="1" t="s">
        <v>14603</v>
      </c>
      <c r="D2481" s="7" t="s">
        <v>10</v>
      </c>
    </row>
    <row r="2482">
      <c r="A2482" s="1" t="s">
        <v>12045</v>
      </c>
      <c r="B2482" s="1" t="s">
        <v>12044</v>
      </c>
      <c r="C2482" s="1" t="s">
        <v>14604</v>
      </c>
      <c r="D2482" s="7" t="s">
        <v>10</v>
      </c>
    </row>
    <row r="2483">
      <c r="A2483" s="1" t="s">
        <v>12049</v>
      </c>
      <c r="B2483" s="1" t="s">
        <v>12048</v>
      </c>
      <c r="C2483" s="1" t="s">
        <v>14605</v>
      </c>
      <c r="D2483" s="7" t="s">
        <v>10</v>
      </c>
    </row>
    <row r="2484">
      <c r="A2484" s="1" t="s">
        <v>12053</v>
      </c>
      <c r="B2484" s="1" t="s">
        <v>12052</v>
      </c>
      <c r="C2484" s="1" t="s">
        <v>14606</v>
      </c>
      <c r="D2484" s="7" t="s">
        <v>10</v>
      </c>
    </row>
    <row r="2485">
      <c r="A2485" s="1" t="s">
        <v>12057</v>
      </c>
      <c r="B2485" s="1" t="s">
        <v>12056</v>
      </c>
      <c r="C2485" s="1" t="s">
        <v>14607</v>
      </c>
      <c r="D2485" s="7" t="s">
        <v>10</v>
      </c>
    </row>
    <row r="2486">
      <c r="A2486" s="1" t="s">
        <v>12061</v>
      </c>
      <c r="B2486" s="1" t="s">
        <v>12060</v>
      </c>
      <c r="C2486" s="1" t="s">
        <v>14608</v>
      </c>
      <c r="D2486" s="7" t="s">
        <v>10</v>
      </c>
    </row>
    <row r="2487">
      <c r="A2487" s="1" t="s">
        <v>12065</v>
      </c>
      <c r="B2487" s="1" t="s">
        <v>12064</v>
      </c>
      <c r="C2487" s="1" t="s">
        <v>14609</v>
      </c>
      <c r="D2487" s="7" t="s">
        <v>10</v>
      </c>
    </row>
    <row r="2488">
      <c r="A2488" s="1" t="s">
        <v>12069</v>
      </c>
      <c r="B2488" s="1" t="s">
        <v>12068</v>
      </c>
      <c r="C2488" s="1" t="s">
        <v>14610</v>
      </c>
      <c r="D2488" s="7" t="s">
        <v>10</v>
      </c>
    </row>
    <row r="2489">
      <c r="A2489" s="1" t="s">
        <v>12073</v>
      </c>
      <c r="B2489" s="1" t="s">
        <v>12072</v>
      </c>
      <c r="C2489" s="1" t="s">
        <v>14611</v>
      </c>
      <c r="D2489" s="7" t="s">
        <v>10</v>
      </c>
    </row>
    <row r="2490">
      <c r="A2490" s="1" t="s">
        <v>12077</v>
      </c>
      <c r="B2490" s="1" t="s">
        <v>12076</v>
      </c>
      <c r="C2490" s="1" t="s">
        <v>14612</v>
      </c>
      <c r="D2490" s="7" t="s">
        <v>10</v>
      </c>
    </row>
    <row r="2491">
      <c r="A2491" s="1" t="s">
        <v>12081</v>
      </c>
      <c r="B2491" s="1" t="s">
        <v>12080</v>
      </c>
      <c r="C2491" s="1" t="s">
        <v>14613</v>
      </c>
      <c r="D2491" s="7" t="s">
        <v>10</v>
      </c>
    </row>
    <row r="2492">
      <c r="A2492" s="1" t="s">
        <v>12085</v>
      </c>
      <c r="B2492" s="1" t="s">
        <v>12084</v>
      </c>
      <c r="C2492" s="1" t="s">
        <v>14614</v>
      </c>
      <c r="D2492" s="7" t="s">
        <v>10</v>
      </c>
    </row>
    <row r="2493">
      <c r="A2493" s="1" t="s">
        <v>12089</v>
      </c>
      <c r="B2493" s="1" t="s">
        <v>12088</v>
      </c>
      <c r="C2493" s="1" t="s">
        <v>14615</v>
      </c>
      <c r="D2493" s="7" t="s">
        <v>10</v>
      </c>
    </row>
    <row r="2494">
      <c r="A2494" s="1" t="s">
        <v>12093</v>
      </c>
      <c r="B2494" s="1" t="s">
        <v>12092</v>
      </c>
      <c r="C2494" s="1" t="s">
        <v>14616</v>
      </c>
      <c r="D2494" s="7" t="s">
        <v>10</v>
      </c>
    </row>
    <row r="2495">
      <c r="A2495" s="1" t="s">
        <v>12097</v>
      </c>
      <c r="B2495" s="1" t="s">
        <v>12096</v>
      </c>
      <c r="C2495" s="1" t="s">
        <v>14617</v>
      </c>
      <c r="D2495" s="7" t="s">
        <v>10</v>
      </c>
    </row>
    <row r="2496">
      <c r="A2496" s="1" t="s">
        <v>12101</v>
      </c>
      <c r="B2496" s="1" t="s">
        <v>12100</v>
      </c>
      <c r="C2496" s="1" t="s">
        <v>14618</v>
      </c>
      <c r="D2496" s="7" t="s">
        <v>10</v>
      </c>
    </row>
    <row r="2497">
      <c r="A2497" s="1" t="s">
        <v>12105</v>
      </c>
      <c r="B2497" s="1" t="s">
        <v>12104</v>
      </c>
      <c r="C2497" s="1" t="s">
        <v>14619</v>
      </c>
      <c r="D2497" s="7" t="s">
        <v>10</v>
      </c>
    </row>
    <row r="2498">
      <c r="A2498" s="1" t="s">
        <v>12109</v>
      </c>
      <c r="B2498" s="1" t="s">
        <v>12108</v>
      </c>
      <c r="C2498" s="1" t="s">
        <v>14620</v>
      </c>
      <c r="D2498" s="7" t="s">
        <v>10</v>
      </c>
    </row>
    <row r="2499">
      <c r="A2499" s="1" t="s">
        <v>12113</v>
      </c>
      <c r="B2499" s="1" t="s">
        <v>12112</v>
      </c>
      <c r="C2499" s="1" t="s">
        <v>14621</v>
      </c>
      <c r="D2499" s="7" t="s">
        <v>10</v>
      </c>
    </row>
    <row r="2500">
      <c r="A2500" s="1" t="s">
        <v>12117</v>
      </c>
      <c r="B2500" s="1" t="s">
        <v>12116</v>
      </c>
      <c r="C2500" s="1" t="s">
        <v>14622</v>
      </c>
      <c r="D2500" s="7" t="s">
        <v>10</v>
      </c>
    </row>
    <row r="2501">
      <c r="A2501" s="1" t="s">
        <v>12121</v>
      </c>
      <c r="B2501" s="1" t="s">
        <v>12120</v>
      </c>
      <c r="C2501" s="1" t="s">
        <v>14623</v>
      </c>
      <c r="D2501" s="7" t="s">
        <v>10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</hyperlinks>
  <drawing r:id="rId25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</cols>
  <sheetData>
    <row r="1">
      <c r="A1" s="3" t="s">
        <v>3</v>
      </c>
    </row>
    <row r="2">
      <c r="A2" s="6" t="s">
        <v>9</v>
      </c>
    </row>
    <row r="3">
      <c r="A3" s="6" t="s">
        <v>14</v>
      </c>
      <c r="D3" s="3" t="s">
        <v>5</v>
      </c>
    </row>
    <row r="4">
      <c r="A4" s="6" t="s">
        <v>19</v>
      </c>
    </row>
    <row r="5">
      <c r="A5" s="6" t="s">
        <v>24</v>
      </c>
    </row>
    <row r="6">
      <c r="A6" s="6" t="s">
        <v>29</v>
      </c>
    </row>
    <row r="7">
      <c r="A7" s="6" t="s">
        <v>34</v>
      </c>
    </row>
    <row r="8">
      <c r="A8" s="6" t="s">
        <v>39</v>
      </c>
    </row>
    <row r="9">
      <c r="A9" s="6" t="s">
        <v>44</v>
      </c>
    </row>
    <row r="10">
      <c r="A10" s="6" t="s">
        <v>49</v>
      </c>
    </row>
    <row r="11">
      <c r="A11" s="6" t="s">
        <v>54</v>
      </c>
    </row>
    <row r="12">
      <c r="A12" s="6" t="s">
        <v>59</v>
      </c>
    </row>
    <row r="13">
      <c r="A13" s="6" t="s">
        <v>64</v>
      </c>
    </row>
    <row r="14">
      <c r="A14" s="6" t="s">
        <v>69</v>
      </c>
    </row>
    <row r="15">
      <c r="A15" s="6" t="s">
        <v>74</v>
      </c>
    </row>
    <row r="16">
      <c r="A16" s="6" t="s">
        <v>79</v>
      </c>
    </row>
    <row r="17">
      <c r="A17" s="6" t="s">
        <v>84</v>
      </c>
    </row>
    <row r="18">
      <c r="A18" s="6" t="s">
        <v>89</v>
      </c>
    </row>
    <row r="19">
      <c r="A19" s="6" t="s">
        <v>94</v>
      </c>
    </row>
    <row r="20">
      <c r="A20" s="6" t="s">
        <v>99</v>
      </c>
    </row>
    <row r="21">
      <c r="A21" s="6" t="s">
        <v>104</v>
      </c>
    </row>
    <row r="22">
      <c r="A22" s="6" t="s">
        <v>109</v>
      </c>
    </row>
    <row r="23">
      <c r="A23" s="6" t="s">
        <v>114</v>
      </c>
    </row>
    <row r="24">
      <c r="A24" s="6" t="s">
        <v>119</v>
      </c>
    </row>
    <row r="25">
      <c r="A25" s="6" t="s">
        <v>124</v>
      </c>
    </row>
    <row r="26">
      <c r="A26" s="6" t="s">
        <v>129</v>
      </c>
    </row>
    <row r="27">
      <c r="A27" s="6" t="s">
        <v>134</v>
      </c>
    </row>
    <row r="28">
      <c r="A28" s="6" t="s">
        <v>139</v>
      </c>
    </row>
    <row r="29">
      <c r="A29" s="6" t="s">
        <v>144</v>
      </c>
    </row>
    <row r="30">
      <c r="A30" s="6" t="s">
        <v>149</v>
      </c>
    </row>
    <row r="31">
      <c r="A31" s="6" t="s">
        <v>154</v>
      </c>
    </row>
    <row r="32">
      <c r="A32" s="6" t="s">
        <v>159</v>
      </c>
    </row>
    <row r="33">
      <c r="A33" s="6" t="s">
        <v>164</v>
      </c>
    </row>
    <row r="34">
      <c r="A34" s="6" t="s">
        <v>169</v>
      </c>
    </row>
    <row r="35">
      <c r="A35" s="6" t="s">
        <v>174</v>
      </c>
    </row>
    <row r="36">
      <c r="A36" s="6" t="s">
        <v>179</v>
      </c>
    </row>
    <row r="37">
      <c r="A37" s="6" t="s">
        <v>184</v>
      </c>
    </row>
    <row r="38">
      <c r="A38" s="6" t="s">
        <v>189</v>
      </c>
    </row>
    <row r="39">
      <c r="A39" s="6" t="s">
        <v>194</v>
      </c>
    </row>
    <row r="40">
      <c r="A40" s="6" t="s">
        <v>199</v>
      </c>
    </row>
    <row r="41">
      <c r="A41" s="6" t="s">
        <v>204</v>
      </c>
    </row>
    <row r="42">
      <c r="A42" s="6" t="s">
        <v>209</v>
      </c>
    </row>
    <row r="43">
      <c r="A43" s="6" t="s">
        <v>214</v>
      </c>
    </row>
    <row r="44">
      <c r="A44" s="6" t="s">
        <v>219</v>
      </c>
    </row>
    <row r="45">
      <c r="A45" s="6" t="s">
        <v>224</v>
      </c>
    </row>
    <row r="46">
      <c r="A46" s="6" t="s">
        <v>229</v>
      </c>
    </row>
    <row r="47">
      <c r="A47" s="6" t="s">
        <v>234</v>
      </c>
    </row>
    <row r="48">
      <c r="A48" s="6" t="s">
        <v>239</v>
      </c>
    </row>
    <row r="49">
      <c r="A49" s="6" t="s">
        <v>244</v>
      </c>
    </row>
    <row r="50">
      <c r="A50" s="6" t="s">
        <v>249</v>
      </c>
    </row>
    <row r="51">
      <c r="A51" s="6" t="s">
        <v>254</v>
      </c>
    </row>
    <row r="52">
      <c r="A52" s="6" t="s">
        <v>259</v>
      </c>
    </row>
    <row r="53">
      <c r="A53" s="6" t="s">
        <v>264</v>
      </c>
    </row>
    <row r="54">
      <c r="A54" s="6" t="s">
        <v>269</v>
      </c>
    </row>
    <row r="55">
      <c r="A55" s="6" t="s">
        <v>274</v>
      </c>
    </row>
    <row r="56">
      <c r="A56" s="6" t="s">
        <v>279</v>
      </c>
    </row>
    <row r="57">
      <c r="A57" s="6" t="s">
        <v>284</v>
      </c>
    </row>
    <row r="58">
      <c r="A58" s="6" t="s">
        <v>289</v>
      </c>
    </row>
    <row r="59">
      <c r="A59" s="6" t="s">
        <v>294</v>
      </c>
    </row>
    <row r="60">
      <c r="A60" s="6" t="s">
        <v>299</v>
      </c>
    </row>
    <row r="61">
      <c r="A61" s="6" t="s">
        <v>304</v>
      </c>
    </row>
    <row r="62">
      <c r="A62" s="6" t="s">
        <v>309</v>
      </c>
    </row>
    <row r="63">
      <c r="A63" s="6" t="s">
        <v>314</v>
      </c>
    </row>
    <row r="64">
      <c r="A64" s="6" t="s">
        <v>319</v>
      </c>
    </row>
    <row r="65">
      <c r="A65" s="6" t="s">
        <v>324</v>
      </c>
    </row>
    <row r="66">
      <c r="A66" s="6" t="s">
        <v>329</v>
      </c>
    </row>
    <row r="67">
      <c r="A67" s="6" t="s">
        <v>334</v>
      </c>
    </row>
    <row r="68">
      <c r="A68" s="6" t="s">
        <v>339</v>
      </c>
    </row>
    <row r="69">
      <c r="A69" s="6" t="s">
        <v>344</v>
      </c>
    </row>
    <row r="70">
      <c r="A70" s="6" t="s">
        <v>349</v>
      </c>
    </row>
    <row r="71">
      <c r="A71" s="6" t="s">
        <v>354</v>
      </c>
    </row>
    <row r="72">
      <c r="A72" s="6" t="s">
        <v>359</v>
      </c>
    </row>
    <row r="73">
      <c r="A73" s="6" t="s">
        <v>364</v>
      </c>
    </row>
    <row r="74">
      <c r="A74" s="6" t="s">
        <v>369</v>
      </c>
    </row>
    <row r="75">
      <c r="A75" s="6" t="s">
        <v>374</v>
      </c>
    </row>
    <row r="76">
      <c r="A76" s="6" t="s">
        <v>379</v>
      </c>
    </row>
    <row r="77">
      <c r="A77" s="6" t="s">
        <v>384</v>
      </c>
    </row>
    <row r="78">
      <c r="A78" s="6" t="s">
        <v>389</v>
      </c>
    </row>
    <row r="79">
      <c r="A79" s="6" t="s">
        <v>394</v>
      </c>
    </row>
    <row r="80">
      <c r="A80" s="6" t="s">
        <v>399</v>
      </c>
    </row>
    <row r="81">
      <c r="A81" s="6" t="s">
        <v>404</v>
      </c>
    </row>
    <row r="82">
      <c r="A82" s="6" t="s">
        <v>409</v>
      </c>
    </row>
    <row r="83">
      <c r="A83" s="6" t="s">
        <v>414</v>
      </c>
    </row>
    <row r="84">
      <c r="A84" s="6" t="s">
        <v>419</v>
      </c>
    </row>
    <row r="85">
      <c r="A85" s="6" t="s">
        <v>424</v>
      </c>
    </row>
    <row r="86">
      <c r="A86" s="6" t="s">
        <v>429</v>
      </c>
    </row>
    <row r="87">
      <c r="A87" s="6" t="s">
        <v>434</v>
      </c>
    </row>
    <row r="88">
      <c r="A88" s="6" t="s">
        <v>439</v>
      </c>
    </row>
    <row r="89">
      <c r="A89" s="6" t="s">
        <v>444</v>
      </c>
    </row>
    <row r="90">
      <c r="A90" s="6" t="s">
        <v>449</v>
      </c>
    </row>
    <row r="91">
      <c r="A91" s="6" t="s">
        <v>454</v>
      </c>
    </row>
    <row r="92">
      <c r="A92" s="6" t="s">
        <v>459</v>
      </c>
    </row>
    <row r="93">
      <c r="A93" s="6" t="s">
        <v>464</v>
      </c>
    </row>
    <row r="94">
      <c r="A94" s="6" t="s">
        <v>469</v>
      </c>
    </row>
    <row r="95">
      <c r="A95" s="6" t="s">
        <v>474</v>
      </c>
    </row>
    <row r="96">
      <c r="A96" s="6" t="s">
        <v>479</v>
      </c>
    </row>
    <row r="97">
      <c r="A97" s="6" t="s">
        <v>484</v>
      </c>
    </row>
    <row r="98">
      <c r="A98" s="6" t="s">
        <v>489</v>
      </c>
    </row>
    <row r="99">
      <c r="A99" s="6" t="s">
        <v>494</v>
      </c>
    </row>
    <row r="100">
      <c r="A100" s="6" t="s">
        <v>499</v>
      </c>
    </row>
    <row r="101">
      <c r="A101" s="6" t="s">
        <v>504</v>
      </c>
    </row>
    <row r="102">
      <c r="A102" s="6" t="s">
        <v>509</v>
      </c>
    </row>
    <row r="103">
      <c r="A103" s="6" t="s">
        <v>514</v>
      </c>
    </row>
    <row r="104">
      <c r="A104" s="6" t="s">
        <v>519</v>
      </c>
    </row>
    <row r="105">
      <c r="A105" s="6" t="s">
        <v>524</v>
      </c>
    </row>
    <row r="106">
      <c r="A106" s="6" t="s">
        <v>529</v>
      </c>
    </row>
    <row r="107">
      <c r="A107" s="6" t="s">
        <v>534</v>
      </c>
    </row>
    <row r="108">
      <c r="A108" s="6" t="s">
        <v>539</v>
      </c>
    </row>
    <row r="109">
      <c r="A109" s="6" t="s">
        <v>544</v>
      </c>
    </row>
    <row r="110">
      <c r="A110" s="6" t="s">
        <v>549</v>
      </c>
    </row>
    <row r="111">
      <c r="A111" s="6" t="s">
        <v>554</v>
      </c>
    </row>
    <row r="112">
      <c r="A112" s="6" t="s">
        <v>559</v>
      </c>
    </row>
    <row r="113">
      <c r="A113" s="6" t="s">
        <v>564</v>
      </c>
    </row>
    <row r="114">
      <c r="A114" s="6" t="s">
        <v>569</v>
      </c>
    </row>
    <row r="115">
      <c r="A115" s="6" t="s">
        <v>574</v>
      </c>
    </row>
    <row r="116">
      <c r="A116" s="6" t="s">
        <v>579</v>
      </c>
    </row>
    <row r="117">
      <c r="A117" s="6" t="s">
        <v>584</v>
      </c>
    </row>
    <row r="118">
      <c r="A118" s="6" t="s">
        <v>589</v>
      </c>
    </row>
    <row r="119">
      <c r="A119" s="6" t="s">
        <v>594</v>
      </c>
    </row>
    <row r="120">
      <c r="A120" s="6" t="s">
        <v>599</v>
      </c>
    </row>
    <row r="121">
      <c r="A121" s="6" t="s">
        <v>604</v>
      </c>
    </row>
    <row r="122">
      <c r="A122" s="6" t="s">
        <v>609</v>
      </c>
    </row>
    <row r="123">
      <c r="A123" s="6" t="s">
        <v>614</v>
      </c>
    </row>
    <row r="124">
      <c r="A124" s="6" t="s">
        <v>619</v>
      </c>
    </row>
    <row r="125">
      <c r="A125" s="6" t="s">
        <v>624</v>
      </c>
    </row>
    <row r="126">
      <c r="A126" s="6" t="s">
        <v>629</v>
      </c>
    </row>
    <row r="127">
      <c r="A127" s="6" t="s">
        <v>634</v>
      </c>
    </row>
    <row r="128">
      <c r="A128" s="6" t="s">
        <v>639</v>
      </c>
    </row>
    <row r="129">
      <c r="A129" s="6" t="s">
        <v>644</v>
      </c>
    </row>
    <row r="130">
      <c r="A130" s="6" t="s">
        <v>649</v>
      </c>
    </row>
    <row r="131">
      <c r="A131" s="6" t="s">
        <v>654</v>
      </c>
    </row>
    <row r="132">
      <c r="A132" s="6" t="s">
        <v>659</v>
      </c>
    </row>
    <row r="133">
      <c r="A133" s="6" t="s">
        <v>664</v>
      </c>
    </row>
    <row r="134">
      <c r="A134" s="6" t="s">
        <v>669</v>
      </c>
    </row>
    <row r="135">
      <c r="A135" s="6" t="s">
        <v>674</v>
      </c>
    </row>
    <row r="136">
      <c r="A136" s="6" t="s">
        <v>679</v>
      </c>
    </row>
    <row r="137">
      <c r="A137" s="6" t="s">
        <v>684</v>
      </c>
    </row>
    <row r="138">
      <c r="A138" s="6" t="s">
        <v>689</v>
      </c>
    </row>
    <row r="139">
      <c r="A139" s="6" t="s">
        <v>694</v>
      </c>
    </row>
    <row r="140">
      <c r="A140" s="6" t="s">
        <v>699</v>
      </c>
    </row>
    <row r="141">
      <c r="A141" s="6" t="s">
        <v>704</v>
      </c>
    </row>
    <row r="142">
      <c r="A142" s="6" t="s">
        <v>709</v>
      </c>
    </row>
    <row r="143">
      <c r="A143" s="6" t="s">
        <v>714</v>
      </c>
    </row>
    <row r="144">
      <c r="A144" s="6" t="s">
        <v>719</v>
      </c>
    </row>
    <row r="145">
      <c r="A145" s="6" t="s">
        <v>724</v>
      </c>
    </row>
    <row r="146">
      <c r="A146" s="6" t="s">
        <v>729</v>
      </c>
    </row>
    <row r="147">
      <c r="A147" s="6" t="s">
        <v>734</v>
      </c>
    </row>
    <row r="148">
      <c r="A148" s="6" t="s">
        <v>739</v>
      </c>
    </row>
    <row r="149">
      <c r="A149" s="6" t="s">
        <v>744</v>
      </c>
    </row>
    <row r="150">
      <c r="A150" s="6" t="s">
        <v>749</v>
      </c>
    </row>
    <row r="151">
      <c r="A151" s="6" t="s">
        <v>754</v>
      </c>
    </row>
    <row r="152">
      <c r="A152" s="6" t="s">
        <v>758</v>
      </c>
    </row>
    <row r="153">
      <c r="A153" s="6" t="s">
        <v>763</v>
      </c>
    </row>
    <row r="154">
      <c r="A154" s="6" t="s">
        <v>768</v>
      </c>
    </row>
    <row r="155">
      <c r="A155" s="6" t="s">
        <v>773</v>
      </c>
    </row>
    <row r="156">
      <c r="A156" s="6" t="s">
        <v>778</v>
      </c>
    </row>
    <row r="157">
      <c r="A157" s="6" t="s">
        <v>783</v>
      </c>
    </row>
    <row r="158">
      <c r="A158" s="6" t="s">
        <v>788</v>
      </c>
    </row>
    <row r="159">
      <c r="A159" s="6" t="s">
        <v>793</v>
      </c>
    </row>
    <row r="160">
      <c r="A160" s="6" t="s">
        <v>798</v>
      </c>
    </row>
    <row r="161">
      <c r="A161" s="6" t="s">
        <v>803</v>
      </c>
    </row>
    <row r="162">
      <c r="A162" s="6" t="s">
        <v>808</v>
      </c>
    </row>
    <row r="163">
      <c r="A163" s="6" t="s">
        <v>813</v>
      </c>
    </row>
    <row r="164">
      <c r="A164" s="6" t="s">
        <v>818</v>
      </c>
    </row>
    <row r="165">
      <c r="A165" s="6" t="s">
        <v>823</v>
      </c>
    </row>
    <row r="166">
      <c r="A166" s="6" t="s">
        <v>828</v>
      </c>
    </row>
    <row r="167">
      <c r="A167" s="6" t="s">
        <v>833</v>
      </c>
    </row>
    <row r="168">
      <c r="A168" s="6" t="s">
        <v>838</v>
      </c>
    </row>
    <row r="169">
      <c r="A169" s="6" t="s">
        <v>843</v>
      </c>
    </row>
    <row r="170">
      <c r="A170" s="6" t="s">
        <v>848</v>
      </c>
    </row>
    <row r="171">
      <c r="A171" s="6" t="s">
        <v>853</v>
      </c>
    </row>
    <row r="172">
      <c r="A172" s="6" t="s">
        <v>858</v>
      </c>
    </row>
    <row r="173">
      <c r="A173" s="6" t="s">
        <v>863</v>
      </c>
    </row>
    <row r="174">
      <c r="A174" s="6" t="s">
        <v>868</v>
      </c>
    </row>
    <row r="175">
      <c r="A175" s="6" t="s">
        <v>873</v>
      </c>
    </row>
    <row r="176">
      <c r="A176" s="6" t="s">
        <v>878</v>
      </c>
    </row>
    <row r="177">
      <c r="A177" s="6" t="s">
        <v>883</v>
      </c>
    </row>
    <row r="178">
      <c r="A178" s="6" t="s">
        <v>888</v>
      </c>
    </row>
    <row r="179">
      <c r="A179" s="6" t="s">
        <v>893</v>
      </c>
    </row>
    <row r="180">
      <c r="A180" s="6" t="s">
        <v>898</v>
      </c>
    </row>
    <row r="181">
      <c r="A181" s="6" t="s">
        <v>903</v>
      </c>
    </row>
    <row r="182">
      <c r="A182" s="6" t="s">
        <v>908</v>
      </c>
    </row>
    <row r="183">
      <c r="A183" s="6" t="s">
        <v>913</v>
      </c>
    </row>
    <row r="184">
      <c r="A184" s="6" t="s">
        <v>918</v>
      </c>
    </row>
    <row r="185">
      <c r="A185" s="6" t="s">
        <v>923</v>
      </c>
    </row>
    <row r="186">
      <c r="A186" s="6" t="s">
        <v>928</v>
      </c>
    </row>
    <row r="187">
      <c r="A187" s="6" t="s">
        <v>933</v>
      </c>
    </row>
    <row r="188">
      <c r="A188" s="6" t="s">
        <v>938</v>
      </c>
    </row>
    <row r="189">
      <c r="A189" s="6" t="s">
        <v>943</v>
      </c>
    </row>
    <row r="190">
      <c r="A190" s="6" t="s">
        <v>948</v>
      </c>
    </row>
    <row r="191">
      <c r="A191" s="6" t="s">
        <v>953</v>
      </c>
    </row>
    <row r="192">
      <c r="A192" s="6" t="s">
        <v>958</v>
      </c>
    </row>
    <row r="193">
      <c r="A193" s="6" t="s">
        <v>963</v>
      </c>
    </row>
    <row r="194">
      <c r="A194" s="6" t="s">
        <v>968</v>
      </c>
    </row>
    <row r="195">
      <c r="A195" s="6" t="s">
        <v>973</v>
      </c>
    </row>
    <row r="196">
      <c r="A196" s="6" t="s">
        <v>978</v>
      </c>
    </row>
    <row r="197">
      <c r="A197" s="6" t="s">
        <v>983</v>
      </c>
    </row>
    <row r="198">
      <c r="A198" s="6" t="s">
        <v>988</v>
      </c>
    </row>
    <row r="199">
      <c r="A199" s="6" t="s">
        <v>993</v>
      </c>
    </row>
    <row r="200">
      <c r="A200" s="6" t="s">
        <v>998</v>
      </c>
    </row>
    <row r="201">
      <c r="A201" s="6" t="s">
        <v>1003</v>
      </c>
    </row>
    <row r="202">
      <c r="A202" s="6" t="s">
        <v>1008</v>
      </c>
    </row>
    <row r="203">
      <c r="A203" s="6" t="s">
        <v>1013</v>
      </c>
    </row>
    <row r="204">
      <c r="A204" s="6" t="s">
        <v>1018</v>
      </c>
    </row>
    <row r="205">
      <c r="A205" s="6" t="s">
        <v>1023</v>
      </c>
    </row>
    <row r="206">
      <c r="A206" s="6" t="s">
        <v>1028</v>
      </c>
    </row>
    <row r="207">
      <c r="A207" s="6" t="s">
        <v>1033</v>
      </c>
    </row>
    <row r="208">
      <c r="A208" s="6" t="s">
        <v>1038</v>
      </c>
    </row>
    <row r="209">
      <c r="A209" s="6" t="s">
        <v>1043</v>
      </c>
    </row>
    <row r="210">
      <c r="A210" s="6" t="s">
        <v>1048</v>
      </c>
    </row>
    <row r="211">
      <c r="A211" s="6" t="s">
        <v>1053</v>
      </c>
    </row>
    <row r="212">
      <c r="A212" s="6" t="s">
        <v>1058</v>
      </c>
    </row>
    <row r="213">
      <c r="A213" s="6" t="s">
        <v>1063</v>
      </c>
    </row>
    <row r="214">
      <c r="A214" s="6" t="s">
        <v>1068</v>
      </c>
    </row>
    <row r="215">
      <c r="A215" s="6" t="s">
        <v>1073</v>
      </c>
    </row>
    <row r="216">
      <c r="A216" s="6" t="s">
        <v>1078</v>
      </c>
    </row>
    <row r="217">
      <c r="A217" s="6" t="s">
        <v>1083</v>
      </c>
    </row>
    <row r="218">
      <c r="A218" s="6" t="s">
        <v>1088</v>
      </c>
    </row>
    <row r="219">
      <c r="A219" s="6" t="s">
        <v>1093</v>
      </c>
    </row>
    <row r="220">
      <c r="A220" s="6" t="s">
        <v>1098</v>
      </c>
    </row>
    <row r="221">
      <c r="A221" s="6" t="s">
        <v>1103</v>
      </c>
    </row>
    <row r="222">
      <c r="A222" s="6" t="s">
        <v>1108</v>
      </c>
    </row>
    <row r="223">
      <c r="A223" s="6" t="s">
        <v>1113</v>
      </c>
    </row>
    <row r="224">
      <c r="A224" s="6" t="s">
        <v>1118</v>
      </c>
    </row>
    <row r="225">
      <c r="A225" s="6" t="s">
        <v>1123</v>
      </c>
    </row>
    <row r="226">
      <c r="A226" s="6" t="s">
        <v>1128</v>
      </c>
    </row>
    <row r="227">
      <c r="A227" s="6" t="s">
        <v>1133</v>
      </c>
    </row>
    <row r="228">
      <c r="A228" s="6" t="s">
        <v>1138</v>
      </c>
    </row>
    <row r="229">
      <c r="A229" s="6" t="s">
        <v>1143</v>
      </c>
    </row>
    <row r="230">
      <c r="A230" s="6" t="s">
        <v>1148</v>
      </c>
    </row>
    <row r="231">
      <c r="A231" s="6" t="s">
        <v>1153</v>
      </c>
    </row>
    <row r="232">
      <c r="A232" s="6" t="s">
        <v>1158</v>
      </c>
    </row>
    <row r="233">
      <c r="A233" s="6" t="s">
        <v>1163</v>
      </c>
    </row>
    <row r="234">
      <c r="A234" s="6" t="s">
        <v>1168</v>
      </c>
    </row>
    <row r="235">
      <c r="A235" s="6" t="s">
        <v>1173</v>
      </c>
    </row>
    <row r="236">
      <c r="A236" s="6" t="s">
        <v>1178</v>
      </c>
    </row>
    <row r="237">
      <c r="A237" s="6" t="s">
        <v>1183</v>
      </c>
    </row>
    <row r="238">
      <c r="A238" s="6" t="s">
        <v>1188</v>
      </c>
    </row>
    <row r="239">
      <c r="A239" s="6" t="s">
        <v>1193</v>
      </c>
    </row>
    <row r="240">
      <c r="A240" s="6" t="s">
        <v>1198</v>
      </c>
    </row>
    <row r="241">
      <c r="A241" s="6" t="s">
        <v>1203</v>
      </c>
    </row>
    <row r="242">
      <c r="A242" s="6" t="s">
        <v>1208</v>
      </c>
    </row>
    <row r="243">
      <c r="A243" s="6" t="s">
        <v>1213</v>
      </c>
    </row>
    <row r="244">
      <c r="A244" s="6" t="s">
        <v>1218</v>
      </c>
    </row>
    <row r="245">
      <c r="A245" s="6" t="s">
        <v>1223</v>
      </c>
    </row>
    <row r="246">
      <c r="A246" s="6" t="s">
        <v>1228</v>
      </c>
    </row>
    <row r="247">
      <c r="A247" s="6" t="s">
        <v>1233</v>
      </c>
    </row>
    <row r="248">
      <c r="A248" s="6" t="s">
        <v>1238</v>
      </c>
    </row>
    <row r="249">
      <c r="A249" s="6" t="s">
        <v>1243</v>
      </c>
    </row>
    <row r="250">
      <c r="A250" s="6" t="s">
        <v>1248</v>
      </c>
    </row>
    <row r="251">
      <c r="A251" s="6" t="s">
        <v>1253</v>
      </c>
    </row>
    <row r="252">
      <c r="A252" s="6" t="s">
        <v>1258</v>
      </c>
    </row>
    <row r="253">
      <c r="A253" s="6" t="s">
        <v>1263</v>
      </c>
    </row>
    <row r="254">
      <c r="A254" s="6" t="s">
        <v>1268</v>
      </c>
    </row>
    <row r="255">
      <c r="A255" s="6" t="s">
        <v>1273</v>
      </c>
    </row>
    <row r="256">
      <c r="A256" s="6" t="s">
        <v>1278</v>
      </c>
    </row>
    <row r="257">
      <c r="A257" s="6" t="s">
        <v>1283</v>
      </c>
    </row>
    <row r="258">
      <c r="A258" s="6" t="s">
        <v>1288</v>
      </c>
    </row>
    <row r="259">
      <c r="A259" s="6" t="s">
        <v>1293</v>
      </c>
    </row>
    <row r="260">
      <c r="A260" s="6" t="s">
        <v>1298</v>
      </c>
    </row>
    <row r="261">
      <c r="A261" s="6" t="s">
        <v>1303</v>
      </c>
    </row>
    <row r="262">
      <c r="A262" s="6" t="s">
        <v>1308</v>
      </c>
    </row>
    <row r="263">
      <c r="A263" s="6" t="s">
        <v>1313</v>
      </c>
    </row>
    <row r="264">
      <c r="A264" s="6" t="s">
        <v>1318</v>
      </c>
    </row>
    <row r="265">
      <c r="A265" s="6" t="s">
        <v>1323</v>
      </c>
    </row>
    <row r="266">
      <c r="A266" s="6" t="s">
        <v>1328</v>
      </c>
    </row>
    <row r="267">
      <c r="A267" s="6" t="s">
        <v>1333</v>
      </c>
    </row>
    <row r="268">
      <c r="A268" s="6" t="s">
        <v>1338</v>
      </c>
    </row>
    <row r="269">
      <c r="A269" s="6" t="s">
        <v>1343</v>
      </c>
    </row>
    <row r="270">
      <c r="A270" s="6" t="s">
        <v>1348</v>
      </c>
    </row>
    <row r="271">
      <c r="A271" s="6" t="s">
        <v>1353</v>
      </c>
    </row>
    <row r="272">
      <c r="A272" s="6" t="s">
        <v>1358</v>
      </c>
    </row>
    <row r="273">
      <c r="A273" s="6" t="s">
        <v>1363</v>
      </c>
    </row>
    <row r="274">
      <c r="A274" s="6" t="s">
        <v>1368</v>
      </c>
    </row>
    <row r="275">
      <c r="A275" s="6" t="s">
        <v>1373</v>
      </c>
    </row>
    <row r="276">
      <c r="A276" s="6" t="s">
        <v>1378</v>
      </c>
    </row>
    <row r="277">
      <c r="A277" s="6" t="s">
        <v>1383</v>
      </c>
    </row>
    <row r="278">
      <c r="A278" s="6" t="s">
        <v>1388</v>
      </c>
    </row>
    <row r="279">
      <c r="A279" s="6" t="s">
        <v>1393</v>
      </c>
    </row>
    <row r="280">
      <c r="A280" s="6" t="s">
        <v>1398</v>
      </c>
    </row>
    <row r="281">
      <c r="A281" s="6" t="s">
        <v>1403</v>
      </c>
    </row>
    <row r="282">
      <c r="A282" s="6" t="s">
        <v>1408</v>
      </c>
    </row>
    <row r="283">
      <c r="A283" s="6" t="s">
        <v>1413</v>
      </c>
    </row>
    <row r="284">
      <c r="A284" s="6" t="s">
        <v>1418</v>
      </c>
    </row>
    <row r="285">
      <c r="A285" s="6" t="s">
        <v>1422</v>
      </c>
    </row>
    <row r="286">
      <c r="A286" s="6" t="s">
        <v>1426</v>
      </c>
    </row>
    <row r="287">
      <c r="A287" s="6" t="s">
        <v>1431</v>
      </c>
    </row>
    <row r="288">
      <c r="A288" s="6" t="s">
        <v>1436</v>
      </c>
    </row>
    <row r="289">
      <c r="A289" s="6" t="s">
        <v>1441</v>
      </c>
    </row>
    <row r="290">
      <c r="A290" s="6" t="s">
        <v>1446</v>
      </c>
    </row>
    <row r="291">
      <c r="A291" s="6" t="s">
        <v>1451</v>
      </c>
    </row>
    <row r="292">
      <c r="A292" s="6" t="s">
        <v>1456</v>
      </c>
    </row>
    <row r="293">
      <c r="A293" s="6" t="s">
        <v>1461</v>
      </c>
    </row>
    <row r="294">
      <c r="A294" s="6" t="s">
        <v>1466</v>
      </c>
    </row>
    <row r="295">
      <c r="A295" s="6" t="s">
        <v>1471</v>
      </c>
    </row>
    <row r="296">
      <c r="A296" s="6" t="s">
        <v>1476</v>
      </c>
    </row>
    <row r="297">
      <c r="A297" s="6" t="s">
        <v>1481</v>
      </c>
    </row>
    <row r="298">
      <c r="A298" s="6" t="s">
        <v>1486</v>
      </c>
    </row>
    <row r="299">
      <c r="A299" s="6" t="s">
        <v>1491</v>
      </c>
    </row>
    <row r="300">
      <c r="A300" s="6" t="s">
        <v>1496</v>
      </c>
    </row>
    <row r="301">
      <c r="A301" s="6" t="s">
        <v>1501</v>
      </c>
    </row>
    <row r="302">
      <c r="A302" s="6" t="s">
        <v>1505</v>
      </c>
    </row>
    <row r="303">
      <c r="A303" s="6" t="s">
        <v>1510</v>
      </c>
    </row>
    <row r="304">
      <c r="A304" s="6" t="s">
        <v>1515</v>
      </c>
    </row>
    <row r="305">
      <c r="A305" s="6" t="s">
        <v>1520</v>
      </c>
    </row>
    <row r="306">
      <c r="A306" s="6" t="s">
        <v>1525</v>
      </c>
    </row>
    <row r="307">
      <c r="A307" s="6" t="s">
        <v>1530</v>
      </c>
    </row>
    <row r="308">
      <c r="A308" s="6" t="s">
        <v>1535</v>
      </c>
    </row>
    <row r="309">
      <c r="A309" s="6" t="s">
        <v>1540</v>
      </c>
    </row>
    <row r="310">
      <c r="A310" s="6" t="s">
        <v>1545</v>
      </c>
    </row>
    <row r="311">
      <c r="A311" s="6" t="s">
        <v>1550</v>
      </c>
    </row>
    <row r="312">
      <c r="A312" s="6" t="s">
        <v>1555</v>
      </c>
    </row>
    <row r="313">
      <c r="A313" s="6" t="s">
        <v>1560</v>
      </c>
    </row>
    <row r="314">
      <c r="A314" s="6" t="s">
        <v>1565</v>
      </c>
    </row>
    <row r="315">
      <c r="A315" s="6" t="s">
        <v>1570</v>
      </c>
    </row>
    <row r="316">
      <c r="A316" s="6" t="s">
        <v>1575</v>
      </c>
    </row>
    <row r="317">
      <c r="A317" s="6" t="s">
        <v>1580</v>
      </c>
    </row>
    <row r="318">
      <c r="A318" s="6" t="s">
        <v>1585</v>
      </c>
    </row>
    <row r="319">
      <c r="A319" s="6" t="s">
        <v>1590</v>
      </c>
    </row>
    <row r="320">
      <c r="A320" s="6" t="s">
        <v>1595</v>
      </c>
    </row>
    <row r="321">
      <c r="A321" s="6" t="s">
        <v>1600</v>
      </c>
    </row>
    <row r="322">
      <c r="A322" s="6" t="s">
        <v>1605</v>
      </c>
    </row>
    <row r="323">
      <c r="A323" s="6" t="s">
        <v>1610</v>
      </c>
    </row>
    <row r="324">
      <c r="A324" s="6" t="s">
        <v>1615</v>
      </c>
    </row>
    <row r="325">
      <c r="A325" s="6" t="s">
        <v>1620</v>
      </c>
    </row>
    <row r="326">
      <c r="A326" s="6" t="s">
        <v>1625</v>
      </c>
    </row>
    <row r="327">
      <c r="A327" s="6" t="s">
        <v>1630</v>
      </c>
    </row>
    <row r="328">
      <c r="A328" s="6" t="s">
        <v>1635</v>
      </c>
    </row>
    <row r="329">
      <c r="A329" s="6" t="s">
        <v>1640</v>
      </c>
    </row>
    <row r="330">
      <c r="A330" s="6" t="s">
        <v>1645</v>
      </c>
    </row>
    <row r="331">
      <c r="A331" s="6" t="s">
        <v>1649</v>
      </c>
    </row>
    <row r="332">
      <c r="A332" s="6" t="s">
        <v>1653</v>
      </c>
    </row>
    <row r="333">
      <c r="A333" s="6" t="s">
        <v>1657</v>
      </c>
    </row>
    <row r="334">
      <c r="A334" s="6" t="s">
        <v>1661</v>
      </c>
    </row>
    <row r="335">
      <c r="A335" s="6" t="s">
        <v>1666</v>
      </c>
    </row>
    <row r="336">
      <c r="A336" s="6" t="s">
        <v>1671</v>
      </c>
    </row>
    <row r="337">
      <c r="A337" s="6" t="s">
        <v>1676</v>
      </c>
    </row>
    <row r="338">
      <c r="A338" s="6" t="s">
        <v>1681</v>
      </c>
    </row>
    <row r="339">
      <c r="A339" s="6" t="s">
        <v>1686</v>
      </c>
    </row>
    <row r="340">
      <c r="A340" s="6" t="s">
        <v>1691</v>
      </c>
    </row>
    <row r="341">
      <c r="A341" s="6" t="s">
        <v>1696</v>
      </c>
    </row>
    <row r="342">
      <c r="A342" s="6" t="s">
        <v>1701</v>
      </c>
    </row>
    <row r="343">
      <c r="A343" s="6" t="s">
        <v>1706</v>
      </c>
    </row>
    <row r="344">
      <c r="A344" s="6" t="s">
        <v>1711</v>
      </c>
    </row>
    <row r="345">
      <c r="A345" s="6" t="s">
        <v>1716</v>
      </c>
    </row>
    <row r="346">
      <c r="A346" s="6" t="s">
        <v>1721</v>
      </c>
    </row>
    <row r="347">
      <c r="A347" s="6" t="s">
        <v>1726</v>
      </c>
    </row>
    <row r="348">
      <c r="A348" s="6" t="s">
        <v>1731</v>
      </c>
    </row>
    <row r="349">
      <c r="A349" s="6" t="s">
        <v>1736</v>
      </c>
    </row>
    <row r="350">
      <c r="A350" s="6" t="s">
        <v>1741</v>
      </c>
    </row>
    <row r="351">
      <c r="A351" s="6" t="s">
        <v>1746</v>
      </c>
    </row>
    <row r="352">
      <c r="A352" s="6" t="s">
        <v>1751</v>
      </c>
    </row>
    <row r="353">
      <c r="A353" s="6" t="s">
        <v>1756</v>
      </c>
    </row>
    <row r="354">
      <c r="A354" s="6" t="s">
        <v>1761</v>
      </c>
    </row>
    <row r="355">
      <c r="A355" s="6" t="s">
        <v>1766</v>
      </c>
    </row>
    <row r="356">
      <c r="A356" s="6" t="s">
        <v>1771</v>
      </c>
    </row>
    <row r="357">
      <c r="A357" s="6" t="s">
        <v>1775</v>
      </c>
    </row>
    <row r="358">
      <c r="A358" s="6" t="s">
        <v>1780</v>
      </c>
    </row>
    <row r="359">
      <c r="A359" s="6" t="s">
        <v>1785</v>
      </c>
    </row>
    <row r="360">
      <c r="A360" s="6" t="s">
        <v>1790</v>
      </c>
    </row>
    <row r="361">
      <c r="A361" s="6" t="s">
        <v>1795</v>
      </c>
    </row>
    <row r="362">
      <c r="A362" s="6" t="s">
        <v>1800</v>
      </c>
    </row>
    <row r="363">
      <c r="A363" s="6" t="s">
        <v>1805</v>
      </c>
    </row>
    <row r="364">
      <c r="A364" s="6" t="s">
        <v>1810</v>
      </c>
    </row>
    <row r="365">
      <c r="A365" s="6" t="s">
        <v>1815</v>
      </c>
    </row>
    <row r="366">
      <c r="A366" s="6" t="s">
        <v>1819</v>
      </c>
    </row>
    <row r="367">
      <c r="A367" s="6" t="s">
        <v>1824</v>
      </c>
    </row>
    <row r="368">
      <c r="A368" s="6" t="s">
        <v>1829</v>
      </c>
    </row>
    <row r="369">
      <c r="A369" s="6" t="s">
        <v>1834</v>
      </c>
    </row>
    <row r="370">
      <c r="A370" s="6" t="s">
        <v>1839</v>
      </c>
    </row>
    <row r="371">
      <c r="A371" s="6" t="s">
        <v>1844</v>
      </c>
    </row>
    <row r="372">
      <c r="A372" s="6" t="s">
        <v>1849</v>
      </c>
    </row>
    <row r="373">
      <c r="A373" s="6" t="s">
        <v>1854</v>
      </c>
    </row>
    <row r="374">
      <c r="A374" s="6" t="s">
        <v>1859</v>
      </c>
    </row>
    <row r="375">
      <c r="A375" s="6" t="s">
        <v>1864</v>
      </c>
    </row>
    <row r="376">
      <c r="A376" s="6" t="s">
        <v>1869</v>
      </c>
    </row>
    <row r="377">
      <c r="A377" s="6" t="s">
        <v>1874</v>
      </c>
    </row>
    <row r="378">
      <c r="A378" s="6" t="s">
        <v>1879</v>
      </c>
    </row>
    <row r="379">
      <c r="A379" s="6" t="s">
        <v>1884</v>
      </c>
    </row>
    <row r="380">
      <c r="A380" s="6" t="s">
        <v>1889</v>
      </c>
    </row>
    <row r="381">
      <c r="A381" s="6" t="s">
        <v>1894</v>
      </c>
    </row>
    <row r="382">
      <c r="A382" s="6" t="s">
        <v>1899</v>
      </c>
    </row>
    <row r="383">
      <c r="A383" s="6" t="s">
        <v>1904</v>
      </c>
    </row>
    <row r="384">
      <c r="A384" s="6" t="s">
        <v>1909</v>
      </c>
    </row>
    <row r="385">
      <c r="A385" s="6" t="s">
        <v>1914</v>
      </c>
    </row>
    <row r="386">
      <c r="A386" s="6" t="s">
        <v>1919</v>
      </c>
    </row>
    <row r="387">
      <c r="A387" s="6" t="s">
        <v>1924</v>
      </c>
    </row>
    <row r="388">
      <c r="A388" s="6" t="s">
        <v>1929</v>
      </c>
    </row>
    <row r="389">
      <c r="A389" s="6" t="s">
        <v>1934</v>
      </c>
    </row>
    <row r="390">
      <c r="A390" s="6" t="s">
        <v>1939</v>
      </c>
    </row>
    <row r="391">
      <c r="A391" s="6" t="s">
        <v>1944</v>
      </c>
    </row>
    <row r="392">
      <c r="A392" s="6" t="s">
        <v>1949</v>
      </c>
    </row>
    <row r="393">
      <c r="A393" s="6" t="s">
        <v>1954</v>
      </c>
    </row>
    <row r="394">
      <c r="A394" s="6" t="s">
        <v>1959</v>
      </c>
    </row>
    <row r="395">
      <c r="A395" s="6" t="s">
        <v>1964</v>
      </c>
    </row>
    <row r="396">
      <c r="A396" s="6" t="s">
        <v>1969</v>
      </c>
    </row>
    <row r="397">
      <c r="A397" s="6" t="s">
        <v>1974</v>
      </c>
    </row>
    <row r="398">
      <c r="A398" s="6" t="s">
        <v>1979</v>
      </c>
    </row>
    <row r="399">
      <c r="A399" s="6" t="s">
        <v>1984</v>
      </c>
    </row>
    <row r="400">
      <c r="A400" s="6" t="s">
        <v>1989</v>
      </c>
    </row>
    <row r="401">
      <c r="A401" s="6" t="s">
        <v>1993</v>
      </c>
    </row>
    <row r="402">
      <c r="A402" s="6" t="s">
        <v>1998</v>
      </c>
    </row>
    <row r="403">
      <c r="A403" s="6" t="s">
        <v>2003</v>
      </c>
    </row>
    <row r="404">
      <c r="A404" s="6" t="s">
        <v>2008</v>
      </c>
    </row>
    <row r="405">
      <c r="A405" s="6" t="s">
        <v>2013</v>
      </c>
    </row>
    <row r="406">
      <c r="A406" s="6" t="s">
        <v>2018</v>
      </c>
    </row>
    <row r="407">
      <c r="A407" s="6" t="s">
        <v>2023</v>
      </c>
    </row>
    <row r="408">
      <c r="A408" s="6" t="s">
        <v>2028</v>
      </c>
    </row>
    <row r="409">
      <c r="A409" s="6" t="s">
        <v>2033</v>
      </c>
    </row>
    <row r="410">
      <c r="A410" s="6" t="s">
        <v>2038</v>
      </c>
    </row>
    <row r="411">
      <c r="A411" s="6" t="s">
        <v>2043</v>
      </c>
    </row>
    <row r="412">
      <c r="A412" s="6" t="s">
        <v>2048</v>
      </c>
    </row>
    <row r="413">
      <c r="A413" s="6" t="s">
        <v>2053</v>
      </c>
    </row>
    <row r="414">
      <c r="A414" s="6" t="s">
        <v>2058</v>
      </c>
    </row>
    <row r="415">
      <c r="A415" s="6" t="s">
        <v>2063</v>
      </c>
    </row>
    <row r="416">
      <c r="A416" s="6" t="s">
        <v>2068</v>
      </c>
    </row>
    <row r="417">
      <c r="A417" s="6" t="s">
        <v>2073</v>
      </c>
    </row>
    <row r="418">
      <c r="A418" s="6" t="s">
        <v>2078</v>
      </c>
    </row>
    <row r="419">
      <c r="A419" s="6" t="s">
        <v>2083</v>
      </c>
    </row>
    <row r="420">
      <c r="A420" s="6" t="s">
        <v>2088</v>
      </c>
    </row>
    <row r="421">
      <c r="A421" s="6" t="s">
        <v>2093</v>
      </c>
    </row>
    <row r="422">
      <c r="A422" s="6" t="s">
        <v>2098</v>
      </c>
    </row>
    <row r="423">
      <c r="A423" s="6" t="s">
        <v>2103</v>
      </c>
    </row>
    <row r="424">
      <c r="A424" s="6" t="s">
        <v>2108</v>
      </c>
    </row>
    <row r="425">
      <c r="A425" s="6" t="s">
        <v>2113</v>
      </c>
    </row>
    <row r="426">
      <c r="A426" s="6" t="s">
        <v>2118</v>
      </c>
    </row>
    <row r="427">
      <c r="A427" s="6" t="s">
        <v>2123</v>
      </c>
    </row>
    <row r="428">
      <c r="A428" s="6" t="s">
        <v>2128</v>
      </c>
    </row>
    <row r="429">
      <c r="A429" s="6" t="s">
        <v>2133</v>
      </c>
    </row>
    <row r="430">
      <c r="A430" s="6" t="s">
        <v>2138</v>
      </c>
    </row>
    <row r="431">
      <c r="A431" s="6" t="s">
        <v>2143</v>
      </c>
    </row>
    <row r="432">
      <c r="A432" s="6" t="s">
        <v>2148</v>
      </c>
    </row>
    <row r="433">
      <c r="A433" s="6" t="s">
        <v>2153</v>
      </c>
    </row>
    <row r="434">
      <c r="A434" s="6" t="s">
        <v>2158</v>
      </c>
    </row>
    <row r="435">
      <c r="A435" s="6" t="s">
        <v>2163</v>
      </c>
    </row>
    <row r="436">
      <c r="A436" s="6" t="s">
        <v>2168</v>
      </c>
    </row>
    <row r="437">
      <c r="A437" s="6" t="s">
        <v>2173</v>
      </c>
    </row>
    <row r="438">
      <c r="A438" s="6" t="s">
        <v>2178</v>
      </c>
    </row>
    <row r="439">
      <c r="A439" s="6" t="s">
        <v>2183</v>
      </c>
    </row>
    <row r="440">
      <c r="A440" s="6" t="s">
        <v>2188</v>
      </c>
    </row>
    <row r="441">
      <c r="A441" s="6" t="s">
        <v>2193</v>
      </c>
    </row>
    <row r="442">
      <c r="A442" s="6" t="s">
        <v>2198</v>
      </c>
    </row>
    <row r="443">
      <c r="A443" s="6" t="s">
        <v>2203</v>
      </c>
    </row>
    <row r="444">
      <c r="A444" s="6" t="s">
        <v>2208</v>
      </c>
    </row>
    <row r="445">
      <c r="A445" s="6" t="s">
        <v>2212</v>
      </c>
    </row>
    <row r="446">
      <c r="A446" s="6" t="s">
        <v>2216</v>
      </c>
    </row>
    <row r="447">
      <c r="A447" s="6" t="s">
        <v>2220</v>
      </c>
    </row>
    <row r="448">
      <c r="A448" s="6" t="s">
        <v>2224</v>
      </c>
    </row>
    <row r="449">
      <c r="A449" s="6" t="s">
        <v>2228</v>
      </c>
    </row>
    <row r="450">
      <c r="A450" s="6" t="s">
        <v>2232</v>
      </c>
    </row>
    <row r="451">
      <c r="A451" s="6" t="s">
        <v>2236</v>
      </c>
    </row>
    <row r="452">
      <c r="A452" s="6" t="s">
        <v>2240</v>
      </c>
    </row>
    <row r="453">
      <c r="A453" s="6" t="s">
        <v>2244</v>
      </c>
    </row>
    <row r="454">
      <c r="A454" s="6" t="s">
        <v>2249</v>
      </c>
    </row>
    <row r="455">
      <c r="A455" s="6" t="s">
        <v>2254</v>
      </c>
    </row>
    <row r="456">
      <c r="A456" s="6" t="s">
        <v>2259</v>
      </c>
    </row>
    <row r="457">
      <c r="A457" s="6" t="s">
        <v>2264</v>
      </c>
    </row>
    <row r="458">
      <c r="A458" s="6" t="s">
        <v>2269</v>
      </c>
    </row>
    <row r="459">
      <c r="A459" s="6" t="s">
        <v>2274</v>
      </c>
    </row>
    <row r="460">
      <c r="A460" s="6" t="s">
        <v>2279</v>
      </c>
    </row>
    <row r="461">
      <c r="A461" s="6" t="s">
        <v>2284</v>
      </c>
    </row>
    <row r="462">
      <c r="A462" s="6" t="s">
        <v>2289</v>
      </c>
    </row>
    <row r="463">
      <c r="A463" s="6" t="s">
        <v>2294</v>
      </c>
    </row>
    <row r="464">
      <c r="A464" s="6" t="s">
        <v>2299</v>
      </c>
    </row>
    <row r="465">
      <c r="A465" s="6" t="s">
        <v>2304</v>
      </c>
    </row>
    <row r="466">
      <c r="A466" s="6" t="s">
        <v>2309</v>
      </c>
    </row>
    <row r="467">
      <c r="A467" s="6" t="s">
        <v>2314</v>
      </c>
    </row>
    <row r="468">
      <c r="A468" s="6" t="s">
        <v>2319</v>
      </c>
    </row>
    <row r="469">
      <c r="A469" s="6" t="s">
        <v>2324</v>
      </c>
    </row>
    <row r="470">
      <c r="A470" s="6" t="s">
        <v>2329</v>
      </c>
    </row>
    <row r="471">
      <c r="A471" s="6" t="s">
        <v>2334</v>
      </c>
    </row>
    <row r="472">
      <c r="A472" s="6" t="s">
        <v>2339</v>
      </c>
    </row>
    <row r="473">
      <c r="A473" s="6" t="s">
        <v>2344</v>
      </c>
    </row>
    <row r="474">
      <c r="A474" s="6" t="s">
        <v>2349</v>
      </c>
    </row>
    <row r="475">
      <c r="A475" s="6" t="s">
        <v>2354</v>
      </c>
    </row>
    <row r="476">
      <c r="A476" s="6" t="s">
        <v>2359</v>
      </c>
    </row>
    <row r="477">
      <c r="A477" s="6" t="s">
        <v>2364</v>
      </c>
    </row>
    <row r="478">
      <c r="A478" s="6" t="s">
        <v>2369</v>
      </c>
    </row>
    <row r="479">
      <c r="A479" s="6" t="s">
        <v>2374</v>
      </c>
    </row>
    <row r="480">
      <c r="A480" s="6" t="s">
        <v>2379</v>
      </c>
    </row>
    <row r="481">
      <c r="A481" s="6" t="s">
        <v>2384</v>
      </c>
    </row>
    <row r="482">
      <c r="A482" s="6" t="s">
        <v>2389</v>
      </c>
    </row>
    <row r="483">
      <c r="A483" s="6" t="s">
        <v>2394</v>
      </c>
    </row>
    <row r="484">
      <c r="A484" s="6" t="s">
        <v>2399</v>
      </c>
    </row>
    <row r="485">
      <c r="A485" s="6" t="s">
        <v>2404</v>
      </c>
    </row>
    <row r="486">
      <c r="A486" s="6" t="s">
        <v>2409</v>
      </c>
    </row>
    <row r="487">
      <c r="A487" s="6" t="s">
        <v>2414</v>
      </c>
    </row>
    <row r="488">
      <c r="A488" s="6" t="s">
        <v>2419</v>
      </c>
    </row>
    <row r="489">
      <c r="A489" s="6" t="s">
        <v>2424</v>
      </c>
    </row>
    <row r="490">
      <c r="A490" s="6" t="s">
        <v>2429</v>
      </c>
    </row>
    <row r="491">
      <c r="A491" s="6" t="s">
        <v>2434</v>
      </c>
    </row>
    <row r="492">
      <c r="A492" s="6" t="s">
        <v>2439</v>
      </c>
    </row>
    <row r="493">
      <c r="A493" s="6" t="s">
        <v>2444</v>
      </c>
    </row>
    <row r="494">
      <c r="A494" s="6" t="s">
        <v>2449</v>
      </c>
    </row>
    <row r="495">
      <c r="A495" s="6" t="s">
        <v>2454</v>
      </c>
    </row>
    <row r="496">
      <c r="A496" s="6" t="s">
        <v>2459</v>
      </c>
    </row>
    <row r="497">
      <c r="A497" s="6" t="s">
        <v>2464</v>
      </c>
    </row>
    <row r="498">
      <c r="A498" s="6" t="s">
        <v>2469</v>
      </c>
    </row>
    <row r="499">
      <c r="A499" s="6" t="s">
        <v>2474</v>
      </c>
    </row>
    <row r="500">
      <c r="A500" s="6" t="s">
        <v>2479</v>
      </c>
    </row>
    <row r="501">
      <c r="A501" s="6" t="s">
        <v>2484</v>
      </c>
    </row>
    <row r="502">
      <c r="A502" s="6" t="s">
        <v>2489</v>
      </c>
    </row>
    <row r="503">
      <c r="A503" s="6" t="s">
        <v>2494</v>
      </c>
    </row>
    <row r="504">
      <c r="A504" s="6" t="s">
        <v>2499</v>
      </c>
    </row>
    <row r="505">
      <c r="A505" s="6" t="s">
        <v>2504</v>
      </c>
    </row>
    <row r="506">
      <c r="A506" s="6" t="s">
        <v>2509</v>
      </c>
    </row>
    <row r="507">
      <c r="A507" s="6" t="s">
        <v>2514</v>
      </c>
    </row>
    <row r="508">
      <c r="A508" s="6" t="s">
        <v>2519</v>
      </c>
    </row>
    <row r="509">
      <c r="A509" s="6" t="s">
        <v>2524</v>
      </c>
    </row>
    <row r="510">
      <c r="A510" s="6" t="s">
        <v>2529</v>
      </c>
    </row>
    <row r="511">
      <c r="A511" s="6" t="s">
        <v>2534</v>
      </c>
    </row>
    <row r="512">
      <c r="A512" s="6" t="s">
        <v>2539</v>
      </c>
    </row>
    <row r="513">
      <c r="A513" s="6" t="s">
        <v>2544</v>
      </c>
    </row>
    <row r="514">
      <c r="A514" s="6" t="s">
        <v>2549</v>
      </c>
    </row>
    <row r="515">
      <c r="A515" s="6" t="s">
        <v>2554</v>
      </c>
    </row>
    <row r="516">
      <c r="A516" s="6" t="s">
        <v>2559</v>
      </c>
    </row>
    <row r="517">
      <c r="A517" s="6" t="s">
        <v>2564</v>
      </c>
    </row>
    <row r="518">
      <c r="A518" s="6" t="s">
        <v>2569</v>
      </c>
    </row>
    <row r="519">
      <c r="A519" s="6" t="s">
        <v>2574</v>
      </c>
    </row>
    <row r="520">
      <c r="A520" s="6" t="s">
        <v>2579</v>
      </c>
    </row>
    <row r="521">
      <c r="A521" s="6" t="s">
        <v>2584</v>
      </c>
    </row>
    <row r="522">
      <c r="A522" s="6" t="s">
        <v>2589</v>
      </c>
    </row>
    <row r="523">
      <c r="A523" s="6" t="s">
        <v>2594</v>
      </c>
    </row>
    <row r="524">
      <c r="A524" s="6" t="s">
        <v>2599</v>
      </c>
    </row>
    <row r="525">
      <c r="A525" s="6" t="s">
        <v>2604</v>
      </c>
    </row>
    <row r="526">
      <c r="A526" s="6" t="s">
        <v>2609</v>
      </c>
    </row>
    <row r="527">
      <c r="A527" s="6" t="s">
        <v>2614</v>
      </c>
    </row>
    <row r="528">
      <c r="A528" s="6" t="s">
        <v>2619</v>
      </c>
    </row>
    <row r="529">
      <c r="A529" s="6" t="s">
        <v>2624</v>
      </c>
    </row>
    <row r="530">
      <c r="A530" s="6" t="s">
        <v>2629</v>
      </c>
    </row>
    <row r="531">
      <c r="A531" s="6" t="s">
        <v>2634</v>
      </c>
    </row>
    <row r="532">
      <c r="A532" s="6" t="s">
        <v>2639</v>
      </c>
    </row>
    <row r="533">
      <c r="A533" s="6" t="s">
        <v>2644</v>
      </c>
    </row>
    <row r="534">
      <c r="A534" s="6" t="s">
        <v>2649</v>
      </c>
    </row>
    <row r="535">
      <c r="A535" s="6" t="s">
        <v>2654</v>
      </c>
    </row>
    <row r="536">
      <c r="A536" s="6" t="s">
        <v>2659</v>
      </c>
    </row>
    <row r="537">
      <c r="A537" s="6" t="s">
        <v>2664</v>
      </c>
    </row>
    <row r="538">
      <c r="A538" s="6" t="s">
        <v>2669</v>
      </c>
    </row>
    <row r="539">
      <c r="A539" s="6" t="s">
        <v>2674</v>
      </c>
    </row>
    <row r="540">
      <c r="A540" s="6" t="s">
        <v>2679</v>
      </c>
    </row>
    <row r="541">
      <c r="A541" s="6" t="s">
        <v>2684</v>
      </c>
    </row>
    <row r="542">
      <c r="A542" s="6" t="s">
        <v>2689</v>
      </c>
    </row>
    <row r="543">
      <c r="A543" s="6" t="s">
        <v>2694</v>
      </c>
    </row>
    <row r="544">
      <c r="A544" s="6" t="s">
        <v>2699</v>
      </c>
    </row>
    <row r="545">
      <c r="A545" s="6" t="s">
        <v>2704</v>
      </c>
    </row>
    <row r="546">
      <c r="A546" s="6" t="s">
        <v>2709</v>
      </c>
    </row>
    <row r="547">
      <c r="A547" s="6" t="s">
        <v>2714</v>
      </c>
    </row>
    <row r="548">
      <c r="A548" s="6" t="s">
        <v>2719</v>
      </c>
    </row>
    <row r="549">
      <c r="A549" s="6" t="s">
        <v>2724</v>
      </c>
    </row>
    <row r="550">
      <c r="A550" s="6" t="s">
        <v>2729</v>
      </c>
    </row>
    <row r="551">
      <c r="A551" s="6" t="s">
        <v>2734</v>
      </c>
    </row>
    <row r="552">
      <c r="A552" s="6" t="s">
        <v>2739</v>
      </c>
    </row>
    <row r="553">
      <c r="A553" s="6" t="s">
        <v>2744</v>
      </c>
    </row>
    <row r="554">
      <c r="A554" s="6" t="s">
        <v>2749</v>
      </c>
    </row>
    <row r="555">
      <c r="A555" s="6" t="s">
        <v>2754</v>
      </c>
    </row>
    <row r="556">
      <c r="A556" s="6" t="s">
        <v>2759</v>
      </c>
    </row>
    <row r="557">
      <c r="A557" s="6" t="s">
        <v>2764</v>
      </c>
    </row>
    <row r="558">
      <c r="A558" s="6" t="s">
        <v>2769</v>
      </c>
    </row>
    <row r="559">
      <c r="A559" s="6" t="s">
        <v>2774</v>
      </c>
    </row>
    <row r="560">
      <c r="A560" s="6" t="s">
        <v>2779</v>
      </c>
    </row>
    <row r="561">
      <c r="A561" s="6" t="s">
        <v>2784</v>
      </c>
    </row>
    <row r="562">
      <c r="A562" s="6" t="s">
        <v>2789</v>
      </c>
    </row>
    <row r="563">
      <c r="A563" s="6" t="s">
        <v>2794</v>
      </c>
    </row>
    <row r="564">
      <c r="A564" s="6" t="s">
        <v>2799</v>
      </c>
    </row>
    <row r="565">
      <c r="A565" s="6" t="s">
        <v>2804</v>
      </c>
    </row>
    <row r="566">
      <c r="A566" s="6" t="s">
        <v>2809</v>
      </c>
    </row>
    <row r="567">
      <c r="A567" s="6" t="s">
        <v>2814</v>
      </c>
    </row>
    <row r="568">
      <c r="A568" s="6" t="s">
        <v>2819</v>
      </c>
    </row>
    <row r="569">
      <c r="A569" s="6" t="s">
        <v>2824</v>
      </c>
    </row>
    <row r="570">
      <c r="A570" s="6" t="s">
        <v>2829</v>
      </c>
    </row>
    <row r="571">
      <c r="A571" s="6" t="s">
        <v>2834</v>
      </c>
    </row>
    <row r="572">
      <c r="A572" s="6" t="s">
        <v>2839</v>
      </c>
    </row>
    <row r="573">
      <c r="A573" s="6" t="s">
        <v>2844</v>
      </c>
    </row>
    <row r="574">
      <c r="A574" s="6" t="s">
        <v>2849</v>
      </c>
    </row>
    <row r="575">
      <c r="A575" s="6" t="s">
        <v>2854</v>
      </c>
    </row>
    <row r="576">
      <c r="A576" s="6" t="s">
        <v>2859</v>
      </c>
    </row>
    <row r="577">
      <c r="A577" s="6" t="s">
        <v>2864</v>
      </c>
    </row>
    <row r="578">
      <c r="A578" s="6" t="s">
        <v>2869</v>
      </c>
    </row>
    <row r="579">
      <c r="A579" s="6" t="s">
        <v>2874</v>
      </c>
    </row>
    <row r="580">
      <c r="A580" s="6" t="s">
        <v>2879</v>
      </c>
    </row>
    <row r="581">
      <c r="A581" s="6" t="s">
        <v>2884</v>
      </c>
    </row>
    <row r="582">
      <c r="A582" s="6" t="s">
        <v>2889</v>
      </c>
    </row>
    <row r="583">
      <c r="A583" s="6" t="s">
        <v>2894</v>
      </c>
    </row>
    <row r="584">
      <c r="A584" s="6" t="s">
        <v>2899</v>
      </c>
    </row>
    <row r="585">
      <c r="A585" s="6" t="s">
        <v>2904</v>
      </c>
    </row>
    <row r="586">
      <c r="A586" s="6" t="s">
        <v>2909</v>
      </c>
    </row>
    <row r="587">
      <c r="A587" s="6" t="s">
        <v>2914</v>
      </c>
    </row>
    <row r="588">
      <c r="A588" s="6" t="s">
        <v>2919</v>
      </c>
    </row>
    <row r="589">
      <c r="A589" s="6" t="s">
        <v>2924</v>
      </c>
    </row>
    <row r="590">
      <c r="A590" s="6" t="s">
        <v>2929</v>
      </c>
    </row>
    <row r="591">
      <c r="A591" s="6" t="s">
        <v>2934</v>
      </c>
    </row>
    <row r="592">
      <c r="A592" s="6" t="s">
        <v>2939</v>
      </c>
    </row>
    <row r="593">
      <c r="A593" s="6" t="s">
        <v>2944</v>
      </c>
    </row>
    <row r="594">
      <c r="A594" s="6" t="s">
        <v>2949</v>
      </c>
    </row>
    <row r="595">
      <c r="A595" s="6" t="s">
        <v>2954</v>
      </c>
    </row>
    <row r="596">
      <c r="A596" s="6" t="s">
        <v>2959</v>
      </c>
    </row>
    <row r="597">
      <c r="A597" s="6" t="s">
        <v>2964</v>
      </c>
    </row>
    <row r="598">
      <c r="A598" s="6" t="s">
        <v>2969</v>
      </c>
    </row>
    <row r="599">
      <c r="A599" s="6" t="s">
        <v>2974</v>
      </c>
    </row>
    <row r="600">
      <c r="A600" s="6" t="s">
        <v>2979</v>
      </c>
    </row>
    <row r="601">
      <c r="A601" s="6" t="s">
        <v>2984</v>
      </c>
    </row>
    <row r="602">
      <c r="A602" s="6" t="s">
        <v>2989</v>
      </c>
    </row>
    <row r="603">
      <c r="A603" s="6" t="s">
        <v>2994</v>
      </c>
    </row>
    <row r="604">
      <c r="A604" s="6" t="s">
        <v>2999</v>
      </c>
    </row>
    <row r="605">
      <c r="A605" s="6" t="s">
        <v>3004</v>
      </c>
    </row>
    <row r="606">
      <c r="A606" s="6" t="s">
        <v>3009</v>
      </c>
    </row>
    <row r="607">
      <c r="A607" s="6" t="s">
        <v>3014</v>
      </c>
    </row>
    <row r="608">
      <c r="A608" s="6" t="s">
        <v>3019</v>
      </c>
    </row>
    <row r="609">
      <c r="A609" s="6" t="s">
        <v>3024</v>
      </c>
    </row>
    <row r="610">
      <c r="A610" s="6" t="s">
        <v>3029</v>
      </c>
    </row>
    <row r="611">
      <c r="A611" s="6" t="s">
        <v>3034</v>
      </c>
    </row>
    <row r="612">
      <c r="A612" s="6" t="s">
        <v>3039</v>
      </c>
    </row>
    <row r="613">
      <c r="A613" s="6" t="s">
        <v>3044</v>
      </c>
    </row>
    <row r="614">
      <c r="A614" s="6" t="s">
        <v>3049</v>
      </c>
    </row>
    <row r="615">
      <c r="A615" s="6" t="s">
        <v>3054</v>
      </c>
    </row>
    <row r="616">
      <c r="A616" s="6" t="s">
        <v>3059</v>
      </c>
    </row>
    <row r="617">
      <c r="A617" s="6" t="s">
        <v>3064</v>
      </c>
    </row>
    <row r="618">
      <c r="A618" s="6" t="s">
        <v>3069</v>
      </c>
    </row>
    <row r="619">
      <c r="A619" s="6" t="s">
        <v>3074</v>
      </c>
    </row>
    <row r="620">
      <c r="A620" s="6" t="s">
        <v>3079</v>
      </c>
    </row>
    <row r="621">
      <c r="A621" s="6" t="s">
        <v>3084</v>
      </c>
    </row>
    <row r="622">
      <c r="A622" s="6" t="s">
        <v>3088</v>
      </c>
    </row>
    <row r="623">
      <c r="A623" s="6" t="s">
        <v>3093</v>
      </c>
    </row>
    <row r="624">
      <c r="A624" s="6" t="s">
        <v>3098</v>
      </c>
    </row>
    <row r="625">
      <c r="A625" s="6" t="s">
        <v>3103</v>
      </c>
    </row>
    <row r="626">
      <c r="A626" s="6" t="s">
        <v>3108</v>
      </c>
    </row>
    <row r="627">
      <c r="A627" s="6" t="s">
        <v>3113</v>
      </c>
    </row>
    <row r="628">
      <c r="A628" s="6" t="s">
        <v>3118</v>
      </c>
    </row>
    <row r="629">
      <c r="A629" s="6" t="s">
        <v>3123</v>
      </c>
    </row>
    <row r="630">
      <c r="A630" s="6" t="s">
        <v>3128</v>
      </c>
    </row>
    <row r="631">
      <c r="A631" s="6" t="s">
        <v>3133</v>
      </c>
    </row>
    <row r="632">
      <c r="A632" s="6" t="s">
        <v>3138</v>
      </c>
    </row>
    <row r="633">
      <c r="A633" s="6" t="s">
        <v>3143</v>
      </c>
    </row>
    <row r="634">
      <c r="A634" s="6" t="s">
        <v>3148</v>
      </c>
    </row>
    <row r="635">
      <c r="A635" s="6" t="s">
        <v>3152</v>
      </c>
    </row>
    <row r="636">
      <c r="A636" s="6" t="s">
        <v>3157</v>
      </c>
    </row>
    <row r="637">
      <c r="A637" s="6" t="s">
        <v>3162</v>
      </c>
    </row>
    <row r="638">
      <c r="A638" s="6" t="s">
        <v>3166</v>
      </c>
    </row>
    <row r="639">
      <c r="A639" s="6" t="s">
        <v>3171</v>
      </c>
    </row>
    <row r="640">
      <c r="A640" s="6" t="s">
        <v>3176</v>
      </c>
    </row>
    <row r="641">
      <c r="A641" s="6" t="s">
        <v>3181</v>
      </c>
    </row>
    <row r="642">
      <c r="A642" s="6" t="s">
        <v>3186</v>
      </c>
    </row>
    <row r="643">
      <c r="A643" s="6" t="s">
        <v>3191</v>
      </c>
    </row>
    <row r="644">
      <c r="A644" s="6" t="s">
        <v>3196</v>
      </c>
    </row>
    <row r="645">
      <c r="A645" s="6" t="s">
        <v>3201</v>
      </c>
    </row>
    <row r="646">
      <c r="A646" s="6" t="s">
        <v>3206</v>
      </c>
    </row>
    <row r="647">
      <c r="A647" s="6" t="s">
        <v>3211</v>
      </c>
    </row>
    <row r="648">
      <c r="A648" s="6" t="s">
        <v>3216</v>
      </c>
    </row>
    <row r="649">
      <c r="A649" s="6" t="s">
        <v>3221</v>
      </c>
    </row>
    <row r="650">
      <c r="A650" s="6" t="s">
        <v>3226</v>
      </c>
    </row>
    <row r="651">
      <c r="A651" s="6" t="s">
        <v>3231</v>
      </c>
    </row>
    <row r="652">
      <c r="A652" s="6" t="s">
        <v>3236</v>
      </c>
    </row>
    <row r="653">
      <c r="A653" s="6" t="s">
        <v>3241</v>
      </c>
    </row>
    <row r="654">
      <c r="A654" s="6" t="s">
        <v>3246</v>
      </c>
    </row>
    <row r="655">
      <c r="A655" s="6" t="s">
        <v>3251</v>
      </c>
    </row>
    <row r="656">
      <c r="A656" s="6" t="s">
        <v>3256</v>
      </c>
    </row>
    <row r="657">
      <c r="A657" s="6" t="s">
        <v>3261</v>
      </c>
    </row>
    <row r="658">
      <c r="A658" s="6" t="s">
        <v>3266</v>
      </c>
    </row>
    <row r="659">
      <c r="A659" s="6" t="s">
        <v>3271</v>
      </c>
    </row>
    <row r="660">
      <c r="A660" s="6" t="s">
        <v>3276</v>
      </c>
    </row>
    <row r="661">
      <c r="A661" s="6" t="s">
        <v>3281</v>
      </c>
    </row>
    <row r="662">
      <c r="A662" s="6" t="s">
        <v>3286</v>
      </c>
    </row>
    <row r="663">
      <c r="A663" s="6" t="s">
        <v>3291</v>
      </c>
    </row>
    <row r="664">
      <c r="A664" s="6" t="s">
        <v>3296</v>
      </c>
    </row>
    <row r="665">
      <c r="A665" s="6" t="s">
        <v>3301</v>
      </c>
    </row>
    <row r="666">
      <c r="A666" s="6" t="s">
        <v>3306</v>
      </c>
    </row>
    <row r="667">
      <c r="A667" s="6" t="s">
        <v>3311</v>
      </c>
    </row>
    <row r="668">
      <c r="A668" s="6" t="s">
        <v>3316</v>
      </c>
    </row>
    <row r="669">
      <c r="A669" s="6" t="s">
        <v>3321</v>
      </c>
    </row>
    <row r="670">
      <c r="A670" s="6" t="s">
        <v>3326</v>
      </c>
    </row>
    <row r="671">
      <c r="A671" s="6" t="s">
        <v>3331</v>
      </c>
    </row>
    <row r="672">
      <c r="A672" s="6" t="s">
        <v>3336</v>
      </c>
    </row>
    <row r="673">
      <c r="A673" s="6" t="s">
        <v>3341</v>
      </c>
    </row>
    <row r="674">
      <c r="A674" s="6" t="s">
        <v>3346</v>
      </c>
    </row>
    <row r="675">
      <c r="A675" s="6" t="s">
        <v>3351</v>
      </c>
    </row>
    <row r="676">
      <c r="A676" s="6" t="s">
        <v>3356</v>
      </c>
    </row>
    <row r="677">
      <c r="A677" s="6" t="s">
        <v>3361</v>
      </c>
    </row>
    <row r="678">
      <c r="A678" s="6" t="s">
        <v>3366</v>
      </c>
    </row>
    <row r="679">
      <c r="A679" s="6" t="s">
        <v>3371</v>
      </c>
    </row>
    <row r="680">
      <c r="A680" s="6" t="s">
        <v>3376</v>
      </c>
    </row>
    <row r="681">
      <c r="A681" s="6" t="s">
        <v>3381</v>
      </c>
    </row>
    <row r="682">
      <c r="A682" s="6" t="s">
        <v>3386</v>
      </c>
    </row>
    <row r="683">
      <c r="A683" s="6" t="s">
        <v>3391</v>
      </c>
    </row>
    <row r="684">
      <c r="A684" s="6" t="s">
        <v>3396</v>
      </c>
    </row>
    <row r="685">
      <c r="A685" s="6" t="s">
        <v>3401</v>
      </c>
    </row>
    <row r="686">
      <c r="A686" s="6" t="s">
        <v>3406</v>
      </c>
    </row>
    <row r="687">
      <c r="A687" s="6" t="s">
        <v>3411</v>
      </c>
    </row>
    <row r="688">
      <c r="A688" s="6" t="s">
        <v>3416</v>
      </c>
    </row>
    <row r="689">
      <c r="A689" s="6" t="s">
        <v>3421</v>
      </c>
    </row>
    <row r="690">
      <c r="A690" s="6" t="s">
        <v>3426</v>
      </c>
    </row>
    <row r="691">
      <c r="A691" s="6" t="s">
        <v>3431</v>
      </c>
    </row>
    <row r="692">
      <c r="A692" s="6" t="s">
        <v>3436</v>
      </c>
    </row>
    <row r="693">
      <c r="A693" s="6" t="s">
        <v>3441</v>
      </c>
    </row>
    <row r="694">
      <c r="A694" s="6" t="s">
        <v>3446</v>
      </c>
    </row>
    <row r="695">
      <c r="A695" s="6" t="s">
        <v>3451</v>
      </c>
    </row>
    <row r="696">
      <c r="A696" s="6" t="s">
        <v>3456</v>
      </c>
    </row>
    <row r="697">
      <c r="A697" s="6" t="s">
        <v>3461</v>
      </c>
    </row>
    <row r="698">
      <c r="A698" s="6" t="s">
        <v>3466</v>
      </c>
    </row>
    <row r="699">
      <c r="A699" s="6" t="s">
        <v>3471</v>
      </c>
    </row>
    <row r="700">
      <c r="A700" s="6" t="s">
        <v>3476</v>
      </c>
    </row>
    <row r="701">
      <c r="A701" s="6" t="s">
        <v>3481</v>
      </c>
    </row>
    <row r="702">
      <c r="A702" s="6" t="s">
        <v>3486</v>
      </c>
    </row>
    <row r="703">
      <c r="A703" s="6" t="s">
        <v>3491</v>
      </c>
    </row>
    <row r="704">
      <c r="A704" s="6" t="s">
        <v>3496</v>
      </c>
    </row>
    <row r="705">
      <c r="A705" s="6" t="s">
        <v>3501</v>
      </c>
    </row>
    <row r="706">
      <c r="A706" s="6" t="s">
        <v>3506</v>
      </c>
    </row>
    <row r="707">
      <c r="A707" s="6" t="s">
        <v>3511</v>
      </c>
    </row>
    <row r="708">
      <c r="A708" s="6" t="s">
        <v>3516</v>
      </c>
    </row>
    <row r="709">
      <c r="A709" s="6" t="s">
        <v>3521</v>
      </c>
    </row>
    <row r="710">
      <c r="A710" s="6" t="s">
        <v>3526</v>
      </c>
    </row>
    <row r="711">
      <c r="A711" s="6" t="s">
        <v>3531</v>
      </c>
    </row>
    <row r="712">
      <c r="A712" s="6" t="s">
        <v>3536</v>
      </c>
    </row>
    <row r="713">
      <c r="A713" s="6" t="s">
        <v>3541</v>
      </c>
    </row>
    <row r="714">
      <c r="A714" s="6" t="s">
        <v>3546</v>
      </c>
    </row>
    <row r="715">
      <c r="A715" s="6" t="s">
        <v>3551</v>
      </c>
    </row>
    <row r="716">
      <c r="A716" s="6" t="s">
        <v>3556</v>
      </c>
    </row>
    <row r="717">
      <c r="A717" s="6" t="s">
        <v>3561</v>
      </c>
    </row>
    <row r="718">
      <c r="A718" s="6" t="s">
        <v>3566</v>
      </c>
    </row>
    <row r="719">
      <c r="A719" s="6" t="s">
        <v>3571</v>
      </c>
    </row>
    <row r="720">
      <c r="A720" s="6" t="s">
        <v>3576</v>
      </c>
    </row>
    <row r="721">
      <c r="A721" s="6" t="s">
        <v>3581</v>
      </c>
    </row>
    <row r="722">
      <c r="A722" s="6" t="s">
        <v>3586</v>
      </c>
    </row>
    <row r="723">
      <c r="A723" s="6" t="s">
        <v>3591</v>
      </c>
    </row>
    <row r="724">
      <c r="A724" s="6" t="s">
        <v>3596</v>
      </c>
    </row>
    <row r="725">
      <c r="A725" s="6" t="s">
        <v>3601</v>
      </c>
    </row>
    <row r="726">
      <c r="A726" s="6" t="s">
        <v>3606</v>
      </c>
    </row>
    <row r="727">
      <c r="A727" s="6" t="s">
        <v>3611</v>
      </c>
    </row>
    <row r="728">
      <c r="A728" s="6" t="s">
        <v>3616</v>
      </c>
    </row>
    <row r="729">
      <c r="A729" s="6" t="s">
        <v>3621</v>
      </c>
    </row>
    <row r="730">
      <c r="A730" s="6" t="s">
        <v>3626</v>
      </c>
    </row>
    <row r="731">
      <c r="A731" s="6" t="s">
        <v>3631</v>
      </c>
    </row>
    <row r="732">
      <c r="A732" s="6" t="s">
        <v>3636</v>
      </c>
    </row>
    <row r="733">
      <c r="A733" s="6" t="s">
        <v>3641</v>
      </c>
    </row>
    <row r="734">
      <c r="A734" s="6" t="s">
        <v>3646</v>
      </c>
    </row>
    <row r="735">
      <c r="A735" s="6" t="s">
        <v>3651</v>
      </c>
    </row>
    <row r="736">
      <c r="A736" s="6" t="s">
        <v>3656</v>
      </c>
    </row>
    <row r="737">
      <c r="A737" s="6" t="s">
        <v>3661</v>
      </c>
    </row>
    <row r="738">
      <c r="A738" s="6" t="s">
        <v>3665</v>
      </c>
    </row>
    <row r="739">
      <c r="A739" s="6" t="s">
        <v>3670</v>
      </c>
    </row>
    <row r="740">
      <c r="A740" s="6" t="s">
        <v>3675</v>
      </c>
    </row>
    <row r="741">
      <c r="A741" s="6" t="s">
        <v>3680</v>
      </c>
    </row>
    <row r="742">
      <c r="A742" s="6" t="s">
        <v>3685</v>
      </c>
    </row>
    <row r="743">
      <c r="A743" s="6" t="s">
        <v>3690</v>
      </c>
    </row>
    <row r="744">
      <c r="A744" s="6" t="s">
        <v>3695</v>
      </c>
    </row>
    <row r="745">
      <c r="A745" s="6" t="s">
        <v>3700</v>
      </c>
    </row>
    <row r="746">
      <c r="A746" s="6" t="s">
        <v>3705</v>
      </c>
    </row>
    <row r="747">
      <c r="A747" s="6" t="s">
        <v>3710</v>
      </c>
    </row>
    <row r="748">
      <c r="A748" s="6" t="s">
        <v>3714</v>
      </c>
    </row>
    <row r="749">
      <c r="A749" s="6" t="s">
        <v>3719</v>
      </c>
    </row>
    <row r="750">
      <c r="A750" s="6" t="s">
        <v>3724</v>
      </c>
    </row>
    <row r="751">
      <c r="A751" s="6" t="s">
        <v>3729</v>
      </c>
    </row>
    <row r="752">
      <c r="A752" s="6" t="s">
        <v>3734</v>
      </c>
    </row>
    <row r="753">
      <c r="A753" s="6" t="s">
        <v>3739</v>
      </c>
    </row>
    <row r="754">
      <c r="A754" s="6" t="s">
        <v>3744</v>
      </c>
    </row>
    <row r="755">
      <c r="A755" s="6" t="s">
        <v>3749</v>
      </c>
    </row>
    <row r="756">
      <c r="A756" s="6" t="s">
        <v>3754</v>
      </c>
    </row>
    <row r="757">
      <c r="A757" s="6" t="s">
        <v>3759</v>
      </c>
    </row>
    <row r="758">
      <c r="A758" s="6" t="s">
        <v>3764</v>
      </c>
    </row>
    <row r="759">
      <c r="A759" s="6" t="s">
        <v>3769</v>
      </c>
    </row>
    <row r="760">
      <c r="A760" s="6" t="s">
        <v>3774</v>
      </c>
    </row>
    <row r="761">
      <c r="A761" s="6" t="s">
        <v>3779</v>
      </c>
    </row>
    <row r="762">
      <c r="A762" s="6" t="s">
        <v>3784</v>
      </c>
    </row>
    <row r="763">
      <c r="A763" s="6" t="s">
        <v>3789</v>
      </c>
    </row>
    <row r="764">
      <c r="A764" s="6" t="s">
        <v>3794</v>
      </c>
    </row>
    <row r="765">
      <c r="A765" s="6" t="s">
        <v>3799</v>
      </c>
    </row>
    <row r="766">
      <c r="A766" s="6" t="s">
        <v>3804</v>
      </c>
    </row>
    <row r="767">
      <c r="A767" s="6" t="s">
        <v>3809</v>
      </c>
    </row>
    <row r="768">
      <c r="A768" s="6" t="s">
        <v>3814</v>
      </c>
    </row>
    <row r="769">
      <c r="A769" s="6" t="s">
        <v>3819</v>
      </c>
    </row>
    <row r="770">
      <c r="A770" s="6" t="s">
        <v>3824</v>
      </c>
    </row>
    <row r="771">
      <c r="A771" s="6" t="s">
        <v>3829</v>
      </c>
    </row>
    <row r="772">
      <c r="A772" s="6" t="s">
        <v>3834</v>
      </c>
    </row>
    <row r="773">
      <c r="A773" s="6" t="s">
        <v>3839</v>
      </c>
    </row>
    <row r="774">
      <c r="A774" s="6" t="s">
        <v>3844</v>
      </c>
    </row>
    <row r="775">
      <c r="A775" s="6" t="s">
        <v>3849</v>
      </c>
    </row>
    <row r="776">
      <c r="A776" s="6" t="s">
        <v>3854</v>
      </c>
    </row>
    <row r="777">
      <c r="A777" s="6" t="s">
        <v>3859</v>
      </c>
    </row>
    <row r="778">
      <c r="A778" s="6" t="s">
        <v>3864</v>
      </c>
    </row>
    <row r="779">
      <c r="A779" s="6" t="s">
        <v>3869</v>
      </c>
    </row>
    <row r="780">
      <c r="A780" s="6" t="s">
        <v>3874</v>
      </c>
    </row>
    <row r="781">
      <c r="A781" s="6" t="s">
        <v>3879</v>
      </c>
    </row>
    <row r="782">
      <c r="A782" s="6" t="s">
        <v>3884</v>
      </c>
    </row>
    <row r="783">
      <c r="A783" s="6" t="s">
        <v>3889</v>
      </c>
    </row>
    <row r="784">
      <c r="A784" s="6" t="s">
        <v>3894</v>
      </c>
    </row>
    <row r="785">
      <c r="A785" s="6" t="s">
        <v>3899</v>
      </c>
    </row>
    <row r="786">
      <c r="A786" s="6" t="s">
        <v>3904</v>
      </c>
    </row>
    <row r="787">
      <c r="A787" s="6" t="s">
        <v>3909</v>
      </c>
    </row>
    <row r="788">
      <c r="A788" s="6" t="s">
        <v>3914</v>
      </c>
    </row>
    <row r="789">
      <c r="A789" s="6" t="s">
        <v>3919</v>
      </c>
    </row>
    <row r="790">
      <c r="A790" s="6" t="s">
        <v>3924</v>
      </c>
    </row>
    <row r="791">
      <c r="A791" s="6" t="s">
        <v>3929</v>
      </c>
    </row>
    <row r="792">
      <c r="A792" s="6" t="s">
        <v>3934</v>
      </c>
    </row>
    <row r="793">
      <c r="A793" s="6" t="s">
        <v>3938</v>
      </c>
    </row>
    <row r="794">
      <c r="A794" s="6" t="s">
        <v>3943</v>
      </c>
    </row>
    <row r="795">
      <c r="A795" s="6" t="s">
        <v>3948</v>
      </c>
    </row>
    <row r="796">
      <c r="A796" s="6" t="s">
        <v>3953</v>
      </c>
    </row>
    <row r="797">
      <c r="A797" s="6" t="s">
        <v>3958</v>
      </c>
    </row>
    <row r="798">
      <c r="A798" s="6" t="s">
        <v>3963</v>
      </c>
    </row>
    <row r="799">
      <c r="A799" s="6" t="s">
        <v>3968</v>
      </c>
    </row>
    <row r="800">
      <c r="A800" s="6" t="s">
        <v>3973</v>
      </c>
    </row>
    <row r="801">
      <c r="A801" s="6" t="s">
        <v>3978</v>
      </c>
    </row>
    <row r="802">
      <c r="A802" s="6" t="s">
        <v>3983</v>
      </c>
    </row>
    <row r="803">
      <c r="A803" s="6" t="s">
        <v>3988</v>
      </c>
    </row>
    <row r="804">
      <c r="A804" s="6" t="s">
        <v>3993</v>
      </c>
    </row>
    <row r="805">
      <c r="A805" s="6" t="s">
        <v>3998</v>
      </c>
    </row>
    <row r="806">
      <c r="A806" s="6" t="s">
        <v>4003</v>
      </c>
    </row>
    <row r="807">
      <c r="A807" s="6" t="s">
        <v>4008</v>
      </c>
    </row>
    <row r="808">
      <c r="A808" s="6" t="s">
        <v>4012</v>
      </c>
    </row>
    <row r="809">
      <c r="A809" s="6" t="s">
        <v>4016</v>
      </c>
    </row>
    <row r="810">
      <c r="A810" s="6" t="s">
        <v>4021</v>
      </c>
    </row>
    <row r="811">
      <c r="A811" s="6" t="s">
        <v>4026</v>
      </c>
    </row>
    <row r="812">
      <c r="A812" s="6" t="s">
        <v>4031</v>
      </c>
    </row>
    <row r="813">
      <c r="A813" s="6" t="s">
        <v>4036</v>
      </c>
    </row>
    <row r="814">
      <c r="A814" s="6" t="s">
        <v>4041</v>
      </c>
    </row>
    <row r="815">
      <c r="A815" s="6" t="s">
        <v>4046</v>
      </c>
    </row>
    <row r="816">
      <c r="A816" s="6" t="s">
        <v>4051</v>
      </c>
    </row>
    <row r="817">
      <c r="A817" s="6" t="s">
        <v>4056</v>
      </c>
    </row>
    <row r="818">
      <c r="A818" s="6" t="s">
        <v>4061</v>
      </c>
    </row>
    <row r="819">
      <c r="A819" s="6" t="s">
        <v>4066</v>
      </c>
    </row>
    <row r="820">
      <c r="A820" s="6" t="s">
        <v>4071</v>
      </c>
    </row>
    <row r="821">
      <c r="A821" s="6" t="s">
        <v>4076</v>
      </c>
    </row>
    <row r="822">
      <c r="A822" s="6" t="s">
        <v>4081</v>
      </c>
    </row>
    <row r="823">
      <c r="A823" s="6" t="s">
        <v>4086</v>
      </c>
    </row>
    <row r="824">
      <c r="A824" s="6" t="s">
        <v>4091</v>
      </c>
    </row>
    <row r="825">
      <c r="A825" s="6" t="s">
        <v>4096</v>
      </c>
    </row>
    <row r="826">
      <c r="A826" s="6" t="s">
        <v>4101</v>
      </c>
    </row>
    <row r="827">
      <c r="A827" s="6" t="s">
        <v>4106</v>
      </c>
    </row>
    <row r="828">
      <c r="A828" s="6" t="s">
        <v>4111</v>
      </c>
    </row>
    <row r="829">
      <c r="A829" s="6" t="s">
        <v>4116</v>
      </c>
    </row>
    <row r="830">
      <c r="A830" s="6" t="s">
        <v>4121</v>
      </c>
    </row>
    <row r="831">
      <c r="A831" s="6" t="s">
        <v>4126</v>
      </c>
    </row>
    <row r="832">
      <c r="A832" s="6" t="s">
        <v>4131</v>
      </c>
    </row>
    <row r="833">
      <c r="A833" s="6" t="s">
        <v>4136</v>
      </c>
    </row>
    <row r="834">
      <c r="A834" s="6" t="s">
        <v>4141</v>
      </c>
    </row>
    <row r="835">
      <c r="A835" s="6" t="s">
        <v>4146</v>
      </c>
    </row>
    <row r="836">
      <c r="A836" s="6" t="s">
        <v>4151</v>
      </c>
    </row>
    <row r="837">
      <c r="A837" s="6" t="s">
        <v>4156</v>
      </c>
    </row>
    <row r="838">
      <c r="A838" s="6" t="s">
        <v>4161</v>
      </c>
    </row>
    <row r="839">
      <c r="A839" s="6" t="s">
        <v>4166</v>
      </c>
    </row>
    <row r="840">
      <c r="A840" s="6" t="s">
        <v>4171</v>
      </c>
    </row>
    <row r="841">
      <c r="A841" s="6" t="s">
        <v>4176</v>
      </c>
    </row>
    <row r="842">
      <c r="A842" s="6" t="s">
        <v>4181</v>
      </c>
    </row>
    <row r="843">
      <c r="A843" s="6" t="s">
        <v>4186</v>
      </c>
    </row>
    <row r="844">
      <c r="A844" s="6" t="s">
        <v>4191</v>
      </c>
    </row>
    <row r="845">
      <c r="A845" s="6" t="s">
        <v>4196</v>
      </c>
    </row>
    <row r="846">
      <c r="A846" s="6" t="s">
        <v>4201</v>
      </c>
    </row>
    <row r="847">
      <c r="A847" s="6" t="s">
        <v>4206</v>
      </c>
    </row>
    <row r="848">
      <c r="A848" s="6" t="s">
        <v>4211</v>
      </c>
    </row>
    <row r="849">
      <c r="A849" s="6" t="s">
        <v>4216</v>
      </c>
    </row>
    <row r="850">
      <c r="A850" s="6" t="s">
        <v>4221</v>
      </c>
    </row>
    <row r="851">
      <c r="A851" s="6" t="s">
        <v>4226</v>
      </c>
    </row>
    <row r="852">
      <c r="A852" s="6" t="s">
        <v>4231</v>
      </c>
    </row>
    <row r="853">
      <c r="A853" s="6" t="s">
        <v>4236</v>
      </c>
    </row>
    <row r="854">
      <c r="A854" s="6" t="s">
        <v>4241</v>
      </c>
    </row>
    <row r="855">
      <c r="A855" s="6" t="s">
        <v>4246</v>
      </c>
    </row>
    <row r="856">
      <c r="A856" s="6" t="s">
        <v>4251</v>
      </c>
    </row>
    <row r="857">
      <c r="A857" s="6" t="s">
        <v>4256</v>
      </c>
    </row>
    <row r="858">
      <c r="A858" s="6" t="s">
        <v>4261</v>
      </c>
    </row>
    <row r="859">
      <c r="A859" s="6" t="s">
        <v>4266</v>
      </c>
    </row>
    <row r="860">
      <c r="A860" s="6" t="s">
        <v>4271</v>
      </c>
    </row>
    <row r="861">
      <c r="A861" s="6" t="s">
        <v>4276</v>
      </c>
    </row>
    <row r="862">
      <c r="A862" s="6" t="s">
        <v>4281</v>
      </c>
    </row>
    <row r="863">
      <c r="A863" s="6" t="s">
        <v>4286</v>
      </c>
    </row>
    <row r="864">
      <c r="A864" s="6" t="s">
        <v>4291</v>
      </c>
    </row>
    <row r="865">
      <c r="A865" s="6" t="s">
        <v>4296</v>
      </c>
    </row>
    <row r="866">
      <c r="A866" s="6" t="s">
        <v>4301</v>
      </c>
    </row>
    <row r="867">
      <c r="A867" s="6" t="s">
        <v>4306</v>
      </c>
    </row>
    <row r="868">
      <c r="A868" s="6" t="s">
        <v>4311</v>
      </c>
    </row>
    <row r="869">
      <c r="A869" s="6" t="s">
        <v>4315</v>
      </c>
    </row>
    <row r="870">
      <c r="A870" s="6" t="s">
        <v>4320</v>
      </c>
    </row>
    <row r="871">
      <c r="A871" s="6" t="s">
        <v>4325</v>
      </c>
    </row>
    <row r="872">
      <c r="A872" s="6" t="s">
        <v>4330</v>
      </c>
    </row>
    <row r="873">
      <c r="A873" s="6" t="s">
        <v>4335</v>
      </c>
    </row>
    <row r="874">
      <c r="A874" s="6" t="s">
        <v>4340</v>
      </c>
    </row>
    <row r="875">
      <c r="A875" s="6" t="s">
        <v>4345</v>
      </c>
    </row>
    <row r="876">
      <c r="A876" s="6" t="s">
        <v>4350</v>
      </c>
    </row>
    <row r="877">
      <c r="A877" s="6" t="s">
        <v>4355</v>
      </c>
    </row>
    <row r="878">
      <c r="A878" s="6" t="s">
        <v>4360</v>
      </c>
    </row>
    <row r="879">
      <c r="A879" s="6" t="s">
        <v>4365</v>
      </c>
    </row>
    <row r="880">
      <c r="A880" s="6" t="s">
        <v>4370</v>
      </c>
    </row>
    <row r="881">
      <c r="A881" s="6" t="s">
        <v>4375</v>
      </c>
    </row>
    <row r="882">
      <c r="A882" s="6" t="s">
        <v>4380</v>
      </c>
    </row>
    <row r="883">
      <c r="A883" s="6" t="s">
        <v>4385</v>
      </c>
    </row>
    <row r="884">
      <c r="A884" s="6" t="s">
        <v>4390</v>
      </c>
    </row>
    <row r="885">
      <c r="A885" s="6" t="s">
        <v>4395</v>
      </c>
    </row>
    <row r="886">
      <c r="A886" s="6" t="s">
        <v>4399</v>
      </c>
    </row>
    <row r="887">
      <c r="A887" s="6" t="s">
        <v>4404</v>
      </c>
    </row>
    <row r="888">
      <c r="A888" s="6" t="s">
        <v>4409</v>
      </c>
    </row>
    <row r="889">
      <c r="A889" s="6" t="s">
        <v>4414</v>
      </c>
    </row>
    <row r="890">
      <c r="A890" s="6" t="s">
        <v>4419</v>
      </c>
    </row>
    <row r="891">
      <c r="A891" s="6" t="s">
        <v>4424</v>
      </c>
    </row>
    <row r="892">
      <c r="A892" s="6" t="s">
        <v>4429</v>
      </c>
    </row>
    <row r="893">
      <c r="A893" s="6" t="s">
        <v>4434</v>
      </c>
    </row>
    <row r="894">
      <c r="A894" s="6" t="s">
        <v>4439</v>
      </c>
    </row>
    <row r="895">
      <c r="A895" s="6" t="s">
        <v>4444</v>
      </c>
    </row>
    <row r="896">
      <c r="A896" s="6" t="s">
        <v>4449</v>
      </c>
    </row>
    <row r="897">
      <c r="A897" s="6" t="s">
        <v>4454</v>
      </c>
    </row>
    <row r="898">
      <c r="A898" s="6" t="s">
        <v>4459</v>
      </c>
    </row>
    <row r="899">
      <c r="A899" s="6" t="s">
        <v>4464</v>
      </c>
    </row>
    <row r="900">
      <c r="A900" s="6" t="s">
        <v>4469</v>
      </c>
    </row>
    <row r="901">
      <c r="A901" s="6" t="s">
        <v>4474</v>
      </c>
    </row>
    <row r="902">
      <c r="A902" s="6" t="s">
        <v>4479</v>
      </c>
    </row>
    <row r="903">
      <c r="A903" s="6" t="s">
        <v>4484</v>
      </c>
    </row>
    <row r="904">
      <c r="A904" s="6" t="s">
        <v>4489</v>
      </c>
    </row>
    <row r="905">
      <c r="A905" s="6" t="s">
        <v>4494</v>
      </c>
    </row>
    <row r="906">
      <c r="A906" s="6" t="s">
        <v>4499</v>
      </c>
    </row>
    <row r="907">
      <c r="A907" s="6" t="s">
        <v>4504</v>
      </c>
    </row>
    <row r="908">
      <c r="A908" s="6" t="s">
        <v>4509</v>
      </c>
    </row>
    <row r="909">
      <c r="A909" s="6" t="s">
        <v>4514</v>
      </c>
    </row>
    <row r="910">
      <c r="A910" s="6" t="s">
        <v>4519</v>
      </c>
    </row>
    <row r="911">
      <c r="A911" s="6" t="s">
        <v>4524</v>
      </c>
    </row>
    <row r="912">
      <c r="A912" s="6" t="s">
        <v>4529</v>
      </c>
    </row>
    <row r="913">
      <c r="A913" s="6" t="s">
        <v>4534</v>
      </c>
    </row>
    <row r="914">
      <c r="A914" s="6" t="s">
        <v>4539</v>
      </c>
    </row>
    <row r="915">
      <c r="A915" s="6" t="s">
        <v>4544</v>
      </c>
    </row>
    <row r="916">
      <c r="A916" s="6" t="s">
        <v>4549</v>
      </c>
    </row>
    <row r="917">
      <c r="A917" s="6" t="s">
        <v>4554</v>
      </c>
    </row>
    <row r="918">
      <c r="A918" s="6" t="s">
        <v>4559</v>
      </c>
    </row>
    <row r="919">
      <c r="A919" s="6" t="s">
        <v>4564</v>
      </c>
    </row>
    <row r="920">
      <c r="A920" s="6" t="s">
        <v>4569</v>
      </c>
    </row>
    <row r="921">
      <c r="A921" s="6" t="s">
        <v>4574</v>
      </c>
    </row>
    <row r="922">
      <c r="A922" s="6" t="s">
        <v>4579</v>
      </c>
    </row>
    <row r="923">
      <c r="A923" s="6" t="s">
        <v>4584</v>
      </c>
    </row>
    <row r="924">
      <c r="A924" s="6" t="s">
        <v>4589</v>
      </c>
    </row>
    <row r="925">
      <c r="A925" s="6" t="s">
        <v>4594</v>
      </c>
    </row>
    <row r="926">
      <c r="A926" s="6" t="s">
        <v>4599</v>
      </c>
    </row>
    <row r="927">
      <c r="A927" s="6" t="s">
        <v>4604</v>
      </c>
    </row>
    <row r="928">
      <c r="A928" s="6" t="s">
        <v>4609</v>
      </c>
    </row>
    <row r="929">
      <c r="A929" s="6" t="s">
        <v>4614</v>
      </c>
    </row>
    <row r="930">
      <c r="A930" s="6" t="s">
        <v>4619</v>
      </c>
    </row>
    <row r="931">
      <c r="A931" s="6" t="s">
        <v>4624</v>
      </c>
    </row>
    <row r="932">
      <c r="A932" s="6" t="s">
        <v>4629</v>
      </c>
    </row>
    <row r="933">
      <c r="A933" s="6" t="s">
        <v>4634</v>
      </c>
    </row>
    <row r="934">
      <c r="A934" s="6" t="s">
        <v>4639</v>
      </c>
    </row>
    <row r="935">
      <c r="A935" s="6" t="s">
        <v>4644</v>
      </c>
    </row>
    <row r="936">
      <c r="A936" s="6" t="s">
        <v>4649</v>
      </c>
    </row>
    <row r="937">
      <c r="A937" s="6" t="s">
        <v>4654</v>
      </c>
    </row>
    <row r="938">
      <c r="A938" s="6" t="s">
        <v>4659</v>
      </c>
    </row>
    <row r="939">
      <c r="A939" s="6" t="s">
        <v>4664</v>
      </c>
    </row>
    <row r="940">
      <c r="A940" s="6" t="s">
        <v>4669</v>
      </c>
    </row>
    <row r="941">
      <c r="A941" s="6" t="s">
        <v>4674</v>
      </c>
    </row>
    <row r="942">
      <c r="A942" s="6" t="s">
        <v>4679</v>
      </c>
    </row>
    <row r="943">
      <c r="A943" s="6" t="s">
        <v>4684</v>
      </c>
    </row>
    <row r="944">
      <c r="A944" s="6" t="s">
        <v>4689</v>
      </c>
    </row>
    <row r="945">
      <c r="A945" s="6" t="s">
        <v>4694</v>
      </c>
    </row>
    <row r="946">
      <c r="A946" s="6" t="s">
        <v>4699</v>
      </c>
    </row>
    <row r="947">
      <c r="A947" s="6" t="s">
        <v>4704</v>
      </c>
    </row>
    <row r="948">
      <c r="A948" s="6" t="s">
        <v>4709</v>
      </c>
    </row>
    <row r="949">
      <c r="A949" s="6" t="s">
        <v>4714</v>
      </c>
    </row>
    <row r="950">
      <c r="A950" s="6" t="s">
        <v>4719</v>
      </c>
    </row>
    <row r="951">
      <c r="A951" s="6" t="s">
        <v>4724</v>
      </c>
    </row>
    <row r="952">
      <c r="A952" s="6" t="s">
        <v>4729</v>
      </c>
    </row>
    <row r="953">
      <c r="A953" s="6" t="s">
        <v>4734</v>
      </c>
    </row>
    <row r="954">
      <c r="A954" s="6" t="s">
        <v>4739</v>
      </c>
    </row>
    <row r="955">
      <c r="A955" s="6" t="s">
        <v>4744</v>
      </c>
    </row>
    <row r="956">
      <c r="A956" s="6" t="s">
        <v>4749</v>
      </c>
    </row>
    <row r="957">
      <c r="A957" s="6" t="s">
        <v>4754</v>
      </c>
    </row>
    <row r="958">
      <c r="A958" s="6" t="s">
        <v>4759</v>
      </c>
    </row>
    <row r="959">
      <c r="A959" s="6" t="s">
        <v>4764</v>
      </c>
    </row>
    <row r="960">
      <c r="A960" s="6" t="s">
        <v>4769</v>
      </c>
    </row>
    <row r="961">
      <c r="A961" s="6" t="s">
        <v>4774</v>
      </c>
    </row>
    <row r="962">
      <c r="A962" s="6" t="s">
        <v>4779</v>
      </c>
    </row>
    <row r="963">
      <c r="A963" s="6" t="s">
        <v>4784</v>
      </c>
    </row>
    <row r="964">
      <c r="A964" s="6" t="s">
        <v>4789</v>
      </c>
    </row>
    <row r="965">
      <c r="A965" s="6" t="s">
        <v>4794</v>
      </c>
    </row>
    <row r="966">
      <c r="A966" s="6" t="s">
        <v>4799</v>
      </c>
    </row>
    <row r="967">
      <c r="A967" s="6" t="s">
        <v>4804</v>
      </c>
    </row>
    <row r="968">
      <c r="A968" s="6" t="s">
        <v>4809</v>
      </c>
    </row>
    <row r="969">
      <c r="A969" s="6" t="s">
        <v>4814</v>
      </c>
    </row>
    <row r="970">
      <c r="A970" s="6" t="s">
        <v>4819</v>
      </c>
    </row>
    <row r="971">
      <c r="A971" s="6" t="s">
        <v>4824</v>
      </c>
    </row>
    <row r="972">
      <c r="A972" s="6" t="s">
        <v>4829</v>
      </c>
    </row>
    <row r="973">
      <c r="A973" s="6" t="s">
        <v>4834</v>
      </c>
    </row>
    <row r="974">
      <c r="A974" s="6" t="s">
        <v>4839</v>
      </c>
    </row>
    <row r="975">
      <c r="A975" s="6" t="s">
        <v>4844</v>
      </c>
    </row>
    <row r="976">
      <c r="A976" s="6" t="s">
        <v>4849</v>
      </c>
    </row>
    <row r="977">
      <c r="A977" s="6" t="s">
        <v>4854</v>
      </c>
    </row>
    <row r="978">
      <c r="A978" s="6" t="s">
        <v>4859</v>
      </c>
    </row>
    <row r="979">
      <c r="A979" s="6" t="s">
        <v>4864</v>
      </c>
    </row>
    <row r="980">
      <c r="A980" s="6" t="s">
        <v>4869</v>
      </c>
    </row>
    <row r="981">
      <c r="A981" s="6" t="s">
        <v>4874</v>
      </c>
    </row>
    <row r="982">
      <c r="A982" s="6" t="s">
        <v>4879</v>
      </c>
    </row>
    <row r="983">
      <c r="A983" s="6" t="s">
        <v>4884</v>
      </c>
    </row>
    <row r="984">
      <c r="A984" s="6" t="s">
        <v>4889</v>
      </c>
    </row>
    <row r="985">
      <c r="A985" s="6" t="s">
        <v>4894</v>
      </c>
    </row>
    <row r="986">
      <c r="A986" s="6" t="s">
        <v>4899</v>
      </c>
    </row>
    <row r="987">
      <c r="A987" s="6" t="s">
        <v>4904</v>
      </c>
    </row>
    <row r="988">
      <c r="A988" s="6" t="s">
        <v>4909</v>
      </c>
    </row>
    <row r="989">
      <c r="A989" s="6" t="s">
        <v>4914</v>
      </c>
    </row>
    <row r="990">
      <c r="A990" s="6" t="s">
        <v>4919</v>
      </c>
    </row>
    <row r="991">
      <c r="A991" s="6" t="s">
        <v>4924</v>
      </c>
    </row>
    <row r="992">
      <c r="A992" s="6" t="s">
        <v>4929</v>
      </c>
    </row>
    <row r="993">
      <c r="A993" s="6" t="s">
        <v>4934</v>
      </c>
    </row>
    <row r="994">
      <c r="A994" s="6" t="s">
        <v>4939</v>
      </c>
    </row>
    <row r="995">
      <c r="A995" s="6" t="s">
        <v>4944</v>
      </c>
    </row>
    <row r="996">
      <c r="A996" s="6" t="s">
        <v>4949</v>
      </c>
    </row>
    <row r="997">
      <c r="A997" s="6" t="s">
        <v>4954</v>
      </c>
    </row>
    <row r="998">
      <c r="A998" s="6" t="s">
        <v>4959</v>
      </c>
    </row>
    <row r="999">
      <c r="A999" s="6" t="s">
        <v>4964</v>
      </c>
    </row>
    <row r="1000">
      <c r="A1000" s="6" t="s">
        <v>4969</v>
      </c>
    </row>
    <row r="1001">
      <c r="A1001" s="6" t="s">
        <v>4974</v>
      </c>
    </row>
    <row r="1002">
      <c r="A1002" s="6" t="s">
        <v>4979</v>
      </c>
    </row>
    <row r="1003">
      <c r="A1003" s="6" t="s">
        <v>4984</v>
      </c>
    </row>
    <row r="1004">
      <c r="A1004" s="6" t="s">
        <v>4989</v>
      </c>
    </row>
    <row r="1005">
      <c r="A1005" s="6" t="s">
        <v>4994</v>
      </c>
    </row>
    <row r="1006">
      <c r="A1006" s="6" t="s">
        <v>4999</v>
      </c>
    </row>
    <row r="1007">
      <c r="A1007" s="6" t="s">
        <v>5004</v>
      </c>
    </row>
    <row r="1008">
      <c r="A1008" s="6" t="s">
        <v>5009</v>
      </c>
    </row>
    <row r="1009">
      <c r="A1009" s="6" t="s">
        <v>5014</v>
      </c>
    </row>
    <row r="1010">
      <c r="A1010" s="6" t="s">
        <v>5019</v>
      </c>
    </row>
    <row r="1011">
      <c r="A1011" s="6" t="s">
        <v>5024</v>
      </c>
    </row>
    <row r="1012">
      <c r="A1012" s="6" t="s">
        <v>5029</v>
      </c>
    </row>
    <row r="1013">
      <c r="A1013" s="6" t="s">
        <v>5034</v>
      </c>
    </row>
    <row r="1014">
      <c r="A1014" s="6" t="s">
        <v>5039</v>
      </c>
    </row>
    <row r="1015">
      <c r="A1015" s="6" t="s">
        <v>5044</v>
      </c>
    </row>
    <row r="1016">
      <c r="A1016" s="6" t="s">
        <v>5049</v>
      </c>
    </row>
    <row r="1017">
      <c r="A1017" s="6" t="s">
        <v>5054</v>
      </c>
    </row>
    <row r="1018">
      <c r="A1018" s="6" t="s">
        <v>5059</v>
      </c>
    </row>
    <row r="1019">
      <c r="A1019" s="6" t="s">
        <v>5064</v>
      </c>
    </row>
    <row r="1020">
      <c r="A1020" s="6" t="s">
        <v>5069</v>
      </c>
    </row>
    <row r="1021">
      <c r="A1021" s="6" t="s">
        <v>5074</v>
      </c>
    </row>
    <row r="1022">
      <c r="A1022" s="6" t="s">
        <v>5079</v>
      </c>
    </row>
    <row r="1023">
      <c r="A1023" s="6" t="s">
        <v>5084</v>
      </c>
    </row>
    <row r="1024">
      <c r="A1024" s="6" t="s">
        <v>5089</v>
      </c>
    </row>
    <row r="1025">
      <c r="A1025" s="6" t="s">
        <v>5094</v>
      </c>
    </row>
    <row r="1026">
      <c r="A1026" s="6" t="s">
        <v>5099</v>
      </c>
    </row>
    <row r="1027">
      <c r="A1027" s="6" t="s">
        <v>5104</v>
      </c>
    </row>
    <row r="1028">
      <c r="A1028" s="6" t="s">
        <v>5109</v>
      </c>
    </row>
    <row r="1029">
      <c r="A1029" s="6" t="s">
        <v>5114</v>
      </c>
    </row>
    <row r="1030">
      <c r="A1030" s="6" t="s">
        <v>5119</v>
      </c>
    </row>
    <row r="1031">
      <c r="A1031" s="6" t="s">
        <v>5124</v>
      </c>
    </row>
    <row r="1032">
      <c r="A1032" s="6" t="s">
        <v>5129</v>
      </c>
    </row>
    <row r="1033">
      <c r="A1033" s="6" t="s">
        <v>5134</v>
      </c>
    </row>
    <row r="1034">
      <c r="A1034" s="6" t="s">
        <v>5139</v>
      </c>
    </row>
    <row r="1035">
      <c r="A1035" s="6" t="s">
        <v>5144</v>
      </c>
    </row>
    <row r="1036">
      <c r="A1036" s="6" t="s">
        <v>5149</v>
      </c>
    </row>
    <row r="1037">
      <c r="A1037" s="6" t="s">
        <v>5154</v>
      </c>
    </row>
    <row r="1038">
      <c r="A1038" s="6" t="s">
        <v>5159</v>
      </c>
    </row>
    <row r="1039">
      <c r="A1039" s="6" t="s">
        <v>5164</v>
      </c>
    </row>
    <row r="1040">
      <c r="A1040" s="6" t="s">
        <v>5169</v>
      </c>
    </row>
    <row r="1041">
      <c r="A1041" s="6" t="s">
        <v>5174</v>
      </c>
    </row>
    <row r="1042">
      <c r="A1042" s="6" t="s">
        <v>5179</v>
      </c>
    </row>
    <row r="1043">
      <c r="A1043" s="6" t="s">
        <v>5184</v>
      </c>
    </row>
    <row r="1044">
      <c r="A1044" s="6" t="s">
        <v>5189</v>
      </c>
    </row>
    <row r="1045">
      <c r="A1045" s="6" t="s">
        <v>5194</v>
      </c>
    </row>
    <row r="1046">
      <c r="A1046" s="6" t="s">
        <v>5199</v>
      </c>
    </row>
    <row r="1047">
      <c r="A1047" s="6" t="s">
        <v>5204</v>
      </c>
    </row>
    <row r="1048">
      <c r="A1048" s="6" t="s">
        <v>5209</v>
      </c>
    </row>
    <row r="1049">
      <c r="A1049" s="6" t="s">
        <v>5214</v>
      </c>
    </row>
    <row r="1050">
      <c r="A1050" s="6" t="s">
        <v>5219</v>
      </c>
    </row>
    <row r="1051">
      <c r="A1051" s="6" t="s">
        <v>5224</v>
      </c>
    </row>
    <row r="1052">
      <c r="A1052" s="6" t="s">
        <v>5229</v>
      </c>
    </row>
    <row r="1053">
      <c r="A1053" s="6" t="s">
        <v>5234</v>
      </c>
    </row>
    <row r="1054">
      <c r="A1054" s="6" t="s">
        <v>5239</v>
      </c>
    </row>
    <row r="1055">
      <c r="A1055" s="6" t="s">
        <v>5244</v>
      </c>
    </row>
    <row r="1056">
      <c r="A1056" s="6" t="s">
        <v>5249</v>
      </c>
    </row>
    <row r="1057">
      <c r="A1057" s="6" t="s">
        <v>5254</v>
      </c>
    </row>
    <row r="1058">
      <c r="A1058" s="6" t="s">
        <v>5259</v>
      </c>
    </row>
    <row r="1059">
      <c r="A1059" s="6" t="s">
        <v>5264</v>
      </c>
    </row>
    <row r="1060">
      <c r="A1060" s="6" t="s">
        <v>5269</v>
      </c>
    </row>
    <row r="1061">
      <c r="A1061" s="6" t="s">
        <v>5274</v>
      </c>
    </row>
    <row r="1062">
      <c r="A1062" s="6" t="s">
        <v>5279</v>
      </c>
    </row>
    <row r="1063">
      <c r="A1063" s="6" t="s">
        <v>5284</v>
      </c>
    </row>
    <row r="1064">
      <c r="A1064" s="6" t="s">
        <v>5289</v>
      </c>
    </row>
    <row r="1065">
      <c r="A1065" s="6" t="s">
        <v>5294</v>
      </c>
    </row>
    <row r="1066">
      <c r="A1066" s="6" t="s">
        <v>5299</v>
      </c>
    </row>
    <row r="1067">
      <c r="A1067" s="6" t="s">
        <v>5304</v>
      </c>
    </row>
    <row r="1068">
      <c r="A1068" s="6" t="s">
        <v>5309</v>
      </c>
    </row>
    <row r="1069">
      <c r="A1069" s="6" t="s">
        <v>5314</v>
      </c>
    </row>
    <row r="1070">
      <c r="A1070" s="6" t="s">
        <v>5319</v>
      </c>
    </row>
    <row r="1071">
      <c r="A1071" s="6" t="s">
        <v>5324</v>
      </c>
    </row>
    <row r="1072">
      <c r="A1072" s="6" t="s">
        <v>5329</v>
      </c>
    </row>
    <row r="1073">
      <c r="A1073" s="6" t="s">
        <v>5333</v>
      </c>
    </row>
    <row r="1074">
      <c r="A1074" s="6" t="s">
        <v>5338</v>
      </c>
    </row>
    <row r="1075">
      <c r="A1075" s="6" t="s">
        <v>5343</v>
      </c>
    </row>
    <row r="1076">
      <c r="A1076" s="6" t="s">
        <v>5348</v>
      </c>
    </row>
    <row r="1077">
      <c r="A1077" s="6" t="s">
        <v>5353</v>
      </c>
    </row>
    <row r="1078">
      <c r="A1078" s="6" t="s">
        <v>5358</v>
      </c>
    </row>
    <row r="1079">
      <c r="A1079" s="6" t="s">
        <v>5363</v>
      </c>
    </row>
    <row r="1080">
      <c r="A1080" s="6" t="s">
        <v>5368</v>
      </c>
    </row>
    <row r="1081">
      <c r="A1081" s="6" t="s">
        <v>5373</v>
      </c>
    </row>
    <row r="1082">
      <c r="A1082" s="6" t="s">
        <v>5378</v>
      </c>
    </row>
    <row r="1083">
      <c r="A1083" s="6" t="s">
        <v>5383</v>
      </c>
    </row>
    <row r="1084">
      <c r="A1084" s="6" t="s">
        <v>5388</v>
      </c>
    </row>
    <row r="1085">
      <c r="A1085" s="6" t="s">
        <v>5393</v>
      </c>
    </row>
    <row r="1086">
      <c r="A1086" s="6" t="s">
        <v>5398</v>
      </c>
    </row>
    <row r="1087">
      <c r="A1087" s="6" t="s">
        <v>5403</v>
      </c>
    </row>
    <row r="1088">
      <c r="A1088" s="6" t="s">
        <v>5408</v>
      </c>
    </row>
    <row r="1089">
      <c r="A1089" s="6" t="s">
        <v>5413</v>
      </c>
    </row>
    <row r="1090">
      <c r="A1090" s="6" t="s">
        <v>5418</v>
      </c>
    </row>
    <row r="1091">
      <c r="A1091" s="6" t="s">
        <v>5423</v>
      </c>
    </row>
    <row r="1092">
      <c r="A1092" s="6" t="s">
        <v>5428</v>
      </c>
    </row>
    <row r="1093">
      <c r="A1093" s="6" t="s">
        <v>5433</v>
      </c>
    </row>
    <row r="1094">
      <c r="A1094" s="6" t="s">
        <v>5438</v>
      </c>
    </row>
    <row r="1095">
      <c r="A1095" s="6" t="s">
        <v>5443</v>
      </c>
    </row>
    <row r="1096">
      <c r="A1096" s="6" t="s">
        <v>5448</v>
      </c>
    </row>
    <row r="1097">
      <c r="A1097" s="6" t="s">
        <v>5453</v>
      </c>
    </row>
    <row r="1098">
      <c r="A1098" s="6" t="s">
        <v>5458</v>
      </c>
    </row>
    <row r="1099">
      <c r="A1099" s="6" t="s">
        <v>5463</v>
      </c>
    </row>
    <row r="1100">
      <c r="A1100" s="6" t="s">
        <v>5468</v>
      </c>
    </row>
    <row r="1101">
      <c r="A1101" s="6" t="s">
        <v>5473</v>
      </c>
    </row>
    <row r="1102">
      <c r="A1102" s="6" t="s">
        <v>5478</v>
      </c>
    </row>
    <row r="1103">
      <c r="A1103" s="6" t="s">
        <v>5483</v>
      </c>
    </row>
    <row r="1104">
      <c r="A1104" s="6" t="s">
        <v>5488</v>
      </c>
    </row>
    <row r="1105">
      <c r="A1105" s="6" t="s">
        <v>5493</v>
      </c>
    </row>
    <row r="1106">
      <c r="A1106" s="6" t="s">
        <v>5498</v>
      </c>
    </row>
    <row r="1107">
      <c r="A1107" s="6" t="s">
        <v>5503</v>
      </c>
    </row>
    <row r="1108">
      <c r="A1108" s="6" t="s">
        <v>5508</v>
      </c>
    </row>
    <row r="1109">
      <c r="A1109" s="6" t="s">
        <v>5513</v>
      </c>
    </row>
    <row r="1110">
      <c r="A1110" s="6" t="s">
        <v>5518</v>
      </c>
    </row>
    <row r="1111">
      <c r="A1111" s="6" t="s">
        <v>5523</v>
      </c>
    </row>
    <row r="1112">
      <c r="A1112" s="6" t="s">
        <v>5528</v>
      </c>
    </row>
    <row r="1113">
      <c r="A1113" s="6" t="s">
        <v>5533</v>
      </c>
    </row>
    <row r="1114">
      <c r="A1114" s="6" t="s">
        <v>5538</v>
      </c>
    </row>
    <row r="1115">
      <c r="A1115" s="6" t="s">
        <v>5543</v>
      </c>
    </row>
    <row r="1116">
      <c r="A1116" s="6" t="s">
        <v>5548</v>
      </c>
    </row>
    <row r="1117">
      <c r="A1117" s="6" t="s">
        <v>5553</v>
      </c>
    </row>
    <row r="1118">
      <c r="A1118" s="6" t="s">
        <v>5558</v>
      </c>
    </row>
    <row r="1119">
      <c r="A1119" s="6" t="s">
        <v>5563</v>
      </c>
    </row>
    <row r="1120">
      <c r="A1120" s="6" t="s">
        <v>5568</v>
      </c>
    </row>
    <row r="1121">
      <c r="A1121" s="6" t="s">
        <v>5573</v>
      </c>
    </row>
    <row r="1122">
      <c r="A1122" s="6" t="s">
        <v>5578</v>
      </c>
    </row>
    <row r="1123">
      <c r="A1123" s="6" t="s">
        <v>5583</v>
      </c>
    </row>
    <row r="1124">
      <c r="A1124" s="6" t="s">
        <v>5588</v>
      </c>
    </row>
    <row r="1125">
      <c r="A1125" s="6" t="s">
        <v>5593</v>
      </c>
    </row>
    <row r="1126">
      <c r="A1126" s="6" t="s">
        <v>5598</v>
      </c>
    </row>
    <row r="1127">
      <c r="A1127" s="6" t="s">
        <v>5603</v>
      </c>
    </row>
    <row r="1128">
      <c r="A1128" s="6" t="s">
        <v>5608</v>
      </c>
    </row>
    <row r="1129">
      <c r="A1129" s="6" t="s">
        <v>5613</v>
      </c>
    </row>
    <row r="1130">
      <c r="A1130" s="6" t="s">
        <v>5618</v>
      </c>
    </row>
    <row r="1131">
      <c r="A1131" s="6" t="s">
        <v>5623</v>
      </c>
    </row>
    <row r="1132">
      <c r="A1132" s="6" t="s">
        <v>5628</v>
      </c>
    </row>
    <row r="1133">
      <c r="A1133" s="6" t="s">
        <v>5632</v>
      </c>
    </row>
    <row r="1134">
      <c r="A1134" s="6" t="s">
        <v>5637</v>
      </c>
    </row>
    <row r="1135">
      <c r="A1135" s="6" t="s">
        <v>5642</v>
      </c>
    </row>
    <row r="1136">
      <c r="A1136" s="6" t="s">
        <v>5647</v>
      </c>
    </row>
    <row r="1137">
      <c r="A1137" s="6" t="s">
        <v>5652</v>
      </c>
    </row>
    <row r="1138">
      <c r="A1138" s="6" t="s">
        <v>5657</v>
      </c>
    </row>
    <row r="1139">
      <c r="A1139" s="6" t="s">
        <v>5662</v>
      </c>
    </row>
    <row r="1140">
      <c r="A1140" s="6" t="s">
        <v>5667</v>
      </c>
    </row>
    <row r="1141">
      <c r="A1141" s="6" t="s">
        <v>5672</v>
      </c>
    </row>
    <row r="1142">
      <c r="A1142" s="6" t="s">
        <v>5677</v>
      </c>
    </row>
    <row r="1143">
      <c r="A1143" s="6" t="s">
        <v>5682</v>
      </c>
    </row>
    <row r="1144">
      <c r="A1144" s="6" t="s">
        <v>5687</v>
      </c>
    </row>
    <row r="1145">
      <c r="A1145" s="6" t="s">
        <v>5692</v>
      </c>
    </row>
    <row r="1146">
      <c r="A1146" s="6" t="s">
        <v>5697</v>
      </c>
    </row>
    <row r="1147">
      <c r="A1147" s="6" t="s">
        <v>5702</v>
      </c>
    </row>
    <row r="1148">
      <c r="A1148" s="6" t="s">
        <v>5707</v>
      </c>
    </row>
    <row r="1149">
      <c r="A1149" s="6" t="s">
        <v>5712</v>
      </c>
    </row>
    <row r="1150">
      <c r="A1150" s="6" t="s">
        <v>5717</v>
      </c>
    </row>
    <row r="1151">
      <c r="A1151" s="6" t="s">
        <v>5722</v>
      </c>
    </row>
    <row r="1152">
      <c r="A1152" s="6" t="s">
        <v>5727</v>
      </c>
    </row>
    <row r="1153">
      <c r="A1153" s="6" t="s">
        <v>5732</v>
      </c>
    </row>
    <row r="1154">
      <c r="A1154" s="6" t="s">
        <v>5737</v>
      </c>
    </row>
    <row r="1155">
      <c r="A1155" s="6" t="s">
        <v>5742</v>
      </c>
    </row>
    <row r="1156">
      <c r="A1156" s="6" t="s">
        <v>5747</v>
      </c>
    </row>
    <row r="1157">
      <c r="A1157" s="6" t="s">
        <v>5752</v>
      </c>
    </row>
    <row r="1158">
      <c r="A1158" s="6" t="s">
        <v>5757</v>
      </c>
    </row>
    <row r="1159">
      <c r="A1159" s="6" t="s">
        <v>5762</v>
      </c>
    </row>
    <row r="1160">
      <c r="A1160" s="6" t="s">
        <v>5767</v>
      </c>
    </row>
    <row r="1161">
      <c r="A1161" s="6" t="s">
        <v>5772</v>
      </c>
    </row>
    <row r="1162">
      <c r="A1162" s="6" t="s">
        <v>5777</v>
      </c>
    </row>
    <row r="1163">
      <c r="A1163" s="6" t="s">
        <v>5782</v>
      </c>
    </row>
    <row r="1164">
      <c r="A1164" s="6" t="s">
        <v>5787</v>
      </c>
    </row>
    <row r="1165">
      <c r="A1165" s="6" t="s">
        <v>5792</v>
      </c>
    </row>
    <row r="1166">
      <c r="A1166" s="6" t="s">
        <v>5797</v>
      </c>
    </row>
    <row r="1167">
      <c r="A1167" s="6" t="s">
        <v>5802</v>
      </c>
    </row>
    <row r="1168">
      <c r="A1168" s="6" t="s">
        <v>5807</v>
      </c>
    </row>
    <row r="1169">
      <c r="A1169" s="6" t="s">
        <v>5812</v>
      </c>
    </row>
    <row r="1170">
      <c r="A1170" s="6" t="s">
        <v>5817</v>
      </c>
    </row>
    <row r="1171">
      <c r="A1171" s="6" t="s">
        <v>5822</v>
      </c>
    </row>
    <row r="1172">
      <c r="A1172" s="6" t="s">
        <v>5827</v>
      </c>
    </row>
    <row r="1173">
      <c r="A1173" s="6" t="s">
        <v>5832</v>
      </c>
    </row>
    <row r="1174">
      <c r="A1174" s="6" t="s">
        <v>5837</v>
      </c>
    </row>
    <row r="1175">
      <c r="A1175" s="6" t="s">
        <v>5842</v>
      </c>
    </row>
    <row r="1176">
      <c r="A1176" s="6" t="s">
        <v>5847</v>
      </c>
    </row>
    <row r="1177">
      <c r="A1177" s="6" t="s">
        <v>5852</v>
      </c>
    </row>
    <row r="1178">
      <c r="A1178" s="6" t="s">
        <v>5857</v>
      </c>
    </row>
    <row r="1179">
      <c r="A1179" s="6" t="s">
        <v>5862</v>
      </c>
    </row>
    <row r="1180">
      <c r="A1180" s="6" t="s">
        <v>5867</v>
      </c>
    </row>
    <row r="1181">
      <c r="A1181" s="6" t="s">
        <v>5872</v>
      </c>
    </row>
    <row r="1182">
      <c r="A1182" s="6" t="s">
        <v>5877</v>
      </c>
    </row>
    <row r="1183">
      <c r="A1183" s="6" t="s">
        <v>5882</v>
      </c>
    </row>
    <row r="1184">
      <c r="A1184" s="6" t="s">
        <v>5887</v>
      </c>
    </row>
    <row r="1185">
      <c r="A1185" s="6" t="s">
        <v>5892</v>
      </c>
    </row>
    <row r="1186">
      <c r="A1186" s="6" t="s">
        <v>5897</v>
      </c>
    </row>
    <row r="1187">
      <c r="A1187" s="6" t="s">
        <v>5902</v>
      </c>
    </row>
    <row r="1188">
      <c r="A1188" s="6" t="s">
        <v>5907</v>
      </c>
    </row>
    <row r="1189">
      <c r="A1189" s="6" t="s">
        <v>5912</v>
      </c>
    </row>
    <row r="1190">
      <c r="A1190" s="6" t="s">
        <v>5917</v>
      </c>
    </row>
    <row r="1191">
      <c r="A1191" s="6" t="s">
        <v>5922</v>
      </c>
    </row>
    <row r="1192">
      <c r="A1192" s="6" t="s">
        <v>5927</v>
      </c>
    </row>
    <row r="1193">
      <c r="A1193" s="6" t="s">
        <v>5932</v>
      </c>
    </row>
    <row r="1194">
      <c r="A1194" s="6" t="s">
        <v>5937</v>
      </c>
    </row>
    <row r="1195">
      <c r="A1195" s="6" t="s">
        <v>5942</v>
      </c>
    </row>
    <row r="1196">
      <c r="A1196" s="6" t="s">
        <v>5947</v>
      </c>
    </row>
    <row r="1197">
      <c r="A1197" s="6" t="s">
        <v>5952</v>
      </c>
    </row>
    <row r="1198">
      <c r="A1198" s="6" t="s">
        <v>5957</v>
      </c>
    </row>
    <row r="1199">
      <c r="A1199" s="6" t="s">
        <v>5962</v>
      </c>
    </row>
    <row r="1200">
      <c r="A1200" s="6" t="s">
        <v>5967</v>
      </c>
    </row>
    <row r="1201">
      <c r="A1201" s="6" t="s">
        <v>5972</v>
      </c>
    </row>
    <row r="1202">
      <c r="A1202" s="6" t="s">
        <v>5977</v>
      </c>
    </row>
    <row r="1203">
      <c r="A1203" s="6" t="s">
        <v>5982</v>
      </c>
    </row>
    <row r="1204">
      <c r="A1204" s="6" t="s">
        <v>5987</v>
      </c>
    </row>
    <row r="1205">
      <c r="A1205" s="6" t="s">
        <v>5992</v>
      </c>
    </row>
    <row r="1206">
      <c r="A1206" s="6" t="s">
        <v>5997</v>
      </c>
    </row>
    <row r="1207">
      <c r="A1207" s="6" t="s">
        <v>6002</v>
      </c>
    </row>
    <row r="1208">
      <c r="A1208" s="6" t="s">
        <v>6007</v>
      </c>
    </row>
    <row r="1209">
      <c r="A1209" s="6" t="s">
        <v>6012</v>
      </c>
    </row>
    <row r="1210">
      <c r="A1210" s="6" t="s">
        <v>6017</v>
      </c>
    </row>
    <row r="1211">
      <c r="A1211" s="6" t="s">
        <v>6022</v>
      </c>
    </row>
    <row r="1212">
      <c r="A1212" s="6" t="s">
        <v>6027</v>
      </c>
    </row>
    <row r="1213">
      <c r="A1213" s="6" t="s">
        <v>6032</v>
      </c>
    </row>
    <row r="1214">
      <c r="A1214" s="6" t="s">
        <v>6037</v>
      </c>
    </row>
    <row r="1215">
      <c r="A1215" s="6" t="s">
        <v>6042</v>
      </c>
    </row>
    <row r="1216">
      <c r="A1216" s="6" t="s">
        <v>6047</v>
      </c>
    </row>
    <row r="1217">
      <c r="A1217" s="6" t="s">
        <v>6052</v>
      </c>
    </row>
    <row r="1218">
      <c r="A1218" s="6" t="s">
        <v>6057</v>
      </c>
    </row>
    <row r="1219">
      <c r="A1219" s="6" t="s">
        <v>6062</v>
      </c>
    </row>
    <row r="1220">
      <c r="A1220" s="6" t="s">
        <v>6067</v>
      </c>
    </row>
    <row r="1221">
      <c r="A1221" s="6" t="s">
        <v>6072</v>
      </c>
    </row>
    <row r="1222">
      <c r="A1222" s="6" t="s">
        <v>6077</v>
      </c>
    </row>
    <row r="1223">
      <c r="A1223" s="6" t="s">
        <v>6082</v>
      </c>
    </row>
    <row r="1224">
      <c r="A1224" s="6" t="s">
        <v>6087</v>
      </c>
    </row>
    <row r="1225">
      <c r="A1225" s="6" t="s">
        <v>6092</v>
      </c>
    </row>
    <row r="1226">
      <c r="A1226" s="6" t="s">
        <v>6097</v>
      </c>
    </row>
    <row r="1227">
      <c r="A1227" s="6" t="s">
        <v>6102</v>
      </c>
    </row>
    <row r="1228">
      <c r="A1228" s="6" t="s">
        <v>6107</v>
      </c>
    </row>
    <row r="1229">
      <c r="A1229" s="6" t="s">
        <v>6112</v>
      </c>
    </row>
    <row r="1230">
      <c r="A1230" s="6" t="s">
        <v>6117</v>
      </c>
    </row>
    <row r="1231">
      <c r="A1231" s="6" t="s">
        <v>6122</v>
      </c>
    </row>
    <row r="1232">
      <c r="A1232" s="6" t="s">
        <v>6127</v>
      </c>
    </row>
    <row r="1233">
      <c r="A1233" s="6" t="s">
        <v>6132</v>
      </c>
    </row>
    <row r="1234">
      <c r="A1234" s="6" t="s">
        <v>6137</v>
      </c>
    </row>
    <row r="1235">
      <c r="A1235" s="6" t="s">
        <v>6142</v>
      </c>
    </row>
    <row r="1236">
      <c r="A1236" s="6" t="s">
        <v>6147</v>
      </c>
    </row>
    <row r="1237">
      <c r="A1237" s="6" t="s">
        <v>6152</v>
      </c>
    </row>
    <row r="1238">
      <c r="A1238" s="6" t="s">
        <v>6157</v>
      </c>
    </row>
    <row r="1239">
      <c r="A1239" s="6" t="s">
        <v>6162</v>
      </c>
    </row>
    <row r="1240">
      <c r="A1240" s="6" t="s">
        <v>6167</v>
      </c>
    </row>
    <row r="1241">
      <c r="A1241" s="6" t="s">
        <v>6172</v>
      </c>
    </row>
    <row r="1242">
      <c r="A1242" s="6" t="s">
        <v>6177</v>
      </c>
    </row>
    <row r="1243">
      <c r="A1243" s="6" t="s">
        <v>6182</v>
      </c>
    </row>
    <row r="1244">
      <c r="A1244" s="6" t="s">
        <v>6187</v>
      </c>
    </row>
    <row r="1245">
      <c r="A1245" s="6" t="s">
        <v>6192</v>
      </c>
    </row>
    <row r="1246">
      <c r="A1246" s="6" t="s">
        <v>6197</v>
      </c>
    </row>
    <row r="1247">
      <c r="A1247" s="6" t="s">
        <v>6202</v>
      </c>
    </row>
    <row r="1248">
      <c r="A1248" s="6" t="s">
        <v>6207</v>
      </c>
    </row>
    <row r="1249">
      <c r="A1249" s="6" t="s">
        <v>6212</v>
      </c>
    </row>
    <row r="1250">
      <c r="A1250" s="6" t="s">
        <v>6217</v>
      </c>
    </row>
    <row r="1251">
      <c r="A1251" s="6" t="s">
        <v>6222</v>
      </c>
    </row>
    <row r="1252">
      <c r="A1252" s="6" t="s">
        <v>6227</v>
      </c>
    </row>
    <row r="1253">
      <c r="A1253" s="6" t="s">
        <v>6232</v>
      </c>
    </row>
    <row r="1254">
      <c r="A1254" s="6" t="s">
        <v>6237</v>
      </c>
    </row>
    <row r="1255">
      <c r="A1255" s="6" t="s">
        <v>6242</v>
      </c>
    </row>
    <row r="1256">
      <c r="A1256" s="6" t="s">
        <v>6247</v>
      </c>
    </row>
    <row r="1257">
      <c r="A1257" s="6" t="s">
        <v>6252</v>
      </c>
    </row>
    <row r="1258">
      <c r="A1258" s="6" t="s">
        <v>6257</v>
      </c>
    </row>
    <row r="1259">
      <c r="A1259" s="6" t="s">
        <v>6262</v>
      </c>
    </row>
    <row r="1260">
      <c r="A1260" s="6" t="s">
        <v>6267</v>
      </c>
    </row>
    <row r="1261">
      <c r="A1261" s="6" t="s">
        <v>6272</v>
      </c>
    </row>
    <row r="1262">
      <c r="A1262" s="6" t="s">
        <v>6277</v>
      </c>
    </row>
    <row r="1263">
      <c r="A1263" s="6" t="s">
        <v>6282</v>
      </c>
    </row>
    <row r="1264">
      <c r="A1264" s="6" t="s">
        <v>6287</v>
      </c>
    </row>
    <row r="1265">
      <c r="A1265" s="6" t="s">
        <v>6292</v>
      </c>
    </row>
    <row r="1266">
      <c r="A1266" s="6" t="s">
        <v>6297</v>
      </c>
    </row>
    <row r="1267">
      <c r="A1267" s="6" t="s">
        <v>6302</v>
      </c>
    </row>
    <row r="1268">
      <c r="A1268" s="6" t="s">
        <v>6307</v>
      </c>
    </row>
    <row r="1269">
      <c r="A1269" s="6" t="s">
        <v>6312</v>
      </c>
    </row>
    <row r="1270">
      <c r="A1270" s="6" t="s">
        <v>6317</v>
      </c>
    </row>
    <row r="1271">
      <c r="A1271" s="6" t="s">
        <v>6322</v>
      </c>
    </row>
    <row r="1272">
      <c r="A1272" s="6" t="s">
        <v>6327</v>
      </c>
    </row>
    <row r="1273">
      <c r="A1273" s="6" t="s">
        <v>6332</v>
      </c>
    </row>
    <row r="1274">
      <c r="A1274" s="6" t="s">
        <v>6337</v>
      </c>
    </row>
    <row r="1275">
      <c r="A1275" s="6" t="s">
        <v>6342</v>
      </c>
    </row>
    <row r="1276">
      <c r="A1276" s="6" t="s">
        <v>6347</v>
      </c>
    </row>
    <row r="1277">
      <c r="A1277" s="6" t="s">
        <v>6352</v>
      </c>
    </row>
    <row r="1278">
      <c r="A1278" s="6" t="s">
        <v>6357</v>
      </c>
    </row>
    <row r="1279">
      <c r="A1279" s="6" t="s">
        <v>6362</v>
      </c>
    </row>
    <row r="1280">
      <c r="A1280" s="6" t="s">
        <v>6367</v>
      </c>
    </row>
    <row r="1281">
      <c r="A1281" s="6" t="s">
        <v>6372</v>
      </c>
    </row>
    <row r="1282">
      <c r="A1282" s="6" t="s">
        <v>6377</v>
      </c>
    </row>
    <row r="1283">
      <c r="A1283" s="6" t="s">
        <v>6382</v>
      </c>
    </row>
    <row r="1284">
      <c r="A1284" s="6" t="s">
        <v>6387</v>
      </c>
    </row>
    <row r="1285">
      <c r="A1285" s="6" t="s">
        <v>6392</v>
      </c>
    </row>
    <row r="1286">
      <c r="A1286" s="6" t="s">
        <v>6397</v>
      </c>
    </row>
    <row r="1287">
      <c r="A1287" s="6" t="s">
        <v>6402</v>
      </c>
    </row>
    <row r="1288">
      <c r="A1288" s="6" t="s">
        <v>6407</v>
      </c>
    </row>
    <row r="1289">
      <c r="A1289" s="6" t="s">
        <v>6412</v>
      </c>
    </row>
    <row r="1290">
      <c r="A1290" s="6" t="s">
        <v>6417</v>
      </c>
    </row>
    <row r="1291">
      <c r="A1291" s="6" t="s">
        <v>6422</v>
      </c>
    </row>
    <row r="1292">
      <c r="A1292" s="6" t="s">
        <v>6427</v>
      </c>
    </row>
    <row r="1293">
      <c r="A1293" s="6" t="s">
        <v>6432</v>
      </c>
    </row>
    <row r="1294">
      <c r="A1294" s="6" t="s">
        <v>6437</v>
      </c>
    </row>
    <row r="1295">
      <c r="A1295" s="6" t="s">
        <v>6442</v>
      </c>
    </row>
    <row r="1296">
      <c r="A1296" s="6" t="s">
        <v>6447</v>
      </c>
    </row>
    <row r="1297">
      <c r="A1297" s="6" t="s">
        <v>6452</v>
      </c>
    </row>
    <row r="1298">
      <c r="A1298" s="6" t="s">
        <v>6457</v>
      </c>
    </row>
    <row r="1299">
      <c r="A1299" s="6" t="s">
        <v>6462</v>
      </c>
    </row>
    <row r="1300">
      <c r="A1300" s="6" t="s">
        <v>6467</v>
      </c>
    </row>
    <row r="1301">
      <c r="A1301" s="6" t="s">
        <v>6472</v>
      </c>
    </row>
    <row r="1302">
      <c r="A1302" s="6" t="s">
        <v>6477</v>
      </c>
    </row>
    <row r="1303">
      <c r="A1303" s="6" t="s">
        <v>6482</v>
      </c>
    </row>
    <row r="1304">
      <c r="A1304" s="6" t="s">
        <v>6487</v>
      </c>
    </row>
    <row r="1305">
      <c r="A1305" s="6" t="s">
        <v>6492</v>
      </c>
    </row>
    <row r="1306">
      <c r="A1306" s="6" t="s">
        <v>6497</v>
      </c>
    </row>
    <row r="1307">
      <c r="A1307" s="6" t="s">
        <v>6502</v>
      </c>
    </row>
    <row r="1308">
      <c r="A1308" s="6" t="s">
        <v>6507</v>
      </c>
    </row>
    <row r="1309">
      <c r="A1309" s="6" t="s">
        <v>6512</v>
      </c>
    </row>
    <row r="1310">
      <c r="A1310" s="6" t="s">
        <v>6517</v>
      </c>
    </row>
    <row r="1311">
      <c r="A1311" s="6" t="s">
        <v>6522</v>
      </c>
    </row>
    <row r="1312">
      <c r="A1312" s="6" t="s">
        <v>6527</v>
      </c>
    </row>
    <row r="1313">
      <c r="A1313" s="6" t="s">
        <v>6532</v>
      </c>
    </row>
    <row r="1314">
      <c r="A1314" s="6" t="s">
        <v>6537</v>
      </c>
    </row>
    <row r="1315">
      <c r="A1315" s="6" t="s">
        <v>6542</v>
      </c>
    </row>
    <row r="1316">
      <c r="A1316" s="6" t="s">
        <v>6547</v>
      </c>
    </row>
    <row r="1317">
      <c r="A1317" s="6" t="s">
        <v>6552</v>
      </c>
    </row>
    <row r="1318">
      <c r="A1318" s="6" t="s">
        <v>6557</v>
      </c>
    </row>
    <row r="1319">
      <c r="A1319" s="6" t="s">
        <v>6562</v>
      </c>
    </row>
    <row r="1320">
      <c r="A1320" s="6" t="s">
        <v>6567</v>
      </c>
    </row>
    <row r="1321">
      <c r="A1321" s="6" t="s">
        <v>6572</v>
      </c>
    </row>
    <row r="1322">
      <c r="A1322" s="6" t="s">
        <v>6577</v>
      </c>
    </row>
    <row r="1323">
      <c r="A1323" s="6" t="s">
        <v>6582</v>
      </c>
    </row>
    <row r="1324">
      <c r="A1324" s="6" t="s">
        <v>6587</v>
      </c>
    </row>
    <row r="1325">
      <c r="A1325" s="6" t="s">
        <v>6592</v>
      </c>
    </row>
    <row r="1326">
      <c r="A1326" s="6" t="s">
        <v>6597</v>
      </c>
    </row>
    <row r="1327">
      <c r="A1327" s="6" t="s">
        <v>6602</v>
      </c>
    </row>
    <row r="1328">
      <c r="A1328" s="6" t="s">
        <v>6607</v>
      </c>
    </row>
    <row r="1329">
      <c r="A1329" s="6" t="s">
        <v>6612</v>
      </c>
    </row>
    <row r="1330">
      <c r="A1330" s="6" t="s">
        <v>6617</v>
      </c>
    </row>
    <row r="1331">
      <c r="A1331" s="6" t="s">
        <v>6622</v>
      </c>
    </row>
    <row r="1332">
      <c r="A1332" s="6" t="s">
        <v>6627</v>
      </c>
    </row>
    <row r="1333">
      <c r="A1333" s="6" t="s">
        <v>6632</v>
      </c>
    </row>
    <row r="1334">
      <c r="A1334" s="6" t="s">
        <v>6637</v>
      </c>
    </row>
    <row r="1335">
      <c r="A1335" s="6" t="s">
        <v>6642</v>
      </c>
    </row>
    <row r="1336">
      <c r="A1336" s="6" t="s">
        <v>6647</v>
      </c>
    </row>
    <row r="1337">
      <c r="A1337" s="6" t="s">
        <v>6652</v>
      </c>
    </row>
    <row r="1338">
      <c r="A1338" s="6" t="s">
        <v>6657</v>
      </c>
    </row>
    <row r="1339">
      <c r="A1339" s="6" t="s">
        <v>6662</v>
      </c>
    </row>
    <row r="1340">
      <c r="A1340" s="6" t="s">
        <v>6667</v>
      </c>
    </row>
    <row r="1341">
      <c r="A1341" s="6" t="s">
        <v>6672</v>
      </c>
    </row>
    <row r="1342">
      <c r="A1342" s="6" t="s">
        <v>6677</v>
      </c>
    </row>
    <row r="1343">
      <c r="A1343" s="6" t="s">
        <v>6682</v>
      </c>
    </row>
    <row r="1344">
      <c r="A1344" s="6" t="s">
        <v>6687</v>
      </c>
    </row>
    <row r="1345">
      <c r="A1345" s="6" t="s">
        <v>6692</v>
      </c>
    </row>
    <row r="1346">
      <c r="A1346" s="6" t="s">
        <v>6697</v>
      </c>
    </row>
    <row r="1347">
      <c r="A1347" s="6" t="s">
        <v>6702</v>
      </c>
    </row>
    <row r="1348">
      <c r="A1348" s="6" t="s">
        <v>6707</v>
      </c>
    </row>
    <row r="1349">
      <c r="A1349" s="6" t="s">
        <v>6712</v>
      </c>
    </row>
    <row r="1350">
      <c r="A1350" s="6" t="s">
        <v>6717</v>
      </c>
    </row>
    <row r="1351">
      <c r="A1351" s="6" t="s">
        <v>6722</v>
      </c>
    </row>
    <row r="1352">
      <c r="A1352" s="6" t="s">
        <v>6727</v>
      </c>
    </row>
    <row r="1353">
      <c r="A1353" s="6" t="s">
        <v>6732</v>
      </c>
    </row>
    <row r="1354">
      <c r="A1354" s="6" t="s">
        <v>6737</v>
      </c>
    </row>
    <row r="1355">
      <c r="A1355" s="6" t="s">
        <v>6742</v>
      </c>
    </row>
    <row r="1356">
      <c r="A1356" s="6" t="s">
        <v>6747</v>
      </c>
    </row>
    <row r="1357">
      <c r="A1357" s="6" t="s">
        <v>6752</v>
      </c>
    </row>
    <row r="1358">
      <c r="A1358" s="6" t="s">
        <v>6757</v>
      </c>
    </row>
    <row r="1359">
      <c r="A1359" s="6" t="s">
        <v>6762</v>
      </c>
    </row>
    <row r="1360">
      <c r="A1360" s="6" t="s">
        <v>6767</v>
      </c>
    </row>
    <row r="1361">
      <c r="A1361" s="6" t="s">
        <v>6772</v>
      </c>
    </row>
    <row r="1362">
      <c r="A1362" s="6" t="s">
        <v>6777</v>
      </c>
    </row>
    <row r="1363">
      <c r="A1363" s="6" t="s">
        <v>6782</v>
      </c>
    </row>
    <row r="1364">
      <c r="A1364" s="6" t="s">
        <v>6787</v>
      </c>
    </row>
    <row r="1365">
      <c r="A1365" s="6" t="s">
        <v>6792</v>
      </c>
    </row>
    <row r="1366">
      <c r="A1366" s="6" t="s">
        <v>6797</v>
      </c>
    </row>
    <row r="1367">
      <c r="A1367" s="6" t="s">
        <v>6802</v>
      </c>
    </row>
    <row r="1368">
      <c r="A1368" s="6" t="s">
        <v>6807</v>
      </c>
    </row>
    <row r="1369">
      <c r="A1369" s="6" t="s">
        <v>6812</v>
      </c>
    </row>
    <row r="1370">
      <c r="A1370" s="6" t="s">
        <v>6817</v>
      </c>
    </row>
    <row r="1371">
      <c r="A1371" s="6" t="s">
        <v>6822</v>
      </c>
    </row>
    <row r="1372">
      <c r="A1372" s="6" t="s">
        <v>6827</v>
      </c>
    </row>
    <row r="1373">
      <c r="A1373" s="6" t="s">
        <v>6832</v>
      </c>
    </row>
    <row r="1374">
      <c r="A1374" s="6" t="s">
        <v>6837</v>
      </c>
    </row>
    <row r="1375">
      <c r="A1375" s="6" t="s">
        <v>6842</v>
      </c>
    </row>
    <row r="1376">
      <c r="A1376" s="6" t="s">
        <v>6847</v>
      </c>
    </row>
    <row r="1377">
      <c r="A1377" s="6" t="s">
        <v>6852</v>
      </c>
    </row>
    <row r="1378">
      <c r="A1378" s="6" t="s">
        <v>6857</v>
      </c>
    </row>
    <row r="1379">
      <c r="A1379" s="6" t="s">
        <v>6862</v>
      </c>
    </row>
    <row r="1380">
      <c r="A1380" s="6" t="s">
        <v>6867</v>
      </c>
    </row>
    <row r="1381">
      <c r="A1381" s="6" t="s">
        <v>6872</v>
      </c>
    </row>
    <row r="1382">
      <c r="A1382" s="6" t="s">
        <v>6877</v>
      </c>
    </row>
    <row r="1383">
      <c r="A1383" s="6" t="s">
        <v>6882</v>
      </c>
    </row>
    <row r="1384">
      <c r="A1384" s="6" t="s">
        <v>6887</v>
      </c>
    </row>
    <row r="1385">
      <c r="A1385" s="6" t="s">
        <v>6892</v>
      </c>
    </row>
    <row r="1386">
      <c r="A1386" s="6" t="s">
        <v>6897</v>
      </c>
    </row>
    <row r="1387">
      <c r="A1387" s="6" t="s">
        <v>6902</v>
      </c>
    </row>
    <row r="1388">
      <c r="A1388" s="6" t="s">
        <v>6907</v>
      </c>
    </row>
    <row r="1389">
      <c r="A1389" s="6" t="s">
        <v>6912</v>
      </c>
    </row>
    <row r="1390">
      <c r="A1390" s="6" t="s">
        <v>6917</v>
      </c>
    </row>
    <row r="1391">
      <c r="A1391" s="6" t="s">
        <v>6922</v>
      </c>
    </row>
    <row r="1392">
      <c r="A1392" s="6" t="s">
        <v>6927</v>
      </c>
    </row>
    <row r="1393">
      <c r="A1393" s="6" t="s">
        <v>6932</v>
      </c>
    </row>
    <row r="1394">
      <c r="A1394" s="6" t="s">
        <v>6937</v>
      </c>
    </row>
    <row r="1395">
      <c r="A1395" s="6" t="s">
        <v>6942</v>
      </c>
    </row>
    <row r="1396">
      <c r="A1396" s="6" t="s">
        <v>6947</v>
      </c>
    </row>
    <row r="1397">
      <c r="A1397" s="6" t="s">
        <v>6952</v>
      </c>
    </row>
    <row r="1398">
      <c r="A1398" s="6" t="s">
        <v>6957</v>
      </c>
    </row>
    <row r="1399">
      <c r="A1399" s="6" t="s">
        <v>6962</v>
      </c>
    </row>
    <row r="1400">
      <c r="A1400" s="6" t="s">
        <v>6967</v>
      </c>
    </row>
    <row r="1401">
      <c r="A1401" s="6" t="s">
        <v>6972</v>
      </c>
    </row>
    <row r="1402">
      <c r="A1402" s="6" t="s">
        <v>6977</v>
      </c>
    </row>
    <row r="1403">
      <c r="A1403" s="6" t="s">
        <v>6982</v>
      </c>
    </row>
    <row r="1404">
      <c r="A1404" s="6" t="s">
        <v>6987</v>
      </c>
    </row>
    <row r="1405">
      <c r="A1405" s="6" t="s">
        <v>6992</v>
      </c>
    </row>
    <row r="1406">
      <c r="A1406" s="6" t="s">
        <v>6997</v>
      </c>
    </row>
    <row r="1407">
      <c r="A1407" s="6" t="s">
        <v>7002</v>
      </c>
    </row>
    <row r="1408">
      <c r="A1408" s="6" t="s">
        <v>7007</v>
      </c>
    </row>
    <row r="1409">
      <c r="A1409" s="6" t="s">
        <v>7012</v>
      </c>
    </row>
    <row r="1410">
      <c r="A1410" s="6" t="s">
        <v>7017</v>
      </c>
    </row>
    <row r="1411">
      <c r="A1411" s="6" t="s">
        <v>7022</v>
      </c>
    </row>
    <row r="1412">
      <c r="A1412" s="6" t="s">
        <v>7027</v>
      </c>
    </row>
    <row r="1413">
      <c r="A1413" s="6" t="s">
        <v>7032</v>
      </c>
    </row>
    <row r="1414">
      <c r="A1414" s="6" t="s">
        <v>7037</v>
      </c>
    </row>
    <row r="1415">
      <c r="A1415" s="6" t="s">
        <v>7042</v>
      </c>
    </row>
    <row r="1416">
      <c r="A1416" s="6" t="s">
        <v>7046</v>
      </c>
    </row>
    <row r="1417">
      <c r="A1417" s="6" t="s">
        <v>7051</v>
      </c>
    </row>
    <row r="1418">
      <c r="A1418" s="6" t="s">
        <v>7056</v>
      </c>
    </row>
    <row r="1419">
      <c r="A1419" s="6" t="s">
        <v>7061</v>
      </c>
    </row>
    <row r="1420">
      <c r="A1420" s="6" t="s">
        <v>7066</v>
      </c>
    </row>
    <row r="1421">
      <c r="A1421" s="6" t="s">
        <v>7071</v>
      </c>
    </row>
    <row r="1422">
      <c r="A1422" s="6" t="s">
        <v>7076</v>
      </c>
    </row>
    <row r="1423">
      <c r="A1423" s="6" t="s">
        <v>7081</v>
      </c>
    </row>
    <row r="1424">
      <c r="A1424" s="6" t="s">
        <v>7086</v>
      </c>
    </row>
    <row r="1425">
      <c r="A1425" s="6" t="s">
        <v>7091</v>
      </c>
    </row>
    <row r="1426">
      <c r="A1426" s="6" t="s">
        <v>7096</v>
      </c>
    </row>
    <row r="1427">
      <c r="A1427" s="6" t="s">
        <v>7101</v>
      </c>
    </row>
    <row r="1428">
      <c r="A1428" s="6" t="s">
        <v>7106</v>
      </c>
    </row>
    <row r="1429">
      <c r="A1429" s="6" t="s">
        <v>7111</v>
      </c>
    </row>
    <row r="1430">
      <c r="A1430" s="6" t="s">
        <v>7116</v>
      </c>
    </row>
    <row r="1431">
      <c r="A1431" s="6" t="s">
        <v>7121</v>
      </c>
    </row>
    <row r="1432">
      <c r="A1432" s="6" t="s">
        <v>7126</v>
      </c>
    </row>
    <row r="1433">
      <c r="A1433" s="6" t="s">
        <v>7131</v>
      </c>
    </row>
    <row r="1434">
      <c r="A1434" s="6" t="s">
        <v>7136</v>
      </c>
    </row>
    <row r="1435">
      <c r="A1435" s="6" t="s">
        <v>7141</v>
      </c>
    </row>
    <row r="1436">
      <c r="A1436" s="6" t="s">
        <v>7146</v>
      </c>
    </row>
    <row r="1437">
      <c r="A1437" s="6" t="s">
        <v>7151</v>
      </c>
    </row>
    <row r="1438">
      <c r="A1438" s="6" t="s">
        <v>7156</v>
      </c>
    </row>
    <row r="1439">
      <c r="A1439" s="6" t="s">
        <v>7161</v>
      </c>
    </row>
    <row r="1440">
      <c r="A1440" s="6" t="s">
        <v>7166</v>
      </c>
    </row>
    <row r="1441">
      <c r="A1441" s="6" t="s">
        <v>7171</v>
      </c>
    </row>
    <row r="1442">
      <c r="A1442" s="6" t="s">
        <v>7176</v>
      </c>
    </row>
    <row r="1443">
      <c r="A1443" s="6" t="s">
        <v>7181</v>
      </c>
    </row>
    <row r="1444">
      <c r="A1444" s="6" t="s">
        <v>7186</v>
      </c>
    </row>
    <row r="1445">
      <c r="A1445" s="6" t="s">
        <v>7191</v>
      </c>
    </row>
    <row r="1446">
      <c r="A1446" s="6" t="s">
        <v>7196</v>
      </c>
    </row>
    <row r="1447">
      <c r="A1447" s="6" t="s">
        <v>7201</v>
      </c>
    </row>
    <row r="1448">
      <c r="A1448" s="6" t="s">
        <v>7206</v>
      </c>
    </row>
    <row r="1449">
      <c r="A1449" s="6" t="s">
        <v>7211</v>
      </c>
    </row>
    <row r="1450">
      <c r="A1450" s="6" t="s">
        <v>7216</v>
      </c>
    </row>
    <row r="1451">
      <c r="A1451" s="6" t="s">
        <v>7221</v>
      </c>
    </row>
    <row r="1452">
      <c r="A1452" s="6" t="s">
        <v>7226</v>
      </c>
    </row>
    <row r="1453">
      <c r="A1453" s="6" t="s">
        <v>7231</v>
      </c>
    </row>
    <row r="1454">
      <c r="A1454" s="6" t="s">
        <v>7236</v>
      </c>
    </row>
    <row r="1455">
      <c r="A1455" s="6" t="s">
        <v>7241</v>
      </c>
    </row>
    <row r="1456">
      <c r="A1456" s="6" t="s">
        <v>7246</v>
      </c>
    </row>
    <row r="1457">
      <c r="A1457" s="6" t="s">
        <v>7251</v>
      </c>
    </row>
    <row r="1458">
      <c r="A1458" s="6" t="s">
        <v>7256</v>
      </c>
    </row>
    <row r="1459">
      <c r="A1459" s="6" t="s">
        <v>7261</v>
      </c>
    </row>
    <row r="1460">
      <c r="A1460" s="6" t="s">
        <v>7266</v>
      </c>
    </row>
    <row r="1461">
      <c r="A1461" s="6" t="s">
        <v>7271</v>
      </c>
    </row>
    <row r="1462">
      <c r="A1462" s="6" t="s">
        <v>7276</v>
      </c>
    </row>
    <row r="1463">
      <c r="A1463" s="6" t="s">
        <v>7281</v>
      </c>
    </row>
    <row r="1464">
      <c r="A1464" s="6" t="s">
        <v>7286</v>
      </c>
    </row>
    <row r="1465">
      <c r="A1465" s="6" t="s">
        <v>7291</v>
      </c>
    </row>
    <row r="1466">
      <c r="A1466" s="6" t="s">
        <v>7296</v>
      </c>
    </row>
    <row r="1467">
      <c r="A1467" s="6" t="s">
        <v>7301</v>
      </c>
    </row>
    <row r="1468">
      <c r="A1468" s="6" t="s">
        <v>7306</v>
      </c>
    </row>
    <row r="1469">
      <c r="A1469" s="6" t="s">
        <v>7311</v>
      </c>
    </row>
    <row r="1470">
      <c r="A1470" s="6" t="s">
        <v>7316</v>
      </c>
    </row>
    <row r="1471">
      <c r="A1471" s="6" t="s">
        <v>7321</v>
      </c>
    </row>
    <row r="1472">
      <c r="A1472" s="6" t="s">
        <v>7326</v>
      </c>
    </row>
    <row r="1473">
      <c r="A1473" s="6" t="s">
        <v>7331</v>
      </c>
    </row>
    <row r="1474">
      <c r="A1474" s="6" t="s">
        <v>7336</v>
      </c>
    </row>
    <row r="1475">
      <c r="A1475" s="6" t="s">
        <v>7341</v>
      </c>
    </row>
    <row r="1476">
      <c r="A1476" s="6" t="s">
        <v>7346</v>
      </c>
    </row>
    <row r="1477">
      <c r="A1477" s="6" t="s">
        <v>7351</v>
      </c>
    </row>
    <row r="1478">
      <c r="A1478" s="6" t="s">
        <v>7356</v>
      </c>
    </row>
    <row r="1479">
      <c r="A1479" s="6" t="s">
        <v>7361</v>
      </c>
    </row>
    <row r="1480">
      <c r="A1480" s="6" t="s">
        <v>7366</v>
      </c>
    </row>
    <row r="1481">
      <c r="A1481" s="6" t="s">
        <v>7371</v>
      </c>
    </row>
    <row r="1482">
      <c r="A1482" s="6" t="s">
        <v>7376</v>
      </c>
    </row>
    <row r="1483">
      <c r="A1483" s="6" t="s">
        <v>7381</v>
      </c>
    </row>
    <row r="1484">
      <c r="A1484" s="6" t="s">
        <v>7386</v>
      </c>
    </row>
    <row r="1485">
      <c r="A1485" s="6" t="s">
        <v>7391</v>
      </c>
    </row>
    <row r="1486">
      <c r="A1486" s="6" t="s">
        <v>7396</v>
      </c>
    </row>
    <row r="1487">
      <c r="A1487" s="6" t="s">
        <v>7401</v>
      </c>
    </row>
    <row r="1488">
      <c r="A1488" s="6" t="s">
        <v>7406</v>
      </c>
    </row>
    <row r="1489">
      <c r="A1489" s="6" t="s">
        <v>7411</v>
      </c>
    </row>
    <row r="1490">
      <c r="A1490" s="6" t="s">
        <v>7416</v>
      </c>
    </row>
    <row r="1491">
      <c r="A1491" s="6" t="s">
        <v>7421</v>
      </c>
    </row>
    <row r="1492">
      <c r="A1492" s="6" t="s">
        <v>7426</v>
      </c>
    </row>
    <row r="1493">
      <c r="A1493" s="6" t="s">
        <v>7431</v>
      </c>
    </row>
    <row r="1494">
      <c r="A1494" s="6" t="s">
        <v>7436</v>
      </c>
    </row>
    <row r="1495">
      <c r="A1495" s="6" t="s">
        <v>7441</v>
      </c>
    </row>
    <row r="1496">
      <c r="A1496" s="6" t="s">
        <v>7446</v>
      </c>
    </row>
    <row r="1497">
      <c r="A1497" s="6" t="s">
        <v>7451</v>
      </c>
    </row>
    <row r="1498">
      <c r="A1498" s="6" t="s">
        <v>7456</v>
      </c>
    </row>
    <row r="1499">
      <c r="A1499" s="6" t="s">
        <v>7461</v>
      </c>
    </row>
    <row r="1500">
      <c r="A1500" s="6" t="s">
        <v>7466</v>
      </c>
    </row>
    <row r="1501">
      <c r="A1501" s="6" t="s">
        <v>7471</v>
      </c>
    </row>
    <row r="1502">
      <c r="A1502" s="6" t="s">
        <v>7476</v>
      </c>
    </row>
    <row r="1503">
      <c r="A1503" s="6" t="s">
        <v>7481</v>
      </c>
    </row>
    <row r="1504">
      <c r="A1504" s="6" t="s">
        <v>7486</v>
      </c>
    </row>
    <row r="1505">
      <c r="A1505" s="6" t="s">
        <v>7491</v>
      </c>
    </row>
    <row r="1506">
      <c r="A1506" s="6" t="s">
        <v>7496</v>
      </c>
    </row>
    <row r="1507">
      <c r="A1507" s="6" t="s">
        <v>7501</v>
      </c>
    </row>
    <row r="1508">
      <c r="A1508" s="6" t="s">
        <v>7506</v>
      </c>
    </row>
    <row r="1509">
      <c r="A1509" s="6" t="s">
        <v>7511</v>
      </c>
    </row>
    <row r="1510">
      <c r="A1510" s="6" t="s">
        <v>7516</v>
      </c>
    </row>
    <row r="1511">
      <c r="A1511" s="6" t="s">
        <v>7521</v>
      </c>
    </row>
    <row r="1512">
      <c r="A1512" s="6" t="s">
        <v>7526</v>
      </c>
    </row>
    <row r="1513">
      <c r="A1513" s="6" t="s">
        <v>7531</v>
      </c>
    </row>
    <row r="1514">
      <c r="A1514" s="6" t="s">
        <v>7536</v>
      </c>
    </row>
    <row r="1515">
      <c r="A1515" s="6" t="s">
        <v>7541</v>
      </c>
    </row>
    <row r="1516">
      <c r="A1516" s="6" t="s">
        <v>7546</v>
      </c>
    </row>
    <row r="1517">
      <c r="A1517" s="6" t="s">
        <v>7551</v>
      </c>
    </row>
    <row r="1518">
      <c r="A1518" s="6" t="s">
        <v>7556</v>
      </c>
    </row>
    <row r="1519">
      <c r="A1519" s="6" t="s">
        <v>7561</v>
      </c>
    </row>
    <row r="1520">
      <c r="A1520" s="6" t="s">
        <v>7566</v>
      </c>
    </row>
    <row r="1521">
      <c r="A1521" s="6" t="s">
        <v>7571</v>
      </c>
    </row>
    <row r="1522">
      <c r="A1522" s="6" t="s">
        <v>7575</v>
      </c>
    </row>
    <row r="1523">
      <c r="A1523" s="6" t="s">
        <v>7580</v>
      </c>
    </row>
    <row r="1524">
      <c r="A1524" s="6" t="s">
        <v>7585</v>
      </c>
    </row>
    <row r="1525">
      <c r="A1525" s="6" t="s">
        <v>7590</v>
      </c>
    </row>
    <row r="1526">
      <c r="A1526" s="6" t="s">
        <v>7594</v>
      </c>
    </row>
    <row r="1527">
      <c r="A1527" s="6" t="s">
        <v>7598</v>
      </c>
    </row>
    <row r="1528">
      <c r="A1528" s="6" t="s">
        <v>7602</v>
      </c>
    </row>
    <row r="1529">
      <c r="A1529" s="6" t="s">
        <v>7606</v>
      </c>
    </row>
    <row r="1530">
      <c r="A1530" s="6" t="s">
        <v>7610</v>
      </c>
    </row>
    <row r="1531">
      <c r="A1531" s="6" t="s">
        <v>7614</v>
      </c>
    </row>
    <row r="1532">
      <c r="A1532" s="6" t="s">
        <v>7618</v>
      </c>
    </row>
    <row r="1533">
      <c r="A1533" s="6" t="s">
        <v>7622</v>
      </c>
    </row>
    <row r="1534">
      <c r="A1534" s="6" t="s">
        <v>7626</v>
      </c>
    </row>
    <row r="1535">
      <c r="A1535" s="6" t="s">
        <v>7630</v>
      </c>
    </row>
    <row r="1536">
      <c r="A1536" s="6" t="s">
        <v>7634</v>
      </c>
    </row>
    <row r="1537">
      <c r="A1537" s="6" t="s">
        <v>7639</v>
      </c>
    </row>
    <row r="1538">
      <c r="A1538" s="6" t="s">
        <v>7643</v>
      </c>
    </row>
    <row r="1539">
      <c r="A1539" s="6" t="s">
        <v>7647</v>
      </c>
    </row>
    <row r="1540">
      <c r="A1540" s="6" t="s">
        <v>7651</v>
      </c>
    </row>
    <row r="1541">
      <c r="A1541" s="6" t="s">
        <v>7655</v>
      </c>
    </row>
    <row r="1542">
      <c r="A1542" s="6" t="s">
        <v>7659</v>
      </c>
    </row>
    <row r="1543">
      <c r="A1543" s="6" t="s">
        <v>7663</v>
      </c>
    </row>
    <row r="1544">
      <c r="A1544" s="6" t="s">
        <v>7667</v>
      </c>
    </row>
    <row r="1545">
      <c r="A1545" s="6" t="s">
        <v>7671</v>
      </c>
    </row>
    <row r="1546">
      <c r="A1546" s="6" t="s">
        <v>7675</v>
      </c>
    </row>
    <row r="1547">
      <c r="A1547" s="6" t="s">
        <v>7679</v>
      </c>
    </row>
    <row r="1548">
      <c r="A1548" s="6" t="s">
        <v>7683</v>
      </c>
    </row>
    <row r="1549">
      <c r="A1549" s="6" t="s">
        <v>7687</v>
      </c>
    </row>
    <row r="1550">
      <c r="A1550" s="6" t="s">
        <v>7691</v>
      </c>
    </row>
    <row r="1551">
      <c r="A1551" s="6" t="s">
        <v>7695</v>
      </c>
    </row>
    <row r="1552">
      <c r="A1552" s="6" t="s">
        <v>7699</v>
      </c>
    </row>
    <row r="1553">
      <c r="A1553" s="6" t="s">
        <v>7703</v>
      </c>
    </row>
    <row r="1554">
      <c r="A1554" s="6" t="s">
        <v>7707</v>
      </c>
    </row>
    <row r="1555">
      <c r="A1555" s="6" t="s">
        <v>7711</v>
      </c>
    </row>
    <row r="1556">
      <c r="A1556" s="6" t="s">
        <v>7715</v>
      </c>
    </row>
    <row r="1557">
      <c r="A1557" s="6" t="s">
        <v>7719</v>
      </c>
    </row>
    <row r="1558">
      <c r="A1558" s="6" t="s">
        <v>7723</v>
      </c>
    </row>
    <row r="1559">
      <c r="A1559" s="6" t="s">
        <v>7727</v>
      </c>
    </row>
    <row r="1560">
      <c r="A1560" s="6" t="s">
        <v>7731</v>
      </c>
    </row>
    <row r="1561">
      <c r="A1561" s="6" t="s">
        <v>7735</v>
      </c>
    </row>
    <row r="1562">
      <c r="A1562" s="6" t="s">
        <v>7739</v>
      </c>
    </row>
    <row r="1563">
      <c r="A1563" s="6" t="s">
        <v>7743</v>
      </c>
    </row>
    <row r="1564">
      <c r="A1564" s="6" t="s">
        <v>7747</v>
      </c>
    </row>
    <row r="1565">
      <c r="A1565" s="6" t="s">
        <v>7751</v>
      </c>
    </row>
    <row r="1566">
      <c r="A1566" s="6" t="s">
        <v>7755</v>
      </c>
    </row>
    <row r="1567">
      <c r="A1567" s="6" t="s">
        <v>7759</v>
      </c>
    </row>
    <row r="1568">
      <c r="A1568" s="6" t="s">
        <v>7763</v>
      </c>
    </row>
    <row r="1569">
      <c r="A1569" s="6" t="s">
        <v>7767</v>
      </c>
    </row>
    <row r="1570">
      <c r="A1570" s="6" t="s">
        <v>7771</v>
      </c>
    </row>
    <row r="1571">
      <c r="A1571" s="6" t="s">
        <v>7775</v>
      </c>
    </row>
    <row r="1572">
      <c r="A1572" s="6" t="s">
        <v>7779</v>
      </c>
    </row>
    <row r="1573">
      <c r="A1573" s="6" t="s">
        <v>7783</v>
      </c>
    </row>
    <row r="1574">
      <c r="A1574" s="6" t="s">
        <v>7787</v>
      </c>
    </row>
    <row r="1575">
      <c r="A1575" s="6" t="s">
        <v>7791</v>
      </c>
    </row>
    <row r="1576">
      <c r="A1576" s="6" t="s">
        <v>7795</v>
      </c>
    </row>
    <row r="1577">
      <c r="A1577" s="6" t="s">
        <v>7799</v>
      </c>
    </row>
    <row r="1578">
      <c r="A1578" s="6" t="s">
        <v>7803</v>
      </c>
    </row>
    <row r="1579">
      <c r="A1579" s="6" t="s">
        <v>7807</v>
      </c>
    </row>
    <row r="1580">
      <c r="A1580" s="6" t="s">
        <v>7811</v>
      </c>
    </row>
    <row r="1581">
      <c r="A1581" s="6" t="s">
        <v>7815</v>
      </c>
    </row>
    <row r="1582">
      <c r="A1582" s="6" t="s">
        <v>7819</v>
      </c>
    </row>
    <row r="1583">
      <c r="A1583" s="6" t="s">
        <v>7823</v>
      </c>
    </row>
    <row r="1584">
      <c r="A1584" s="6" t="s">
        <v>7827</v>
      </c>
    </row>
    <row r="1585">
      <c r="A1585" s="6" t="s">
        <v>7831</v>
      </c>
    </row>
    <row r="1586">
      <c r="A1586" s="6" t="s">
        <v>7835</v>
      </c>
    </row>
    <row r="1587">
      <c r="A1587" s="6" t="s">
        <v>7839</v>
      </c>
    </row>
    <row r="1588">
      <c r="A1588" s="6" t="s">
        <v>7843</v>
      </c>
    </row>
    <row r="1589">
      <c r="A1589" s="6" t="s">
        <v>7847</v>
      </c>
    </row>
    <row r="1590">
      <c r="A1590" s="6" t="s">
        <v>7851</v>
      </c>
    </row>
    <row r="1591">
      <c r="A1591" s="6" t="s">
        <v>7855</v>
      </c>
    </row>
    <row r="1592">
      <c r="A1592" s="6" t="s">
        <v>7859</v>
      </c>
    </row>
    <row r="1593">
      <c r="A1593" s="6" t="s">
        <v>7863</v>
      </c>
    </row>
    <row r="1594">
      <c r="A1594" s="6" t="s">
        <v>7867</v>
      </c>
    </row>
    <row r="1595">
      <c r="A1595" s="6" t="s">
        <v>7871</v>
      </c>
    </row>
    <row r="1596">
      <c r="A1596" s="6" t="s">
        <v>7875</v>
      </c>
    </row>
    <row r="1597">
      <c r="A1597" s="6" t="s">
        <v>7879</v>
      </c>
    </row>
    <row r="1598">
      <c r="A1598" s="6" t="s">
        <v>7883</v>
      </c>
    </row>
    <row r="1599">
      <c r="A1599" s="6" t="s">
        <v>7887</v>
      </c>
    </row>
    <row r="1600">
      <c r="A1600" s="6" t="s">
        <v>7892</v>
      </c>
    </row>
    <row r="1601">
      <c r="A1601" s="6" t="s">
        <v>7897</v>
      </c>
    </row>
    <row r="1602">
      <c r="A1602" s="6" t="s">
        <v>7902</v>
      </c>
    </row>
    <row r="1603">
      <c r="A1603" s="6" t="s">
        <v>7907</v>
      </c>
    </row>
    <row r="1604">
      <c r="A1604" s="6" t="s">
        <v>7912</v>
      </c>
    </row>
    <row r="1605">
      <c r="A1605" s="6" t="s">
        <v>7917</v>
      </c>
    </row>
    <row r="1606">
      <c r="A1606" s="6" t="s">
        <v>7922</v>
      </c>
    </row>
    <row r="1607">
      <c r="A1607" s="6" t="s">
        <v>7927</v>
      </c>
    </row>
    <row r="1608">
      <c r="A1608" s="6" t="s">
        <v>7932</v>
      </c>
    </row>
    <row r="1609">
      <c r="A1609" s="6" t="s">
        <v>7937</v>
      </c>
    </row>
    <row r="1610">
      <c r="A1610" s="6" t="s">
        <v>7942</v>
      </c>
    </row>
    <row r="1611">
      <c r="A1611" s="6" t="s">
        <v>7947</v>
      </c>
    </row>
    <row r="1612">
      <c r="A1612" s="6" t="s">
        <v>7952</v>
      </c>
    </row>
    <row r="1613">
      <c r="A1613" s="6" t="s">
        <v>7957</v>
      </c>
    </row>
    <row r="1614">
      <c r="A1614" s="6" t="s">
        <v>7962</v>
      </c>
    </row>
    <row r="1615">
      <c r="A1615" s="6" t="s">
        <v>7967</v>
      </c>
    </row>
    <row r="1616">
      <c r="A1616" s="6" t="s">
        <v>7972</v>
      </c>
    </row>
    <row r="1617">
      <c r="A1617" s="6" t="s">
        <v>7977</v>
      </c>
    </row>
    <row r="1618">
      <c r="A1618" s="6" t="s">
        <v>7982</v>
      </c>
    </row>
    <row r="1619">
      <c r="A1619" s="6" t="s">
        <v>7987</v>
      </c>
    </row>
    <row r="1620">
      <c r="A1620" s="6" t="s">
        <v>7992</v>
      </c>
    </row>
    <row r="1621">
      <c r="A1621" s="6" t="s">
        <v>7997</v>
      </c>
    </row>
    <row r="1622">
      <c r="A1622" s="6" t="s">
        <v>8002</v>
      </c>
    </row>
    <row r="1623">
      <c r="A1623" s="6" t="s">
        <v>8007</v>
      </c>
    </row>
    <row r="1624">
      <c r="A1624" s="6" t="s">
        <v>8012</v>
      </c>
    </row>
    <row r="1625">
      <c r="A1625" s="6" t="s">
        <v>8017</v>
      </c>
    </row>
    <row r="1626">
      <c r="A1626" s="6" t="s">
        <v>8022</v>
      </c>
    </row>
    <row r="1627">
      <c r="A1627" s="6" t="s">
        <v>8027</v>
      </c>
    </row>
    <row r="1628">
      <c r="A1628" s="6" t="s">
        <v>8032</v>
      </c>
    </row>
    <row r="1629">
      <c r="A1629" s="6" t="s">
        <v>8037</v>
      </c>
    </row>
    <row r="1630">
      <c r="A1630" s="6" t="s">
        <v>8042</v>
      </c>
    </row>
    <row r="1631">
      <c r="A1631" s="6" t="s">
        <v>8047</v>
      </c>
    </row>
    <row r="1632">
      <c r="A1632" s="6" t="s">
        <v>8052</v>
      </c>
    </row>
    <row r="1633">
      <c r="A1633" s="6" t="s">
        <v>8057</v>
      </c>
    </row>
    <row r="1634">
      <c r="A1634" s="6" t="s">
        <v>8062</v>
      </c>
    </row>
    <row r="1635">
      <c r="A1635" s="6" t="s">
        <v>8067</v>
      </c>
    </row>
    <row r="1636">
      <c r="A1636" s="6" t="s">
        <v>8072</v>
      </c>
    </row>
    <row r="1637">
      <c r="A1637" s="6" t="s">
        <v>8077</v>
      </c>
    </row>
    <row r="1638">
      <c r="A1638" s="6" t="s">
        <v>8082</v>
      </c>
    </row>
    <row r="1639">
      <c r="A1639" s="6" t="s">
        <v>8087</v>
      </c>
    </row>
    <row r="1640">
      <c r="A1640" s="6" t="s">
        <v>8092</v>
      </c>
    </row>
    <row r="1641">
      <c r="A1641" s="6" t="s">
        <v>8097</v>
      </c>
    </row>
    <row r="1642">
      <c r="A1642" s="6" t="s">
        <v>8102</v>
      </c>
    </row>
    <row r="1643">
      <c r="A1643" s="6" t="s">
        <v>8107</v>
      </c>
    </row>
    <row r="1644">
      <c r="A1644" s="6" t="s">
        <v>8112</v>
      </c>
    </row>
    <row r="1645">
      <c r="A1645" s="6" t="s">
        <v>8117</v>
      </c>
    </row>
    <row r="1646">
      <c r="A1646" s="6" t="s">
        <v>8122</v>
      </c>
    </row>
    <row r="1647">
      <c r="A1647" s="6" t="s">
        <v>8127</v>
      </c>
    </row>
    <row r="1648">
      <c r="A1648" s="6" t="s">
        <v>8132</v>
      </c>
    </row>
    <row r="1649">
      <c r="A1649" s="6" t="s">
        <v>8137</v>
      </c>
    </row>
    <row r="1650">
      <c r="A1650" s="6" t="s">
        <v>8142</v>
      </c>
    </row>
    <row r="1651">
      <c r="A1651" s="6" t="s">
        <v>8147</v>
      </c>
    </row>
    <row r="1652">
      <c r="A1652" s="6" t="s">
        <v>8152</v>
      </c>
    </row>
    <row r="1653">
      <c r="A1653" s="6" t="s">
        <v>8157</v>
      </c>
    </row>
    <row r="1654">
      <c r="A1654" s="6" t="s">
        <v>8162</v>
      </c>
    </row>
    <row r="1655">
      <c r="A1655" s="6" t="s">
        <v>8167</v>
      </c>
    </row>
    <row r="1656">
      <c r="A1656" s="6" t="s">
        <v>8172</v>
      </c>
    </row>
    <row r="1657">
      <c r="A1657" s="6" t="s">
        <v>8177</v>
      </c>
    </row>
    <row r="1658">
      <c r="A1658" s="6" t="s">
        <v>8182</v>
      </c>
    </row>
    <row r="1659">
      <c r="A1659" s="6" t="s">
        <v>8187</v>
      </c>
    </row>
    <row r="1660">
      <c r="A1660" s="6" t="s">
        <v>8192</v>
      </c>
    </row>
    <row r="1661">
      <c r="A1661" s="6" t="s">
        <v>8197</v>
      </c>
    </row>
    <row r="1662">
      <c r="A1662" s="6" t="s">
        <v>8202</v>
      </c>
    </row>
    <row r="1663">
      <c r="A1663" s="6" t="s">
        <v>8207</v>
      </c>
    </row>
    <row r="1664">
      <c r="A1664" s="6" t="s">
        <v>8212</v>
      </c>
    </row>
    <row r="1665">
      <c r="A1665" s="6" t="s">
        <v>8217</v>
      </c>
    </row>
    <row r="1666">
      <c r="A1666" s="6" t="s">
        <v>8222</v>
      </c>
    </row>
    <row r="1667">
      <c r="A1667" s="6" t="s">
        <v>8227</v>
      </c>
    </row>
    <row r="1668">
      <c r="A1668" s="6" t="s">
        <v>8232</v>
      </c>
    </row>
    <row r="1669">
      <c r="A1669" s="6" t="s">
        <v>8237</v>
      </c>
    </row>
    <row r="1670">
      <c r="A1670" s="6" t="s">
        <v>8242</v>
      </c>
    </row>
    <row r="1671">
      <c r="A1671" s="6" t="s">
        <v>8247</v>
      </c>
    </row>
    <row r="1672">
      <c r="A1672" s="6" t="s">
        <v>8252</v>
      </c>
    </row>
    <row r="1673">
      <c r="A1673" s="6" t="s">
        <v>8257</v>
      </c>
    </row>
    <row r="1674">
      <c r="A1674" s="6" t="s">
        <v>8262</v>
      </c>
    </row>
    <row r="1675">
      <c r="A1675" s="6" t="s">
        <v>8267</v>
      </c>
    </row>
    <row r="1676">
      <c r="A1676" s="6" t="s">
        <v>8272</v>
      </c>
    </row>
    <row r="1677">
      <c r="A1677" s="6" t="s">
        <v>8277</v>
      </c>
    </row>
    <row r="1678">
      <c r="A1678" s="6" t="s">
        <v>8282</v>
      </c>
    </row>
    <row r="1679">
      <c r="A1679" s="6" t="s">
        <v>8287</v>
      </c>
    </row>
    <row r="1680">
      <c r="A1680" s="6" t="s">
        <v>8292</v>
      </c>
    </row>
    <row r="1681">
      <c r="A1681" s="6" t="s">
        <v>8297</v>
      </c>
    </row>
    <row r="1682">
      <c r="A1682" s="6" t="s">
        <v>8302</v>
      </c>
    </row>
    <row r="1683">
      <c r="A1683" s="6" t="s">
        <v>8307</v>
      </c>
    </row>
    <row r="1684">
      <c r="A1684" s="6" t="s">
        <v>8312</v>
      </c>
    </row>
    <row r="1685">
      <c r="A1685" s="6" t="s">
        <v>8317</v>
      </c>
    </row>
    <row r="1686">
      <c r="A1686" s="6" t="s">
        <v>8322</v>
      </c>
    </row>
    <row r="1687">
      <c r="A1687" s="6" t="s">
        <v>8327</v>
      </c>
    </row>
    <row r="1688">
      <c r="A1688" s="6" t="s">
        <v>8332</v>
      </c>
    </row>
    <row r="1689">
      <c r="A1689" s="6" t="s">
        <v>8337</v>
      </c>
    </row>
    <row r="1690">
      <c r="A1690" s="6" t="s">
        <v>8342</v>
      </c>
    </row>
    <row r="1691">
      <c r="A1691" s="6" t="s">
        <v>8347</v>
      </c>
    </row>
    <row r="1692">
      <c r="A1692" s="6" t="s">
        <v>8352</v>
      </c>
    </row>
    <row r="1693">
      <c r="A1693" s="6" t="s">
        <v>8357</v>
      </c>
    </row>
    <row r="1694">
      <c r="A1694" s="6" t="s">
        <v>8362</v>
      </c>
    </row>
    <row r="1695">
      <c r="A1695" s="6" t="s">
        <v>8367</v>
      </c>
    </row>
    <row r="1696">
      <c r="A1696" s="6" t="s">
        <v>8371</v>
      </c>
    </row>
    <row r="1697">
      <c r="A1697" s="6" t="s">
        <v>8376</v>
      </c>
    </row>
    <row r="1698">
      <c r="A1698" s="6" t="s">
        <v>8381</v>
      </c>
    </row>
    <row r="1699">
      <c r="A1699" s="6" t="s">
        <v>8386</v>
      </c>
    </row>
    <row r="1700">
      <c r="A1700" s="6" t="s">
        <v>8391</v>
      </c>
    </row>
    <row r="1701">
      <c r="A1701" s="6" t="s">
        <v>8396</v>
      </c>
    </row>
    <row r="1702">
      <c r="A1702" s="6" t="s">
        <v>8401</v>
      </c>
    </row>
    <row r="1703">
      <c r="A1703" s="6" t="s">
        <v>8406</v>
      </c>
    </row>
    <row r="1704">
      <c r="A1704" s="6" t="s">
        <v>8411</v>
      </c>
    </row>
    <row r="1705">
      <c r="A1705" s="6" t="s">
        <v>8416</v>
      </c>
    </row>
    <row r="1706">
      <c r="A1706" s="6" t="s">
        <v>8421</v>
      </c>
    </row>
    <row r="1707">
      <c r="A1707" s="6" t="s">
        <v>8426</v>
      </c>
    </row>
    <row r="1708">
      <c r="A1708" s="6" t="s">
        <v>8431</v>
      </c>
    </row>
    <row r="1709">
      <c r="A1709" s="6" t="s">
        <v>8436</v>
      </c>
    </row>
    <row r="1710">
      <c r="A1710" s="6" t="s">
        <v>8441</v>
      </c>
    </row>
    <row r="1711">
      <c r="A1711" s="6" t="s">
        <v>8446</v>
      </c>
    </row>
    <row r="1712">
      <c r="A1712" s="6" t="s">
        <v>8451</v>
      </c>
    </row>
    <row r="1713">
      <c r="A1713" s="6" t="s">
        <v>8456</v>
      </c>
    </row>
    <row r="1714">
      <c r="A1714" s="6" t="s">
        <v>8461</v>
      </c>
    </row>
    <row r="1715">
      <c r="A1715" s="6" t="s">
        <v>8466</v>
      </c>
    </row>
    <row r="1716">
      <c r="A1716" s="6" t="s">
        <v>8471</v>
      </c>
    </row>
    <row r="1717">
      <c r="A1717" s="6" t="s">
        <v>8476</v>
      </c>
    </row>
    <row r="1718">
      <c r="A1718" s="6" t="s">
        <v>8481</v>
      </c>
    </row>
    <row r="1719">
      <c r="A1719" s="6" t="s">
        <v>8486</v>
      </c>
    </row>
    <row r="1720">
      <c r="A1720" s="6" t="s">
        <v>8491</v>
      </c>
    </row>
    <row r="1721">
      <c r="A1721" s="6" t="s">
        <v>8496</v>
      </c>
    </row>
    <row r="1722">
      <c r="A1722" s="6" t="s">
        <v>8501</v>
      </c>
    </row>
    <row r="1723">
      <c r="A1723" s="6" t="s">
        <v>8506</v>
      </c>
    </row>
    <row r="1724">
      <c r="A1724" s="6" t="s">
        <v>8511</v>
      </c>
    </row>
    <row r="1725">
      <c r="A1725" s="6" t="s">
        <v>8516</v>
      </c>
    </row>
    <row r="1726">
      <c r="A1726" s="6" t="s">
        <v>8521</v>
      </c>
    </row>
    <row r="1727">
      <c r="A1727" s="6" t="s">
        <v>8526</v>
      </c>
    </row>
    <row r="1728">
      <c r="A1728" s="6" t="s">
        <v>8531</v>
      </c>
    </row>
    <row r="1729">
      <c r="A1729" s="6" t="s">
        <v>8536</v>
      </c>
    </row>
    <row r="1730">
      <c r="A1730" s="6" t="s">
        <v>8541</v>
      </c>
    </row>
    <row r="1731">
      <c r="A1731" s="6" t="s">
        <v>8546</v>
      </c>
    </row>
    <row r="1732">
      <c r="A1732" s="6" t="s">
        <v>8551</v>
      </c>
    </row>
    <row r="1733">
      <c r="A1733" s="6" t="s">
        <v>8556</v>
      </c>
    </row>
    <row r="1734">
      <c r="A1734" s="6" t="s">
        <v>8561</v>
      </c>
    </row>
    <row r="1735">
      <c r="A1735" s="6" t="s">
        <v>8566</v>
      </c>
    </row>
    <row r="1736">
      <c r="A1736" s="6" t="s">
        <v>8571</v>
      </c>
    </row>
    <row r="1737">
      <c r="A1737" s="6" t="s">
        <v>8576</v>
      </c>
    </row>
    <row r="1738">
      <c r="A1738" s="6" t="s">
        <v>8581</v>
      </c>
    </row>
    <row r="1739">
      <c r="A1739" s="6" t="s">
        <v>8585</v>
      </c>
    </row>
    <row r="1740">
      <c r="A1740" s="6" t="s">
        <v>8590</v>
      </c>
    </row>
    <row r="1741">
      <c r="A1741" s="6" t="s">
        <v>8595</v>
      </c>
    </row>
    <row r="1742">
      <c r="A1742" s="6" t="s">
        <v>8599</v>
      </c>
    </row>
    <row r="1743">
      <c r="A1743" s="6" t="s">
        <v>8604</v>
      </c>
    </row>
    <row r="1744">
      <c r="A1744" s="6" t="s">
        <v>8609</v>
      </c>
    </row>
    <row r="1745">
      <c r="A1745" s="6" t="s">
        <v>8614</v>
      </c>
    </row>
    <row r="1746">
      <c r="A1746" s="6" t="s">
        <v>8619</v>
      </c>
    </row>
    <row r="1747">
      <c r="A1747" s="6" t="s">
        <v>8624</v>
      </c>
    </row>
    <row r="1748">
      <c r="A1748" s="6" t="s">
        <v>8629</v>
      </c>
    </row>
    <row r="1749">
      <c r="A1749" s="6" t="s">
        <v>8634</v>
      </c>
    </row>
    <row r="1750">
      <c r="A1750" s="6" t="s">
        <v>8639</v>
      </c>
    </row>
    <row r="1751">
      <c r="A1751" s="6" t="s">
        <v>8644</v>
      </c>
    </row>
    <row r="1752">
      <c r="A1752" s="6" t="s">
        <v>8649</v>
      </c>
    </row>
    <row r="1753">
      <c r="A1753" s="6" t="s">
        <v>8654</v>
      </c>
    </row>
    <row r="1754">
      <c r="A1754" s="6" t="s">
        <v>8659</v>
      </c>
    </row>
    <row r="1755">
      <c r="A1755" s="6" t="s">
        <v>8664</v>
      </c>
    </row>
    <row r="1756">
      <c r="A1756" s="6" t="s">
        <v>8669</v>
      </c>
    </row>
    <row r="1757">
      <c r="A1757" s="6" t="s">
        <v>8674</v>
      </c>
    </row>
    <row r="1758">
      <c r="A1758" s="6" t="s">
        <v>8679</v>
      </c>
    </row>
    <row r="1759">
      <c r="A1759" s="6" t="s">
        <v>8684</v>
      </c>
    </row>
    <row r="1760">
      <c r="A1760" s="6" t="s">
        <v>8689</v>
      </c>
    </row>
    <row r="1761">
      <c r="A1761" s="6" t="s">
        <v>8694</v>
      </c>
    </row>
    <row r="1762">
      <c r="A1762" s="6" t="s">
        <v>8699</v>
      </c>
    </row>
    <row r="1763">
      <c r="A1763" s="6" t="s">
        <v>8704</v>
      </c>
    </row>
    <row r="1764">
      <c r="A1764" s="6" t="s">
        <v>8709</v>
      </c>
    </row>
    <row r="1765">
      <c r="A1765" s="6" t="s">
        <v>8714</v>
      </c>
    </row>
    <row r="1766">
      <c r="A1766" s="6" t="s">
        <v>8719</v>
      </c>
    </row>
    <row r="1767">
      <c r="A1767" s="6" t="s">
        <v>8724</v>
      </c>
    </row>
    <row r="1768">
      <c r="A1768" s="6" t="s">
        <v>8729</v>
      </c>
    </row>
    <row r="1769">
      <c r="A1769" s="6" t="s">
        <v>8734</v>
      </c>
    </row>
    <row r="1770">
      <c r="A1770" s="6" t="s">
        <v>8739</v>
      </c>
    </row>
    <row r="1771">
      <c r="A1771" s="6" t="s">
        <v>8744</v>
      </c>
    </row>
    <row r="1772">
      <c r="A1772" s="6" t="s">
        <v>8749</v>
      </c>
    </row>
    <row r="1773">
      <c r="A1773" s="6" t="s">
        <v>8754</v>
      </c>
    </row>
    <row r="1774">
      <c r="A1774" s="6" t="s">
        <v>8759</v>
      </c>
    </row>
    <row r="1775">
      <c r="A1775" s="6" t="s">
        <v>8764</v>
      </c>
    </row>
    <row r="1776">
      <c r="A1776" s="6" t="s">
        <v>8769</v>
      </c>
    </row>
    <row r="1777">
      <c r="A1777" s="6" t="s">
        <v>8774</v>
      </c>
    </row>
    <row r="1778">
      <c r="A1778" s="6" t="s">
        <v>8779</v>
      </c>
    </row>
    <row r="1779">
      <c r="A1779" s="6" t="s">
        <v>8784</v>
      </c>
    </row>
    <row r="1780">
      <c r="A1780" s="6" t="s">
        <v>8789</v>
      </c>
    </row>
    <row r="1781">
      <c r="A1781" s="6" t="s">
        <v>8794</v>
      </c>
    </row>
    <row r="1782">
      <c r="A1782" s="6" t="s">
        <v>8799</v>
      </c>
    </row>
    <row r="1783">
      <c r="A1783" s="6" t="s">
        <v>8804</v>
      </c>
    </row>
    <row r="1784">
      <c r="A1784" s="6" t="s">
        <v>8809</v>
      </c>
    </row>
    <row r="1785">
      <c r="A1785" s="6" t="s">
        <v>8814</v>
      </c>
    </row>
    <row r="1786">
      <c r="A1786" s="6" t="s">
        <v>8819</v>
      </c>
    </row>
    <row r="1787">
      <c r="A1787" s="6" t="s">
        <v>8824</v>
      </c>
    </row>
    <row r="1788">
      <c r="A1788" s="6" t="s">
        <v>8829</v>
      </c>
    </row>
    <row r="1789">
      <c r="A1789" s="6" t="s">
        <v>8834</v>
      </c>
    </row>
    <row r="1790">
      <c r="A1790" s="6" t="s">
        <v>8839</v>
      </c>
    </row>
    <row r="1791">
      <c r="A1791" s="6" t="s">
        <v>8844</v>
      </c>
    </row>
    <row r="1792">
      <c r="A1792" s="6" t="s">
        <v>8849</v>
      </c>
    </row>
    <row r="1793">
      <c r="A1793" s="6" t="s">
        <v>8854</v>
      </c>
    </row>
    <row r="1794">
      <c r="A1794" s="6" t="s">
        <v>8859</v>
      </c>
    </row>
    <row r="1795">
      <c r="A1795" s="6" t="s">
        <v>8864</v>
      </c>
    </row>
    <row r="1796">
      <c r="A1796" s="6" t="s">
        <v>8869</v>
      </c>
    </row>
    <row r="1797">
      <c r="A1797" s="6" t="s">
        <v>8874</v>
      </c>
    </row>
    <row r="1798">
      <c r="A1798" s="6" t="s">
        <v>8879</v>
      </c>
    </row>
    <row r="1799">
      <c r="A1799" s="6" t="s">
        <v>8884</v>
      </c>
    </row>
    <row r="1800">
      <c r="A1800" s="6" t="s">
        <v>8889</v>
      </c>
    </row>
    <row r="1801">
      <c r="A1801" s="6" t="s">
        <v>8894</v>
      </c>
    </row>
    <row r="1802">
      <c r="A1802" s="6" t="s">
        <v>8899</v>
      </c>
    </row>
    <row r="1803">
      <c r="A1803" s="6" t="s">
        <v>8904</v>
      </c>
    </row>
    <row r="1804">
      <c r="A1804" s="6" t="s">
        <v>8909</v>
      </c>
    </row>
    <row r="1805">
      <c r="A1805" s="6" t="s">
        <v>8914</v>
      </c>
    </row>
    <row r="1806">
      <c r="A1806" s="6" t="s">
        <v>8919</v>
      </c>
    </row>
    <row r="1807">
      <c r="A1807" s="6" t="s">
        <v>8924</v>
      </c>
    </row>
    <row r="1808">
      <c r="A1808" s="6" t="s">
        <v>8929</v>
      </c>
    </row>
    <row r="1809">
      <c r="A1809" s="6" t="s">
        <v>8933</v>
      </c>
    </row>
    <row r="1810">
      <c r="A1810" s="6" t="s">
        <v>8938</v>
      </c>
    </row>
    <row r="1811">
      <c r="A1811" s="6" t="s">
        <v>8943</v>
      </c>
    </row>
    <row r="1812">
      <c r="A1812" s="6" t="s">
        <v>8948</v>
      </c>
    </row>
    <row r="1813">
      <c r="A1813" s="6" t="s">
        <v>8953</v>
      </c>
    </row>
    <row r="1814">
      <c r="A1814" s="6" t="s">
        <v>8958</v>
      </c>
    </row>
    <row r="1815">
      <c r="A1815" s="6" t="s">
        <v>8963</v>
      </c>
    </row>
    <row r="1816">
      <c r="A1816" s="6" t="s">
        <v>8968</v>
      </c>
    </row>
    <row r="1817">
      <c r="A1817" s="6" t="s">
        <v>8973</v>
      </c>
    </row>
    <row r="1818">
      <c r="A1818" s="6" t="s">
        <v>8978</v>
      </c>
    </row>
    <row r="1819">
      <c r="A1819" s="6" t="s">
        <v>8983</v>
      </c>
    </row>
    <row r="1820">
      <c r="A1820" s="6" t="s">
        <v>8988</v>
      </c>
    </row>
    <row r="1821">
      <c r="A1821" s="6" t="s">
        <v>8993</v>
      </c>
    </row>
    <row r="1822">
      <c r="A1822" s="6" t="s">
        <v>8998</v>
      </c>
    </row>
    <row r="1823">
      <c r="A1823" s="6" t="s">
        <v>9003</v>
      </c>
    </row>
    <row r="1824">
      <c r="A1824" s="6" t="s">
        <v>9008</v>
      </c>
    </row>
    <row r="1825">
      <c r="A1825" s="6" t="s">
        <v>9013</v>
      </c>
    </row>
    <row r="1826">
      <c r="A1826" s="6" t="s">
        <v>9018</v>
      </c>
    </row>
    <row r="1827">
      <c r="A1827" s="6" t="s">
        <v>9023</v>
      </c>
    </row>
    <row r="1828">
      <c r="A1828" s="6" t="s">
        <v>9028</v>
      </c>
    </row>
    <row r="1829">
      <c r="A1829" s="6" t="s">
        <v>9033</v>
      </c>
    </row>
    <row r="1830">
      <c r="A1830" s="6" t="s">
        <v>9038</v>
      </c>
    </row>
    <row r="1831">
      <c r="A1831" s="6" t="s">
        <v>9043</v>
      </c>
    </row>
    <row r="1832">
      <c r="A1832" s="6" t="s">
        <v>9048</v>
      </c>
    </row>
    <row r="1833">
      <c r="A1833" s="6" t="s">
        <v>9053</v>
      </c>
    </row>
    <row r="1834">
      <c r="A1834" s="6" t="s">
        <v>9058</v>
      </c>
    </row>
    <row r="1835">
      <c r="A1835" s="6" t="s">
        <v>9063</v>
      </c>
    </row>
    <row r="1836">
      <c r="A1836" s="6" t="s">
        <v>9068</v>
      </c>
    </row>
    <row r="1837">
      <c r="A1837" s="6" t="s">
        <v>9073</v>
      </c>
    </row>
    <row r="1838">
      <c r="A1838" s="6" t="s">
        <v>9078</v>
      </c>
    </row>
    <row r="1839">
      <c r="A1839" s="6" t="s">
        <v>9083</v>
      </c>
    </row>
    <row r="1840">
      <c r="A1840" s="6" t="s">
        <v>9088</v>
      </c>
    </row>
    <row r="1841">
      <c r="A1841" s="6" t="s">
        <v>9093</v>
      </c>
    </row>
    <row r="1842">
      <c r="A1842" s="6" t="s">
        <v>9098</v>
      </c>
    </row>
    <row r="1843">
      <c r="A1843" s="6" t="s">
        <v>9103</v>
      </c>
    </row>
    <row r="1844">
      <c r="A1844" s="6" t="s">
        <v>9108</v>
      </c>
    </row>
    <row r="1845">
      <c r="A1845" s="6" t="s">
        <v>9113</v>
      </c>
    </row>
    <row r="1846">
      <c r="A1846" s="6" t="s">
        <v>9118</v>
      </c>
    </row>
    <row r="1847">
      <c r="A1847" s="6" t="s">
        <v>9123</v>
      </c>
    </row>
    <row r="1848">
      <c r="A1848" s="6" t="s">
        <v>9128</v>
      </c>
    </row>
    <row r="1849">
      <c r="A1849" s="6" t="s">
        <v>9133</v>
      </c>
    </row>
    <row r="1850">
      <c r="A1850" s="6" t="s">
        <v>9138</v>
      </c>
    </row>
    <row r="1851">
      <c r="A1851" s="6" t="s">
        <v>9143</v>
      </c>
    </row>
    <row r="1852">
      <c r="A1852" s="6" t="s">
        <v>9148</v>
      </c>
    </row>
    <row r="1853">
      <c r="A1853" s="6" t="s">
        <v>9153</v>
      </c>
    </row>
    <row r="1854">
      <c r="A1854" s="6" t="s">
        <v>9158</v>
      </c>
    </row>
    <row r="1855">
      <c r="A1855" s="6" t="s">
        <v>9163</v>
      </c>
    </row>
    <row r="1856">
      <c r="A1856" s="6" t="s">
        <v>9168</v>
      </c>
    </row>
    <row r="1857">
      <c r="A1857" s="6" t="s">
        <v>9173</v>
      </c>
    </row>
    <row r="1858">
      <c r="A1858" s="6" t="s">
        <v>9178</v>
      </c>
    </row>
    <row r="1859">
      <c r="A1859" s="6" t="s">
        <v>9183</v>
      </c>
    </row>
    <row r="1860">
      <c r="A1860" s="6" t="s">
        <v>9188</v>
      </c>
    </row>
    <row r="1861">
      <c r="A1861" s="6" t="s">
        <v>9193</v>
      </c>
    </row>
    <row r="1862">
      <c r="A1862" s="6" t="s">
        <v>9198</v>
      </c>
    </row>
    <row r="1863">
      <c r="A1863" s="6" t="s">
        <v>9203</v>
      </c>
    </row>
    <row r="1864">
      <c r="A1864" s="6" t="s">
        <v>9208</v>
      </c>
    </row>
    <row r="1865">
      <c r="A1865" s="6" t="s">
        <v>9213</v>
      </c>
    </row>
    <row r="1866">
      <c r="A1866" s="6" t="s">
        <v>9218</v>
      </c>
    </row>
    <row r="1867">
      <c r="A1867" s="6" t="s">
        <v>9223</v>
      </c>
    </row>
    <row r="1868">
      <c r="A1868" s="6" t="s">
        <v>9228</v>
      </c>
    </row>
    <row r="1869">
      <c r="A1869" s="6" t="s">
        <v>9233</v>
      </c>
    </row>
    <row r="1870">
      <c r="A1870" s="6" t="s">
        <v>9238</v>
      </c>
    </row>
    <row r="1871">
      <c r="A1871" s="6" t="s">
        <v>9243</v>
      </c>
    </row>
    <row r="1872">
      <c r="A1872" s="6" t="s">
        <v>9248</v>
      </c>
    </row>
    <row r="1873">
      <c r="A1873" s="6" t="s">
        <v>9253</v>
      </c>
    </row>
    <row r="1874">
      <c r="A1874" s="6" t="s">
        <v>9258</v>
      </c>
    </row>
    <row r="1875">
      <c r="A1875" s="6" t="s">
        <v>9263</v>
      </c>
    </row>
    <row r="1876">
      <c r="A1876" s="6" t="s">
        <v>9268</v>
      </c>
    </row>
    <row r="1877">
      <c r="A1877" s="6" t="s">
        <v>9273</v>
      </c>
    </row>
    <row r="1878">
      <c r="A1878" s="6" t="s">
        <v>9278</v>
      </c>
    </row>
    <row r="1879">
      <c r="A1879" s="6" t="s">
        <v>9283</v>
      </c>
    </row>
    <row r="1880">
      <c r="A1880" s="6" t="s">
        <v>9288</v>
      </c>
    </row>
    <row r="1881">
      <c r="A1881" s="6" t="s">
        <v>9293</v>
      </c>
    </row>
    <row r="1882">
      <c r="A1882" s="6" t="s">
        <v>9298</v>
      </c>
    </row>
    <row r="1883">
      <c r="A1883" s="6" t="s">
        <v>9303</v>
      </c>
    </row>
    <row r="1884">
      <c r="A1884" s="6" t="s">
        <v>9308</v>
      </c>
    </row>
    <row r="1885">
      <c r="A1885" s="6" t="s">
        <v>9313</v>
      </c>
    </row>
    <row r="1886">
      <c r="A1886" s="6" t="s">
        <v>9318</v>
      </c>
    </row>
    <row r="1887">
      <c r="A1887" s="6" t="s">
        <v>9323</v>
      </c>
    </row>
    <row r="1888">
      <c r="A1888" s="6" t="s">
        <v>9328</v>
      </c>
    </row>
    <row r="1889">
      <c r="A1889" s="6" t="s">
        <v>9333</v>
      </c>
    </row>
    <row r="1890">
      <c r="A1890" s="6" t="s">
        <v>9338</v>
      </c>
    </row>
    <row r="1891">
      <c r="A1891" s="6" t="s">
        <v>9343</v>
      </c>
    </row>
    <row r="1892">
      <c r="A1892" s="6" t="s">
        <v>9348</v>
      </c>
    </row>
    <row r="1893">
      <c r="A1893" s="6" t="s">
        <v>9353</v>
      </c>
    </row>
    <row r="1894">
      <c r="A1894" s="6" t="s">
        <v>9358</v>
      </c>
    </row>
    <row r="1895">
      <c r="A1895" s="6" t="s">
        <v>9363</v>
      </c>
    </row>
    <row r="1896">
      <c r="A1896" s="6" t="s">
        <v>9368</v>
      </c>
    </row>
    <row r="1897">
      <c r="A1897" s="6" t="s">
        <v>9373</v>
      </c>
    </row>
    <row r="1898">
      <c r="A1898" s="6" t="s">
        <v>9378</v>
      </c>
    </row>
    <row r="1899">
      <c r="A1899" s="6" t="s">
        <v>9383</v>
      </c>
    </row>
    <row r="1900">
      <c r="A1900" s="6" t="s">
        <v>9388</v>
      </c>
    </row>
    <row r="1901">
      <c r="A1901" s="6" t="s">
        <v>9393</v>
      </c>
    </row>
    <row r="1902">
      <c r="A1902" s="6" t="s">
        <v>9398</v>
      </c>
    </row>
    <row r="1903">
      <c r="A1903" s="6" t="s">
        <v>9403</v>
      </c>
    </row>
    <row r="1904">
      <c r="A1904" s="6" t="s">
        <v>9408</v>
      </c>
    </row>
    <row r="1905">
      <c r="A1905" s="6" t="s">
        <v>9413</v>
      </c>
    </row>
    <row r="1906">
      <c r="A1906" s="6" t="s">
        <v>9418</v>
      </c>
    </row>
    <row r="1907">
      <c r="A1907" s="6" t="s">
        <v>9423</v>
      </c>
    </row>
    <row r="1908">
      <c r="A1908" s="6" t="s">
        <v>9428</v>
      </c>
    </row>
    <row r="1909">
      <c r="A1909" s="6" t="s">
        <v>9433</v>
      </c>
    </row>
    <row r="1910">
      <c r="A1910" s="6" t="s">
        <v>9438</v>
      </c>
    </row>
    <row r="1911">
      <c r="A1911" s="6" t="s">
        <v>9443</v>
      </c>
    </row>
    <row r="1912">
      <c r="A1912" s="6" t="s">
        <v>9448</v>
      </c>
    </row>
    <row r="1913">
      <c r="A1913" s="6" t="s">
        <v>9453</v>
      </c>
    </row>
    <row r="1914">
      <c r="A1914" s="6" t="s">
        <v>9458</v>
      </c>
    </row>
    <row r="1915">
      <c r="A1915" s="6" t="s">
        <v>9463</v>
      </c>
    </row>
    <row r="1916">
      <c r="A1916" s="6" t="s">
        <v>9468</v>
      </c>
    </row>
    <row r="1917">
      <c r="A1917" s="6" t="s">
        <v>9473</v>
      </c>
    </row>
    <row r="1918">
      <c r="A1918" s="6" t="s">
        <v>9477</v>
      </c>
    </row>
    <row r="1919">
      <c r="A1919" s="6" t="s">
        <v>9482</v>
      </c>
    </row>
    <row r="1920">
      <c r="A1920" s="6" t="s">
        <v>9487</v>
      </c>
    </row>
    <row r="1921">
      <c r="A1921" s="6" t="s">
        <v>9492</v>
      </c>
    </row>
    <row r="1922">
      <c r="A1922" s="6" t="s">
        <v>9497</v>
      </c>
    </row>
    <row r="1923">
      <c r="A1923" s="6" t="s">
        <v>9502</v>
      </c>
    </row>
    <row r="1924">
      <c r="A1924" s="6" t="s">
        <v>9507</v>
      </c>
    </row>
    <row r="1925">
      <c r="A1925" s="6" t="s">
        <v>9512</v>
      </c>
    </row>
    <row r="1926">
      <c r="A1926" s="6" t="s">
        <v>9517</v>
      </c>
    </row>
    <row r="1927">
      <c r="A1927" s="6" t="s">
        <v>9522</v>
      </c>
    </row>
    <row r="1928">
      <c r="A1928" s="6" t="s">
        <v>9527</v>
      </c>
    </row>
    <row r="1929">
      <c r="A1929" s="6" t="s">
        <v>9532</v>
      </c>
    </row>
    <row r="1930">
      <c r="A1930" s="6" t="s">
        <v>9537</v>
      </c>
    </row>
    <row r="1931">
      <c r="A1931" s="6" t="s">
        <v>9542</v>
      </c>
    </row>
    <row r="1932">
      <c r="A1932" s="6" t="s">
        <v>9547</v>
      </c>
    </row>
    <row r="1933">
      <c r="A1933" s="6" t="s">
        <v>9552</v>
      </c>
    </row>
    <row r="1934">
      <c r="A1934" s="6" t="s">
        <v>9557</v>
      </c>
    </row>
    <row r="1935">
      <c r="A1935" s="6" t="s">
        <v>9562</v>
      </c>
    </row>
    <row r="1936">
      <c r="A1936" s="6" t="s">
        <v>9567</v>
      </c>
    </row>
    <row r="1937">
      <c r="A1937" s="6" t="s">
        <v>9572</v>
      </c>
    </row>
    <row r="1938">
      <c r="A1938" s="6" t="s">
        <v>9577</v>
      </c>
    </row>
    <row r="1939">
      <c r="A1939" s="6" t="s">
        <v>9582</v>
      </c>
    </row>
    <row r="1940">
      <c r="A1940" s="6" t="s">
        <v>9587</v>
      </c>
    </row>
    <row r="1941">
      <c r="A1941" s="6" t="s">
        <v>9592</v>
      </c>
    </row>
    <row r="1942">
      <c r="A1942" s="6" t="s">
        <v>9597</v>
      </c>
    </row>
    <row r="1943">
      <c r="A1943" s="6" t="s">
        <v>9602</v>
      </c>
    </row>
    <row r="1944">
      <c r="A1944" s="6" t="s">
        <v>9607</v>
      </c>
    </row>
    <row r="1945">
      <c r="A1945" s="6" t="s">
        <v>9612</v>
      </c>
    </row>
    <row r="1946">
      <c r="A1946" s="6" t="s">
        <v>9617</v>
      </c>
    </row>
    <row r="1947">
      <c r="A1947" s="6" t="s">
        <v>9622</v>
      </c>
    </row>
    <row r="1948">
      <c r="A1948" s="6" t="s">
        <v>9627</v>
      </c>
    </row>
    <row r="1949">
      <c r="A1949" s="6" t="s">
        <v>9632</v>
      </c>
    </row>
    <row r="1950">
      <c r="A1950" s="6" t="s">
        <v>9637</v>
      </c>
    </row>
    <row r="1951">
      <c r="A1951" s="6" t="s">
        <v>9642</v>
      </c>
    </row>
    <row r="1952">
      <c r="A1952" s="6" t="s">
        <v>9647</v>
      </c>
    </row>
    <row r="1953">
      <c r="A1953" s="6" t="s">
        <v>9652</v>
      </c>
    </row>
    <row r="1954">
      <c r="A1954" s="6" t="s">
        <v>9657</v>
      </c>
    </row>
    <row r="1955">
      <c r="A1955" s="6" t="s">
        <v>9662</v>
      </c>
    </row>
    <row r="1956">
      <c r="A1956" s="6" t="s">
        <v>9667</v>
      </c>
    </row>
    <row r="1957">
      <c r="A1957" s="6" t="s">
        <v>9672</v>
      </c>
    </row>
    <row r="1958">
      <c r="A1958" s="6" t="s">
        <v>9677</v>
      </c>
    </row>
    <row r="1959">
      <c r="A1959" s="6" t="s">
        <v>9682</v>
      </c>
    </row>
    <row r="1960">
      <c r="A1960" s="6" t="s">
        <v>9687</v>
      </c>
    </row>
    <row r="1961">
      <c r="A1961" s="6" t="s">
        <v>9692</v>
      </c>
    </row>
    <row r="1962">
      <c r="A1962" s="6" t="s">
        <v>9697</v>
      </c>
    </row>
    <row r="1963">
      <c r="A1963" s="6" t="s">
        <v>9702</v>
      </c>
    </row>
    <row r="1964">
      <c r="A1964" s="6" t="s">
        <v>9707</v>
      </c>
    </row>
    <row r="1965">
      <c r="A1965" s="6" t="s">
        <v>9712</v>
      </c>
    </row>
    <row r="1966">
      <c r="A1966" s="6" t="s">
        <v>9717</v>
      </c>
    </row>
    <row r="1967">
      <c r="A1967" s="6" t="s">
        <v>9722</v>
      </c>
    </row>
    <row r="1968">
      <c r="A1968" s="6" t="s">
        <v>9727</v>
      </c>
    </row>
    <row r="1969">
      <c r="A1969" s="6" t="s">
        <v>9732</v>
      </c>
    </row>
    <row r="1970">
      <c r="A1970" s="6" t="s">
        <v>9737</v>
      </c>
    </row>
    <row r="1971">
      <c r="A1971" s="6" t="s">
        <v>9742</v>
      </c>
    </row>
    <row r="1972">
      <c r="A1972" s="6" t="s">
        <v>9747</v>
      </c>
    </row>
    <row r="1973">
      <c r="A1973" s="6" t="s">
        <v>9752</v>
      </c>
    </row>
    <row r="1974">
      <c r="A1974" s="6" t="s">
        <v>9757</v>
      </c>
    </row>
    <row r="1975">
      <c r="A1975" s="6" t="s">
        <v>9762</v>
      </c>
    </row>
    <row r="1976">
      <c r="A1976" s="6" t="s">
        <v>9767</v>
      </c>
    </row>
    <row r="1977">
      <c r="A1977" s="6" t="s">
        <v>9772</v>
      </c>
    </row>
    <row r="1978">
      <c r="A1978" s="6" t="s">
        <v>9777</v>
      </c>
    </row>
    <row r="1979">
      <c r="A1979" s="6" t="s">
        <v>9782</v>
      </c>
    </row>
    <row r="1980">
      <c r="A1980" s="6" t="s">
        <v>9787</v>
      </c>
    </row>
    <row r="1981">
      <c r="A1981" s="6" t="s">
        <v>9792</v>
      </c>
    </row>
    <row r="1982">
      <c r="A1982" s="6" t="s">
        <v>9797</v>
      </c>
    </row>
    <row r="1983">
      <c r="A1983" s="6" t="s">
        <v>9802</v>
      </c>
    </row>
    <row r="1984">
      <c r="A1984" s="6" t="s">
        <v>9807</v>
      </c>
    </row>
    <row r="1985">
      <c r="A1985" s="6" t="s">
        <v>9811</v>
      </c>
    </row>
    <row r="1986">
      <c r="A1986" s="6" t="s">
        <v>9816</v>
      </c>
    </row>
    <row r="1987">
      <c r="A1987" s="6" t="s">
        <v>9821</v>
      </c>
    </row>
    <row r="1988">
      <c r="A1988" s="6" t="s">
        <v>9826</v>
      </c>
    </row>
    <row r="1989">
      <c r="A1989" s="6" t="s">
        <v>9831</v>
      </c>
    </row>
    <row r="1990">
      <c r="A1990" s="6" t="s">
        <v>9836</v>
      </c>
    </row>
    <row r="1991">
      <c r="A1991" s="6" t="s">
        <v>9841</v>
      </c>
    </row>
    <row r="1992">
      <c r="A1992" s="6" t="s">
        <v>9846</v>
      </c>
    </row>
    <row r="1993">
      <c r="A1993" s="6" t="s">
        <v>9851</v>
      </c>
    </row>
    <row r="1994">
      <c r="A1994" s="6" t="s">
        <v>9856</v>
      </c>
    </row>
    <row r="1995">
      <c r="A1995" s="6" t="s">
        <v>9861</v>
      </c>
    </row>
    <row r="1996">
      <c r="A1996" s="6" t="s">
        <v>9866</v>
      </c>
    </row>
    <row r="1997">
      <c r="A1997" s="6" t="s">
        <v>9871</v>
      </c>
    </row>
    <row r="1998">
      <c r="A1998" s="6" t="s">
        <v>9876</v>
      </c>
    </row>
    <row r="1999">
      <c r="A1999" s="6" t="s">
        <v>9881</v>
      </c>
    </row>
    <row r="2000">
      <c r="A2000" s="6" t="s">
        <v>9886</v>
      </c>
    </row>
    <row r="2001">
      <c r="A2001" s="6" t="s">
        <v>9891</v>
      </c>
    </row>
    <row r="2002">
      <c r="A2002" s="6" t="s">
        <v>9896</v>
      </c>
    </row>
    <row r="2003">
      <c r="A2003" s="6" t="s">
        <v>9901</v>
      </c>
    </row>
    <row r="2004">
      <c r="A2004" s="6" t="s">
        <v>9906</v>
      </c>
    </row>
    <row r="2005">
      <c r="A2005" s="6" t="s">
        <v>9911</v>
      </c>
    </row>
    <row r="2006">
      <c r="A2006" s="6" t="s">
        <v>9916</v>
      </c>
    </row>
    <row r="2007">
      <c r="A2007" s="6" t="s">
        <v>9921</v>
      </c>
    </row>
    <row r="2008">
      <c r="A2008" s="6" t="s">
        <v>9926</v>
      </c>
    </row>
    <row r="2009">
      <c r="A2009" s="6" t="s">
        <v>9931</v>
      </c>
    </row>
    <row r="2010">
      <c r="A2010" s="6" t="s">
        <v>9936</v>
      </c>
    </row>
    <row r="2011">
      <c r="A2011" s="6" t="s">
        <v>9941</v>
      </c>
    </row>
    <row r="2012">
      <c r="A2012" s="6" t="s">
        <v>9946</v>
      </c>
    </row>
    <row r="2013">
      <c r="A2013" s="6" t="s">
        <v>9951</v>
      </c>
    </row>
    <row r="2014">
      <c r="A2014" s="6" t="s">
        <v>9956</v>
      </c>
    </row>
    <row r="2015">
      <c r="A2015" s="6" t="s">
        <v>9961</v>
      </c>
    </row>
    <row r="2016">
      <c r="A2016" s="6" t="s">
        <v>9966</v>
      </c>
    </row>
    <row r="2017">
      <c r="A2017" s="6" t="s">
        <v>9971</v>
      </c>
    </row>
    <row r="2018">
      <c r="A2018" s="6" t="s">
        <v>9976</v>
      </c>
    </row>
    <row r="2019">
      <c r="A2019" s="6" t="s">
        <v>9981</v>
      </c>
    </row>
    <row r="2020">
      <c r="A2020" s="6" t="s">
        <v>9986</v>
      </c>
    </row>
    <row r="2021">
      <c r="A2021" s="6" t="s">
        <v>9991</v>
      </c>
    </row>
    <row r="2022">
      <c r="A2022" s="6" t="s">
        <v>9996</v>
      </c>
    </row>
    <row r="2023">
      <c r="A2023" s="6" t="s">
        <v>10001</v>
      </c>
    </row>
    <row r="2024">
      <c r="A2024" s="6" t="s">
        <v>10006</v>
      </c>
    </row>
    <row r="2025">
      <c r="A2025" s="6" t="s">
        <v>10011</v>
      </c>
    </row>
    <row r="2026">
      <c r="A2026" s="6" t="s">
        <v>10016</v>
      </c>
    </row>
    <row r="2027">
      <c r="A2027" s="6" t="s">
        <v>10021</v>
      </c>
    </row>
    <row r="2028">
      <c r="A2028" s="6" t="s">
        <v>10026</v>
      </c>
    </row>
    <row r="2029">
      <c r="A2029" s="6" t="s">
        <v>10031</v>
      </c>
    </row>
    <row r="2030">
      <c r="A2030" s="6" t="s">
        <v>10036</v>
      </c>
    </row>
    <row r="2031">
      <c r="A2031" s="6" t="s">
        <v>10041</v>
      </c>
    </row>
    <row r="2032">
      <c r="A2032" s="6" t="s">
        <v>10046</v>
      </c>
    </row>
    <row r="2033">
      <c r="A2033" s="6" t="s">
        <v>10051</v>
      </c>
    </row>
    <row r="2034">
      <c r="A2034" s="6" t="s">
        <v>10056</v>
      </c>
    </row>
    <row r="2035">
      <c r="A2035" s="6" t="s">
        <v>10061</v>
      </c>
    </row>
    <row r="2036">
      <c r="A2036" s="6" t="s">
        <v>10066</v>
      </c>
    </row>
    <row r="2037">
      <c r="A2037" s="6" t="s">
        <v>10071</v>
      </c>
    </row>
    <row r="2038">
      <c r="A2038" s="6" t="s">
        <v>10076</v>
      </c>
    </row>
    <row r="2039">
      <c r="A2039" s="6" t="s">
        <v>10081</v>
      </c>
    </row>
    <row r="2040">
      <c r="A2040" s="6" t="s">
        <v>10086</v>
      </c>
    </row>
    <row r="2041">
      <c r="A2041" s="6" t="s">
        <v>10091</v>
      </c>
    </row>
    <row r="2042">
      <c r="A2042" s="6" t="s">
        <v>10096</v>
      </c>
    </row>
    <row r="2043">
      <c r="A2043" s="6" t="s">
        <v>10101</v>
      </c>
    </row>
    <row r="2044">
      <c r="A2044" s="6" t="s">
        <v>10106</v>
      </c>
    </row>
    <row r="2045">
      <c r="A2045" s="6" t="s">
        <v>10111</v>
      </c>
    </row>
    <row r="2046">
      <c r="A2046" s="6" t="s">
        <v>10116</v>
      </c>
    </row>
    <row r="2047">
      <c r="A2047" s="6" t="s">
        <v>10121</v>
      </c>
    </row>
    <row r="2048">
      <c r="A2048" s="6" t="s">
        <v>10126</v>
      </c>
    </row>
    <row r="2049">
      <c r="A2049" s="6" t="s">
        <v>10131</v>
      </c>
    </row>
    <row r="2050">
      <c r="A2050" s="6" t="s">
        <v>10136</v>
      </c>
    </row>
    <row r="2051">
      <c r="A2051" s="6" t="s">
        <v>10141</v>
      </c>
    </row>
    <row r="2052">
      <c r="A2052" s="6" t="s">
        <v>10146</v>
      </c>
    </row>
    <row r="2053">
      <c r="A2053" s="6" t="s">
        <v>10151</v>
      </c>
    </row>
    <row r="2054">
      <c r="A2054" s="6" t="s">
        <v>10156</v>
      </c>
    </row>
    <row r="2055">
      <c r="A2055" s="6" t="s">
        <v>10161</v>
      </c>
    </row>
    <row r="2056">
      <c r="A2056" s="6" t="s">
        <v>10166</v>
      </c>
    </row>
    <row r="2057">
      <c r="A2057" s="6" t="s">
        <v>10171</v>
      </c>
    </row>
    <row r="2058">
      <c r="A2058" s="6" t="s">
        <v>10176</v>
      </c>
    </row>
    <row r="2059">
      <c r="A2059" s="6" t="s">
        <v>10181</v>
      </c>
    </row>
    <row r="2060">
      <c r="A2060" s="6" t="s">
        <v>10186</v>
      </c>
    </row>
    <row r="2061">
      <c r="A2061" s="6" t="s">
        <v>10191</v>
      </c>
    </row>
    <row r="2062">
      <c r="A2062" s="6" t="s">
        <v>10196</v>
      </c>
    </row>
    <row r="2063">
      <c r="A2063" s="6" t="s">
        <v>10201</v>
      </c>
    </row>
    <row r="2064">
      <c r="A2064" s="6" t="s">
        <v>10206</v>
      </c>
    </row>
    <row r="2065">
      <c r="A2065" s="6" t="s">
        <v>10211</v>
      </c>
    </row>
    <row r="2066">
      <c r="A2066" s="6" t="s">
        <v>10216</v>
      </c>
    </row>
    <row r="2067">
      <c r="A2067" s="6" t="s">
        <v>10221</v>
      </c>
    </row>
    <row r="2068">
      <c r="A2068" s="6" t="s">
        <v>10226</v>
      </c>
    </row>
    <row r="2069">
      <c r="A2069" s="6" t="s">
        <v>10231</v>
      </c>
    </row>
    <row r="2070">
      <c r="A2070" s="6" t="s">
        <v>10236</v>
      </c>
    </row>
    <row r="2071">
      <c r="A2071" s="6" t="s">
        <v>10241</v>
      </c>
    </row>
    <row r="2072">
      <c r="A2072" s="6" t="s">
        <v>10246</v>
      </c>
    </row>
    <row r="2073">
      <c r="A2073" s="6" t="s">
        <v>10251</v>
      </c>
    </row>
    <row r="2074">
      <c r="A2074" s="6" t="s">
        <v>10256</v>
      </c>
    </row>
    <row r="2075">
      <c r="A2075" s="6" t="s">
        <v>10261</v>
      </c>
    </row>
    <row r="2076">
      <c r="A2076" s="6" t="s">
        <v>10265</v>
      </c>
    </row>
    <row r="2077">
      <c r="A2077" s="6" t="s">
        <v>10270</v>
      </c>
    </row>
    <row r="2078">
      <c r="A2078" s="6" t="s">
        <v>10275</v>
      </c>
    </row>
    <row r="2079">
      <c r="A2079" s="6" t="s">
        <v>10280</v>
      </c>
    </row>
    <row r="2080">
      <c r="A2080" s="6" t="s">
        <v>10285</v>
      </c>
    </row>
    <row r="2081">
      <c r="A2081" s="6" t="s">
        <v>10290</v>
      </c>
    </row>
    <row r="2082">
      <c r="A2082" s="6" t="s">
        <v>10295</v>
      </c>
    </row>
    <row r="2083">
      <c r="A2083" s="6" t="s">
        <v>10300</v>
      </c>
    </row>
    <row r="2084">
      <c r="A2084" s="6" t="s">
        <v>10305</v>
      </c>
    </row>
    <row r="2085">
      <c r="A2085" s="6" t="s">
        <v>10310</v>
      </c>
    </row>
    <row r="2086">
      <c r="A2086" s="6" t="s">
        <v>10315</v>
      </c>
    </row>
    <row r="2087">
      <c r="A2087" s="6" t="s">
        <v>10320</v>
      </c>
    </row>
    <row r="2088">
      <c r="A2088" s="6" t="s">
        <v>10325</v>
      </c>
    </row>
    <row r="2089">
      <c r="A2089" s="6" t="s">
        <v>10330</v>
      </c>
    </row>
    <row r="2090">
      <c r="A2090" s="6" t="s">
        <v>10335</v>
      </c>
    </row>
    <row r="2091">
      <c r="A2091" s="6" t="s">
        <v>10340</v>
      </c>
    </row>
    <row r="2092">
      <c r="A2092" s="6" t="s">
        <v>10345</v>
      </c>
    </row>
    <row r="2093">
      <c r="A2093" s="6" t="s">
        <v>10350</v>
      </c>
    </row>
    <row r="2094">
      <c r="A2094" s="6" t="s">
        <v>10355</v>
      </c>
    </row>
    <row r="2095">
      <c r="A2095" s="6" t="s">
        <v>10360</v>
      </c>
    </row>
    <row r="2096">
      <c r="A2096" s="6" t="s">
        <v>10365</v>
      </c>
    </row>
    <row r="2097">
      <c r="A2097" s="6" t="s">
        <v>10370</v>
      </c>
    </row>
    <row r="2098">
      <c r="A2098" s="6" t="s">
        <v>10375</v>
      </c>
    </row>
    <row r="2099">
      <c r="A2099" s="6" t="s">
        <v>10380</v>
      </c>
    </row>
    <row r="2100">
      <c r="A2100" s="6" t="s">
        <v>10385</v>
      </c>
    </row>
    <row r="2101">
      <c r="A2101" s="6" t="s">
        <v>10390</v>
      </c>
    </row>
    <row r="2102">
      <c r="A2102" s="6" t="s">
        <v>10395</v>
      </c>
    </row>
    <row r="2103">
      <c r="A2103" s="6" t="s">
        <v>10400</v>
      </c>
    </row>
    <row r="2104">
      <c r="A2104" s="6" t="s">
        <v>10405</v>
      </c>
    </row>
    <row r="2105">
      <c r="A2105" s="6" t="s">
        <v>10410</v>
      </c>
    </row>
    <row r="2106">
      <c r="A2106" s="6" t="s">
        <v>10415</v>
      </c>
    </row>
    <row r="2107">
      <c r="A2107" s="6" t="s">
        <v>10420</v>
      </c>
    </row>
    <row r="2108">
      <c r="A2108" s="6" t="s">
        <v>10425</v>
      </c>
    </row>
    <row r="2109">
      <c r="A2109" s="6" t="s">
        <v>10430</v>
      </c>
    </row>
    <row r="2110">
      <c r="A2110" s="6" t="s">
        <v>10435</v>
      </c>
    </row>
    <row r="2111">
      <c r="A2111" s="6" t="s">
        <v>10440</v>
      </c>
    </row>
    <row r="2112">
      <c r="A2112" s="6" t="s">
        <v>10445</v>
      </c>
    </row>
    <row r="2113">
      <c r="A2113" s="6" t="s">
        <v>10450</v>
      </c>
    </row>
    <row r="2114">
      <c r="A2114" s="6" t="s">
        <v>10455</v>
      </c>
    </row>
    <row r="2115">
      <c r="A2115" s="6" t="s">
        <v>10460</v>
      </c>
    </row>
    <row r="2116">
      <c r="A2116" s="6" t="s">
        <v>10465</v>
      </c>
    </row>
    <row r="2117">
      <c r="A2117" s="6" t="s">
        <v>10470</v>
      </c>
    </row>
    <row r="2118">
      <c r="A2118" s="6" t="s">
        <v>10475</v>
      </c>
    </row>
    <row r="2119">
      <c r="A2119" s="6" t="s">
        <v>10480</v>
      </c>
    </row>
    <row r="2120">
      <c r="A2120" s="6" t="s">
        <v>10485</v>
      </c>
    </row>
    <row r="2121">
      <c r="A2121" s="6" t="s">
        <v>10490</v>
      </c>
    </row>
    <row r="2122">
      <c r="A2122" s="6" t="s">
        <v>10495</v>
      </c>
    </row>
    <row r="2123">
      <c r="A2123" s="6" t="s">
        <v>10500</v>
      </c>
    </row>
    <row r="2124">
      <c r="A2124" s="6" t="s">
        <v>10505</v>
      </c>
    </row>
    <row r="2125">
      <c r="A2125" s="6" t="s">
        <v>10510</v>
      </c>
    </row>
    <row r="2126">
      <c r="A2126" s="6" t="s">
        <v>10515</v>
      </c>
    </row>
    <row r="2127">
      <c r="A2127" s="6" t="s">
        <v>10520</v>
      </c>
    </row>
    <row r="2128">
      <c r="A2128" s="6" t="s">
        <v>10525</v>
      </c>
    </row>
    <row r="2129">
      <c r="A2129" s="6" t="s">
        <v>10530</v>
      </c>
    </row>
    <row r="2130">
      <c r="A2130" s="6" t="s">
        <v>10535</v>
      </c>
    </row>
    <row r="2131">
      <c r="A2131" s="6" t="s">
        <v>10540</v>
      </c>
    </row>
    <row r="2132">
      <c r="A2132" s="6" t="s">
        <v>10545</v>
      </c>
    </row>
    <row r="2133">
      <c r="A2133" s="6" t="s">
        <v>10550</v>
      </c>
    </row>
    <row r="2134">
      <c r="A2134" s="6" t="s">
        <v>10555</v>
      </c>
    </row>
    <row r="2135">
      <c r="A2135" s="6" t="s">
        <v>10559</v>
      </c>
    </row>
    <row r="2136">
      <c r="A2136" s="6" t="s">
        <v>10564</v>
      </c>
    </row>
    <row r="2137">
      <c r="A2137" s="6" t="s">
        <v>10569</v>
      </c>
    </row>
    <row r="2138">
      <c r="A2138" s="6" t="s">
        <v>10574</v>
      </c>
    </row>
    <row r="2139">
      <c r="A2139" s="6" t="s">
        <v>10579</v>
      </c>
    </row>
    <row r="2140">
      <c r="A2140" s="6" t="s">
        <v>10584</v>
      </c>
    </row>
    <row r="2141">
      <c r="A2141" s="6" t="s">
        <v>10589</v>
      </c>
    </row>
    <row r="2142">
      <c r="A2142" s="6" t="s">
        <v>10594</v>
      </c>
    </row>
    <row r="2143">
      <c r="A2143" s="6" t="s">
        <v>10599</v>
      </c>
    </row>
    <row r="2144">
      <c r="A2144" s="6" t="s">
        <v>10604</v>
      </c>
    </row>
    <row r="2145">
      <c r="A2145" s="6" t="s">
        <v>10609</v>
      </c>
    </row>
    <row r="2146">
      <c r="A2146" s="6" t="s">
        <v>10614</v>
      </c>
    </row>
    <row r="2147">
      <c r="A2147" s="6" t="s">
        <v>10619</v>
      </c>
    </row>
    <row r="2148">
      <c r="A2148" s="6" t="s">
        <v>10624</v>
      </c>
    </row>
    <row r="2149">
      <c r="A2149" s="6" t="s">
        <v>10629</v>
      </c>
    </row>
    <row r="2150">
      <c r="A2150" s="6" t="s">
        <v>10634</v>
      </c>
    </row>
    <row r="2151">
      <c r="A2151" s="6" t="s">
        <v>10639</v>
      </c>
    </row>
    <row r="2152">
      <c r="A2152" s="6" t="s">
        <v>10644</v>
      </c>
    </row>
    <row r="2153">
      <c r="A2153" s="6" t="s">
        <v>10649</v>
      </c>
    </row>
    <row r="2154">
      <c r="A2154" s="6" t="s">
        <v>10654</v>
      </c>
    </row>
    <row r="2155">
      <c r="A2155" s="6" t="s">
        <v>10659</v>
      </c>
    </row>
    <row r="2156">
      <c r="A2156" s="6" t="s">
        <v>10664</v>
      </c>
    </row>
    <row r="2157">
      <c r="A2157" s="6" t="s">
        <v>10669</v>
      </c>
    </row>
    <row r="2158">
      <c r="A2158" s="6" t="s">
        <v>10674</v>
      </c>
    </row>
    <row r="2159">
      <c r="A2159" s="6" t="s">
        <v>10679</v>
      </c>
    </row>
    <row r="2160">
      <c r="A2160" s="6" t="s">
        <v>10684</v>
      </c>
    </row>
    <row r="2161">
      <c r="A2161" s="6" t="s">
        <v>10689</v>
      </c>
    </row>
    <row r="2162">
      <c r="A2162" s="6" t="s">
        <v>10694</v>
      </c>
    </row>
    <row r="2163">
      <c r="A2163" s="6" t="s">
        <v>10699</v>
      </c>
    </row>
    <row r="2164">
      <c r="A2164" s="6" t="s">
        <v>10704</v>
      </c>
    </row>
    <row r="2165">
      <c r="A2165" s="6" t="s">
        <v>10709</v>
      </c>
    </row>
    <row r="2166">
      <c r="A2166" s="6" t="s">
        <v>10714</v>
      </c>
    </row>
    <row r="2167">
      <c r="A2167" s="6" t="s">
        <v>10719</v>
      </c>
    </row>
    <row r="2168">
      <c r="A2168" s="6" t="s">
        <v>10724</v>
      </c>
    </row>
    <row r="2169">
      <c r="A2169" s="6" t="s">
        <v>10729</v>
      </c>
    </row>
    <row r="2170">
      <c r="A2170" s="6" t="s">
        <v>10734</v>
      </c>
    </row>
    <row r="2171">
      <c r="A2171" s="6" t="s">
        <v>10739</v>
      </c>
    </row>
    <row r="2172">
      <c r="A2172" s="6" t="s">
        <v>10744</v>
      </c>
    </row>
    <row r="2173">
      <c r="A2173" s="6" t="s">
        <v>10749</v>
      </c>
    </row>
    <row r="2174">
      <c r="A2174" s="6" t="s">
        <v>10754</v>
      </c>
    </row>
    <row r="2175">
      <c r="A2175" s="6" t="s">
        <v>10759</v>
      </c>
    </row>
    <row r="2176">
      <c r="A2176" s="6" t="s">
        <v>10764</v>
      </c>
    </row>
    <row r="2177">
      <c r="A2177" s="6" t="s">
        <v>10769</v>
      </c>
    </row>
    <row r="2178">
      <c r="A2178" s="6" t="s">
        <v>10774</v>
      </c>
    </row>
    <row r="2179">
      <c r="A2179" s="6" t="s">
        <v>10779</v>
      </c>
    </row>
    <row r="2180">
      <c r="A2180" s="6" t="s">
        <v>10784</v>
      </c>
    </row>
    <row r="2181">
      <c r="A2181" s="6" t="s">
        <v>10789</v>
      </c>
    </row>
    <row r="2182">
      <c r="A2182" s="6" t="s">
        <v>10794</v>
      </c>
    </row>
    <row r="2183">
      <c r="A2183" s="6" t="s">
        <v>10799</v>
      </c>
    </row>
    <row r="2184">
      <c r="A2184" s="6" t="s">
        <v>10804</v>
      </c>
    </row>
    <row r="2185">
      <c r="A2185" s="6" t="s">
        <v>10809</v>
      </c>
    </row>
    <row r="2186">
      <c r="A2186" s="6" t="s">
        <v>10814</v>
      </c>
    </row>
    <row r="2187">
      <c r="A2187" s="6" t="s">
        <v>10819</v>
      </c>
    </row>
    <row r="2188">
      <c r="A2188" s="6" t="s">
        <v>10824</v>
      </c>
    </row>
    <row r="2189">
      <c r="A2189" s="6" t="s">
        <v>10829</v>
      </c>
    </row>
    <row r="2190">
      <c r="A2190" s="6" t="s">
        <v>10834</v>
      </c>
    </row>
    <row r="2191">
      <c r="A2191" s="6" t="s">
        <v>10839</v>
      </c>
    </row>
    <row r="2192">
      <c r="A2192" s="6" t="s">
        <v>10844</v>
      </c>
    </row>
    <row r="2193">
      <c r="A2193" s="6" t="s">
        <v>10849</v>
      </c>
    </row>
    <row r="2194">
      <c r="A2194" s="6" t="s">
        <v>10854</v>
      </c>
    </row>
    <row r="2195">
      <c r="A2195" s="6" t="s">
        <v>10859</v>
      </c>
    </row>
    <row r="2196">
      <c r="A2196" s="6" t="s">
        <v>10864</v>
      </c>
    </row>
    <row r="2197">
      <c r="A2197" s="6" t="s">
        <v>10869</v>
      </c>
    </row>
    <row r="2198">
      <c r="A2198" s="6" t="s">
        <v>10874</v>
      </c>
    </row>
    <row r="2199">
      <c r="A2199" s="6" t="s">
        <v>10879</v>
      </c>
    </row>
    <row r="2200">
      <c r="A2200" s="6" t="s">
        <v>10884</v>
      </c>
    </row>
    <row r="2201">
      <c r="A2201" s="6" t="s">
        <v>10889</v>
      </c>
    </row>
    <row r="2202">
      <c r="A2202" s="6" t="s">
        <v>10894</v>
      </c>
    </row>
    <row r="2203">
      <c r="A2203" s="6" t="s">
        <v>10899</v>
      </c>
    </row>
    <row r="2204">
      <c r="A2204" s="6" t="s">
        <v>10904</v>
      </c>
    </row>
    <row r="2205">
      <c r="A2205" s="6" t="s">
        <v>10909</v>
      </c>
    </row>
    <row r="2206">
      <c r="A2206" s="6" t="s">
        <v>10914</v>
      </c>
    </row>
    <row r="2207">
      <c r="A2207" s="6" t="s">
        <v>10919</v>
      </c>
    </row>
    <row r="2208">
      <c r="A2208" s="6" t="s">
        <v>10924</v>
      </c>
    </row>
    <row r="2209">
      <c r="A2209" s="6" t="s">
        <v>10929</v>
      </c>
    </row>
    <row r="2210">
      <c r="A2210" s="6" t="s">
        <v>10934</v>
      </c>
    </row>
    <row r="2211">
      <c r="A2211" s="6" t="s">
        <v>10939</v>
      </c>
    </row>
    <row r="2212">
      <c r="A2212" s="6" t="s">
        <v>10944</v>
      </c>
    </row>
    <row r="2213">
      <c r="A2213" s="6" t="s">
        <v>10949</v>
      </c>
    </row>
    <row r="2214">
      <c r="A2214" s="6" t="s">
        <v>10954</v>
      </c>
    </row>
    <row r="2215">
      <c r="A2215" s="6" t="s">
        <v>10959</v>
      </c>
    </row>
    <row r="2216">
      <c r="A2216" s="6" t="s">
        <v>10964</v>
      </c>
    </row>
    <row r="2217">
      <c r="A2217" s="6" t="s">
        <v>10969</v>
      </c>
    </row>
    <row r="2218">
      <c r="A2218" s="6" t="s">
        <v>10974</v>
      </c>
    </row>
    <row r="2219">
      <c r="A2219" s="6" t="s">
        <v>10979</v>
      </c>
    </row>
    <row r="2220">
      <c r="A2220" s="6" t="s">
        <v>10984</v>
      </c>
    </row>
    <row r="2221">
      <c r="A2221" s="6" t="s">
        <v>10989</v>
      </c>
    </row>
    <row r="2222">
      <c r="A2222" s="6" t="s">
        <v>10994</v>
      </c>
    </row>
    <row r="2223">
      <c r="A2223" s="6" t="s">
        <v>10999</v>
      </c>
    </row>
    <row r="2224">
      <c r="A2224" s="6" t="s">
        <v>11004</v>
      </c>
    </row>
    <row r="2225">
      <c r="A2225" s="6" t="s">
        <v>11009</v>
      </c>
    </row>
    <row r="2226">
      <c r="A2226" s="6" t="s">
        <v>11014</v>
      </c>
    </row>
    <row r="2227">
      <c r="A2227" s="6" t="s">
        <v>11019</v>
      </c>
    </row>
    <row r="2228">
      <c r="A2228" s="6" t="s">
        <v>11024</v>
      </c>
    </row>
    <row r="2229">
      <c r="A2229" s="6" t="s">
        <v>11029</v>
      </c>
    </row>
    <row r="2230">
      <c r="A2230" s="6" t="s">
        <v>11034</v>
      </c>
    </row>
    <row r="2231">
      <c r="A2231" s="6" t="s">
        <v>11039</v>
      </c>
    </row>
    <row r="2232">
      <c r="A2232" s="6" t="s">
        <v>11044</v>
      </c>
    </row>
    <row r="2233">
      <c r="A2233" s="6" t="s">
        <v>11049</v>
      </c>
    </row>
    <row r="2234">
      <c r="A2234" s="6" t="s">
        <v>11054</v>
      </c>
    </row>
    <row r="2235">
      <c r="A2235" s="6" t="s">
        <v>11059</v>
      </c>
    </row>
    <row r="2236">
      <c r="A2236" s="10" t="s">
        <v>11063</v>
      </c>
    </row>
    <row r="2237">
      <c r="A2237" s="10" t="s">
        <v>11067</v>
      </c>
    </row>
    <row r="2238">
      <c r="A2238" s="10" t="s">
        <v>11071</v>
      </c>
    </row>
    <row r="2239">
      <c r="A2239" s="10" t="s">
        <v>11075</v>
      </c>
    </row>
    <row r="2240">
      <c r="A2240" s="10" t="s">
        <v>11079</v>
      </c>
    </row>
    <row r="2241">
      <c r="A2241" s="10" t="s">
        <v>11083</v>
      </c>
    </row>
    <row r="2242">
      <c r="A2242" s="10" t="s">
        <v>11087</v>
      </c>
    </row>
    <row r="2243">
      <c r="A2243" s="10" t="s">
        <v>11091</v>
      </c>
    </row>
    <row r="2244">
      <c r="A2244" s="10" t="s">
        <v>11095</v>
      </c>
    </row>
    <row r="2245">
      <c r="A2245" s="10" t="s">
        <v>11099</v>
      </c>
    </row>
    <row r="2246">
      <c r="A2246" s="10" t="s">
        <v>11103</v>
      </c>
    </row>
    <row r="2247">
      <c r="A2247" s="10" t="s">
        <v>11107</v>
      </c>
    </row>
    <row r="2248">
      <c r="A2248" s="10" t="s">
        <v>11111</v>
      </c>
    </row>
    <row r="2249">
      <c r="A2249" s="10" t="s">
        <v>11115</v>
      </c>
    </row>
    <row r="2250">
      <c r="A2250" s="10" t="s">
        <v>11119</v>
      </c>
    </row>
    <row r="2251">
      <c r="A2251" s="10" t="s">
        <v>11123</v>
      </c>
    </row>
    <row r="2252">
      <c r="A2252" s="10" t="s">
        <v>11127</v>
      </c>
    </row>
    <row r="2253">
      <c r="A2253" s="10" t="s">
        <v>11131</v>
      </c>
    </row>
    <row r="2254">
      <c r="A2254" s="10" t="s">
        <v>11135</v>
      </c>
    </row>
    <row r="2255">
      <c r="A2255" s="10" t="s">
        <v>11139</v>
      </c>
    </row>
    <row r="2256">
      <c r="A2256" s="10" t="s">
        <v>11143</v>
      </c>
    </row>
    <row r="2257">
      <c r="A2257" s="10" t="s">
        <v>11147</v>
      </c>
    </row>
    <row r="2258">
      <c r="A2258" s="10" t="s">
        <v>11151</v>
      </c>
    </row>
    <row r="2259">
      <c r="A2259" s="10" t="s">
        <v>11155</v>
      </c>
    </row>
    <row r="2260">
      <c r="A2260" s="10" t="s">
        <v>11159</v>
      </c>
    </row>
    <row r="2261">
      <c r="A2261" s="10" t="s">
        <v>11163</v>
      </c>
    </row>
    <row r="2262">
      <c r="A2262" s="10" t="s">
        <v>11167</v>
      </c>
    </row>
    <row r="2263">
      <c r="A2263" s="10" t="s">
        <v>11171</v>
      </c>
    </row>
    <row r="2264">
      <c r="A2264" s="10" t="s">
        <v>11175</v>
      </c>
    </row>
    <row r="2265">
      <c r="A2265" s="10" t="s">
        <v>11179</v>
      </c>
    </row>
    <row r="2266">
      <c r="A2266" s="10" t="s">
        <v>11183</v>
      </c>
    </row>
    <row r="2267">
      <c r="A2267" s="10" t="s">
        <v>11187</v>
      </c>
    </row>
    <row r="2268">
      <c r="A2268" s="10" t="s">
        <v>11191</v>
      </c>
    </row>
    <row r="2269">
      <c r="A2269" s="10" t="s">
        <v>11195</v>
      </c>
    </row>
    <row r="2270">
      <c r="A2270" s="10" t="s">
        <v>11199</v>
      </c>
    </row>
    <row r="2271">
      <c r="A2271" s="10" t="s">
        <v>11203</v>
      </c>
    </row>
    <row r="2272">
      <c r="A2272" s="10" t="s">
        <v>11207</v>
      </c>
    </row>
    <row r="2273">
      <c r="A2273" s="10" t="s">
        <v>11211</v>
      </c>
    </row>
    <row r="2274">
      <c r="A2274" s="10" t="s">
        <v>11215</v>
      </c>
    </row>
    <row r="2275">
      <c r="A2275" s="10" t="s">
        <v>11219</v>
      </c>
    </row>
    <row r="2276">
      <c r="A2276" s="10" t="s">
        <v>11223</v>
      </c>
    </row>
    <row r="2277">
      <c r="A2277" s="10" t="s">
        <v>11227</v>
      </c>
    </row>
    <row r="2278">
      <c r="A2278" s="10" t="s">
        <v>11231</v>
      </c>
    </row>
    <row r="2279">
      <c r="A2279" s="10" t="s">
        <v>11235</v>
      </c>
    </row>
    <row r="2280">
      <c r="A2280" s="10" t="s">
        <v>11239</v>
      </c>
    </row>
    <row r="2281">
      <c r="A2281" s="10" t="s">
        <v>11243</v>
      </c>
    </row>
    <row r="2282">
      <c r="A2282" s="10" t="s">
        <v>11247</v>
      </c>
    </row>
    <row r="2283">
      <c r="A2283" s="10" t="s">
        <v>11251</v>
      </c>
    </row>
    <row r="2284">
      <c r="A2284" s="10" t="s">
        <v>11255</v>
      </c>
    </row>
    <row r="2285">
      <c r="A2285" s="10" t="s">
        <v>11259</v>
      </c>
    </row>
    <row r="2286">
      <c r="A2286" s="10" t="s">
        <v>11263</v>
      </c>
    </row>
    <row r="2287">
      <c r="A2287" s="10" t="s">
        <v>11266</v>
      </c>
    </row>
    <row r="2288">
      <c r="A2288" s="10" t="s">
        <v>11270</v>
      </c>
    </row>
    <row r="2289">
      <c r="A2289" s="10" t="s">
        <v>11274</v>
      </c>
    </row>
    <row r="2290">
      <c r="A2290" s="10" t="s">
        <v>11278</v>
      </c>
    </row>
    <row r="2291">
      <c r="A2291" s="10" t="s">
        <v>11282</v>
      </c>
    </row>
    <row r="2292">
      <c r="A2292" s="10" t="s">
        <v>11286</v>
      </c>
    </row>
    <row r="2293">
      <c r="A2293" s="10" t="s">
        <v>11290</v>
      </c>
    </row>
    <row r="2294">
      <c r="A2294" s="10" t="s">
        <v>11294</v>
      </c>
    </row>
    <row r="2295">
      <c r="A2295" s="10" t="s">
        <v>11298</v>
      </c>
    </row>
    <row r="2296">
      <c r="A2296" s="10" t="s">
        <v>11302</v>
      </c>
    </row>
    <row r="2297">
      <c r="A2297" s="10" t="s">
        <v>11306</v>
      </c>
    </row>
    <row r="2298">
      <c r="A2298" s="10" t="s">
        <v>11310</v>
      </c>
    </row>
    <row r="2299">
      <c r="A2299" s="10" t="s">
        <v>11314</v>
      </c>
    </row>
    <row r="2300">
      <c r="A2300" s="10" t="s">
        <v>11318</v>
      </c>
    </row>
    <row r="2301">
      <c r="A2301" s="10" t="s">
        <v>11322</v>
      </c>
    </row>
    <row r="2302">
      <c r="A2302" s="10" t="s">
        <v>11326</v>
      </c>
    </row>
    <row r="2303">
      <c r="A2303" s="10" t="s">
        <v>11330</v>
      </c>
    </row>
    <row r="2304">
      <c r="A2304" s="10" t="s">
        <v>11334</v>
      </c>
    </row>
    <row r="2305">
      <c r="A2305" s="10" t="s">
        <v>11338</v>
      </c>
    </row>
    <row r="2306">
      <c r="A2306" s="10" t="s">
        <v>11342</v>
      </c>
    </row>
    <row r="2307">
      <c r="A2307" s="10" t="s">
        <v>11346</v>
      </c>
    </row>
    <row r="2308">
      <c r="A2308" s="10" t="s">
        <v>11350</v>
      </c>
    </row>
    <row r="2309">
      <c r="A2309" s="10" t="s">
        <v>11354</v>
      </c>
    </row>
    <row r="2310">
      <c r="A2310" s="10" t="s">
        <v>11358</v>
      </c>
    </row>
    <row r="2311">
      <c r="A2311" s="10" t="s">
        <v>11362</v>
      </c>
    </row>
    <row r="2312">
      <c r="A2312" s="10" t="s">
        <v>11366</v>
      </c>
    </row>
    <row r="2313">
      <c r="A2313" s="10" t="s">
        <v>11370</v>
      </c>
    </row>
    <row r="2314">
      <c r="A2314" s="10" t="s">
        <v>11374</v>
      </c>
    </row>
    <row r="2315">
      <c r="A2315" s="10" t="s">
        <v>11378</v>
      </c>
    </row>
    <row r="2316">
      <c r="A2316" s="10" t="s">
        <v>11382</v>
      </c>
    </row>
    <row r="2317">
      <c r="A2317" s="10" t="s">
        <v>11386</v>
      </c>
    </row>
    <row r="2318">
      <c r="A2318" s="10" t="s">
        <v>11390</v>
      </c>
    </row>
    <row r="2319">
      <c r="A2319" s="10" t="s">
        <v>11394</v>
      </c>
    </row>
    <row r="2320">
      <c r="A2320" s="10" t="s">
        <v>11398</v>
      </c>
    </row>
    <row r="2321">
      <c r="A2321" s="10" t="s">
        <v>11402</v>
      </c>
    </row>
    <row r="2322">
      <c r="A2322" s="10" t="s">
        <v>11406</v>
      </c>
    </row>
    <row r="2323">
      <c r="A2323" s="10" t="s">
        <v>11410</v>
      </c>
    </row>
    <row r="2324">
      <c r="A2324" s="10" t="s">
        <v>11414</v>
      </c>
    </row>
    <row r="2325">
      <c r="A2325" s="10" t="s">
        <v>11418</v>
      </c>
    </row>
    <row r="2326">
      <c r="A2326" s="10" t="s">
        <v>11422</v>
      </c>
    </row>
    <row r="2327">
      <c r="A2327" s="10" t="s">
        <v>11426</v>
      </c>
    </row>
    <row r="2328">
      <c r="A2328" s="10" t="s">
        <v>11430</v>
      </c>
    </row>
    <row r="2329">
      <c r="A2329" s="10" t="s">
        <v>11434</v>
      </c>
    </row>
    <row r="2330">
      <c r="A2330" s="10" t="s">
        <v>11438</v>
      </c>
    </row>
    <row r="2331">
      <c r="A2331" s="10" t="s">
        <v>11442</v>
      </c>
    </row>
    <row r="2332">
      <c r="A2332" s="10" t="s">
        <v>11446</v>
      </c>
    </row>
    <row r="2333">
      <c r="A2333" s="10" t="s">
        <v>11450</v>
      </c>
    </row>
    <row r="2334">
      <c r="A2334" s="10" t="s">
        <v>11454</v>
      </c>
    </row>
    <row r="2335">
      <c r="A2335" s="10" t="s">
        <v>11458</v>
      </c>
    </row>
    <row r="2336">
      <c r="A2336" s="10" t="s">
        <v>11462</v>
      </c>
    </row>
    <row r="2337">
      <c r="A2337" s="10" t="s">
        <v>11466</v>
      </c>
    </row>
    <row r="2338">
      <c r="A2338" s="10" t="s">
        <v>11470</v>
      </c>
    </row>
    <row r="2339">
      <c r="A2339" s="10" t="s">
        <v>11474</v>
      </c>
    </row>
    <row r="2340">
      <c r="A2340" s="10" t="s">
        <v>11478</v>
      </c>
    </row>
    <row r="2341">
      <c r="A2341" s="10" t="s">
        <v>11482</v>
      </c>
    </row>
    <row r="2342">
      <c r="A2342" s="10" t="s">
        <v>11486</v>
      </c>
    </row>
    <row r="2343">
      <c r="A2343" s="10" t="s">
        <v>11490</v>
      </c>
    </row>
    <row r="2344">
      <c r="A2344" s="10" t="s">
        <v>11494</v>
      </c>
    </row>
    <row r="2345">
      <c r="A2345" s="10" t="s">
        <v>11498</v>
      </c>
    </row>
    <row r="2346">
      <c r="A2346" s="10" t="s">
        <v>11502</v>
      </c>
    </row>
    <row r="2347">
      <c r="A2347" s="10" t="s">
        <v>11506</v>
      </c>
    </row>
    <row r="2348">
      <c r="A2348" s="10" t="s">
        <v>11510</v>
      </c>
    </row>
    <row r="2349">
      <c r="A2349" s="10" t="s">
        <v>11514</v>
      </c>
    </row>
    <row r="2350">
      <c r="A2350" s="10" t="s">
        <v>11518</v>
      </c>
    </row>
    <row r="2351">
      <c r="A2351" s="10" t="s">
        <v>11522</v>
      </c>
    </row>
    <row r="2352">
      <c r="A2352" s="10" t="s">
        <v>11526</v>
      </c>
    </row>
    <row r="2353">
      <c r="A2353" s="10" t="s">
        <v>11530</v>
      </c>
    </row>
    <row r="2354">
      <c r="A2354" s="10" t="s">
        <v>11534</v>
      </c>
    </row>
    <row r="2355">
      <c r="A2355" s="10" t="s">
        <v>11538</v>
      </c>
    </row>
    <row r="2356">
      <c r="A2356" s="10" t="s">
        <v>11542</v>
      </c>
    </row>
    <row r="2357">
      <c r="A2357" s="10" t="s">
        <v>11546</v>
      </c>
    </row>
    <row r="2358">
      <c r="A2358" s="10" t="s">
        <v>11550</v>
      </c>
    </row>
    <row r="2359">
      <c r="A2359" s="10" t="s">
        <v>11554</v>
      </c>
    </row>
    <row r="2360">
      <c r="A2360" s="10" t="s">
        <v>11558</v>
      </c>
    </row>
    <row r="2361">
      <c r="A2361" s="10" t="s">
        <v>11562</v>
      </c>
    </row>
    <row r="2362">
      <c r="A2362" s="10" t="s">
        <v>11566</v>
      </c>
    </row>
    <row r="2363">
      <c r="A2363" s="10" t="s">
        <v>11570</v>
      </c>
    </row>
    <row r="2364">
      <c r="A2364" s="10" t="s">
        <v>11574</v>
      </c>
    </row>
    <row r="2365">
      <c r="A2365" s="10" t="s">
        <v>11578</v>
      </c>
    </row>
    <row r="2366">
      <c r="A2366" s="10" t="s">
        <v>11582</v>
      </c>
    </row>
    <row r="2367">
      <c r="A2367" s="10" t="s">
        <v>11586</v>
      </c>
    </row>
    <row r="2368">
      <c r="A2368" s="10" t="s">
        <v>11590</v>
      </c>
    </row>
    <row r="2369">
      <c r="A2369" s="10" t="s">
        <v>11594</v>
      </c>
    </row>
    <row r="2370">
      <c r="A2370" s="10" t="s">
        <v>11598</v>
      </c>
    </row>
    <row r="2371">
      <c r="A2371" s="10" t="s">
        <v>11602</v>
      </c>
    </row>
    <row r="2372">
      <c r="A2372" s="10" t="s">
        <v>11606</v>
      </c>
    </row>
    <row r="2373">
      <c r="A2373" s="10" t="s">
        <v>11610</v>
      </c>
    </row>
    <row r="2374">
      <c r="A2374" s="10" t="s">
        <v>11614</v>
      </c>
    </row>
    <row r="2375">
      <c r="A2375" s="10" t="s">
        <v>11618</v>
      </c>
    </row>
    <row r="2376">
      <c r="A2376" s="10" t="s">
        <v>11622</v>
      </c>
    </row>
    <row r="2377">
      <c r="A2377" s="10" t="s">
        <v>11626</v>
      </c>
    </row>
    <row r="2378">
      <c r="A2378" s="10" t="s">
        <v>11630</v>
      </c>
    </row>
    <row r="2379">
      <c r="A2379" s="10" t="s">
        <v>11634</v>
      </c>
    </row>
    <row r="2380">
      <c r="A2380" s="10" t="s">
        <v>11638</v>
      </c>
    </row>
    <row r="2381">
      <c r="A2381" s="10" t="s">
        <v>11642</v>
      </c>
    </row>
    <row r="2382">
      <c r="A2382" s="10" t="s">
        <v>11646</v>
      </c>
    </row>
    <row r="2383">
      <c r="A2383" s="10" t="s">
        <v>11650</v>
      </c>
    </row>
    <row r="2384">
      <c r="A2384" s="10" t="s">
        <v>11654</v>
      </c>
    </row>
    <row r="2385">
      <c r="A2385" s="10" t="s">
        <v>11658</v>
      </c>
    </row>
    <row r="2386">
      <c r="A2386" s="10" t="s">
        <v>11662</v>
      </c>
    </row>
    <row r="2387">
      <c r="A2387" s="10" t="s">
        <v>11666</v>
      </c>
    </row>
    <row r="2388">
      <c r="A2388" s="10" t="s">
        <v>11670</v>
      </c>
    </row>
    <row r="2389">
      <c r="A2389" s="10" t="s">
        <v>11674</v>
      </c>
    </row>
    <row r="2390">
      <c r="A2390" s="10" t="s">
        <v>11678</v>
      </c>
    </row>
    <row r="2391">
      <c r="A2391" s="10" t="s">
        <v>11682</v>
      </c>
    </row>
    <row r="2392">
      <c r="A2392" s="10" t="s">
        <v>11686</v>
      </c>
    </row>
    <row r="2393">
      <c r="A2393" s="10" t="s">
        <v>11690</v>
      </c>
    </row>
    <row r="2394">
      <c r="A2394" s="10" t="s">
        <v>11694</v>
      </c>
    </row>
    <row r="2395">
      <c r="A2395" s="10" t="s">
        <v>11698</v>
      </c>
    </row>
    <row r="2396">
      <c r="A2396" s="10" t="s">
        <v>11702</v>
      </c>
    </row>
    <row r="2397">
      <c r="A2397" s="10" t="s">
        <v>11706</v>
      </c>
    </row>
    <row r="2398">
      <c r="A2398" s="10" t="s">
        <v>11710</v>
      </c>
    </row>
    <row r="2399">
      <c r="A2399" s="10" t="s">
        <v>11714</v>
      </c>
    </row>
    <row r="2400">
      <c r="A2400" s="10" t="s">
        <v>11718</v>
      </c>
    </row>
    <row r="2401">
      <c r="A2401" s="10" t="s">
        <v>11722</v>
      </c>
    </row>
    <row r="2402">
      <c r="A2402" s="10" t="s">
        <v>11726</v>
      </c>
    </row>
    <row r="2403">
      <c r="A2403" s="10" t="s">
        <v>11730</v>
      </c>
    </row>
    <row r="2404">
      <c r="A2404" s="10" t="s">
        <v>11734</v>
      </c>
    </row>
    <row r="2405">
      <c r="A2405" s="10" t="s">
        <v>11738</v>
      </c>
    </row>
    <row r="2406">
      <c r="A2406" s="10" t="s">
        <v>11742</v>
      </c>
    </row>
    <row r="2407">
      <c r="A2407" s="10" t="s">
        <v>11746</v>
      </c>
    </row>
    <row r="2408">
      <c r="A2408" s="10" t="s">
        <v>11750</v>
      </c>
    </row>
    <row r="2409">
      <c r="A2409" s="10" t="s">
        <v>11754</v>
      </c>
    </row>
    <row r="2410">
      <c r="A2410" s="10" t="s">
        <v>11758</v>
      </c>
    </row>
    <row r="2411">
      <c r="A2411" s="10" t="s">
        <v>11762</v>
      </c>
    </row>
    <row r="2412">
      <c r="A2412" s="10" t="s">
        <v>11766</v>
      </c>
    </row>
    <row r="2413">
      <c r="A2413" s="10" t="s">
        <v>11770</v>
      </c>
    </row>
    <row r="2414">
      <c r="A2414" s="10" t="s">
        <v>11774</v>
      </c>
    </row>
    <row r="2415">
      <c r="A2415" s="10" t="s">
        <v>11778</v>
      </c>
    </row>
    <row r="2416">
      <c r="A2416" s="10" t="s">
        <v>11782</v>
      </c>
    </row>
    <row r="2417">
      <c r="A2417" s="10" t="s">
        <v>11786</v>
      </c>
    </row>
    <row r="2418">
      <c r="A2418" s="10" t="s">
        <v>11790</v>
      </c>
    </row>
    <row r="2419">
      <c r="A2419" s="10" t="s">
        <v>11794</v>
      </c>
    </row>
    <row r="2420">
      <c r="A2420" s="10" t="s">
        <v>11798</v>
      </c>
    </row>
    <row r="2421">
      <c r="A2421" s="10" t="s">
        <v>11802</v>
      </c>
    </row>
    <row r="2422">
      <c r="A2422" s="10" t="s">
        <v>11806</v>
      </c>
    </row>
    <row r="2423">
      <c r="A2423" s="10" t="s">
        <v>11810</v>
      </c>
    </row>
    <row r="2424">
      <c r="A2424" s="10" t="s">
        <v>11814</v>
      </c>
    </row>
    <row r="2425">
      <c r="A2425" s="10" t="s">
        <v>11818</v>
      </c>
    </row>
    <row r="2426">
      <c r="A2426" s="10" t="s">
        <v>11822</v>
      </c>
    </row>
    <row r="2427">
      <c r="A2427" s="10" t="s">
        <v>11826</v>
      </c>
    </row>
    <row r="2428">
      <c r="A2428" s="10" t="s">
        <v>11830</v>
      </c>
    </row>
    <row r="2429">
      <c r="A2429" s="10" t="s">
        <v>11834</v>
      </c>
    </row>
    <row r="2430">
      <c r="A2430" s="10" t="s">
        <v>11838</v>
      </c>
    </row>
    <row r="2431">
      <c r="A2431" s="10" t="s">
        <v>11842</v>
      </c>
    </row>
    <row r="2432">
      <c r="A2432" s="10" t="s">
        <v>11846</v>
      </c>
    </row>
    <row r="2433">
      <c r="A2433" s="10" t="s">
        <v>11850</v>
      </c>
    </row>
    <row r="2434">
      <c r="A2434" s="10" t="s">
        <v>11854</v>
      </c>
    </row>
    <row r="2435">
      <c r="A2435" s="10" t="s">
        <v>11858</v>
      </c>
    </row>
    <row r="2436">
      <c r="A2436" s="10" t="s">
        <v>11862</v>
      </c>
    </row>
    <row r="2437">
      <c r="A2437" s="10" t="s">
        <v>11866</v>
      </c>
    </row>
    <row r="2438">
      <c r="A2438" s="10" t="s">
        <v>11870</v>
      </c>
    </row>
    <row r="2439">
      <c r="A2439" s="10" t="s">
        <v>11874</v>
      </c>
    </row>
    <row r="2440">
      <c r="A2440" s="10" t="s">
        <v>11878</v>
      </c>
    </row>
    <row r="2441">
      <c r="A2441" s="10" t="s">
        <v>11882</v>
      </c>
    </row>
    <row r="2442">
      <c r="A2442" s="10" t="s">
        <v>11886</v>
      </c>
    </row>
    <row r="2443">
      <c r="A2443" s="10" t="s">
        <v>11890</v>
      </c>
    </row>
    <row r="2444">
      <c r="A2444" s="10" t="s">
        <v>11894</v>
      </c>
    </row>
    <row r="2445">
      <c r="A2445" s="10" t="s">
        <v>11898</v>
      </c>
    </row>
    <row r="2446">
      <c r="A2446" s="10" t="s">
        <v>11902</v>
      </c>
    </row>
    <row r="2447">
      <c r="A2447" s="10" t="s">
        <v>11906</v>
      </c>
    </row>
    <row r="2448">
      <c r="A2448" s="10" t="s">
        <v>11910</v>
      </c>
    </row>
    <row r="2449">
      <c r="A2449" s="10" t="s">
        <v>11914</v>
      </c>
    </row>
    <row r="2450">
      <c r="A2450" s="10" t="s">
        <v>11918</v>
      </c>
    </row>
    <row r="2451">
      <c r="A2451" s="10" t="s">
        <v>11922</v>
      </c>
    </row>
    <row r="2452">
      <c r="A2452" s="10" t="s">
        <v>11926</v>
      </c>
    </row>
    <row r="2453">
      <c r="A2453" s="10" t="s">
        <v>11930</v>
      </c>
    </row>
    <row r="2454">
      <c r="A2454" s="10" t="s">
        <v>11934</v>
      </c>
    </row>
    <row r="2455">
      <c r="A2455" s="10" t="s">
        <v>11938</v>
      </c>
    </row>
    <row r="2456">
      <c r="A2456" s="10" t="s">
        <v>11942</v>
      </c>
    </row>
    <row r="2457">
      <c r="A2457" s="10" t="s">
        <v>11946</v>
      </c>
    </row>
    <row r="2458">
      <c r="A2458" s="10" t="s">
        <v>11950</v>
      </c>
    </row>
    <row r="2459">
      <c r="A2459" s="10" t="s">
        <v>11954</v>
      </c>
    </row>
    <row r="2460">
      <c r="A2460" s="10" t="s">
        <v>11958</v>
      </c>
    </row>
    <row r="2461">
      <c r="A2461" s="10" t="s">
        <v>11962</v>
      </c>
    </row>
    <row r="2462">
      <c r="A2462" s="10" t="s">
        <v>11966</v>
      </c>
    </row>
    <row r="2463">
      <c r="A2463" s="10" t="s">
        <v>11970</v>
      </c>
    </row>
    <row r="2464">
      <c r="A2464" s="10" t="s">
        <v>11974</v>
      </c>
    </row>
    <row r="2465">
      <c r="A2465" s="10" t="s">
        <v>11978</v>
      </c>
    </row>
    <row r="2466">
      <c r="A2466" s="10" t="s">
        <v>11982</v>
      </c>
    </row>
    <row r="2467">
      <c r="A2467" s="10" t="s">
        <v>11986</v>
      </c>
    </row>
    <row r="2468">
      <c r="A2468" s="10" t="s">
        <v>11990</v>
      </c>
    </row>
    <row r="2469">
      <c r="A2469" s="10" t="s">
        <v>11994</v>
      </c>
    </row>
    <row r="2470">
      <c r="A2470" s="10" t="s">
        <v>11998</v>
      </c>
    </row>
    <row r="2471">
      <c r="A2471" s="10" t="s">
        <v>12002</v>
      </c>
    </row>
    <row r="2472">
      <c r="A2472" s="10" t="s">
        <v>12006</v>
      </c>
    </row>
    <row r="2473">
      <c r="A2473" s="10" t="s">
        <v>12010</v>
      </c>
    </row>
    <row r="2474">
      <c r="A2474" s="10" t="s">
        <v>12014</v>
      </c>
    </row>
    <row r="2475">
      <c r="A2475" s="10" t="s">
        <v>12018</v>
      </c>
    </row>
    <row r="2476">
      <c r="A2476" s="10" t="s">
        <v>12022</v>
      </c>
    </row>
    <row r="2477">
      <c r="A2477" s="10" t="s">
        <v>12026</v>
      </c>
    </row>
    <row r="2478">
      <c r="A2478" s="10" t="s">
        <v>12030</v>
      </c>
    </row>
    <row r="2479">
      <c r="A2479" s="10" t="s">
        <v>12034</v>
      </c>
    </row>
    <row r="2480">
      <c r="A2480" s="10" t="s">
        <v>12038</v>
      </c>
    </row>
    <row r="2481">
      <c r="A2481" s="10" t="s">
        <v>12042</v>
      </c>
    </row>
    <row r="2482">
      <c r="A2482" s="10" t="s">
        <v>12046</v>
      </c>
    </row>
    <row r="2483">
      <c r="A2483" s="10" t="s">
        <v>12050</v>
      </c>
    </row>
    <row r="2484">
      <c r="A2484" s="10" t="s">
        <v>12054</v>
      </c>
    </row>
    <row r="2485">
      <c r="A2485" s="10" t="s">
        <v>12058</v>
      </c>
    </row>
    <row r="2486">
      <c r="A2486" s="10" t="s">
        <v>12062</v>
      </c>
    </row>
    <row r="2487">
      <c r="A2487" s="10" t="s">
        <v>12066</v>
      </c>
    </row>
    <row r="2488">
      <c r="A2488" s="10" t="s">
        <v>12070</v>
      </c>
    </row>
    <row r="2489">
      <c r="A2489" s="10" t="s">
        <v>12074</v>
      </c>
    </row>
    <row r="2490">
      <c r="A2490" s="10" t="s">
        <v>12078</v>
      </c>
    </row>
    <row r="2491">
      <c r="A2491" s="10" t="s">
        <v>12082</v>
      </c>
    </row>
    <row r="2492">
      <c r="A2492" s="10" t="s">
        <v>12086</v>
      </c>
    </row>
    <row r="2493">
      <c r="A2493" s="10" t="s">
        <v>12090</v>
      </c>
    </row>
    <row r="2494">
      <c r="A2494" s="10" t="s">
        <v>12094</v>
      </c>
    </row>
    <row r="2495">
      <c r="A2495" s="10" t="s">
        <v>12098</v>
      </c>
    </row>
    <row r="2496">
      <c r="A2496" s="10" t="s">
        <v>12102</v>
      </c>
    </row>
    <row r="2497">
      <c r="A2497" s="10" t="s">
        <v>12106</v>
      </c>
    </row>
    <row r="2498">
      <c r="A2498" s="10" t="s">
        <v>12110</v>
      </c>
    </row>
    <row r="2499">
      <c r="A2499" s="10" t="s">
        <v>12114</v>
      </c>
    </row>
    <row r="2500">
      <c r="A2500" s="10" t="s">
        <v>12118</v>
      </c>
    </row>
    <row r="2501">
      <c r="A2501" s="10" t="s">
        <v>12122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</hyperlinks>
  <drawing r:id="rId2501"/>
</worksheet>
</file>